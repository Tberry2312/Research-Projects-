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berry/Desktop/"/>
    </mc:Choice>
  </mc:AlternateContent>
  <xr:revisionPtr revIDLastSave="0" documentId="13_ncr:1_{6B8E9E9B-65D5-F54A-9CA2-EC0F9C752541}" xr6:coauthVersionLast="47" xr6:coauthVersionMax="47" xr10:uidLastSave="{00000000-0000-0000-0000-000000000000}"/>
  <bookViews>
    <workbookView xWindow="0" yWindow="880" windowWidth="34200" windowHeight="21360" activeTab="1" xr2:uid="{84A2C54A-0810-4BF8-91B4-A4EDC7CE96DF}"/>
  </bookViews>
  <sheets>
    <sheet name="Sheet1" sheetId="1" r:id="rId1"/>
    <sheet name="24&amp;25" sheetId="2" r:id="rId2"/>
    <sheet name="unitid" sheetId="5" r:id="rId3"/>
    <sheet name="code" sheetId="6" r:id="rId4"/>
    <sheet name="CPI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 s="1"/>
  <c r="L39" i="1" a="1"/>
  <c r="L39" i="1" s="1"/>
  <c r="L40" i="1" a="1"/>
  <c r="L40" i="1" s="1"/>
  <c r="L41" i="1" a="1"/>
  <c r="L41" i="1" s="1"/>
  <c r="L42" i="1" a="1"/>
  <c r="L42" i="1" s="1"/>
  <c r="L43" i="1" a="1"/>
  <c r="L43" i="1" s="1"/>
  <c r="L44" i="1" a="1"/>
  <c r="L44" i="1" s="1"/>
  <c r="L45" i="1" a="1"/>
  <c r="L45" i="1" s="1"/>
  <c r="L46" i="1" a="1"/>
  <c r="L46" i="1" s="1"/>
  <c r="L47" i="1" a="1"/>
  <c r="L47" i="1" s="1"/>
  <c r="L48" i="1" a="1"/>
  <c r="L48" i="1" s="1"/>
  <c r="L49" i="1" a="1"/>
  <c r="L49" i="1" s="1"/>
  <c r="L50" i="1" a="1"/>
  <c r="L50" i="1" s="1"/>
  <c r="L51" i="1" a="1"/>
  <c r="L51" i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 s="1"/>
  <c r="L58" i="1" a="1"/>
  <c r="L58" i="1" s="1"/>
  <c r="L59" i="1" a="1"/>
  <c r="L59" i="1" s="1"/>
  <c r="L60" i="1" a="1"/>
  <c r="L60" i="1" s="1"/>
  <c r="L61" i="1" a="1"/>
  <c r="L61" i="1" s="1"/>
  <c r="L62" i="1" a="1"/>
  <c r="L62" i="1" s="1"/>
  <c r="L63" i="1" a="1"/>
  <c r="L63" i="1" s="1"/>
  <c r="L64" i="1" a="1"/>
  <c r="L64" i="1" s="1"/>
  <c r="L65" i="1" a="1"/>
  <c r="L65" i="1" s="1"/>
  <c r="L66" i="1" a="1"/>
  <c r="L66" i="1" s="1"/>
  <c r="L67" i="1" a="1"/>
  <c r="L67" i="1" s="1"/>
  <c r="L68" i="1" a="1"/>
  <c r="L68" i="1" s="1"/>
  <c r="L69" i="1" a="1"/>
  <c r="L69" i="1" s="1"/>
  <c r="L70" i="1" a="1"/>
  <c r="L70" i="1" s="1"/>
  <c r="L71" i="1" a="1"/>
  <c r="L71" i="1" s="1"/>
  <c r="L72" i="1" a="1"/>
  <c r="L72" i="1" s="1"/>
  <c r="L73" i="1" a="1"/>
  <c r="L73" i="1" s="1"/>
  <c r="L74" i="1" a="1"/>
  <c r="L74" i="1" s="1"/>
  <c r="L75" i="1" a="1"/>
  <c r="L75" i="1"/>
  <c r="L76" i="1" a="1"/>
  <c r="L76" i="1" s="1"/>
  <c r="L77" i="1" a="1"/>
  <c r="L77" i="1" s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 s="1"/>
  <c r="L92" i="1" a="1"/>
  <c r="L92" i="1" s="1"/>
  <c r="L93" i="1" a="1"/>
  <c r="L93" i="1" s="1"/>
  <c r="L94" i="1" a="1"/>
  <c r="L94" i="1" s="1"/>
  <c r="L95" i="1" a="1"/>
  <c r="L95" i="1" s="1"/>
  <c r="L96" i="1" a="1"/>
  <c r="L96" i="1" s="1"/>
  <c r="L97" i="1" a="1"/>
  <c r="L97" i="1" s="1"/>
  <c r="L98" i="1" a="1"/>
  <c r="L98" i="1" s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 s="1"/>
  <c r="L113" i="1" a="1"/>
  <c r="L113" i="1" s="1"/>
  <c r="L114" i="1" a="1"/>
  <c r="L114" i="1" s="1"/>
  <c r="L115" i="1" a="1"/>
  <c r="L115" i="1" s="1"/>
  <c r="L116" i="1" a="1"/>
  <c r="L116" i="1" s="1"/>
  <c r="L117" i="1" a="1"/>
  <c r="L117" i="1" s="1"/>
  <c r="L118" i="1" a="1"/>
  <c r="L118" i="1" s="1"/>
  <c r="L119" i="1" a="1"/>
  <c r="L119" i="1" s="1"/>
  <c r="L120" i="1" a="1"/>
  <c r="L120" i="1" s="1"/>
  <c r="L121" i="1" a="1"/>
  <c r="L121" i="1" s="1"/>
  <c r="L122" i="1" a="1"/>
  <c r="L122" i="1" s="1"/>
  <c r="L123" i="1" a="1"/>
  <c r="L123" i="1" s="1"/>
  <c r="L124" i="1" a="1"/>
  <c r="L124" i="1" s="1"/>
  <c r="L125" i="1" a="1"/>
  <c r="L125" i="1" s="1"/>
  <c r="L126" i="1" a="1"/>
  <c r="L126" i="1" s="1"/>
  <c r="L127" i="1" a="1"/>
  <c r="L127" i="1" s="1"/>
  <c r="L128" i="1" a="1"/>
  <c r="L128" i="1" s="1"/>
  <c r="L129" i="1" a="1"/>
  <c r="L129" i="1" s="1"/>
  <c r="L130" i="1" a="1"/>
  <c r="L130" i="1" s="1"/>
  <c r="L131" i="1" a="1"/>
  <c r="L131" i="1" s="1"/>
  <c r="L132" i="1" a="1"/>
  <c r="L132" i="1" s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 s="1"/>
  <c r="L147" i="1" a="1"/>
  <c r="L147" i="1" s="1"/>
  <c r="L148" i="1" a="1"/>
  <c r="L148" i="1" s="1"/>
  <c r="L149" i="1" a="1"/>
  <c r="L149" i="1" s="1"/>
  <c r="L150" i="1" a="1"/>
  <c r="L150" i="1" s="1"/>
  <c r="L151" i="1" a="1"/>
  <c r="L151" i="1" s="1"/>
  <c r="L152" i="1" a="1"/>
  <c r="L152" i="1" s="1"/>
  <c r="L153" i="1" a="1"/>
  <c r="L153" i="1" s="1"/>
  <c r="L154" i="1" a="1"/>
  <c r="L154" i="1" s="1"/>
  <c r="L155" i="1" a="1"/>
  <c r="L155" i="1" s="1"/>
  <c r="L156" i="1" a="1"/>
  <c r="L156" i="1" s="1"/>
  <c r="L157" i="1" a="1"/>
  <c r="L157" i="1" s="1"/>
  <c r="L158" i="1" a="1"/>
  <c r="L158" i="1" s="1"/>
  <c r="L159" i="1" a="1"/>
  <c r="L159" i="1" s="1"/>
  <c r="L160" i="1" a="1"/>
  <c r="L160" i="1" s="1"/>
  <c r="L161" i="1" a="1"/>
  <c r="L161" i="1" s="1"/>
  <c r="L162" i="1" a="1"/>
  <c r="L162" i="1" s="1"/>
  <c r="L163" i="1" a="1"/>
  <c r="L163" i="1" s="1"/>
  <c r="L164" i="1" a="1"/>
  <c r="L164" i="1" s="1"/>
  <c r="L165" i="1" a="1"/>
  <c r="L165" i="1" s="1"/>
  <c r="L166" i="1" a="1"/>
  <c r="L166" i="1" s="1"/>
  <c r="L167" i="1" a="1"/>
  <c r="L167" i="1" s="1"/>
  <c r="L168" i="1" a="1"/>
  <c r="L168" i="1" s="1"/>
  <c r="L169" i="1" a="1"/>
  <c r="L169" i="1" s="1"/>
  <c r="L170" i="1" a="1"/>
  <c r="L170" i="1" s="1"/>
  <c r="L171" i="1" a="1"/>
  <c r="L171" i="1" s="1"/>
  <c r="L172" i="1" a="1"/>
  <c r="L172" i="1" s="1"/>
  <c r="L173" i="1" a="1"/>
  <c r="L173" i="1" s="1"/>
  <c r="L174" i="1" a="1"/>
  <c r="L174" i="1" s="1"/>
  <c r="L175" i="1" a="1"/>
  <c r="L175" i="1" s="1"/>
  <c r="L176" i="1" a="1"/>
  <c r="L176" i="1" s="1"/>
  <c r="L177" i="1" a="1"/>
  <c r="L177" i="1" s="1"/>
  <c r="L178" i="1" a="1"/>
  <c r="L178" i="1" s="1"/>
  <c r="L179" i="1" a="1"/>
  <c r="L179" i="1" s="1"/>
  <c r="L180" i="1" a="1"/>
  <c r="L180" i="1" s="1"/>
  <c r="L181" i="1" a="1"/>
  <c r="L181" i="1" s="1"/>
  <c r="L182" i="1" a="1"/>
  <c r="L182" i="1" s="1"/>
  <c r="L183" i="1" a="1"/>
  <c r="L183" i="1" s="1"/>
  <c r="L184" i="1" a="1"/>
  <c r="L184" i="1" s="1"/>
  <c r="L185" i="1" a="1"/>
  <c r="L185" i="1" s="1"/>
  <c r="L186" i="1" a="1"/>
  <c r="L186" i="1" s="1"/>
  <c r="L187" i="1" a="1"/>
  <c r="L187" i="1" s="1"/>
  <c r="L188" i="1" a="1"/>
  <c r="L188" i="1" s="1"/>
  <c r="L189" i="1" a="1"/>
  <c r="L189" i="1" s="1"/>
  <c r="L190" i="1" a="1"/>
  <c r="L190" i="1" s="1"/>
  <c r="L191" i="1" a="1"/>
  <c r="L191" i="1" s="1"/>
  <c r="L192" i="1" a="1"/>
  <c r="L192" i="1" s="1"/>
  <c r="L193" i="1" a="1"/>
  <c r="L193" i="1" s="1"/>
  <c r="L194" i="1" a="1"/>
  <c r="L194" i="1" s="1"/>
  <c r="L195" i="1" a="1"/>
  <c r="L195" i="1" s="1"/>
  <c r="L196" i="1" a="1"/>
  <c r="L196" i="1" s="1"/>
  <c r="L197" i="1" a="1"/>
  <c r="L197" i="1" s="1"/>
  <c r="L198" i="1" a="1"/>
  <c r="L198" i="1" s="1"/>
  <c r="L199" i="1" a="1"/>
  <c r="L199" i="1" s="1"/>
  <c r="L200" i="1" a="1"/>
  <c r="L200" i="1" s="1"/>
  <c r="L201" i="1" a="1"/>
  <c r="L201" i="1" s="1"/>
  <c r="L202" i="1" a="1"/>
  <c r="L202" i="1" s="1"/>
  <c r="L203" i="1" a="1"/>
  <c r="L203" i="1" s="1"/>
  <c r="L204" i="1" a="1"/>
  <c r="L204" i="1" s="1"/>
  <c r="L205" i="1" a="1"/>
  <c r="L205" i="1" s="1"/>
  <c r="L206" i="1" a="1"/>
  <c r="L206" i="1" s="1"/>
  <c r="L207" i="1" a="1"/>
  <c r="L207" i="1" s="1"/>
  <c r="L208" i="1" a="1"/>
  <c r="L208" i="1" s="1"/>
  <c r="L209" i="1" a="1"/>
  <c r="L209" i="1" s="1"/>
  <c r="L210" i="1" a="1"/>
  <c r="L210" i="1" s="1"/>
  <c r="L211" i="1" a="1"/>
  <c r="L211" i="1" s="1"/>
  <c r="L212" i="1" a="1"/>
  <c r="L212" i="1" s="1"/>
  <c r="L213" i="1" a="1"/>
  <c r="L213" i="1" s="1"/>
  <c r="L214" i="1" a="1"/>
  <c r="L214" i="1" s="1"/>
  <c r="L215" i="1" a="1"/>
  <c r="L215" i="1" s="1"/>
  <c r="L216" i="1" a="1"/>
  <c r="L216" i="1" s="1"/>
  <c r="L217" i="1" a="1"/>
  <c r="L217" i="1" s="1"/>
  <c r="L218" i="1" a="1"/>
  <c r="L218" i="1" s="1"/>
  <c r="L219" i="1" a="1"/>
  <c r="L219" i="1" s="1"/>
  <c r="L220" i="1" a="1"/>
  <c r="L220" i="1" s="1"/>
  <c r="L221" i="1" a="1"/>
  <c r="L221" i="1" s="1"/>
  <c r="L222" i="1" a="1"/>
  <c r="L222" i="1" s="1"/>
  <c r="L223" i="1" a="1"/>
  <c r="L223" i="1" s="1"/>
  <c r="L224" i="1" a="1"/>
  <c r="L224" i="1" s="1"/>
  <c r="L225" i="1" a="1"/>
  <c r="L225" i="1" s="1"/>
  <c r="L226" i="1" a="1"/>
  <c r="L226" i="1" s="1"/>
  <c r="L227" i="1" a="1"/>
  <c r="L227" i="1" s="1"/>
  <c r="L228" i="1" a="1"/>
  <c r="L228" i="1" s="1"/>
  <c r="L229" i="1" a="1"/>
  <c r="L229" i="1" s="1"/>
  <c r="L230" i="1" a="1"/>
  <c r="L230" i="1" s="1"/>
  <c r="L231" i="1" a="1"/>
  <c r="L231" i="1" s="1"/>
  <c r="L232" i="1" a="1"/>
  <c r="L232" i="1" s="1"/>
  <c r="L233" i="1" a="1"/>
  <c r="L233" i="1" s="1"/>
  <c r="L234" i="1" a="1"/>
  <c r="L234" i="1" s="1"/>
  <c r="L235" i="1" a="1"/>
  <c r="L235" i="1" s="1"/>
  <c r="L236" i="1" a="1"/>
  <c r="L236" i="1" s="1"/>
  <c r="L237" i="1" a="1"/>
  <c r="L237" i="1" s="1"/>
  <c r="L238" i="1" a="1"/>
  <c r="L238" i="1" s="1"/>
  <c r="L239" i="1" a="1"/>
  <c r="L239" i="1" s="1"/>
  <c r="L240" i="1" a="1"/>
  <c r="L240" i="1" s="1"/>
  <c r="L241" i="1" a="1"/>
  <c r="L241" i="1" s="1"/>
  <c r="L242" i="1" a="1"/>
  <c r="L242" i="1" s="1"/>
  <c r="L243" i="1" a="1"/>
  <c r="L243" i="1" s="1"/>
  <c r="L244" i="1" a="1"/>
  <c r="L244" i="1" s="1"/>
  <c r="L245" i="1" a="1"/>
  <c r="L245" i="1" s="1"/>
  <c r="L246" i="1" a="1"/>
  <c r="L246" i="1" s="1"/>
  <c r="L247" i="1" a="1"/>
  <c r="L247" i="1" s="1"/>
  <c r="L248" i="1" a="1"/>
  <c r="L248" i="1" s="1"/>
  <c r="L249" i="1" a="1"/>
  <c r="L249" i="1" s="1"/>
  <c r="L250" i="1" a="1"/>
  <c r="L250" i="1" s="1"/>
  <c r="L251" i="1" a="1"/>
  <c r="L251" i="1" s="1"/>
  <c r="L252" i="1" a="1"/>
  <c r="L252" i="1" s="1"/>
  <c r="L253" i="1" a="1"/>
  <c r="L253" i="1" s="1"/>
  <c r="L254" i="1" a="1"/>
  <c r="L254" i="1" s="1"/>
  <c r="L255" i="1" a="1"/>
  <c r="L255" i="1" s="1"/>
  <c r="L256" i="1" a="1"/>
  <c r="L256" i="1" s="1"/>
  <c r="L257" i="1" a="1"/>
  <c r="L257" i="1" s="1"/>
  <c r="L258" i="1" a="1"/>
  <c r="L258" i="1" s="1"/>
  <c r="L259" i="1" a="1"/>
  <c r="L259" i="1" s="1"/>
  <c r="L260" i="1" a="1"/>
  <c r="L260" i="1" s="1"/>
  <c r="L261" i="1" a="1"/>
  <c r="L261" i="1" s="1"/>
  <c r="L262" i="1" a="1"/>
  <c r="L262" i="1" s="1"/>
  <c r="L263" i="1" a="1"/>
  <c r="L263" i="1" s="1"/>
  <c r="L264" i="1" a="1"/>
  <c r="L264" i="1" s="1"/>
  <c r="L265" i="1" a="1"/>
  <c r="L265" i="1" s="1"/>
  <c r="L266" i="1" a="1"/>
  <c r="L266" i="1" s="1"/>
  <c r="L267" i="1" a="1"/>
  <c r="L267" i="1" s="1"/>
  <c r="L268" i="1" a="1"/>
  <c r="L268" i="1" s="1"/>
  <c r="L269" i="1" a="1"/>
  <c r="L269" i="1" s="1"/>
  <c r="L270" i="1" a="1"/>
  <c r="L270" i="1" s="1"/>
  <c r="L271" i="1" a="1"/>
  <c r="L271" i="1" s="1"/>
  <c r="L272" i="1" a="1"/>
  <c r="L272" i="1" s="1"/>
  <c r="L273" i="1" a="1"/>
  <c r="L273" i="1" s="1"/>
  <c r="L274" i="1" a="1"/>
  <c r="L274" i="1" s="1"/>
  <c r="L275" i="1" a="1"/>
  <c r="L275" i="1" s="1"/>
  <c r="L276" i="1" a="1"/>
  <c r="L276" i="1" s="1"/>
  <c r="L277" i="1" a="1"/>
  <c r="L277" i="1" s="1"/>
  <c r="L278" i="1" a="1"/>
  <c r="L278" i="1" s="1"/>
  <c r="L279" i="1" a="1"/>
  <c r="L279" i="1" s="1"/>
  <c r="L280" i="1" a="1"/>
  <c r="L280" i="1" s="1"/>
  <c r="L281" i="1" a="1"/>
  <c r="L281" i="1" s="1"/>
  <c r="L282" i="1" a="1"/>
  <c r="L282" i="1" s="1"/>
  <c r="L283" i="1" a="1"/>
  <c r="L283" i="1" s="1"/>
  <c r="L284" i="1" a="1"/>
  <c r="L284" i="1" s="1"/>
  <c r="L285" i="1" a="1"/>
  <c r="L285" i="1" s="1"/>
  <c r="L286" i="1" a="1"/>
  <c r="L286" i="1" s="1"/>
  <c r="L287" i="1" a="1"/>
  <c r="L287" i="1" s="1"/>
  <c r="L288" i="1" a="1"/>
  <c r="L288" i="1" s="1"/>
  <c r="L289" i="1" a="1"/>
  <c r="L289" i="1" s="1"/>
  <c r="L290" i="1" a="1"/>
  <c r="L290" i="1" s="1"/>
  <c r="L291" i="1" a="1"/>
  <c r="L291" i="1" s="1"/>
  <c r="L292" i="1" a="1"/>
  <c r="L292" i="1" s="1"/>
  <c r="L293" i="1" a="1"/>
  <c r="L293" i="1" s="1"/>
  <c r="L294" i="1" a="1"/>
  <c r="L294" i="1" s="1"/>
  <c r="L295" i="1" a="1"/>
  <c r="L295" i="1" s="1"/>
  <c r="L296" i="1" a="1"/>
  <c r="L296" i="1" s="1"/>
  <c r="L297" i="1" a="1"/>
  <c r="L297" i="1" s="1"/>
  <c r="L298" i="1" a="1"/>
  <c r="L298" i="1" s="1"/>
  <c r="L299" i="1" a="1"/>
  <c r="L299" i="1" s="1"/>
  <c r="L300" i="1" a="1"/>
  <c r="L300" i="1" s="1"/>
  <c r="L301" i="1" a="1"/>
  <c r="L301" i="1" s="1"/>
  <c r="L302" i="1" a="1"/>
  <c r="L302" i="1" s="1"/>
  <c r="L303" i="1" a="1"/>
  <c r="L303" i="1" s="1"/>
  <c r="L304" i="1" a="1"/>
  <c r="L304" i="1" s="1"/>
  <c r="L305" i="1" a="1"/>
  <c r="L305" i="1" s="1"/>
  <c r="L306" i="1" a="1"/>
  <c r="L306" i="1" s="1"/>
  <c r="L307" i="1" a="1"/>
  <c r="L307" i="1" s="1"/>
  <c r="L308" i="1" a="1"/>
  <c r="L308" i="1" s="1"/>
  <c r="L309" i="1" a="1"/>
  <c r="L309" i="1" s="1"/>
  <c r="L310" i="1" a="1"/>
  <c r="L310" i="1" s="1"/>
  <c r="L311" i="1" a="1"/>
  <c r="L311" i="1" s="1"/>
  <c r="L312" i="1" a="1"/>
  <c r="L312" i="1" s="1"/>
  <c r="L313" i="1" a="1"/>
  <c r="L313" i="1" s="1"/>
  <c r="L314" i="1" a="1"/>
  <c r="L314" i="1" s="1"/>
  <c r="L315" i="1" a="1"/>
  <c r="L315" i="1" s="1"/>
  <c r="L316" i="1" a="1"/>
  <c r="L316" i="1" s="1"/>
  <c r="L317" i="1" a="1"/>
  <c r="L317" i="1" s="1"/>
  <c r="L318" i="1" a="1"/>
  <c r="L318" i="1" s="1"/>
  <c r="L319" i="1" a="1"/>
  <c r="L319" i="1" s="1"/>
  <c r="L320" i="1" a="1"/>
  <c r="L320" i="1" s="1"/>
  <c r="L321" i="1" a="1"/>
  <c r="L321" i="1" s="1"/>
  <c r="L322" i="1" a="1"/>
  <c r="L322" i="1" s="1"/>
  <c r="L323" i="1" a="1"/>
  <c r="L323" i="1" s="1"/>
  <c r="L324" i="1" a="1"/>
  <c r="L324" i="1" s="1"/>
  <c r="L325" i="1" a="1"/>
  <c r="L325" i="1" s="1"/>
  <c r="L326" i="1" a="1"/>
  <c r="L326" i="1" s="1"/>
  <c r="L327" i="1" a="1"/>
  <c r="L327" i="1" s="1"/>
  <c r="L328" i="1" a="1"/>
  <c r="L328" i="1" s="1"/>
  <c r="L329" i="1" a="1"/>
  <c r="L329" i="1" s="1"/>
  <c r="L330" i="1" a="1"/>
  <c r="L330" i="1" s="1"/>
  <c r="L331" i="1" a="1"/>
  <c r="L331" i="1" s="1"/>
  <c r="L332" i="1" a="1"/>
  <c r="L332" i="1" s="1"/>
  <c r="L333" i="1" a="1"/>
  <c r="L333" i="1" s="1"/>
  <c r="L334" i="1" a="1"/>
  <c r="L334" i="1" s="1"/>
  <c r="L335" i="1" a="1"/>
  <c r="L335" i="1" s="1"/>
  <c r="L336" i="1" a="1"/>
  <c r="L336" i="1" s="1"/>
  <c r="L337" i="1" a="1"/>
  <c r="L337" i="1" s="1"/>
  <c r="L338" i="1" a="1"/>
  <c r="L338" i="1" s="1"/>
  <c r="L339" i="1" a="1"/>
  <c r="L339" i="1" s="1"/>
  <c r="L340" i="1" a="1"/>
  <c r="L340" i="1" s="1"/>
  <c r="L341" i="1" a="1"/>
  <c r="L341" i="1" s="1"/>
  <c r="L342" i="1" a="1"/>
  <c r="L342" i="1" s="1"/>
  <c r="L343" i="1" a="1"/>
  <c r="L343" i="1" s="1"/>
  <c r="L344" i="1" a="1"/>
  <c r="L344" i="1" s="1"/>
  <c r="L345" i="1" a="1"/>
  <c r="L345" i="1" s="1"/>
  <c r="L346" i="1" a="1"/>
  <c r="L346" i="1" s="1"/>
  <c r="L347" i="1" a="1"/>
  <c r="L347" i="1" s="1"/>
  <c r="L348" i="1" a="1"/>
  <c r="L348" i="1" s="1"/>
  <c r="L349" i="1" a="1"/>
  <c r="L349" i="1" s="1"/>
  <c r="L350" i="1" a="1"/>
  <c r="L350" i="1" s="1"/>
  <c r="L351" i="1" a="1"/>
  <c r="L351" i="1" s="1"/>
  <c r="L352" i="1" a="1"/>
  <c r="L352" i="1" s="1"/>
  <c r="L353" i="1" a="1"/>
  <c r="L353" i="1" s="1"/>
  <c r="L354" i="1" a="1"/>
  <c r="L354" i="1" s="1"/>
  <c r="L355" i="1" a="1"/>
  <c r="L355" i="1" s="1"/>
  <c r="L356" i="1" a="1"/>
  <c r="L356" i="1" s="1"/>
  <c r="L357" i="1" a="1"/>
  <c r="L357" i="1" s="1"/>
  <c r="L358" i="1" a="1"/>
  <c r="L358" i="1" s="1"/>
  <c r="L359" i="1" a="1"/>
  <c r="L359" i="1" s="1"/>
  <c r="L360" i="1" a="1"/>
  <c r="L360" i="1" s="1"/>
  <c r="L361" i="1" a="1"/>
  <c r="L361" i="1" s="1"/>
  <c r="L362" i="1" a="1"/>
  <c r="L362" i="1" s="1"/>
  <c r="L363" i="1" a="1"/>
  <c r="L363" i="1" s="1"/>
  <c r="L364" i="1" a="1"/>
  <c r="L364" i="1" s="1"/>
  <c r="L365" i="1" a="1"/>
  <c r="L365" i="1" s="1"/>
  <c r="L366" i="1" a="1"/>
  <c r="L366" i="1" s="1"/>
  <c r="L367" i="1" a="1"/>
  <c r="L367" i="1" s="1"/>
  <c r="L368" i="1" a="1"/>
  <c r="L368" i="1" s="1"/>
  <c r="L369" i="1" a="1"/>
  <c r="L369" i="1" s="1"/>
  <c r="L370" i="1" a="1"/>
  <c r="L370" i="1" s="1"/>
  <c r="L371" i="1" a="1"/>
  <c r="L371" i="1" s="1"/>
  <c r="L372" i="1" a="1"/>
  <c r="L372" i="1" s="1"/>
  <c r="L373" i="1" a="1"/>
  <c r="L373" i="1" s="1"/>
  <c r="L374" i="1" a="1"/>
  <c r="L374" i="1" s="1"/>
  <c r="L375" i="1" a="1"/>
  <c r="L375" i="1" s="1"/>
  <c r="L376" i="1" a="1"/>
  <c r="L376" i="1" s="1"/>
  <c r="L377" i="1" a="1"/>
  <c r="L377" i="1" s="1"/>
  <c r="L378" i="1" a="1"/>
  <c r="L378" i="1" s="1"/>
  <c r="L379" i="1" a="1"/>
  <c r="L379" i="1" s="1"/>
  <c r="L380" i="1" a="1"/>
  <c r="L380" i="1" s="1"/>
  <c r="L381" i="1" a="1"/>
  <c r="L381" i="1" s="1"/>
  <c r="L382" i="1" a="1"/>
  <c r="L382" i="1" s="1"/>
  <c r="L383" i="1" a="1"/>
  <c r="L383" i="1" s="1"/>
  <c r="L384" i="1" a="1"/>
  <c r="L384" i="1" s="1"/>
  <c r="L386" i="1" a="1"/>
  <c r="L386" i="1" s="1"/>
  <c r="L387" i="1" a="1"/>
  <c r="L387" i="1" s="1"/>
  <c r="L388" i="1" a="1"/>
  <c r="L388" i="1" s="1"/>
  <c r="L389" i="1" a="1"/>
  <c r="L389" i="1" s="1"/>
  <c r="L390" i="1" a="1"/>
  <c r="L390" i="1" s="1"/>
  <c r="L392" i="1" a="1"/>
  <c r="L392" i="1" s="1"/>
  <c r="L393" i="1" a="1"/>
  <c r="L393" i="1" s="1"/>
  <c r="L394" i="1" a="1"/>
  <c r="L394" i="1" s="1"/>
  <c r="L395" i="1" a="1"/>
  <c r="L395" i="1" s="1"/>
  <c r="L396" i="1" a="1"/>
  <c r="L396" i="1" s="1"/>
  <c r="L397" i="1" a="1"/>
  <c r="L397" i="1" s="1"/>
  <c r="L398" i="1" a="1"/>
  <c r="L398" i="1" s="1"/>
  <c r="L399" i="1" a="1"/>
  <c r="L399" i="1" s="1"/>
  <c r="L400" i="1" a="1"/>
  <c r="L400" i="1" s="1"/>
  <c r="L401" i="1" a="1"/>
  <c r="L401" i="1" s="1"/>
  <c r="L402" i="1" a="1"/>
  <c r="L402" i="1" s="1"/>
  <c r="L403" i="1" a="1"/>
  <c r="L403" i="1" s="1"/>
  <c r="L404" i="1" a="1"/>
  <c r="L404" i="1" s="1"/>
  <c r="L405" i="1" a="1"/>
  <c r="L405" i="1" s="1"/>
  <c r="L406" i="1" a="1"/>
  <c r="L406" i="1" s="1"/>
  <c r="L407" i="1" a="1"/>
  <c r="L407" i="1" s="1"/>
  <c r="L408" i="1" a="1"/>
  <c r="L408" i="1" s="1"/>
  <c r="L409" i="1" a="1"/>
  <c r="L409" i="1" s="1"/>
  <c r="L410" i="1" a="1"/>
  <c r="L410" i="1" s="1"/>
  <c r="L411" i="1" a="1"/>
  <c r="L411" i="1" s="1"/>
  <c r="L412" i="1" a="1"/>
  <c r="L412" i="1" s="1"/>
  <c r="L413" i="1" a="1"/>
  <c r="L413" i="1" s="1"/>
  <c r="L414" i="1" a="1"/>
  <c r="L414" i="1" s="1"/>
  <c r="L415" i="1" a="1"/>
  <c r="L415" i="1" s="1"/>
  <c r="L416" i="1" a="1"/>
  <c r="L416" i="1" s="1"/>
  <c r="L417" i="1" a="1"/>
  <c r="L417" i="1" s="1"/>
  <c r="L418" i="1" a="1"/>
  <c r="L418" i="1" s="1"/>
  <c r="L419" i="1" a="1"/>
  <c r="L419" i="1" s="1"/>
  <c r="L420" i="1" a="1"/>
  <c r="L420" i="1" s="1"/>
  <c r="L421" i="1" a="1"/>
  <c r="L421" i="1" s="1"/>
  <c r="L422" i="1" a="1"/>
  <c r="L422" i="1" s="1"/>
  <c r="L423" i="1" a="1"/>
  <c r="L423" i="1" s="1"/>
  <c r="L424" i="1" a="1"/>
  <c r="L424" i="1" s="1"/>
  <c r="L425" i="1" a="1"/>
  <c r="L425" i="1" s="1"/>
  <c r="L426" i="1" a="1"/>
  <c r="L426" i="1" s="1"/>
  <c r="L427" i="1" a="1"/>
  <c r="L427" i="1" s="1"/>
  <c r="L428" i="1" a="1"/>
  <c r="L428" i="1" s="1"/>
  <c r="L429" i="1" a="1"/>
  <c r="L429" i="1" s="1"/>
  <c r="L430" i="1" a="1"/>
  <c r="L430" i="1" s="1"/>
  <c r="L431" i="1" a="1"/>
  <c r="L431" i="1" s="1"/>
  <c r="L432" i="1" a="1"/>
  <c r="L432" i="1" s="1"/>
  <c r="L433" i="1" a="1"/>
  <c r="L433" i="1" s="1"/>
  <c r="L434" i="1" a="1"/>
  <c r="L434" i="1" s="1"/>
  <c r="L435" i="1" a="1"/>
  <c r="L435" i="1" s="1"/>
  <c r="L436" i="1" a="1"/>
  <c r="L436" i="1" s="1"/>
  <c r="L437" i="1" a="1"/>
  <c r="L437" i="1" s="1"/>
  <c r="L438" i="1" a="1"/>
  <c r="L438" i="1" s="1"/>
  <c r="L439" i="1" a="1"/>
  <c r="L439" i="1" s="1"/>
  <c r="L440" i="1" a="1"/>
  <c r="L440" i="1" s="1"/>
  <c r="L441" i="1" a="1"/>
  <c r="L441" i="1" s="1"/>
  <c r="L442" i="1" a="1"/>
  <c r="L442" i="1" s="1"/>
  <c r="L443" i="1" a="1"/>
  <c r="L443" i="1" s="1"/>
  <c r="L444" i="1" a="1"/>
  <c r="L444" i="1" s="1"/>
  <c r="L445" i="1" a="1"/>
  <c r="L445" i="1" s="1"/>
  <c r="L446" i="1" a="1"/>
  <c r="L446" i="1" s="1"/>
  <c r="L447" i="1" a="1"/>
  <c r="L447" i="1" s="1"/>
  <c r="L448" i="1" a="1"/>
  <c r="L448" i="1" s="1"/>
  <c r="L449" i="1" a="1"/>
  <c r="L449" i="1" s="1"/>
  <c r="L450" i="1" a="1"/>
  <c r="L450" i="1" s="1"/>
  <c r="L451" i="1" a="1"/>
  <c r="L451" i="1" s="1"/>
  <c r="L452" i="1" a="1"/>
  <c r="L452" i="1" s="1"/>
  <c r="L453" i="1" a="1"/>
  <c r="L453" i="1" s="1"/>
  <c r="L454" i="1" a="1"/>
  <c r="L454" i="1" s="1"/>
  <c r="L455" i="1" a="1"/>
  <c r="L455" i="1" s="1"/>
  <c r="L456" i="1" a="1"/>
  <c r="L456" i="1" s="1"/>
  <c r="L457" i="1" a="1"/>
  <c r="L457" i="1" s="1"/>
  <c r="L458" i="1" a="1"/>
  <c r="L458" i="1"/>
  <c r="L459" i="1" a="1"/>
  <c r="L459" i="1"/>
  <c r="L460" i="1" a="1"/>
  <c r="L460" i="1" s="1"/>
  <c r="L461" i="1" a="1"/>
  <c r="L461" i="1" s="1"/>
  <c r="L462" i="1" a="1"/>
  <c r="L462" i="1"/>
  <c r="L463" i="1" a="1"/>
  <c r="L463" i="1" s="1"/>
  <c r="L464" i="1" a="1"/>
  <c r="L464" i="1" s="1"/>
  <c r="L465" i="1" a="1"/>
  <c r="L465" i="1" s="1"/>
  <c r="L466" i="1" a="1"/>
  <c r="L466" i="1" s="1"/>
  <c r="L467" i="1" a="1"/>
  <c r="L467" i="1" s="1"/>
  <c r="L468" i="1" a="1"/>
  <c r="L468" i="1" s="1"/>
  <c r="L469" i="1" a="1"/>
  <c r="L469" i="1" s="1"/>
  <c r="L470" i="1" a="1"/>
  <c r="L470" i="1"/>
  <c r="L471" i="1" a="1"/>
  <c r="L471" i="1"/>
  <c r="L472" i="1" a="1"/>
  <c r="L472" i="1" s="1"/>
  <c r="L473" i="1" a="1"/>
  <c r="L473" i="1" s="1"/>
  <c r="L474" i="1" a="1"/>
  <c r="L474" i="1"/>
  <c r="L475" i="1" a="1"/>
  <c r="L475" i="1" s="1"/>
  <c r="L476" i="1" a="1"/>
  <c r="L476" i="1" s="1"/>
  <c r="L477" i="1" a="1"/>
  <c r="L477" i="1" s="1"/>
  <c r="L478" i="1" a="1"/>
  <c r="L478" i="1" s="1"/>
  <c r="L479" i="1" a="1"/>
  <c r="L479" i="1" s="1"/>
  <c r="L480" i="1" a="1"/>
  <c r="L480" i="1" s="1"/>
  <c r="L481" i="1" a="1"/>
  <c r="L481" i="1" s="1"/>
  <c r="L482" i="1" a="1"/>
  <c r="L482" i="1"/>
  <c r="L483" i="1" a="1"/>
  <c r="L483" i="1"/>
  <c r="L484" i="1" a="1"/>
  <c r="L484" i="1" s="1"/>
  <c r="L485" i="1" a="1"/>
  <c r="L485" i="1" s="1"/>
  <c r="L486" i="1" a="1"/>
  <c r="L486" i="1"/>
  <c r="L487" i="1" a="1"/>
  <c r="L487" i="1" s="1"/>
  <c r="L488" i="1" a="1"/>
  <c r="L488" i="1" s="1"/>
  <c r="L489" i="1" a="1"/>
  <c r="L489" i="1" s="1"/>
  <c r="L490" i="1" a="1"/>
  <c r="L490" i="1" s="1"/>
  <c r="L491" i="1" a="1"/>
  <c r="L491" i="1" s="1"/>
  <c r="L492" i="1" a="1"/>
  <c r="L492" i="1" s="1"/>
  <c r="L493" i="1" a="1"/>
  <c r="L493" i="1" s="1"/>
  <c r="L494" i="1" a="1"/>
  <c r="L494" i="1"/>
  <c r="L495" i="1" a="1"/>
  <c r="L495" i="1"/>
  <c r="L496" i="1" a="1"/>
  <c r="L496" i="1" s="1"/>
  <c r="L497" i="1" a="1"/>
  <c r="L497" i="1" s="1"/>
  <c r="L498" i="1" a="1"/>
  <c r="L498" i="1"/>
  <c r="L499" i="1" a="1"/>
  <c r="L499" i="1" s="1"/>
  <c r="L500" i="1" a="1"/>
  <c r="L500" i="1" s="1"/>
  <c r="L501" i="1" a="1"/>
  <c r="L501" i="1" s="1"/>
  <c r="L502" i="1" a="1"/>
  <c r="L502" i="1" s="1"/>
  <c r="L503" i="1" a="1"/>
  <c r="L503" i="1" s="1"/>
  <c r="L504" i="1" a="1"/>
  <c r="L504" i="1" s="1"/>
  <c r="L505" i="1" a="1"/>
  <c r="L505" i="1" s="1"/>
  <c r="L506" i="1" a="1"/>
  <c r="L506" i="1"/>
  <c r="L507" i="1" a="1"/>
  <c r="L507" i="1"/>
  <c r="L508" i="1" a="1"/>
  <c r="L508" i="1" s="1"/>
  <c r="L509" i="1" a="1"/>
  <c r="L509" i="1" s="1"/>
  <c r="L510" i="1" a="1"/>
  <c r="L510" i="1"/>
  <c r="L511" i="1" a="1"/>
  <c r="L511" i="1" s="1"/>
  <c r="L512" i="1" a="1"/>
  <c r="L512" i="1" s="1"/>
  <c r="L513" i="1" a="1"/>
  <c r="L513" i="1" s="1"/>
  <c r="L514" i="1" a="1"/>
  <c r="L514" i="1" s="1"/>
  <c r="L515" i="1" a="1"/>
  <c r="L515" i="1" s="1"/>
  <c r="L516" i="1" a="1"/>
  <c r="L516" i="1" s="1"/>
  <c r="L517" i="1" a="1"/>
  <c r="L517" i="1" s="1"/>
  <c r="L518" i="1" a="1"/>
  <c r="L518" i="1" s="1"/>
  <c r="L519" i="1" a="1"/>
  <c r="L519" i="1" s="1"/>
  <c r="L520" i="1" a="1"/>
  <c r="L520" i="1" s="1"/>
  <c r="L521" i="1" a="1"/>
  <c r="L521" i="1" s="1"/>
  <c r="L522" i="1" a="1"/>
  <c r="L522" i="1" s="1"/>
  <c r="L523" i="1" a="1"/>
  <c r="L523" i="1" s="1"/>
  <c r="L524" i="1" a="1"/>
  <c r="L524" i="1" s="1"/>
  <c r="L525" i="1" a="1"/>
  <c r="L525" i="1" s="1"/>
  <c r="L526" i="1" a="1"/>
  <c r="L526" i="1" s="1"/>
  <c r="L527" i="1" a="1"/>
  <c r="L527" i="1" s="1"/>
  <c r="L528" i="1" a="1"/>
  <c r="L528" i="1" s="1"/>
  <c r="L529" i="1" a="1"/>
  <c r="L529" i="1" s="1"/>
  <c r="L530" i="1" a="1"/>
  <c r="L530" i="1" s="1"/>
  <c r="L531" i="1" a="1"/>
  <c r="L531" i="1" s="1"/>
  <c r="L532" i="1" a="1"/>
  <c r="L532" i="1" s="1"/>
  <c r="L533" i="1" a="1"/>
  <c r="L533" i="1" s="1"/>
  <c r="L534" i="1" a="1"/>
  <c r="L534" i="1" s="1"/>
  <c r="L535" i="1" a="1"/>
  <c r="L535" i="1" s="1"/>
  <c r="L536" i="1" a="1"/>
  <c r="L536" i="1" s="1"/>
  <c r="L537" i="1" a="1"/>
  <c r="L537" i="1" s="1"/>
  <c r="L538" i="1" a="1"/>
  <c r="L538" i="1" s="1"/>
  <c r="L539" i="1" a="1"/>
  <c r="L539" i="1" s="1"/>
  <c r="L540" i="1" a="1"/>
  <c r="L540" i="1" s="1"/>
  <c r="L541" i="1" a="1"/>
  <c r="L541" i="1" s="1"/>
  <c r="L542" i="1" a="1"/>
  <c r="L542" i="1" s="1"/>
  <c r="L543" i="1" a="1"/>
  <c r="L543" i="1" s="1"/>
  <c r="L544" i="1" a="1"/>
  <c r="L544" i="1" s="1"/>
  <c r="L545" i="1" a="1"/>
  <c r="L545" i="1" s="1"/>
  <c r="L546" i="1" a="1"/>
  <c r="L546" i="1" s="1"/>
  <c r="L547" i="1" a="1"/>
  <c r="L547" i="1" s="1"/>
  <c r="L548" i="1" a="1"/>
  <c r="L548" i="1" s="1"/>
  <c r="L549" i="1" a="1"/>
  <c r="L549" i="1" s="1"/>
  <c r="L550" i="1" a="1"/>
  <c r="L550" i="1" s="1"/>
  <c r="L551" i="1" a="1"/>
  <c r="L551" i="1" s="1"/>
  <c r="L552" i="1" a="1"/>
  <c r="L552" i="1" s="1"/>
  <c r="L553" i="1" a="1"/>
  <c r="L553" i="1" s="1"/>
  <c r="L554" i="1" a="1"/>
  <c r="L554" i="1" s="1"/>
  <c r="L555" i="1" a="1"/>
  <c r="L555" i="1" s="1"/>
  <c r="L556" i="1" a="1"/>
  <c r="L556" i="1" s="1"/>
  <c r="L557" i="1" a="1"/>
  <c r="L557" i="1" s="1"/>
  <c r="L558" i="1" a="1"/>
  <c r="L558" i="1" s="1"/>
  <c r="L559" i="1" a="1"/>
  <c r="L559" i="1" s="1"/>
  <c r="L560" i="1" a="1"/>
  <c r="L560" i="1" s="1"/>
  <c r="L561" i="1" a="1"/>
  <c r="L561" i="1" s="1"/>
  <c r="L562" i="1" a="1"/>
  <c r="L562" i="1" s="1"/>
  <c r="L563" i="1" a="1"/>
  <c r="L563" i="1" s="1"/>
  <c r="L564" i="1" a="1"/>
  <c r="L564" i="1" s="1"/>
  <c r="L565" i="1" a="1"/>
  <c r="L565" i="1" s="1"/>
  <c r="L566" i="1" a="1"/>
  <c r="L566" i="1" s="1"/>
  <c r="L567" i="1" a="1"/>
  <c r="L567" i="1" s="1"/>
  <c r="L568" i="1" a="1"/>
  <c r="L568" i="1" s="1"/>
  <c r="L569" i="1" a="1"/>
  <c r="L569" i="1" s="1"/>
  <c r="L570" i="1" a="1"/>
  <c r="L570" i="1" s="1"/>
  <c r="L571" i="1" a="1"/>
  <c r="L571" i="1" s="1"/>
  <c r="L572" i="1" a="1"/>
  <c r="L572" i="1" s="1"/>
  <c r="L573" i="1" a="1"/>
  <c r="L573" i="1" s="1"/>
  <c r="L574" i="1" a="1"/>
  <c r="L574" i="1" s="1"/>
  <c r="L575" i="1" a="1"/>
  <c r="L575" i="1" s="1"/>
  <c r="L576" i="1" a="1"/>
  <c r="L576" i="1" s="1"/>
  <c r="L577" i="1" a="1"/>
  <c r="L577" i="1" s="1"/>
  <c r="L578" i="1" a="1"/>
  <c r="L578" i="1" s="1"/>
  <c r="L579" i="1" a="1"/>
  <c r="L579" i="1" s="1"/>
  <c r="L580" i="1" a="1"/>
  <c r="L580" i="1" s="1"/>
  <c r="L581" i="1" a="1"/>
  <c r="L581" i="1" s="1"/>
  <c r="L582" i="1" a="1"/>
  <c r="L582" i="1" s="1"/>
  <c r="L583" i="1" a="1"/>
  <c r="L583" i="1" s="1"/>
  <c r="L584" i="1" a="1"/>
  <c r="L584" i="1" s="1"/>
  <c r="L585" i="1" a="1"/>
  <c r="L585" i="1" s="1"/>
  <c r="L586" i="1" a="1"/>
  <c r="L586" i="1" s="1"/>
  <c r="L587" i="1" a="1"/>
  <c r="L587" i="1" s="1"/>
  <c r="L588" i="1" a="1"/>
  <c r="L588" i="1" s="1"/>
  <c r="L589" i="1" a="1"/>
  <c r="L589" i="1" s="1"/>
  <c r="L590" i="1" a="1"/>
  <c r="L590" i="1" s="1"/>
  <c r="L591" i="1" a="1"/>
  <c r="L591" i="1" s="1"/>
  <c r="L592" i="1" a="1"/>
  <c r="L592" i="1" s="1"/>
  <c r="L593" i="1" a="1"/>
  <c r="L593" i="1" s="1"/>
  <c r="L594" i="1" a="1"/>
  <c r="L594" i="1" s="1"/>
  <c r="L595" i="1" a="1"/>
  <c r="L595" i="1" s="1"/>
  <c r="L596" i="1" a="1"/>
  <c r="L596" i="1" s="1"/>
  <c r="L597" i="1" a="1"/>
  <c r="L597" i="1" s="1"/>
  <c r="L598" i="1" a="1"/>
  <c r="L598" i="1" s="1"/>
  <c r="L599" i="1" a="1"/>
  <c r="L599" i="1" s="1"/>
  <c r="L600" i="1" a="1"/>
  <c r="L600" i="1" s="1"/>
  <c r="L601" i="1" a="1"/>
  <c r="L601" i="1" s="1"/>
  <c r="L602" i="1" a="1"/>
  <c r="L602" i="1" s="1"/>
  <c r="L603" i="1" a="1"/>
  <c r="L603" i="1" s="1"/>
  <c r="L604" i="1" a="1"/>
  <c r="L604" i="1" s="1"/>
  <c r="L605" i="1" a="1"/>
  <c r="L605" i="1" s="1"/>
  <c r="L606" i="1" a="1"/>
  <c r="L606" i="1" s="1"/>
  <c r="L607" i="1" a="1"/>
  <c r="L607" i="1" s="1"/>
  <c r="L608" i="1" a="1"/>
  <c r="L608" i="1" s="1"/>
  <c r="L609" i="1" a="1"/>
  <c r="L609" i="1" s="1"/>
  <c r="L610" i="1" a="1"/>
  <c r="L610" i="1" s="1"/>
  <c r="L611" i="1" a="1"/>
  <c r="L611" i="1" s="1"/>
  <c r="L612" i="1" a="1"/>
  <c r="L612" i="1" s="1"/>
  <c r="L613" i="1" a="1"/>
  <c r="L613" i="1" s="1"/>
  <c r="L614" i="1" a="1"/>
  <c r="L614" i="1" s="1"/>
  <c r="L615" i="1" a="1"/>
  <c r="L615" i="1" s="1"/>
  <c r="L616" i="1" a="1"/>
  <c r="L616" i="1" s="1"/>
  <c r="L617" i="1" a="1"/>
  <c r="L617" i="1" s="1"/>
  <c r="L618" i="1" a="1"/>
  <c r="L618" i="1" s="1"/>
  <c r="L619" i="1" a="1"/>
  <c r="L619" i="1" s="1"/>
  <c r="L620" i="1" a="1"/>
  <c r="L620" i="1" s="1"/>
  <c r="L621" i="1" a="1"/>
  <c r="L621" i="1" s="1"/>
  <c r="L622" i="1" a="1"/>
  <c r="L622" i="1" s="1"/>
  <c r="L623" i="1" a="1"/>
  <c r="L623" i="1" s="1"/>
  <c r="L624" i="1" a="1"/>
  <c r="L624" i="1" s="1"/>
  <c r="L625" i="1" a="1"/>
  <c r="L625" i="1" s="1"/>
  <c r="L626" i="1" a="1"/>
  <c r="L626" i="1" s="1"/>
  <c r="L627" i="1" a="1"/>
  <c r="L627" i="1" s="1"/>
  <c r="L628" i="1" a="1"/>
  <c r="L628" i="1" s="1"/>
  <c r="L629" i="1" a="1"/>
  <c r="L629" i="1" s="1"/>
  <c r="L630" i="1" a="1"/>
  <c r="L630" i="1" s="1"/>
  <c r="L631" i="1" a="1"/>
  <c r="L631" i="1" s="1"/>
  <c r="L632" i="1" a="1"/>
  <c r="L632" i="1" s="1"/>
  <c r="L633" i="1" a="1"/>
  <c r="L633" i="1" s="1"/>
  <c r="L634" i="1" a="1"/>
  <c r="L634" i="1" s="1"/>
  <c r="L635" i="1" a="1"/>
  <c r="L635" i="1" s="1"/>
  <c r="L636" i="1" a="1"/>
  <c r="L636" i="1" s="1"/>
  <c r="L637" i="1" a="1"/>
  <c r="L637" i="1" s="1"/>
  <c r="L638" i="1" a="1"/>
  <c r="L638" i="1" s="1"/>
  <c r="L639" i="1" a="1"/>
  <c r="L639" i="1" s="1"/>
  <c r="L640" i="1" a="1"/>
  <c r="L640" i="1" s="1"/>
  <c r="L641" i="1" a="1"/>
  <c r="L641" i="1" s="1"/>
  <c r="L642" i="1" a="1"/>
  <c r="L642" i="1" s="1"/>
  <c r="L643" i="1" a="1"/>
  <c r="L643" i="1" s="1"/>
  <c r="L644" i="1" a="1"/>
  <c r="L644" i="1" s="1"/>
  <c r="L645" i="1" a="1"/>
  <c r="L645" i="1" s="1"/>
  <c r="L646" i="1" a="1"/>
  <c r="L646" i="1" s="1"/>
  <c r="L647" i="1" a="1"/>
  <c r="L647" i="1" s="1"/>
  <c r="L648" i="1" a="1"/>
  <c r="L648" i="1" s="1"/>
  <c r="L649" i="1" a="1"/>
  <c r="L649" i="1" s="1"/>
  <c r="L650" i="1" a="1"/>
  <c r="L650" i="1" s="1"/>
  <c r="L651" i="1" a="1"/>
  <c r="L651" i="1" s="1"/>
  <c r="L652" i="1" a="1"/>
  <c r="L652" i="1" s="1"/>
  <c r="L653" i="1" a="1"/>
  <c r="L653" i="1" s="1"/>
  <c r="L654" i="1" a="1"/>
  <c r="L654" i="1" s="1"/>
  <c r="L655" i="1" a="1"/>
  <c r="L655" i="1" s="1"/>
  <c r="L656" i="1" a="1"/>
  <c r="L656" i="1" s="1"/>
  <c r="L657" i="1" a="1"/>
  <c r="L657" i="1" s="1"/>
  <c r="L658" i="1" a="1"/>
  <c r="L658" i="1" s="1"/>
  <c r="L659" i="1" a="1"/>
  <c r="L659" i="1" s="1"/>
  <c r="L660" i="1" a="1"/>
  <c r="L660" i="1" s="1"/>
  <c r="L661" i="1" a="1"/>
  <c r="L661" i="1" s="1"/>
  <c r="L662" i="1" a="1"/>
  <c r="L662" i="1" s="1"/>
  <c r="L663" i="1" a="1"/>
  <c r="L663" i="1" s="1"/>
  <c r="L664" i="1" a="1"/>
  <c r="L664" i="1" s="1"/>
  <c r="L665" i="1" a="1"/>
  <c r="L665" i="1" s="1"/>
  <c r="L666" i="1" a="1"/>
  <c r="L666" i="1" s="1"/>
  <c r="L667" i="1" a="1"/>
  <c r="L667" i="1" s="1"/>
  <c r="L668" i="1" a="1"/>
  <c r="L668" i="1" s="1"/>
  <c r="L669" i="1" a="1"/>
  <c r="L669" i="1" s="1"/>
  <c r="L670" i="1" a="1"/>
  <c r="L670" i="1" s="1"/>
  <c r="L671" i="1" a="1"/>
  <c r="L671" i="1" s="1"/>
  <c r="L672" i="1" a="1"/>
  <c r="L672" i="1" s="1"/>
  <c r="L673" i="1" a="1"/>
  <c r="L673" i="1" s="1"/>
  <c r="L674" i="1" a="1"/>
  <c r="L674" i="1" s="1"/>
  <c r="L675" i="1" a="1"/>
  <c r="L675" i="1" s="1"/>
  <c r="L676" i="1" a="1"/>
  <c r="L676" i="1" s="1"/>
  <c r="L677" i="1" a="1"/>
  <c r="L677" i="1" s="1"/>
  <c r="L678" i="1" a="1"/>
  <c r="L678" i="1" s="1"/>
  <c r="L679" i="1" a="1"/>
  <c r="L679" i="1" s="1"/>
  <c r="L680" i="1" a="1"/>
  <c r="L680" i="1" s="1"/>
  <c r="L681" i="1" a="1"/>
  <c r="L681" i="1" s="1"/>
  <c r="L682" i="1" a="1"/>
  <c r="L682" i="1" s="1"/>
  <c r="L683" i="1" a="1"/>
  <c r="L683" i="1" s="1"/>
  <c r="L684" i="1" a="1"/>
  <c r="L684" i="1" s="1"/>
  <c r="L685" i="1" a="1"/>
  <c r="L685" i="1" s="1"/>
  <c r="L686" i="1" a="1"/>
  <c r="L686" i="1" s="1"/>
  <c r="L687" i="1" a="1"/>
  <c r="L687" i="1" s="1"/>
  <c r="L688" i="1" a="1"/>
  <c r="L688" i="1" s="1"/>
  <c r="L689" i="1" a="1"/>
  <c r="L689" i="1" s="1"/>
  <c r="L690" i="1" a="1"/>
  <c r="L690" i="1" s="1"/>
  <c r="L691" i="1" a="1"/>
  <c r="L691" i="1" s="1"/>
  <c r="L692" i="1" a="1"/>
  <c r="L692" i="1" s="1"/>
  <c r="L693" i="1" a="1"/>
  <c r="L693" i="1" s="1"/>
  <c r="L694" i="1" a="1"/>
  <c r="L694" i="1" s="1"/>
  <c r="L695" i="1" a="1"/>
  <c r="L695" i="1" s="1"/>
  <c r="L696" i="1" a="1"/>
  <c r="L696" i="1" s="1"/>
  <c r="L697" i="1" a="1"/>
  <c r="L697" i="1" s="1"/>
  <c r="L698" i="1" a="1"/>
  <c r="L698" i="1" s="1"/>
  <c r="L699" i="1" a="1"/>
  <c r="L699" i="1" s="1"/>
  <c r="L700" i="1" a="1"/>
  <c r="L700" i="1" s="1"/>
  <c r="L701" i="1" a="1"/>
  <c r="L701" i="1" s="1"/>
  <c r="L702" i="1" a="1"/>
  <c r="L702" i="1" s="1"/>
  <c r="L703" i="1" a="1"/>
  <c r="L703" i="1" s="1"/>
  <c r="L704" i="1" a="1"/>
  <c r="L704" i="1" s="1"/>
  <c r="L705" i="1" a="1"/>
  <c r="L705" i="1" s="1"/>
  <c r="L706" i="1" a="1"/>
  <c r="L706" i="1" s="1"/>
  <c r="L707" i="1" a="1"/>
  <c r="L707" i="1" s="1"/>
  <c r="L708" i="1" a="1"/>
  <c r="L708" i="1" s="1"/>
  <c r="L709" i="1" a="1"/>
  <c r="L709" i="1" s="1"/>
  <c r="L710" i="1" a="1"/>
  <c r="L710" i="1" s="1"/>
  <c r="L711" i="1" a="1"/>
  <c r="L711" i="1" s="1"/>
  <c r="L712" i="1" a="1"/>
  <c r="L712" i="1" s="1"/>
  <c r="L713" i="1" a="1"/>
  <c r="L713" i="1" s="1"/>
  <c r="L714" i="1" a="1"/>
  <c r="L714" i="1" s="1"/>
  <c r="L715" i="1" a="1"/>
  <c r="L715" i="1" s="1"/>
  <c r="L716" i="1" a="1"/>
  <c r="L716" i="1" s="1"/>
  <c r="L717" i="1" a="1"/>
  <c r="L717" i="1" s="1"/>
  <c r="L718" i="1" a="1"/>
  <c r="L718" i="1" s="1"/>
  <c r="L719" i="1" a="1"/>
  <c r="L719" i="1" s="1"/>
  <c r="L720" i="1" a="1"/>
  <c r="L720" i="1" s="1"/>
  <c r="L721" i="1" a="1"/>
  <c r="L721" i="1" s="1"/>
  <c r="L722" i="1" a="1"/>
  <c r="L722" i="1" s="1"/>
  <c r="L723" i="1" a="1"/>
  <c r="L723" i="1" s="1"/>
  <c r="L724" i="1" a="1"/>
  <c r="L724" i="1" s="1"/>
  <c r="L725" i="1" a="1"/>
  <c r="L725" i="1" s="1"/>
  <c r="L726" i="1" a="1"/>
  <c r="L726" i="1" s="1"/>
  <c r="L727" i="1" a="1"/>
  <c r="L727" i="1" s="1"/>
  <c r="L728" i="1" a="1"/>
  <c r="L728" i="1" s="1"/>
  <c r="L729" i="1" a="1"/>
  <c r="L729" i="1" s="1"/>
  <c r="L730" i="1" a="1"/>
  <c r="L730" i="1" s="1"/>
  <c r="L731" i="1" a="1"/>
  <c r="L731" i="1" s="1"/>
  <c r="L732" i="1" a="1"/>
  <c r="L732" i="1" s="1"/>
  <c r="L733" i="1" a="1"/>
  <c r="L733" i="1" s="1"/>
  <c r="L734" i="1" a="1"/>
  <c r="L734" i="1" s="1"/>
  <c r="L735" i="1" a="1"/>
  <c r="L735" i="1" s="1"/>
  <c r="L736" i="1" a="1"/>
  <c r="L736" i="1" s="1"/>
  <c r="L737" i="1" a="1"/>
  <c r="L737" i="1" s="1"/>
  <c r="L738" i="1" a="1"/>
  <c r="L738" i="1" s="1"/>
  <c r="L739" i="1" a="1"/>
  <c r="L739" i="1" s="1"/>
  <c r="L740" i="1" a="1"/>
  <c r="L740" i="1" s="1"/>
  <c r="L741" i="1" a="1"/>
  <c r="L741" i="1" s="1"/>
  <c r="L742" i="1" a="1"/>
  <c r="L742" i="1" s="1"/>
  <c r="L743" i="1" a="1"/>
  <c r="L743" i="1" s="1"/>
  <c r="L744" i="1" a="1"/>
  <c r="L744" i="1" s="1"/>
  <c r="L745" i="1" a="1"/>
  <c r="L745" i="1" s="1"/>
  <c r="L746" i="1" a="1"/>
  <c r="L746" i="1" s="1"/>
  <c r="L747" i="1" a="1"/>
  <c r="L747" i="1" s="1"/>
  <c r="L748" i="1" a="1"/>
  <c r="L748" i="1" s="1"/>
  <c r="L749" i="1" a="1"/>
  <c r="L749" i="1" s="1"/>
  <c r="L750" i="1" a="1"/>
  <c r="L750" i="1" s="1"/>
  <c r="L751" i="1" a="1"/>
  <c r="L751" i="1" s="1"/>
  <c r="L752" i="1" a="1"/>
  <c r="L752" i="1" s="1"/>
  <c r="L753" i="1" a="1"/>
  <c r="L753" i="1" s="1"/>
  <c r="L754" i="1" a="1"/>
  <c r="L754" i="1" s="1"/>
  <c r="L755" i="1" a="1"/>
  <c r="L755" i="1" s="1"/>
  <c r="L756" i="1" a="1"/>
  <c r="L756" i="1" s="1"/>
  <c r="L757" i="1" a="1"/>
  <c r="L757" i="1" s="1"/>
  <c r="L758" i="1" a="1"/>
  <c r="L758" i="1" s="1"/>
  <c r="L759" i="1" a="1"/>
  <c r="L759" i="1" s="1"/>
  <c r="L760" i="1" a="1"/>
  <c r="L760" i="1" s="1"/>
  <c r="L761" i="1" a="1"/>
  <c r="L761" i="1" s="1"/>
  <c r="L762" i="1" a="1"/>
  <c r="L762" i="1" s="1"/>
  <c r="L763" i="1" a="1"/>
  <c r="L763" i="1" s="1"/>
  <c r="L764" i="1" a="1"/>
  <c r="L764" i="1" s="1"/>
  <c r="L765" i="1" a="1"/>
  <c r="L765" i="1" s="1"/>
  <c r="L766" i="1" a="1"/>
  <c r="L766" i="1" s="1"/>
  <c r="L767" i="1" a="1"/>
  <c r="L767" i="1" s="1"/>
  <c r="L768" i="1" a="1"/>
  <c r="L768" i="1" s="1"/>
  <c r="L769" i="1" a="1"/>
  <c r="L769" i="1" s="1"/>
  <c r="L770" i="1" a="1"/>
  <c r="L770" i="1" s="1"/>
  <c r="L771" i="1" a="1"/>
  <c r="L771" i="1" s="1"/>
  <c r="L772" i="1" a="1"/>
  <c r="L772" i="1" s="1"/>
  <c r="L773" i="1" a="1"/>
  <c r="L773" i="1" s="1"/>
  <c r="L774" i="1" a="1"/>
  <c r="L774" i="1" s="1"/>
  <c r="L775" i="1" a="1"/>
  <c r="L775" i="1" s="1"/>
  <c r="L776" i="1" a="1"/>
  <c r="L776" i="1" s="1"/>
  <c r="L777" i="1" a="1"/>
  <c r="L777" i="1" s="1"/>
  <c r="L778" i="1" a="1"/>
  <c r="L778" i="1" s="1"/>
  <c r="L779" i="1" a="1"/>
  <c r="L779" i="1" s="1"/>
  <c r="L780" i="1" a="1"/>
  <c r="L780" i="1" s="1"/>
  <c r="L781" i="1" a="1"/>
  <c r="L781" i="1" s="1"/>
  <c r="L782" i="1" a="1"/>
  <c r="L782" i="1" s="1"/>
  <c r="L783" i="1" a="1"/>
  <c r="L783" i="1" s="1"/>
  <c r="L784" i="1" a="1"/>
  <c r="L784" i="1" s="1"/>
  <c r="L785" i="1" a="1"/>
  <c r="L785" i="1" s="1"/>
  <c r="L786" i="1" a="1"/>
  <c r="L786" i="1" s="1"/>
  <c r="L787" i="1" a="1"/>
  <c r="L787" i="1" s="1"/>
  <c r="L788" i="1" a="1"/>
  <c r="L788" i="1" s="1"/>
  <c r="L789" i="1" a="1"/>
  <c r="L789" i="1" s="1"/>
  <c r="L790" i="1" a="1"/>
  <c r="L790" i="1" s="1"/>
  <c r="L791" i="1" a="1"/>
  <c r="L791" i="1" s="1"/>
  <c r="L792" i="1" a="1"/>
  <c r="L792" i="1" s="1"/>
  <c r="L793" i="1" a="1"/>
  <c r="L793" i="1" s="1"/>
  <c r="L794" i="1" a="1"/>
  <c r="L794" i="1" s="1"/>
  <c r="L795" i="1" a="1"/>
  <c r="L795" i="1" s="1"/>
  <c r="L796" i="1" a="1"/>
  <c r="L796" i="1" s="1"/>
  <c r="L797" i="1" a="1"/>
  <c r="L797" i="1" s="1"/>
  <c r="L798" i="1" a="1"/>
  <c r="L798" i="1" s="1"/>
  <c r="L799" i="1" a="1"/>
  <c r="L799" i="1" s="1"/>
  <c r="L800" i="1" a="1"/>
  <c r="L800" i="1" s="1"/>
  <c r="L801" i="1" a="1"/>
  <c r="L801" i="1" s="1"/>
  <c r="L802" i="1" a="1"/>
  <c r="L802" i="1" s="1"/>
  <c r="L803" i="1" a="1"/>
  <c r="L803" i="1" s="1"/>
  <c r="L804" i="1" a="1"/>
  <c r="L804" i="1" s="1"/>
  <c r="L805" i="1" a="1"/>
  <c r="L805" i="1" s="1"/>
  <c r="L806" i="1" a="1"/>
  <c r="L806" i="1" s="1"/>
  <c r="L807" i="1" a="1"/>
  <c r="L807" i="1" s="1"/>
  <c r="L808" i="1" a="1"/>
  <c r="L808" i="1" s="1"/>
  <c r="L809" i="1" a="1"/>
  <c r="L809" i="1" s="1"/>
  <c r="L810" i="1" a="1"/>
  <c r="L810" i="1" s="1"/>
  <c r="L811" i="1" a="1"/>
  <c r="L811" i="1" s="1"/>
  <c r="L812" i="1" a="1"/>
  <c r="L812" i="1" s="1"/>
  <c r="L813" i="1" a="1"/>
  <c r="L813" i="1" s="1"/>
  <c r="L814" i="1" a="1"/>
  <c r="L814" i="1" s="1"/>
  <c r="L815" i="1" a="1"/>
  <c r="L815" i="1" s="1"/>
  <c r="L816" i="1" a="1"/>
  <c r="L816" i="1" s="1"/>
  <c r="L817" i="1" a="1"/>
  <c r="L817" i="1" s="1"/>
  <c r="L818" i="1" a="1"/>
  <c r="L818" i="1" s="1"/>
  <c r="L819" i="1" a="1"/>
  <c r="L819" i="1" s="1"/>
  <c r="L820" i="1" a="1"/>
  <c r="L820" i="1" s="1"/>
  <c r="L821" i="1" a="1"/>
  <c r="L821" i="1" s="1"/>
  <c r="L822" i="1" a="1"/>
  <c r="L822" i="1" s="1"/>
  <c r="L823" i="1" a="1"/>
  <c r="L823" i="1" s="1"/>
  <c r="L824" i="1" a="1"/>
  <c r="L824" i="1" s="1"/>
  <c r="L825" i="1" a="1"/>
  <c r="L825" i="1" s="1"/>
  <c r="L826" i="1" a="1"/>
  <c r="L826" i="1" s="1"/>
  <c r="L827" i="1" a="1"/>
  <c r="L827" i="1" s="1"/>
  <c r="L828" i="1" a="1"/>
  <c r="L828" i="1" s="1"/>
  <c r="L829" i="1" a="1"/>
  <c r="L829" i="1" s="1"/>
  <c r="L830" i="1" a="1"/>
  <c r="L830" i="1" s="1"/>
  <c r="L831" i="1" a="1"/>
  <c r="L831" i="1" s="1"/>
  <c r="L832" i="1" a="1"/>
  <c r="L832" i="1" s="1"/>
  <c r="L833" i="1" a="1"/>
  <c r="L833" i="1" s="1"/>
  <c r="L834" i="1" a="1"/>
  <c r="L834" i="1" s="1"/>
  <c r="L835" i="1" a="1"/>
  <c r="L835" i="1" s="1"/>
  <c r="L836" i="1" a="1"/>
  <c r="L836" i="1" s="1"/>
  <c r="L837" i="1" a="1"/>
  <c r="L837" i="1" s="1"/>
  <c r="L838" i="1" a="1"/>
  <c r="L838" i="1" s="1"/>
  <c r="L839" i="1" a="1"/>
  <c r="L839" i="1" s="1"/>
  <c r="L840" i="1" a="1"/>
  <c r="L840" i="1" s="1"/>
  <c r="L841" i="1" a="1"/>
  <c r="L841" i="1" s="1"/>
  <c r="L842" i="1" a="1"/>
  <c r="L842" i="1" s="1"/>
  <c r="L843" i="1" a="1"/>
  <c r="L843" i="1" s="1"/>
  <c r="L844" i="1" a="1"/>
  <c r="L844" i="1" s="1"/>
  <c r="L3" i="1" a="1"/>
  <c r="L3" i="1" s="1"/>
  <c r="M537" i="2" l="1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L309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10" i="2"/>
  <c r="L311" i="2"/>
  <c r="L312" i="2"/>
  <c r="L313" i="2"/>
  <c r="L314" i="2"/>
  <c r="L31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M197" i="2"/>
  <c r="M198" i="2"/>
  <c r="M199" i="2"/>
  <c r="M200" i="2"/>
  <c r="M201" i="2"/>
  <c r="M202" i="2"/>
  <c r="M203" i="2"/>
  <c r="M204" i="2"/>
  <c r="M205" i="2"/>
  <c r="L197" i="2"/>
  <c r="L198" i="2"/>
  <c r="L199" i="2"/>
  <c r="L200" i="2"/>
  <c r="L201" i="2"/>
  <c r="L202" i="2"/>
  <c r="L203" i="2"/>
  <c r="L204" i="2"/>
  <c r="L205" i="2"/>
  <c r="A197" i="2" l="1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M2" i="1"/>
  <c r="J2" i="1"/>
  <c r="M73" i="2"/>
  <c r="M74" i="2"/>
  <c r="M75" i="2"/>
  <c r="M76" i="2"/>
  <c r="M77" i="2"/>
  <c r="M78" i="2"/>
  <c r="M79" i="2"/>
  <c r="M80" i="2"/>
  <c r="M81" i="2"/>
  <c r="M82" i="2"/>
  <c r="M83" i="2"/>
  <c r="M84" i="2"/>
  <c r="L73" i="2"/>
  <c r="L74" i="2"/>
  <c r="L75" i="2"/>
  <c r="L76" i="2"/>
  <c r="L77" i="2"/>
  <c r="L78" i="2"/>
  <c r="L79" i="2"/>
  <c r="L80" i="2"/>
  <c r="L81" i="2"/>
  <c r="L82" i="2"/>
  <c r="L83" i="2"/>
  <c r="L84" i="2"/>
  <c r="A73" i="2"/>
  <c r="A74" i="2"/>
  <c r="A75" i="2"/>
  <c r="A76" i="2"/>
  <c r="A77" i="2"/>
  <c r="A78" i="2"/>
  <c r="A79" i="2"/>
  <c r="A80" i="2"/>
  <c r="A81" i="2"/>
  <c r="A82" i="2"/>
  <c r="A83" i="2"/>
  <c r="A84" i="2"/>
  <c r="M61" i="2"/>
  <c r="M62" i="2"/>
  <c r="M63" i="2"/>
  <c r="M64" i="2"/>
  <c r="M65" i="2"/>
  <c r="M66" i="2"/>
  <c r="M67" i="2"/>
  <c r="M68" i="2"/>
  <c r="M69" i="2"/>
  <c r="M70" i="2"/>
  <c r="M71" i="2"/>
  <c r="M72" i="2"/>
  <c r="L61" i="2"/>
  <c r="L62" i="2"/>
  <c r="L63" i="2"/>
  <c r="L64" i="2"/>
  <c r="L65" i="2"/>
  <c r="L66" i="2"/>
  <c r="L67" i="2"/>
  <c r="L68" i="2"/>
  <c r="L69" i="2"/>
  <c r="L70" i="2"/>
  <c r="L71" i="2"/>
  <c r="L72" i="2"/>
  <c r="A61" i="2"/>
  <c r="A62" i="2"/>
  <c r="A63" i="2"/>
  <c r="A64" i="2"/>
  <c r="A65" i="2"/>
  <c r="A66" i="2"/>
  <c r="A67" i="2"/>
  <c r="A68" i="2"/>
  <c r="A69" i="2"/>
  <c r="A70" i="2"/>
  <c r="A71" i="2"/>
  <c r="A72" i="2"/>
  <c r="M49" i="2"/>
  <c r="M50" i="2"/>
  <c r="M51" i="2"/>
  <c r="M52" i="2"/>
  <c r="M53" i="2"/>
  <c r="M54" i="2"/>
  <c r="M55" i="2"/>
  <c r="M56" i="2"/>
  <c r="M57" i="2"/>
  <c r="M58" i="2"/>
  <c r="M59" i="2"/>
  <c r="M60" i="2"/>
  <c r="L49" i="2"/>
  <c r="L50" i="2"/>
  <c r="L51" i="2"/>
  <c r="L52" i="2"/>
  <c r="L53" i="2"/>
  <c r="L54" i="2"/>
  <c r="L55" i="2"/>
  <c r="L56" i="2"/>
  <c r="L57" i="2"/>
  <c r="L58" i="2"/>
  <c r="L59" i="2"/>
  <c r="L60" i="2"/>
  <c r="A49" i="2"/>
  <c r="A50" i="2"/>
  <c r="A51" i="2"/>
  <c r="A54" i="2"/>
  <c r="A55" i="2"/>
  <c r="A56" i="2"/>
  <c r="A58" i="2"/>
  <c r="A60" i="2"/>
  <c r="M37" i="2"/>
  <c r="M38" i="2"/>
  <c r="M39" i="2"/>
  <c r="M40" i="2"/>
  <c r="M41" i="2"/>
  <c r="M42" i="2"/>
  <c r="M43" i="2"/>
  <c r="M44" i="2"/>
  <c r="M45" i="2"/>
  <c r="M46" i="2"/>
  <c r="M47" i="2"/>
  <c r="M48" i="2"/>
  <c r="L37" i="2"/>
  <c r="L38" i="2"/>
  <c r="L39" i="2"/>
  <c r="L40" i="2"/>
  <c r="L41" i="2"/>
  <c r="L42" i="2"/>
  <c r="L43" i="2"/>
  <c r="L44" i="2"/>
  <c r="L45" i="2"/>
  <c r="L46" i="2"/>
  <c r="L47" i="2"/>
  <c r="L48" i="2"/>
  <c r="A37" i="2"/>
  <c r="A38" i="2"/>
  <c r="A39" i="2"/>
  <c r="A40" i="2"/>
  <c r="A41" i="2"/>
  <c r="A42" i="2"/>
  <c r="A43" i="2"/>
  <c r="A44" i="2"/>
  <c r="A45" i="2"/>
  <c r="A46" i="2"/>
  <c r="A47" i="2"/>
  <c r="A48" i="2"/>
  <c r="A25" i="2"/>
  <c r="A26" i="2"/>
  <c r="A27" i="2"/>
  <c r="A28" i="2"/>
  <c r="A29" i="2"/>
  <c r="A30" i="2"/>
  <c r="A31" i="2"/>
  <c r="A32" i="2"/>
  <c r="A33" i="2"/>
  <c r="A34" i="2"/>
  <c r="A35" i="2"/>
  <c r="M25" i="2"/>
  <c r="M26" i="2"/>
  <c r="M27" i="2"/>
  <c r="M28" i="2"/>
  <c r="M29" i="2"/>
  <c r="M30" i="2"/>
  <c r="M31" i="2"/>
  <c r="M32" i="2"/>
  <c r="M33" i="2"/>
  <c r="M34" i="2"/>
  <c r="M35" i="2"/>
  <c r="L25" i="2"/>
  <c r="L26" i="2"/>
  <c r="L27" i="2"/>
  <c r="L28" i="2"/>
  <c r="L29" i="2"/>
  <c r="L30" i="2"/>
  <c r="L31" i="2"/>
  <c r="L32" i="2"/>
  <c r="L33" i="2"/>
  <c r="L34" i="2"/>
  <c r="L35" i="2"/>
  <c r="M36" i="2"/>
  <c r="L36" i="2"/>
  <c r="A36" i="2"/>
  <c r="A2" i="2"/>
  <c r="M2" i="2"/>
  <c r="L2" i="2"/>
  <c r="M13" i="2"/>
  <c r="M14" i="2"/>
  <c r="M15" i="2"/>
  <c r="M16" i="2"/>
  <c r="M17" i="2"/>
  <c r="M18" i="2"/>
  <c r="M19" i="2"/>
  <c r="M20" i="2"/>
  <c r="M21" i="2"/>
  <c r="M22" i="2"/>
  <c r="M23" i="2"/>
  <c r="M24" i="2"/>
  <c r="L13" i="2"/>
  <c r="L14" i="2"/>
  <c r="L15" i="2"/>
  <c r="L16" i="2"/>
  <c r="L17" i="2"/>
  <c r="L18" i="2"/>
  <c r="L19" i="2"/>
  <c r="L20" i="2"/>
  <c r="L21" i="2"/>
  <c r="L22" i="2"/>
  <c r="L23" i="2"/>
  <c r="L24" i="2"/>
  <c r="A16" i="2"/>
  <c r="A13" i="2"/>
  <c r="A14" i="2"/>
  <c r="A15" i="2"/>
  <c r="A17" i="2"/>
  <c r="A18" i="2"/>
  <c r="A19" i="2"/>
  <c r="A20" i="2"/>
  <c r="A21" i="2"/>
  <c r="A22" i="2"/>
  <c r="A23" i="2"/>
  <c r="A24" i="2"/>
  <c r="A6" i="2"/>
  <c r="A5" i="2"/>
  <c r="A7" i="2"/>
  <c r="A8" i="2"/>
  <c r="A9" i="2"/>
  <c r="A10" i="2"/>
  <c r="A11" i="2"/>
  <c r="A12" i="2"/>
  <c r="A3" i="2"/>
  <c r="M9" i="1" l="1"/>
  <c r="M158" i="1"/>
  <c r="M230" i="1"/>
  <c r="M288" i="1"/>
  <c r="M75" i="1"/>
  <c r="M87" i="1"/>
  <c r="M111" i="1"/>
  <c r="M123" i="1"/>
  <c r="M147" i="1"/>
  <c r="M159" i="1"/>
  <c r="M207" i="1"/>
  <c r="M219" i="1"/>
  <c r="M231" i="1"/>
  <c r="M243" i="1"/>
  <c r="M255" i="1"/>
  <c r="M267" i="1"/>
  <c r="M279" i="1"/>
  <c r="M281" i="1"/>
  <c r="M761" i="1"/>
  <c r="M773" i="1"/>
  <c r="M785" i="1"/>
  <c r="M797" i="1"/>
  <c r="M809" i="1"/>
  <c r="M821" i="1"/>
  <c r="M833" i="1"/>
  <c r="M836" i="1"/>
  <c r="M762" i="1"/>
  <c r="M774" i="1"/>
  <c r="M786" i="1"/>
  <c r="M798" i="1"/>
  <c r="M810" i="1"/>
  <c r="M822" i="1"/>
  <c r="M834" i="1"/>
  <c r="M763" i="1"/>
  <c r="M775" i="1"/>
  <c r="M787" i="1"/>
  <c r="M799" i="1"/>
  <c r="M811" i="1"/>
  <c r="M823" i="1"/>
  <c r="M835" i="1"/>
  <c r="M764" i="1"/>
  <c r="M776" i="1"/>
  <c r="M788" i="1"/>
  <c r="M800" i="1"/>
  <c r="M812" i="1"/>
  <c r="M824" i="1"/>
  <c r="M765" i="1"/>
  <c r="M777" i="1"/>
  <c r="M789" i="1"/>
  <c r="M801" i="1"/>
  <c r="M813" i="1"/>
  <c r="M825" i="1"/>
  <c r="M837" i="1"/>
  <c r="M766" i="1"/>
  <c r="M778" i="1"/>
  <c r="M790" i="1"/>
  <c r="M802" i="1"/>
  <c r="M814" i="1"/>
  <c r="M826" i="1"/>
  <c r="M838" i="1"/>
  <c r="M767" i="1"/>
  <c r="M779" i="1"/>
  <c r="M791" i="1"/>
  <c r="M803" i="1"/>
  <c r="M815" i="1"/>
  <c r="M827" i="1"/>
  <c r="M839" i="1"/>
  <c r="M768" i="1"/>
  <c r="M780" i="1"/>
  <c r="M792" i="1"/>
  <c r="M804" i="1"/>
  <c r="M816" i="1"/>
  <c r="M828" i="1"/>
  <c r="M840" i="1"/>
  <c r="M769" i="1"/>
  <c r="M781" i="1"/>
  <c r="M793" i="1"/>
  <c r="M805" i="1"/>
  <c r="M817" i="1"/>
  <c r="M829" i="1"/>
  <c r="M841" i="1"/>
  <c r="M770" i="1"/>
  <c r="M782" i="1"/>
  <c r="M794" i="1"/>
  <c r="M806" i="1"/>
  <c r="M818" i="1"/>
  <c r="M830" i="1"/>
  <c r="M842" i="1"/>
  <c r="M771" i="1"/>
  <c r="M783" i="1"/>
  <c r="M795" i="1"/>
  <c r="M807" i="1"/>
  <c r="M819" i="1"/>
  <c r="M831" i="1"/>
  <c r="M843" i="1"/>
  <c r="M772" i="1"/>
  <c r="M784" i="1"/>
  <c r="M796" i="1"/>
  <c r="M808" i="1"/>
  <c r="M820" i="1"/>
  <c r="M832" i="1"/>
  <c r="M844" i="1"/>
  <c r="M583" i="1"/>
  <c r="M595" i="1"/>
  <c r="M607" i="1"/>
  <c r="M619" i="1"/>
  <c r="M631" i="1"/>
  <c r="M643" i="1"/>
  <c r="M655" i="1"/>
  <c r="M667" i="1"/>
  <c r="M679" i="1"/>
  <c r="M691" i="1"/>
  <c r="M703" i="1"/>
  <c r="M715" i="1"/>
  <c r="M727" i="1"/>
  <c r="M751" i="1"/>
  <c r="M584" i="1"/>
  <c r="M596" i="1"/>
  <c r="M608" i="1"/>
  <c r="M620" i="1"/>
  <c r="M632" i="1"/>
  <c r="M644" i="1"/>
  <c r="M656" i="1"/>
  <c r="M668" i="1"/>
  <c r="M680" i="1"/>
  <c r="M692" i="1"/>
  <c r="M704" i="1"/>
  <c r="M716" i="1"/>
  <c r="M728" i="1"/>
  <c r="M740" i="1"/>
  <c r="M752" i="1"/>
  <c r="M585" i="1"/>
  <c r="M597" i="1"/>
  <c r="M609" i="1"/>
  <c r="M621" i="1"/>
  <c r="M633" i="1"/>
  <c r="M645" i="1"/>
  <c r="M657" i="1"/>
  <c r="M669" i="1"/>
  <c r="M681" i="1"/>
  <c r="M693" i="1"/>
  <c r="M705" i="1"/>
  <c r="M717" i="1"/>
  <c r="M729" i="1"/>
  <c r="M741" i="1"/>
  <c r="M754" i="1"/>
  <c r="M586" i="1"/>
  <c r="M598" i="1"/>
  <c r="M610" i="1"/>
  <c r="M622" i="1"/>
  <c r="M634" i="1"/>
  <c r="M646" i="1"/>
  <c r="M658" i="1"/>
  <c r="M670" i="1"/>
  <c r="M682" i="1"/>
  <c r="M694" i="1"/>
  <c r="M706" i="1"/>
  <c r="M718" i="1"/>
  <c r="M730" i="1"/>
  <c r="M742" i="1"/>
  <c r="M587" i="1"/>
  <c r="M599" i="1"/>
  <c r="M611" i="1"/>
  <c r="M623" i="1"/>
  <c r="M635" i="1"/>
  <c r="M647" i="1"/>
  <c r="M659" i="1"/>
  <c r="M671" i="1"/>
  <c r="M683" i="1"/>
  <c r="M695" i="1"/>
  <c r="M707" i="1"/>
  <c r="M719" i="1"/>
  <c r="M731" i="1"/>
  <c r="M743" i="1"/>
  <c r="M755" i="1"/>
  <c r="M757" i="1"/>
  <c r="M588" i="1"/>
  <c r="M600" i="1"/>
  <c r="M612" i="1"/>
  <c r="M624" i="1"/>
  <c r="M636" i="1"/>
  <c r="M648" i="1"/>
  <c r="M660" i="1"/>
  <c r="M672" i="1"/>
  <c r="M684" i="1"/>
  <c r="M696" i="1"/>
  <c r="M708" i="1"/>
  <c r="M720" i="1"/>
  <c r="M732" i="1"/>
  <c r="M744" i="1"/>
  <c r="M756" i="1"/>
  <c r="M589" i="1"/>
  <c r="M601" i="1"/>
  <c r="M613" i="1"/>
  <c r="M625" i="1"/>
  <c r="M637" i="1"/>
  <c r="M649" i="1"/>
  <c r="M661" i="1"/>
  <c r="M673" i="1"/>
  <c r="M685" i="1"/>
  <c r="M697" i="1"/>
  <c r="M709" i="1"/>
  <c r="M721" i="1"/>
  <c r="M733" i="1"/>
  <c r="M745" i="1"/>
  <c r="M590" i="1"/>
  <c r="M602" i="1"/>
  <c r="M614" i="1"/>
  <c r="M626" i="1"/>
  <c r="M638" i="1"/>
  <c r="M650" i="1"/>
  <c r="M662" i="1"/>
  <c r="M674" i="1"/>
  <c r="M686" i="1"/>
  <c r="M698" i="1"/>
  <c r="M710" i="1"/>
  <c r="M722" i="1"/>
  <c r="M734" i="1"/>
  <c r="M746" i="1"/>
  <c r="M758" i="1"/>
  <c r="M760" i="1"/>
  <c r="M591" i="1"/>
  <c r="M603" i="1"/>
  <c r="M615" i="1"/>
  <c r="M627" i="1"/>
  <c r="M639" i="1"/>
  <c r="M651" i="1"/>
  <c r="M663" i="1"/>
  <c r="M675" i="1"/>
  <c r="M687" i="1"/>
  <c r="M699" i="1"/>
  <c r="M711" i="1"/>
  <c r="M723" i="1"/>
  <c r="M735" i="1"/>
  <c r="M747" i="1"/>
  <c r="M759" i="1"/>
  <c r="M592" i="1"/>
  <c r="M604" i="1"/>
  <c r="M616" i="1"/>
  <c r="M628" i="1"/>
  <c r="M640" i="1"/>
  <c r="M652" i="1"/>
  <c r="M664" i="1"/>
  <c r="M676" i="1"/>
  <c r="M688" i="1"/>
  <c r="M700" i="1"/>
  <c r="M712" i="1"/>
  <c r="M724" i="1"/>
  <c r="M736" i="1"/>
  <c r="M748" i="1"/>
  <c r="M593" i="1"/>
  <c r="M605" i="1"/>
  <c r="M617" i="1"/>
  <c r="M629" i="1"/>
  <c r="M641" i="1"/>
  <c r="M653" i="1"/>
  <c r="M665" i="1"/>
  <c r="M677" i="1"/>
  <c r="M689" i="1"/>
  <c r="M701" i="1"/>
  <c r="M713" i="1"/>
  <c r="M725" i="1"/>
  <c r="M737" i="1"/>
  <c r="M749" i="1"/>
  <c r="M753" i="1"/>
  <c r="M594" i="1"/>
  <c r="M606" i="1"/>
  <c r="M618" i="1"/>
  <c r="M630" i="1"/>
  <c r="M642" i="1"/>
  <c r="M654" i="1"/>
  <c r="M666" i="1"/>
  <c r="M678" i="1"/>
  <c r="M690" i="1"/>
  <c r="M702" i="1"/>
  <c r="M714" i="1"/>
  <c r="M726" i="1"/>
  <c r="M738" i="1"/>
  <c r="M750" i="1"/>
  <c r="M739" i="1"/>
  <c r="M473" i="1"/>
  <c r="M485" i="1"/>
  <c r="M497" i="1"/>
  <c r="M509" i="1"/>
  <c r="M521" i="1"/>
  <c r="M533" i="1"/>
  <c r="M545" i="1"/>
  <c r="M557" i="1"/>
  <c r="M569" i="1"/>
  <c r="M474" i="1"/>
  <c r="M486" i="1"/>
  <c r="M498" i="1"/>
  <c r="M510" i="1"/>
  <c r="M522" i="1"/>
  <c r="M534" i="1"/>
  <c r="M546" i="1"/>
  <c r="M558" i="1"/>
  <c r="M570" i="1"/>
  <c r="M582" i="1"/>
  <c r="M475" i="1"/>
  <c r="M487" i="1"/>
  <c r="M499" i="1"/>
  <c r="M511" i="1"/>
  <c r="M523" i="1"/>
  <c r="M535" i="1"/>
  <c r="M547" i="1"/>
  <c r="M559" i="1"/>
  <c r="M571" i="1"/>
  <c r="M476" i="1"/>
  <c r="M488" i="1"/>
  <c r="M500" i="1"/>
  <c r="M512" i="1"/>
  <c r="M524" i="1"/>
  <c r="M536" i="1"/>
  <c r="M548" i="1"/>
  <c r="M560" i="1"/>
  <c r="M572" i="1"/>
  <c r="M477" i="1"/>
  <c r="M489" i="1"/>
  <c r="M501" i="1"/>
  <c r="M513" i="1"/>
  <c r="M525" i="1"/>
  <c r="M537" i="1"/>
  <c r="M549" i="1"/>
  <c r="M561" i="1"/>
  <c r="M573" i="1"/>
  <c r="M478" i="1"/>
  <c r="M490" i="1"/>
  <c r="M502" i="1"/>
  <c r="M514" i="1"/>
  <c r="M526" i="1"/>
  <c r="M538" i="1"/>
  <c r="M550" i="1"/>
  <c r="M562" i="1"/>
  <c r="M574" i="1"/>
  <c r="M479" i="1"/>
  <c r="M491" i="1"/>
  <c r="M503" i="1"/>
  <c r="M515" i="1"/>
  <c r="M527" i="1"/>
  <c r="M539" i="1"/>
  <c r="M551" i="1"/>
  <c r="M563" i="1"/>
  <c r="M575" i="1"/>
  <c r="M579" i="1"/>
  <c r="M480" i="1"/>
  <c r="M492" i="1"/>
  <c r="M504" i="1"/>
  <c r="M516" i="1"/>
  <c r="M528" i="1"/>
  <c r="M540" i="1"/>
  <c r="M552" i="1"/>
  <c r="M564" i="1"/>
  <c r="M576" i="1"/>
  <c r="M581" i="1"/>
  <c r="M481" i="1"/>
  <c r="M493" i="1"/>
  <c r="M505" i="1"/>
  <c r="M517" i="1"/>
  <c r="M529" i="1"/>
  <c r="M541" i="1"/>
  <c r="M553" i="1"/>
  <c r="M565" i="1"/>
  <c r="M577" i="1"/>
  <c r="M482" i="1"/>
  <c r="M494" i="1"/>
  <c r="M506" i="1"/>
  <c r="M518" i="1"/>
  <c r="M530" i="1"/>
  <c r="M542" i="1"/>
  <c r="M554" i="1"/>
  <c r="M566" i="1"/>
  <c r="M578" i="1"/>
  <c r="M471" i="1"/>
  <c r="M483" i="1"/>
  <c r="M495" i="1"/>
  <c r="M507" i="1"/>
  <c r="M519" i="1"/>
  <c r="M531" i="1"/>
  <c r="M543" i="1"/>
  <c r="M555" i="1"/>
  <c r="M567" i="1"/>
  <c r="M472" i="1"/>
  <c r="M484" i="1"/>
  <c r="M496" i="1"/>
  <c r="M508" i="1"/>
  <c r="M520" i="1"/>
  <c r="M532" i="1"/>
  <c r="M544" i="1"/>
  <c r="M556" i="1"/>
  <c r="M568" i="1"/>
  <c r="M580" i="1"/>
  <c r="M385" i="1"/>
  <c r="M397" i="1"/>
  <c r="M409" i="1"/>
  <c r="M421" i="1"/>
  <c r="M433" i="1"/>
  <c r="M445" i="1"/>
  <c r="M457" i="1"/>
  <c r="M386" i="1"/>
  <c r="M398" i="1"/>
  <c r="M410" i="1"/>
  <c r="M422" i="1"/>
  <c r="M434" i="1"/>
  <c r="M446" i="1"/>
  <c r="M458" i="1"/>
  <c r="M470" i="1"/>
  <c r="M387" i="1"/>
  <c r="M399" i="1"/>
  <c r="M411" i="1"/>
  <c r="M423" i="1"/>
  <c r="M435" i="1"/>
  <c r="M447" i="1"/>
  <c r="M459" i="1"/>
  <c r="M464" i="1"/>
  <c r="M388" i="1"/>
  <c r="M400" i="1"/>
  <c r="M412" i="1"/>
  <c r="M424" i="1"/>
  <c r="M436" i="1"/>
  <c r="M448" i="1"/>
  <c r="M460" i="1"/>
  <c r="M389" i="1"/>
  <c r="M401" i="1"/>
  <c r="M413" i="1"/>
  <c r="M425" i="1"/>
  <c r="M437" i="1"/>
  <c r="M449" i="1"/>
  <c r="M461" i="1"/>
  <c r="M467" i="1"/>
  <c r="M390" i="1"/>
  <c r="M402" i="1"/>
  <c r="M414" i="1"/>
  <c r="M426" i="1"/>
  <c r="M438" i="1"/>
  <c r="M450" i="1"/>
  <c r="M462" i="1"/>
  <c r="M466" i="1"/>
  <c r="M391" i="1"/>
  <c r="M403" i="1"/>
  <c r="M415" i="1"/>
  <c r="M427" i="1"/>
  <c r="M439" i="1"/>
  <c r="M451" i="1"/>
  <c r="M463" i="1"/>
  <c r="M469" i="1"/>
  <c r="M380" i="1"/>
  <c r="M392" i="1"/>
  <c r="M404" i="1"/>
  <c r="M416" i="1"/>
  <c r="M428" i="1"/>
  <c r="M440" i="1"/>
  <c r="M452" i="1"/>
  <c r="M381" i="1"/>
  <c r="M393" i="1"/>
  <c r="M405" i="1"/>
  <c r="M417" i="1"/>
  <c r="M429" i="1"/>
  <c r="M441" i="1"/>
  <c r="M453" i="1"/>
  <c r="M465" i="1"/>
  <c r="M382" i="1"/>
  <c r="M394" i="1"/>
  <c r="M406" i="1"/>
  <c r="M418" i="1"/>
  <c r="M430" i="1"/>
  <c r="M442" i="1"/>
  <c r="M454" i="1"/>
  <c r="M383" i="1"/>
  <c r="M395" i="1"/>
  <c r="M407" i="1"/>
  <c r="M419" i="1"/>
  <c r="M431" i="1"/>
  <c r="M443" i="1"/>
  <c r="M455" i="1"/>
  <c r="M384" i="1"/>
  <c r="M396" i="1"/>
  <c r="M408" i="1"/>
  <c r="M420" i="1"/>
  <c r="M432" i="1"/>
  <c r="M444" i="1"/>
  <c r="M456" i="1"/>
  <c r="M468" i="1"/>
  <c r="M252" i="1"/>
  <c r="M289" i="1"/>
  <c r="M301" i="1"/>
  <c r="M313" i="1"/>
  <c r="M325" i="1"/>
  <c r="M337" i="1"/>
  <c r="M349" i="1"/>
  <c r="M361" i="1"/>
  <c r="M377" i="1"/>
  <c r="M290" i="1"/>
  <c r="M302" i="1"/>
  <c r="M314" i="1"/>
  <c r="M326" i="1"/>
  <c r="M338" i="1"/>
  <c r="M350" i="1"/>
  <c r="M362" i="1"/>
  <c r="M376" i="1"/>
  <c r="M291" i="1"/>
  <c r="M303" i="1"/>
  <c r="M315" i="1"/>
  <c r="M327" i="1"/>
  <c r="M339" i="1"/>
  <c r="M351" i="1"/>
  <c r="M363" i="1"/>
  <c r="M375" i="1"/>
  <c r="M292" i="1"/>
  <c r="M304" i="1"/>
  <c r="M316" i="1"/>
  <c r="M328" i="1"/>
  <c r="M340" i="1"/>
  <c r="M352" i="1"/>
  <c r="M364" i="1"/>
  <c r="M293" i="1"/>
  <c r="M305" i="1"/>
  <c r="M317" i="1"/>
  <c r="M329" i="1"/>
  <c r="M341" i="1"/>
  <c r="M353" i="1"/>
  <c r="M365" i="1"/>
  <c r="M294" i="1"/>
  <c r="M306" i="1"/>
  <c r="M318" i="1"/>
  <c r="M330" i="1"/>
  <c r="M342" i="1"/>
  <c r="M354" i="1"/>
  <c r="M366" i="1"/>
  <c r="M378" i="1"/>
  <c r="M295" i="1"/>
  <c r="M307" i="1"/>
  <c r="M319" i="1"/>
  <c r="M331" i="1"/>
  <c r="M343" i="1"/>
  <c r="M355" i="1"/>
  <c r="M367" i="1"/>
  <c r="M379" i="1"/>
  <c r="M296" i="1"/>
  <c r="M308" i="1"/>
  <c r="M320" i="1"/>
  <c r="M332" i="1"/>
  <c r="M344" i="1"/>
  <c r="M356" i="1"/>
  <c r="M368" i="1"/>
  <c r="M374" i="1"/>
  <c r="M297" i="1"/>
  <c r="M309" i="1"/>
  <c r="M321" i="1"/>
  <c r="M333" i="1"/>
  <c r="M345" i="1"/>
  <c r="M357" i="1"/>
  <c r="M369" i="1"/>
  <c r="M373" i="1"/>
  <c r="M298" i="1"/>
  <c r="M310" i="1"/>
  <c r="M322" i="1"/>
  <c r="M334" i="1"/>
  <c r="M346" i="1"/>
  <c r="M358" i="1"/>
  <c r="M370" i="1"/>
  <c r="M299" i="1"/>
  <c r="M311" i="1"/>
  <c r="M323" i="1"/>
  <c r="M335" i="1"/>
  <c r="M347" i="1"/>
  <c r="M359" i="1"/>
  <c r="M371" i="1"/>
  <c r="M300" i="1"/>
  <c r="M312" i="1"/>
  <c r="M324" i="1"/>
  <c r="M336" i="1"/>
  <c r="M348" i="1"/>
  <c r="M360" i="1"/>
  <c r="M372" i="1"/>
  <c r="M276" i="1"/>
  <c r="M264" i="1"/>
  <c r="M151" i="1"/>
  <c r="M287" i="1"/>
  <c r="M275" i="1"/>
  <c r="M263" i="1"/>
  <c r="M251" i="1"/>
  <c r="M286" i="1"/>
  <c r="M274" i="1"/>
  <c r="M262" i="1"/>
  <c r="M250" i="1"/>
  <c r="M285" i="1"/>
  <c r="M273" i="1"/>
  <c r="M261" i="1"/>
  <c r="M249" i="1"/>
  <c r="M284" i="1"/>
  <c r="M272" i="1"/>
  <c r="M260" i="1"/>
  <c r="M248" i="1"/>
  <c r="M283" i="1"/>
  <c r="M271" i="1"/>
  <c r="M259" i="1"/>
  <c r="M247" i="1"/>
  <c r="M282" i="1"/>
  <c r="M270" i="1"/>
  <c r="M258" i="1"/>
  <c r="M246" i="1"/>
  <c r="M269" i="1"/>
  <c r="M257" i="1"/>
  <c r="M245" i="1"/>
  <c r="M280" i="1"/>
  <c r="M268" i="1"/>
  <c r="M256" i="1"/>
  <c r="M244" i="1"/>
  <c r="M278" i="1"/>
  <c r="M266" i="1"/>
  <c r="M254" i="1"/>
  <c r="M242" i="1"/>
  <c r="M277" i="1"/>
  <c r="M265" i="1"/>
  <c r="M253" i="1"/>
  <c r="M241" i="1"/>
  <c r="M240" i="1"/>
  <c r="M228" i="1"/>
  <c r="M239" i="1"/>
  <c r="M227" i="1"/>
  <c r="M238" i="1"/>
  <c r="M226" i="1"/>
  <c r="M237" i="1"/>
  <c r="M225" i="1"/>
  <c r="M236" i="1"/>
  <c r="M224" i="1"/>
  <c r="M235" i="1"/>
  <c r="M223" i="1"/>
  <c r="M234" i="1"/>
  <c r="M222" i="1"/>
  <c r="M233" i="1"/>
  <c r="M221" i="1"/>
  <c r="M232" i="1"/>
  <c r="M220" i="1"/>
  <c r="M218" i="1"/>
  <c r="M229" i="1"/>
  <c r="M217" i="1"/>
  <c r="M206" i="1"/>
  <c r="M205" i="1"/>
  <c r="M203" i="1"/>
  <c r="M204" i="1"/>
  <c r="M216" i="1"/>
  <c r="M202" i="1"/>
  <c r="M214" i="1"/>
  <c r="M201" i="1"/>
  <c r="M213" i="1"/>
  <c r="M200" i="1"/>
  <c r="M212" i="1"/>
  <c r="M199" i="1"/>
  <c r="M211" i="1"/>
  <c r="M198" i="1"/>
  <c r="M215" i="1"/>
  <c r="M197" i="1"/>
  <c r="M210" i="1"/>
  <c r="M196" i="1"/>
  <c r="M208" i="1"/>
  <c r="M195" i="1"/>
  <c r="M194" i="1"/>
  <c r="M209" i="1"/>
  <c r="M193" i="1"/>
  <c r="M192" i="1"/>
  <c r="M180" i="1"/>
  <c r="M191" i="1"/>
  <c r="M179" i="1"/>
  <c r="M190" i="1"/>
  <c r="M178" i="1"/>
  <c r="M189" i="1"/>
  <c r="M177" i="1"/>
  <c r="M188" i="1"/>
  <c r="M176" i="1"/>
  <c r="M187" i="1"/>
  <c r="M175" i="1"/>
  <c r="M186" i="1"/>
  <c r="M174" i="1"/>
  <c r="M185" i="1"/>
  <c r="M173" i="1"/>
  <c r="M184" i="1"/>
  <c r="M172" i="1"/>
  <c r="M183" i="1"/>
  <c r="M171" i="1"/>
  <c r="M182" i="1"/>
  <c r="M170" i="1"/>
  <c r="M181" i="1"/>
  <c r="M169" i="1"/>
  <c r="M119" i="1"/>
  <c r="M168" i="1"/>
  <c r="M156" i="1"/>
  <c r="M167" i="1"/>
  <c r="M155" i="1"/>
  <c r="M166" i="1"/>
  <c r="M154" i="1"/>
  <c r="M165" i="1"/>
  <c r="M153" i="1"/>
  <c r="M164" i="1"/>
  <c r="M152" i="1"/>
  <c r="M163" i="1"/>
  <c r="M114" i="1"/>
  <c r="M162" i="1"/>
  <c r="M150" i="1"/>
  <c r="M161" i="1"/>
  <c r="M149" i="1"/>
  <c r="M160" i="1"/>
  <c r="M148" i="1"/>
  <c r="M146" i="1"/>
  <c r="M157" i="1"/>
  <c r="M145" i="1"/>
  <c r="M144" i="1"/>
  <c r="M132" i="1"/>
  <c r="M143" i="1"/>
  <c r="M131" i="1"/>
  <c r="M142" i="1"/>
  <c r="M130" i="1"/>
  <c r="M141" i="1"/>
  <c r="M129" i="1"/>
  <c r="M140" i="1"/>
  <c r="M128" i="1"/>
  <c r="M139" i="1"/>
  <c r="M127" i="1"/>
  <c r="M138" i="1"/>
  <c r="M126" i="1"/>
  <c r="M137" i="1"/>
  <c r="M125" i="1"/>
  <c r="M136" i="1"/>
  <c r="M124" i="1"/>
  <c r="M135" i="1"/>
  <c r="M134" i="1"/>
  <c r="M122" i="1"/>
  <c r="M133" i="1"/>
  <c r="M121" i="1"/>
  <c r="M118" i="1"/>
  <c r="M105" i="1"/>
  <c r="M104" i="1"/>
  <c r="M115" i="1"/>
  <c r="M84" i="1"/>
  <c r="M88" i="1"/>
  <c r="M113" i="1"/>
  <c r="M117" i="1"/>
  <c r="M112" i="1"/>
  <c r="M116" i="1"/>
  <c r="M110" i="1"/>
  <c r="M109" i="1"/>
  <c r="M120" i="1"/>
  <c r="M108" i="1"/>
  <c r="M107" i="1"/>
  <c r="M106" i="1"/>
  <c r="M98" i="1"/>
  <c r="M97" i="1"/>
  <c r="M100" i="1"/>
  <c r="M96" i="1"/>
  <c r="M95" i="1"/>
  <c r="M101" i="1"/>
  <c r="M94" i="1"/>
  <c r="M99" i="1"/>
  <c r="M93" i="1"/>
  <c r="M92" i="1"/>
  <c r="M103" i="1"/>
  <c r="M91" i="1"/>
  <c r="M102" i="1"/>
  <c r="M90" i="1"/>
  <c r="M89" i="1"/>
  <c r="M68" i="1"/>
  <c r="M62" i="1"/>
  <c r="M83" i="1"/>
  <c r="M81" i="1"/>
  <c r="M80" i="1"/>
  <c r="M79" i="1"/>
  <c r="M78" i="1"/>
  <c r="M67" i="1"/>
  <c r="M77" i="1"/>
  <c r="M33" i="1"/>
  <c r="M76" i="1"/>
  <c r="M86" i="1"/>
  <c r="M74" i="1"/>
  <c r="M85" i="1"/>
  <c r="M73" i="1"/>
  <c r="M72" i="1"/>
  <c r="M71" i="1"/>
  <c r="M82" i="1"/>
  <c r="M70" i="1"/>
  <c r="M64" i="1"/>
  <c r="M63" i="1"/>
  <c r="M37" i="1"/>
  <c r="M61" i="1"/>
  <c r="M52" i="1"/>
  <c r="M60" i="1"/>
  <c r="M49" i="1"/>
  <c r="M59" i="1"/>
  <c r="M51" i="1"/>
  <c r="M58" i="1"/>
  <c r="M69" i="1"/>
  <c r="M57" i="1"/>
  <c r="M56" i="1"/>
  <c r="M55" i="1"/>
  <c r="M66" i="1"/>
  <c r="M54" i="1"/>
  <c r="M65" i="1"/>
  <c r="M53" i="1"/>
  <c r="M48" i="1"/>
  <c r="M36" i="1"/>
  <c r="M47" i="1"/>
  <c r="M35" i="1"/>
  <c r="M46" i="1"/>
  <c r="M34" i="1"/>
  <c r="M45" i="1"/>
  <c r="M26" i="1"/>
  <c r="M44" i="1"/>
  <c r="M43" i="1"/>
  <c r="M42" i="1"/>
  <c r="M3" i="1"/>
  <c r="M41" i="1"/>
  <c r="M40" i="1"/>
  <c r="M39" i="1"/>
  <c r="M50" i="1"/>
  <c r="M38" i="1"/>
  <c r="M30" i="1"/>
  <c r="M29" i="1"/>
  <c r="M28" i="1"/>
  <c r="M27" i="1"/>
  <c r="M31" i="1"/>
  <c r="M25" i="1"/>
  <c r="M24" i="1"/>
  <c r="M23" i="1"/>
  <c r="M22" i="1"/>
  <c r="M21" i="1"/>
  <c r="M20" i="1"/>
  <c r="M32" i="1"/>
  <c r="M19" i="1"/>
  <c r="M4" i="2" l="1"/>
  <c r="M5" i="2"/>
  <c r="M6" i="2"/>
  <c r="M12" i="1" s="1"/>
  <c r="M7" i="2"/>
  <c r="M13" i="1" s="1"/>
  <c r="M8" i="2"/>
  <c r="M9" i="2"/>
  <c r="M15" i="1" s="1"/>
  <c r="M10" i="2"/>
  <c r="M16" i="1" s="1"/>
  <c r="M11" i="2"/>
  <c r="M17" i="1" s="1"/>
  <c r="M12" i="2"/>
  <c r="L4" i="2"/>
  <c r="L5" i="2"/>
  <c r="L6" i="2"/>
  <c r="L7" i="2"/>
  <c r="L8" i="2"/>
  <c r="L9" i="2"/>
  <c r="L10" i="2"/>
  <c r="M7" i="1" s="1"/>
  <c r="L11" i="2"/>
  <c r="M8" i="1" s="1"/>
  <c r="L12" i="2"/>
  <c r="M3" i="2"/>
  <c r="L3" i="2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Q22" i="7"/>
  <c r="R22" i="7" s="1"/>
  <c r="Q21" i="7"/>
  <c r="R21" i="7" s="1"/>
  <c r="R20" i="7"/>
  <c r="Q20" i="7"/>
  <c r="Q19" i="7"/>
  <c r="R19" i="7" s="1"/>
  <c r="Q18" i="7"/>
  <c r="R18" i="7" s="1"/>
  <c r="Q17" i="7"/>
  <c r="R17" i="7" s="1"/>
  <c r="P17" i="7"/>
  <c r="P18" i="7" s="1"/>
  <c r="P19" i="7" s="1"/>
  <c r="P20" i="7" s="1"/>
  <c r="P21" i="7" s="1"/>
  <c r="P22" i="7" s="1"/>
  <c r="R16" i="7"/>
  <c r="Q16" i="7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M14" i="1" l="1"/>
  <c r="M10" i="1"/>
  <c r="M6" i="1"/>
  <c r="M5" i="1"/>
  <c r="M11" i="1"/>
  <c r="M4" i="1"/>
  <c r="M18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B72" i="1"/>
  <c r="B75" i="1"/>
  <c r="B77" i="1"/>
  <c r="B80" i="1"/>
  <c r="B81" i="1"/>
  <c r="B82" i="1"/>
  <c r="B84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B8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B2" i="1"/>
  <c r="K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<sst xmlns="http://schemas.openxmlformats.org/spreadsheetml/2006/main" count="4046" uniqueCount="322">
  <si>
    <t>FY</t>
  </si>
  <si>
    <t>University</t>
  </si>
  <si>
    <t>Gender</t>
  </si>
  <si>
    <t>Sport</t>
  </si>
  <si>
    <t>Sex</t>
  </si>
  <si>
    <t>Covid</t>
  </si>
  <si>
    <t>RA6</t>
  </si>
  <si>
    <t>unitid</t>
  </si>
  <si>
    <t>Code</t>
  </si>
  <si>
    <t>Baseball</t>
  </si>
  <si>
    <t>Basketball</t>
  </si>
  <si>
    <t>Beach Volleyball</t>
  </si>
  <si>
    <t>Bowling</t>
  </si>
  <si>
    <t>Equestrian</t>
  </si>
  <si>
    <t>Fencing</t>
  </si>
  <si>
    <t>Field Hockey</t>
  </si>
  <si>
    <t>Football</t>
  </si>
  <si>
    <t>Golf</t>
  </si>
  <si>
    <t>Gymnastics</t>
  </si>
  <si>
    <t>Ice Hockey</t>
  </si>
  <si>
    <t>Lacrosse</t>
  </si>
  <si>
    <t>Rifle</t>
  </si>
  <si>
    <t>Rowing</t>
  </si>
  <si>
    <t>Rugby</t>
  </si>
  <si>
    <t>Skiing</t>
  </si>
  <si>
    <t>Soccer</t>
  </si>
  <si>
    <t>Softball</t>
  </si>
  <si>
    <t>Swimming and Diving</t>
  </si>
  <si>
    <t>Tennis</t>
  </si>
  <si>
    <t>Track and Field, X Country</t>
  </si>
  <si>
    <t>Track and Field, X-Country</t>
  </si>
  <si>
    <t>Track and Field, X- Country</t>
  </si>
  <si>
    <t>Triathlon</t>
  </si>
  <si>
    <t>Volleyball</t>
  </si>
  <si>
    <t>Water Polo</t>
  </si>
  <si>
    <t>Wrestling</t>
  </si>
  <si>
    <t>Others</t>
  </si>
  <si>
    <t>Subtotal All Teams</t>
  </si>
  <si>
    <t>Expenses Not Related to Specific Teams</t>
  </si>
  <si>
    <t>Total Expenses</t>
  </si>
  <si>
    <t>Cross Country</t>
  </si>
  <si>
    <t>Track, Indoor</t>
  </si>
  <si>
    <t>Track, Outdoor</t>
  </si>
  <si>
    <t>Total Participants</t>
  </si>
  <si>
    <t>Participant Proportion</t>
  </si>
  <si>
    <t>Unduplicated Count of Participants</t>
  </si>
  <si>
    <t>Univeristy</t>
  </si>
  <si>
    <t>Air Force</t>
  </si>
  <si>
    <t>Akron</t>
  </si>
  <si>
    <t>Alabama</t>
  </si>
  <si>
    <t>Alabama State</t>
  </si>
  <si>
    <t>Albany</t>
  </si>
  <si>
    <t>Alcorn State</t>
  </si>
  <si>
    <t>Appalachian State</t>
  </si>
  <si>
    <t>Arizona</t>
  </si>
  <si>
    <t>Arizona State</t>
  </si>
  <si>
    <t>Arkansas</t>
  </si>
  <si>
    <t>Arkansas Little Rock</t>
  </si>
  <si>
    <t>Arkansas Pine Bluff</t>
  </si>
  <si>
    <t>Arkansas State</t>
  </si>
  <si>
    <t>Auburn</t>
  </si>
  <si>
    <t>Austin Peay State</t>
  </si>
  <si>
    <t>Army</t>
  </si>
  <si>
    <t>Ball State</t>
  </si>
  <si>
    <t>Binghamton</t>
  </si>
  <si>
    <t>Boise State</t>
  </si>
  <si>
    <t>Bowling Green</t>
  </si>
  <si>
    <t>Buffalo</t>
  </si>
  <si>
    <t>Cal Poly</t>
  </si>
  <si>
    <t>Cal State Bakersfield</t>
  </si>
  <si>
    <t>Cal State Fullerton</t>
  </si>
  <si>
    <t>Cal State Northridge</t>
  </si>
  <si>
    <t>California</t>
  </si>
  <si>
    <t>Central Arkansas</t>
  </si>
  <si>
    <t>Central Connecticut State</t>
  </si>
  <si>
    <t>Central Michigan</t>
  </si>
  <si>
    <t>Charlotte</t>
  </si>
  <si>
    <t>Chicago State</t>
  </si>
  <si>
    <t>Cincinnati</t>
  </si>
  <si>
    <t>Citadel</t>
  </si>
  <si>
    <t>Clemson</t>
  </si>
  <si>
    <t>Cleveland State</t>
  </si>
  <si>
    <t>Coastal Carolina</t>
  </si>
  <si>
    <t>College of Charleston</t>
  </si>
  <si>
    <t>Colorado</t>
  </si>
  <si>
    <t>Colorado State</t>
  </si>
  <si>
    <t>Connecticut</t>
  </si>
  <si>
    <t>Coppin State</t>
  </si>
  <si>
    <t>East Carolina</t>
  </si>
  <si>
    <t>East Tennessee</t>
  </si>
  <si>
    <t>Eastern Illinois</t>
  </si>
  <si>
    <t>Eastern Kentucky</t>
  </si>
  <si>
    <t>Eastern Michigan</t>
  </si>
  <si>
    <t>Eastern Washington</t>
  </si>
  <si>
    <t>Florida</t>
  </si>
  <si>
    <t>Florida Atlantic</t>
  </si>
  <si>
    <t>Florida Gulf Coast</t>
  </si>
  <si>
    <t>Florida International</t>
  </si>
  <si>
    <t>Florida State</t>
  </si>
  <si>
    <t>Fresno State</t>
  </si>
  <si>
    <t>George Mason</t>
  </si>
  <si>
    <t>Georgia</t>
  </si>
  <si>
    <t>Georgia Southern</t>
  </si>
  <si>
    <t>Georgia State</t>
  </si>
  <si>
    <t>Georgia Tech</t>
  </si>
  <si>
    <t>Grambling State</t>
  </si>
  <si>
    <t>Hawaii</t>
  </si>
  <si>
    <t>Houston</t>
  </si>
  <si>
    <t>Idaho</t>
  </si>
  <si>
    <t>Idaho State</t>
  </si>
  <si>
    <t>Illinois</t>
  </si>
  <si>
    <t>Illinois Chicago</t>
  </si>
  <si>
    <t>Illinois State</t>
  </si>
  <si>
    <t>Indiana</t>
  </si>
  <si>
    <t>Indiana State</t>
  </si>
  <si>
    <t>Iowa</t>
  </si>
  <si>
    <t>Iowa State</t>
  </si>
  <si>
    <t>IUPUI</t>
  </si>
  <si>
    <t>Jackson State</t>
  </si>
  <si>
    <t>James Madison</t>
  </si>
  <si>
    <t>Kansas</t>
  </si>
  <si>
    <t>Kansas State</t>
  </si>
  <si>
    <t>Kennesaw State</t>
  </si>
  <si>
    <t>Kent State</t>
  </si>
  <si>
    <t>Kentucky</t>
  </si>
  <si>
    <t>Lamar</t>
  </si>
  <si>
    <t>Long Beach State</t>
  </si>
  <si>
    <t>Longwood</t>
  </si>
  <si>
    <t>Louisiana LaFayette</t>
  </si>
  <si>
    <t>Louisiana Monroe</t>
  </si>
  <si>
    <t>Louisiana Tech</t>
  </si>
  <si>
    <t>Louisville</t>
  </si>
  <si>
    <t>LSU</t>
  </si>
  <si>
    <t>Maine</t>
  </si>
  <si>
    <t>Marshall</t>
  </si>
  <si>
    <t>Maryland</t>
  </si>
  <si>
    <t>Maryland Baltimore County</t>
  </si>
  <si>
    <t>Maryland Eastern Shore</t>
  </si>
  <si>
    <t>Massachusetts</t>
  </si>
  <si>
    <t>Massachusetts Lowell</t>
  </si>
  <si>
    <t>McNeese State</t>
  </si>
  <si>
    <t>Memphis</t>
  </si>
  <si>
    <t>Miami (Ohio)</t>
  </si>
  <si>
    <t>Michigan</t>
  </si>
  <si>
    <t>Michigan State</t>
  </si>
  <si>
    <t>Middle Tennessee State</t>
  </si>
  <si>
    <t>Minnesota</t>
  </si>
  <si>
    <t>Mississippi</t>
  </si>
  <si>
    <t>Mississippi State</t>
  </si>
  <si>
    <t>Mississippi Valley State</t>
  </si>
  <si>
    <t>Missouri</t>
  </si>
  <si>
    <t>Missouri Kansas City</t>
  </si>
  <si>
    <t>Missouri State</t>
  </si>
  <si>
    <t>Montana</t>
  </si>
  <si>
    <t>Montana State</t>
  </si>
  <si>
    <t>Morehead State</t>
  </si>
  <si>
    <t>Morgan State</t>
  </si>
  <si>
    <t>Murray State</t>
  </si>
  <si>
    <t>Navy</t>
  </si>
  <si>
    <t>Nebraska</t>
  </si>
  <si>
    <t>Nebraska Omaha</t>
  </si>
  <si>
    <t>Nevada</t>
  </si>
  <si>
    <t>New Hampshire</t>
  </si>
  <si>
    <t>New Mexico</t>
  </si>
  <si>
    <t>New Mexico State</t>
  </si>
  <si>
    <t>New Orleans</t>
  </si>
  <si>
    <t>Nicholls State</t>
  </si>
  <si>
    <t>NJIT</t>
  </si>
  <si>
    <t>Nolfork State</t>
  </si>
  <si>
    <t>North Carolina</t>
  </si>
  <si>
    <t>North Carolina A&amp;T</t>
  </si>
  <si>
    <t>North Carolina Asheville</t>
  </si>
  <si>
    <t>North Carolina Greensboro</t>
  </si>
  <si>
    <t>North Carolina Central</t>
  </si>
  <si>
    <t>North Carolina State</t>
  </si>
  <si>
    <t>North Carolina Wilmington</t>
  </si>
  <si>
    <t>North Dakota</t>
  </si>
  <si>
    <t>North Dakota State</t>
  </si>
  <si>
    <t>North Florida</t>
  </si>
  <si>
    <t>North Texas</t>
  </si>
  <si>
    <t>Northern Arizona</t>
  </si>
  <si>
    <t>Northern Colorado</t>
  </si>
  <si>
    <t>Northern Illinois</t>
  </si>
  <si>
    <t>Northern Iowa</t>
  </si>
  <si>
    <t>Northwestern State</t>
  </si>
  <si>
    <t>Oakland</t>
  </si>
  <si>
    <t>Ohio</t>
  </si>
  <si>
    <t>Ohio State</t>
  </si>
  <si>
    <t>Oklahoma</t>
  </si>
  <si>
    <t>Oklahoma State</t>
  </si>
  <si>
    <t>Old Dominion</t>
  </si>
  <si>
    <t>Oregon</t>
  </si>
  <si>
    <t>Oregon State</t>
  </si>
  <si>
    <t>Penn State</t>
  </si>
  <si>
    <t>Portland State</t>
  </si>
  <si>
    <t>Prairie View A&amp;M</t>
  </si>
  <si>
    <t>Purdue</t>
  </si>
  <si>
    <t>Purdue Fort Wayne</t>
  </si>
  <si>
    <t>Radford</t>
  </si>
  <si>
    <t>Rhode Island</t>
  </si>
  <si>
    <t>Rutgers</t>
  </si>
  <si>
    <t>Sacramento State</t>
  </si>
  <si>
    <t>Sam Houston State</t>
  </si>
  <si>
    <t>San Diego State</t>
  </si>
  <si>
    <t>San Jose State</t>
  </si>
  <si>
    <t>Savannah State</t>
  </si>
  <si>
    <t>South Alabama</t>
  </si>
  <si>
    <t>South Carolina</t>
  </si>
  <si>
    <t>South Carolina Upstate</t>
  </si>
  <si>
    <t>South Carolina State</t>
  </si>
  <si>
    <t>South Dakota</t>
  </si>
  <si>
    <t>South Dakota State</t>
  </si>
  <si>
    <t>South Florida</t>
  </si>
  <si>
    <t>Southeast Missouri State</t>
  </si>
  <si>
    <t>Southern</t>
  </si>
  <si>
    <t>Southern Illinois</t>
  </si>
  <si>
    <t>Southern Illinois Edwardsville</t>
  </si>
  <si>
    <t>Southern Mississippi</t>
  </si>
  <si>
    <t>Southern Utah</t>
  </si>
  <si>
    <t>Stephen F. Austin</t>
  </si>
  <si>
    <t>Stony Brook</t>
  </si>
  <si>
    <t>Tennessee</t>
  </si>
  <si>
    <t>Tennessee Chattanooga</t>
  </si>
  <si>
    <t>Tennessee Martin</t>
  </si>
  <si>
    <t>Tennessee Tech</t>
  </si>
  <si>
    <t>Texas</t>
  </si>
  <si>
    <t>Texas A&amp;M</t>
  </si>
  <si>
    <t>Texas A&amp;M Corpus Christi</t>
  </si>
  <si>
    <t>Texas Arlington</t>
  </si>
  <si>
    <t>Texas Southern</t>
  </si>
  <si>
    <t>Texas State</t>
  </si>
  <si>
    <t>Texas Tech</t>
  </si>
  <si>
    <t>Toledo</t>
  </si>
  <si>
    <t>Towson</t>
  </si>
  <si>
    <t>Troy</t>
  </si>
  <si>
    <t>UAB</t>
  </si>
  <si>
    <t>UC Davis</t>
  </si>
  <si>
    <t>UC Irvine</t>
  </si>
  <si>
    <t>UC Riverside</t>
  </si>
  <si>
    <t>UC Santa Barbara</t>
  </si>
  <si>
    <t>UCF</t>
  </si>
  <si>
    <t>UCLA</t>
  </si>
  <si>
    <t>UNLV</t>
  </si>
  <si>
    <t>Utah</t>
  </si>
  <si>
    <t>Utah State</t>
  </si>
  <si>
    <t>Utah Valley</t>
  </si>
  <si>
    <t>UTEP</t>
  </si>
  <si>
    <t>UTRGV</t>
  </si>
  <si>
    <t>UTSA</t>
  </si>
  <si>
    <t>VCU</t>
  </si>
  <si>
    <t>Vermont</t>
  </si>
  <si>
    <t>Virginia</t>
  </si>
  <si>
    <t>Virginia Tech</t>
  </si>
  <si>
    <t>Washington</t>
  </si>
  <si>
    <t>Washington State</t>
  </si>
  <si>
    <t>Weber State</t>
  </si>
  <si>
    <t>West Virginia</t>
  </si>
  <si>
    <t>Western Carolina</t>
  </si>
  <si>
    <t>Western Illinois</t>
  </si>
  <si>
    <t>Western Kentucky</t>
  </si>
  <si>
    <t>Western Michigan</t>
  </si>
  <si>
    <t>Wichita State</t>
  </si>
  <si>
    <t>William &amp; Mary</t>
  </si>
  <si>
    <t>Winthrop</t>
  </si>
  <si>
    <t>Wisconsin</t>
  </si>
  <si>
    <t>Wisconsin Green Bay</t>
  </si>
  <si>
    <t>Wisconsin Milwaukee</t>
  </si>
  <si>
    <t>Wright State</t>
  </si>
  <si>
    <t>Wyoming</t>
  </si>
  <si>
    <t>Youngstown State</t>
  </si>
  <si>
    <t>code</t>
  </si>
  <si>
    <t>VariableRev</t>
  </si>
  <si>
    <t>RealVariableRev</t>
  </si>
  <si>
    <t>SupportStaffSalary</t>
  </si>
  <si>
    <t>RealSupportStaffSalary</t>
  </si>
  <si>
    <t>MSupportSalary1</t>
  </si>
  <si>
    <t>MSupportSalary2</t>
  </si>
  <si>
    <t>WSupportSalary1</t>
  </si>
  <si>
    <t>WSupportSalary2</t>
  </si>
  <si>
    <t>NAGSupportSalary1</t>
  </si>
  <si>
    <t>NAGSupportSalary2</t>
  </si>
  <si>
    <t>MSupportSalary</t>
  </si>
  <si>
    <t>WSupportSalary</t>
  </si>
  <si>
    <t>Track and Field X- Country</t>
  </si>
  <si>
    <t>Male</t>
  </si>
  <si>
    <t>Female</t>
  </si>
  <si>
    <t xml:space="preserve">Golf </t>
  </si>
  <si>
    <t xml:space="preserve">Swimming and diving </t>
  </si>
  <si>
    <t xml:space="preserve">Track and Field , X country </t>
  </si>
  <si>
    <t>Women</t>
  </si>
  <si>
    <t xml:space="preserve">Beach Volleyball </t>
  </si>
  <si>
    <t>Consumer Price Index for All Urban Consumers (CPI-U)</t>
  </si>
  <si>
    <t>Original Data Value</t>
  </si>
  <si>
    <t>Series Id:</t>
  </si>
  <si>
    <t>CUUR0000SA0</t>
  </si>
  <si>
    <t>Not Seasonally Adjusted</t>
  </si>
  <si>
    <t>Series Title:</t>
  </si>
  <si>
    <t>All items in U.S. city average, all urban consumers, not seasonally adjusted</t>
  </si>
  <si>
    <t>Area:</t>
  </si>
  <si>
    <t>U.S. city average</t>
  </si>
  <si>
    <t>Item:</t>
  </si>
  <si>
    <t>All items</t>
  </si>
  <si>
    <t>Base Period:</t>
  </si>
  <si>
    <t>1982-84=100</t>
  </si>
  <si>
    <t>Years:</t>
  </si>
  <si>
    <t>2014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</si>
  <si>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</si>
  <si>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</si>
  <si>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</si>
  <si>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</si>
  <si>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</si>
  <si>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</si>
  <si>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</si>
  <si>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</si>
  <si>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</si>
  <si>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</si>
  <si>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</si>
  <si>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</si>
  <si>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</si>
  <si>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HALF1</t>
  </si>
  <si>
    <t>HALF2</t>
  </si>
  <si>
    <t xml:space="preserve">Football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</si>
</sst>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0"/>
  </numFmts>
  <fonts count="8" x14ac:knownFonts="1">
    <font>
      <sz val="11"/>
      <color theme="1"/>
      <name val="Aptos Narrow"/>
      <family val="2"/>
      <scheme val="minor"/>
    </font>
    <font>
      <sz val="11"/>
      <color rgb="FF231F2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color rgb="FF231F2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4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center" wrapText="1"/>
    </xf>
    <xf numFmtId="0" fontId="4" fillId="0" borderId="0" xfId="0" applyFont="1" applyAlignment="1">
      <alignment horizontal="left"/>
    </xf>
    <xf numFmtId="164" fontId="5" fillId="0" borderId="0" xfId="0" applyNumberFormat="1" applyFont="1" applyAlignment="1">
      <alignment horizontal="right"/>
    </xf>
    <xf numFmtId="164" fontId="0" fillId="0" borderId="0" xfId="0" applyNumberFormat="1"/>
    <xf numFmtId="0" fontId="0" fillId="7" borderId="0" xfId="0" applyFill="1"/>
    <xf numFmtId="0" fontId="0" fillId="6" borderId="0" xfId="0" applyFill="1"/>
    <xf numFmtId="3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3" fontId="0" fillId="0" borderId="0" xfId="0" applyNumberFormat="1"/>
    <xf numFmtId="3" fontId="6" fillId="0" borderId="0" xfId="0" applyNumberFormat="1" applyFont="1" applyAlignment="1">
      <alignment horizontal="right" vertical="center" wrapText="1"/>
    </xf>
    <xf numFmtId="3" fontId="7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FD59-A247-4B48-9743-5E78907C2DDA}">
  <dimension ref="A1:M844"/>
  <sheetViews>
    <sheetView topLeftCell="A823" workbookViewId="0">
      <selection activeCell="C2" sqref="C2"/>
    </sheetView>
  </sheetViews>
  <sheetFormatPr baseColWidth="10" defaultColWidth="8.83203125" defaultRowHeight="15" x14ac:dyDescent="0.2"/>
  <cols>
    <col min="1" max="1" width="4.33203125" bestFit="1" customWidth="1"/>
    <col min="2" max="2" width="6.6640625" customWidth="1"/>
    <col min="3" max="3" width="3.83203125" bestFit="1" customWidth="1"/>
    <col min="4" max="4" width="5" bestFit="1" customWidth="1"/>
    <col min="5" max="5" width="7.5" bestFit="1" customWidth="1"/>
    <col min="6" max="6" width="17" bestFit="1" customWidth="1"/>
    <col min="7" max="7" width="7.33203125" bestFit="1" customWidth="1"/>
    <col min="8" max="8" width="8.6640625" bestFit="1" customWidth="1"/>
    <col min="9" max="9" width="10.5" bestFit="1" customWidth="1"/>
    <col min="10" max="10" width="14" bestFit="1" customWidth="1"/>
    <col min="11" max="11" width="5.83203125" bestFit="1" customWidth="1"/>
    <col min="12" max="12" width="15.5" customWidth="1"/>
    <col min="13" max="13" width="19.83203125" customWidth="1"/>
    <col min="14" max="14" width="14.5" bestFit="1" customWidth="1"/>
  </cols>
  <sheetData>
    <row r="1" spans="1:13" x14ac:dyDescent="0.2">
      <c r="A1" t="s">
        <v>6</v>
      </c>
      <c r="B1" s="5" t="s">
        <v>270</v>
      </c>
      <c r="C1" s="5" t="s">
        <v>4</v>
      </c>
      <c r="D1" s="4" t="s">
        <v>0</v>
      </c>
      <c r="E1" s="4" t="s">
        <v>7</v>
      </c>
      <c r="F1" s="4" t="s">
        <v>1</v>
      </c>
      <c r="G1" s="4" t="s">
        <v>2</v>
      </c>
      <c r="H1" s="4" t="s">
        <v>3</v>
      </c>
      <c r="I1" s="4" t="s">
        <v>271</v>
      </c>
      <c r="J1" s="6" t="s">
        <v>272</v>
      </c>
      <c r="K1" s="5" t="s">
        <v>5</v>
      </c>
      <c r="L1" s="5" t="s">
        <v>273</v>
      </c>
      <c r="M1" s="6" t="s">
        <v>274</v>
      </c>
    </row>
    <row r="2" spans="1:13" ht="16" thickBot="1" x14ac:dyDescent="0.25">
      <c r="A2" s="7">
        <v>2</v>
      </c>
      <c r="B2">
        <f>IF(ISBLANK(G2),"",VLOOKUP(H2,code!B:C,2,FALSE))</f>
        <v>1</v>
      </c>
      <c r="C2">
        <f>IF(ISBLANK(G2),"",IF(MID(G2,1,1)="M",0,1))</f>
        <v>0</v>
      </c>
      <c r="D2">
        <v>2017</v>
      </c>
      <c r="E2">
        <v>104179</v>
      </c>
      <c r="F2" t="s">
        <v>54</v>
      </c>
      <c r="G2" t="s">
        <v>284</v>
      </c>
      <c r="H2" t="s">
        <v>9</v>
      </c>
      <c r="I2">
        <v>562609</v>
      </c>
      <c r="J2">
        <f>I2/VLOOKUP($D2,CPI!$P$16:$R$22,3,FALSE)</f>
        <v>694833.06430901308</v>
      </c>
      <c r="K2">
        <f>IF(ISBLANK(G2),"",IF(D2=2021,1,0))</f>
        <v>0</v>
      </c>
      <c r="L2" s="3">
        <v>0</v>
      </c>
      <c r="M2">
        <f>L2/VLOOKUP($D2,CPI!$P$16:$R$22,3,FALSE)</f>
        <v>0</v>
      </c>
    </row>
    <row r="3" spans="1:13" ht="16" thickBot="1" x14ac:dyDescent="0.25">
      <c r="A3" s="7">
        <v>2</v>
      </c>
      <c r="B3">
        <f>IF(ISBLANK(G3),"",VLOOKUP(H3,code!B:C,2,FALSE))</f>
        <v>2</v>
      </c>
      <c r="C3">
        <f t="shared" ref="C3:C66" si="0">IF(ISBLANK(G3),"",IF(MID(G3,1,1)="M",0,1))</f>
        <v>0</v>
      </c>
      <c r="D3">
        <v>2017</v>
      </c>
      <c r="E3">
        <v>104179</v>
      </c>
      <c r="F3" t="s">
        <v>54</v>
      </c>
      <c r="G3" t="s">
        <v>284</v>
      </c>
      <c r="H3" t="s">
        <v>10</v>
      </c>
      <c r="I3">
        <v>13307798</v>
      </c>
      <c r="J3">
        <f>I3/VLOOKUP($D3,CPI!$P$16:$R$22,3,FALSE)</f>
        <v>16435389.521933271</v>
      </c>
      <c r="K3">
        <f t="shared" ref="K3:K66" si="1">IF(ISBLANK(G3),"",IF(D3=2021,1,0))</f>
        <v>0</v>
      </c>
      <c r="L3" s="3" cm="1">
        <f t="array" ref="L3">IF($C3=0,INDEX('24&amp;25'!$L:$L,MATCH($D3&amp;$B3&amp;$E3,'24&amp;25'!$B:$B&amp;'24&amp;25'!$A:$A&amp;'24&amp;25'!$C:$C,0)),INDEX('24&amp;25'!$M:$M,MATCH($D3&amp;$B3&amp;$E3,'24&amp;25'!$B:$B&amp;'24&amp;25'!$A:$A&amp;'24&amp;25'!$C:$C,0)))</f>
        <v>373154</v>
      </c>
      <c r="M3">
        <f>L3/VLOOKUP($D3,CPI!$P$16:$R$22,3,FALSE)</f>
        <v>460852.45219889027</v>
      </c>
    </row>
    <row r="4" spans="1:13" ht="16" thickBot="1" x14ac:dyDescent="0.25">
      <c r="A4" s="7">
        <v>2</v>
      </c>
      <c r="B4">
        <f>IF(ISBLANK(G4),"",VLOOKUP(H4,code!B:C,2,FALSE))</f>
        <v>8</v>
      </c>
      <c r="C4">
        <f t="shared" si="0"/>
        <v>0</v>
      </c>
      <c r="D4">
        <v>2017</v>
      </c>
      <c r="E4">
        <v>104179</v>
      </c>
      <c r="F4" t="s">
        <v>54</v>
      </c>
      <c r="G4" t="s">
        <v>284</v>
      </c>
      <c r="H4" t="s">
        <v>16</v>
      </c>
      <c r="I4">
        <v>13296917</v>
      </c>
      <c r="J4">
        <f>I4/VLOOKUP($D4,CPI!$P$16:$R$22,3,FALSE)</f>
        <v>16421951.27517087</v>
      </c>
      <c r="K4">
        <f t="shared" si="1"/>
        <v>0</v>
      </c>
      <c r="L4" s="3" cm="1">
        <f t="array" ref="L4">IF($C4=0,INDEX('24&amp;25'!$L:$L,MATCH($D4&amp;$B4&amp;$E4,'24&amp;25'!$B:$B&amp;'24&amp;25'!$A:$A&amp;'24&amp;25'!$C:$C,0)),INDEX('24&amp;25'!$M:$M,MATCH($D4&amp;$B4&amp;$E4,'24&amp;25'!$B:$B&amp;'24&amp;25'!$A:$A&amp;'24&amp;25'!$C:$C,0)))</f>
        <v>1309151</v>
      </c>
      <c r="M4">
        <f>L4/VLOOKUP($D4,CPI!$P$16:$R$22,3,FALSE)</f>
        <v>1616826.9632608236</v>
      </c>
    </row>
    <row r="5" spans="1:13" ht="16" thickBot="1" x14ac:dyDescent="0.25">
      <c r="A5" s="7">
        <v>2</v>
      </c>
      <c r="B5">
        <f>IF(ISBLANK(G5),"",VLOOKUP(H5,code!B:C,2,FALSE))</f>
        <v>9</v>
      </c>
      <c r="C5">
        <f t="shared" si="0"/>
        <v>0</v>
      </c>
      <c r="D5">
        <v>2017</v>
      </c>
      <c r="E5">
        <v>104179</v>
      </c>
      <c r="F5" t="s">
        <v>54</v>
      </c>
      <c r="G5" t="s">
        <v>284</v>
      </c>
      <c r="H5" t="s">
        <v>17</v>
      </c>
      <c r="I5">
        <v>65850</v>
      </c>
      <c r="J5">
        <f>I5/VLOOKUP($D5,CPI!$P$16:$R$22,3,FALSE)</f>
        <v>81326.031550772401</v>
      </c>
      <c r="K5">
        <f t="shared" si="1"/>
        <v>0</v>
      </c>
      <c r="L5" s="3" cm="1">
        <f t="array" ref="L5">IF($C5=0,INDEX('24&amp;25'!$L:$L,MATCH($D5&amp;$B5&amp;$E5,'24&amp;25'!$B:$B&amp;'24&amp;25'!$A:$A&amp;'24&amp;25'!$C:$C,0)),INDEX('24&amp;25'!$M:$M,MATCH($D5&amp;$B5&amp;$E5,'24&amp;25'!$B:$B&amp;'24&amp;25'!$A:$A&amp;'24&amp;25'!$C:$C,0)))</f>
        <v>0</v>
      </c>
      <c r="M5">
        <f>L5/VLOOKUP($D5,CPI!$P$16:$R$22,3,FALSE)</f>
        <v>0</v>
      </c>
    </row>
    <row r="6" spans="1:13" ht="16" thickBot="1" x14ac:dyDescent="0.25">
      <c r="A6" s="7">
        <v>2</v>
      </c>
      <c r="B6">
        <f>IF(ISBLANK(G6),"",VLOOKUP(H6,code!B:C,2,FALSE))</f>
        <v>19</v>
      </c>
      <c r="C6">
        <f t="shared" si="0"/>
        <v>0</v>
      </c>
      <c r="D6">
        <v>2017</v>
      </c>
      <c r="E6">
        <v>104179</v>
      </c>
      <c r="F6" t="s">
        <v>54</v>
      </c>
      <c r="G6" t="s">
        <v>284</v>
      </c>
      <c r="H6" t="s">
        <v>27</v>
      </c>
      <c r="I6">
        <v>12305</v>
      </c>
      <c r="J6">
        <f>I6/VLOOKUP($D6,CPI!$P$16:$R$22,3,FALSE)</f>
        <v>15196.914475812519</v>
      </c>
      <c r="K6">
        <f t="shared" si="1"/>
        <v>0</v>
      </c>
      <c r="L6" s="3" cm="1">
        <f t="array" ref="L6">IF($C6=0,INDEX('24&amp;25'!$L:$L,MATCH($D6&amp;$B6&amp;$E6,'24&amp;25'!$B:$B&amp;'24&amp;25'!$A:$A&amp;'24&amp;25'!$C:$C,0)),INDEX('24&amp;25'!$M:$M,MATCH($D6&amp;$B6&amp;$E6,'24&amp;25'!$B:$B&amp;'24&amp;25'!$A:$A&amp;'24&amp;25'!$C:$C,0)))</f>
        <v>45379</v>
      </c>
      <c r="M6">
        <f>L6/VLOOKUP($D6,CPI!$P$16:$R$22,3,FALSE)</f>
        <v>56043.948150987104</v>
      </c>
    </row>
    <row r="7" spans="1:13" ht="16" thickBot="1" x14ac:dyDescent="0.25">
      <c r="A7" s="7">
        <v>2</v>
      </c>
      <c r="B7">
        <f>IF(ISBLANK(G7),"",VLOOKUP(H7,code!B:C,2,FALSE))</f>
        <v>20</v>
      </c>
      <c r="C7">
        <f t="shared" si="0"/>
        <v>0</v>
      </c>
      <c r="D7">
        <v>2017</v>
      </c>
      <c r="E7">
        <v>104179</v>
      </c>
      <c r="F7" t="s">
        <v>54</v>
      </c>
      <c r="G7" t="s">
        <v>284</v>
      </c>
      <c r="H7" t="s">
        <v>28</v>
      </c>
      <c r="I7">
        <v>4156</v>
      </c>
      <c r="J7">
        <f>I7/VLOOKUP($D7,CPI!$P$16:$R$22,3,FALSE)</f>
        <v>5132.7408826880801</v>
      </c>
      <c r="K7">
        <f t="shared" si="1"/>
        <v>0</v>
      </c>
      <c r="L7" s="3" cm="1">
        <f t="array" ref="L7">IF($C7=0,INDEX('24&amp;25'!$L:$L,MATCH($D7&amp;$B7&amp;$E7,'24&amp;25'!$B:$B&amp;'24&amp;25'!$A:$A&amp;'24&amp;25'!$C:$C,0)),INDEX('24&amp;25'!$M:$M,MATCH($D7&amp;$B7&amp;$E7,'24&amp;25'!$B:$B&amp;'24&amp;25'!$A:$A&amp;'24&amp;25'!$C:$C,0)))</f>
        <v>0</v>
      </c>
      <c r="M7">
        <f>L7/VLOOKUP($D7,CPI!$P$16:$R$22,3,FALSE)</f>
        <v>0</v>
      </c>
    </row>
    <row r="8" spans="1:13" ht="16" thickBot="1" x14ac:dyDescent="0.25">
      <c r="A8" s="7">
        <v>2</v>
      </c>
      <c r="B8">
        <f>IF(ISBLANK(G8),"",VLOOKUP(H8,code!B:C,2,FALSE))</f>
        <v>21</v>
      </c>
      <c r="C8">
        <f t="shared" si="0"/>
        <v>0</v>
      </c>
      <c r="D8">
        <v>2017</v>
      </c>
      <c r="E8">
        <v>104179</v>
      </c>
      <c r="F8" t="s">
        <v>54</v>
      </c>
      <c r="G8" t="s">
        <v>284</v>
      </c>
      <c r="H8" t="s">
        <v>30</v>
      </c>
      <c r="I8">
        <v>37079</v>
      </c>
      <c r="J8">
        <f>I8/VLOOKUP($D8,CPI!$P$16:$R$22,3,FALSE)</f>
        <v>45793.286619150946</v>
      </c>
      <c r="K8">
        <f t="shared" si="1"/>
        <v>0</v>
      </c>
      <c r="L8" s="3" cm="1">
        <f t="array" ref="L8">IF($C8=0,INDEX('24&amp;25'!$L:$L,MATCH($D8&amp;$B8&amp;$E8,'24&amp;25'!$B:$B&amp;'24&amp;25'!$A:$A&amp;'24&amp;25'!$C:$C,0)),INDEX('24&amp;25'!$M:$M,MATCH($D8&amp;$B8&amp;$E8,'24&amp;25'!$B:$B&amp;'24&amp;25'!$A:$A&amp;'24&amp;25'!$C:$C,0)))</f>
        <v>41582</v>
      </c>
      <c r="M8">
        <f>L8/VLOOKUP($D8,CPI!$P$16:$R$22,3,FALSE)</f>
        <v>51354.579255037475</v>
      </c>
    </row>
    <row r="9" spans="1:13" ht="16" thickBot="1" x14ac:dyDescent="0.25">
      <c r="A9" s="7">
        <v>2</v>
      </c>
      <c r="B9">
        <f>IF(ISBLANK(G9),"",VLOOKUP(H9,code!B:C,2,FALSE))</f>
        <v>2</v>
      </c>
      <c r="C9">
        <f t="shared" si="0"/>
        <v>1</v>
      </c>
      <c r="D9">
        <v>2017</v>
      </c>
      <c r="E9">
        <v>104179</v>
      </c>
      <c r="F9" t="s">
        <v>54</v>
      </c>
      <c r="G9" t="s">
        <v>285</v>
      </c>
      <c r="H9" t="s">
        <v>10</v>
      </c>
      <c r="I9">
        <v>131114</v>
      </c>
      <c r="J9">
        <f>I9/VLOOKUP($D9,CPI!$P$16:$R$22,3,FALSE)</f>
        <v>161928.34169700794</v>
      </c>
      <c r="K9">
        <f t="shared" si="1"/>
        <v>0</v>
      </c>
      <c r="L9" s="3" cm="1">
        <f t="array" ref="L9">IF($C9=0,INDEX('24&amp;25'!$L:$L,MATCH($D9&amp;$B9&amp;$E9,'24&amp;25'!$B:$B&amp;'24&amp;25'!$A:$A&amp;'24&amp;25'!$C:$C,0)),INDEX('24&amp;25'!$M:$M,MATCH($D9&amp;$B9&amp;$E9,'24&amp;25'!$B:$B&amp;'24&amp;25'!$A:$A&amp;'24&amp;25'!$C:$C,0)))</f>
        <v>193255</v>
      </c>
      <c r="M9">
        <f>L9/VLOOKUP($D9,CPI!$P$16:$R$22,3,FALSE)</f>
        <v>238673.6860644574</v>
      </c>
    </row>
    <row r="10" spans="1:13" ht="16" thickBot="1" x14ac:dyDescent="0.25">
      <c r="A10" s="7">
        <v>2</v>
      </c>
      <c r="B10">
        <f>IF(ISBLANK(G10),"",VLOOKUP(H10,code!B:C,2,FALSE))</f>
        <v>3</v>
      </c>
      <c r="C10">
        <f t="shared" si="0"/>
        <v>1</v>
      </c>
      <c r="D10">
        <v>2017</v>
      </c>
      <c r="E10">
        <v>104179</v>
      </c>
      <c r="F10" t="s">
        <v>54</v>
      </c>
      <c r="G10" t="s">
        <v>285</v>
      </c>
      <c r="H10" t="s">
        <v>11</v>
      </c>
      <c r="I10">
        <v>1375</v>
      </c>
      <c r="J10">
        <f>I10/VLOOKUP($D10,CPI!$P$16:$R$22,3,FALSE)</f>
        <v>1698.1517597921343</v>
      </c>
      <c r="K10">
        <f t="shared" si="1"/>
        <v>0</v>
      </c>
      <c r="L10" s="3" cm="1">
        <f t="array" ref="L10">IF($C10=0,INDEX('24&amp;25'!$L:$L,MATCH($D10&amp;$B10&amp;$E10,'24&amp;25'!$B:$B&amp;'24&amp;25'!$A:$A&amp;'24&amp;25'!$C:$C,0)),INDEX('24&amp;25'!$M:$M,MATCH($D10&amp;$B10&amp;$E10,'24&amp;25'!$B:$B&amp;'24&amp;25'!$A:$A&amp;'24&amp;25'!$C:$C,0)))</f>
        <v>0</v>
      </c>
      <c r="M10">
        <f>L10/VLOOKUP($D10,CPI!$P$16:$R$22,3,FALSE)</f>
        <v>0</v>
      </c>
    </row>
    <row r="11" spans="1:13" ht="16" thickBot="1" x14ac:dyDescent="0.25">
      <c r="A11" s="7">
        <v>2</v>
      </c>
      <c r="B11">
        <f>IF(ISBLANK(G11),"",VLOOKUP(H11,code!B:C,2,FALSE))</f>
        <v>9</v>
      </c>
      <c r="C11">
        <f t="shared" si="0"/>
        <v>1</v>
      </c>
      <c r="D11">
        <v>2017</v>
      </c>
      <c r="E11">
        <v>104179</v>
      </c>
      <c r="F11" t="s">
        <v>54</v>
      </c>
      <c r="G11" t="s">
        <v>285</v>
      </c>
      <c r="H11" t="s">
        <v>17</v>
      </c>
      <c r="I11">
        <v>18619</v>
      </c>
      <c r="J11">
        <f>I11/VLOOKUP($D11,CPI!$P$16:$R$22,3,FALSE)</f>
        <v>22994.827356777998</v>
      </c>
      <c r="K11">
        <f t="shared" si="1"/>
        <v>0</v>
      </c>
      <c r="L11" s="3" cm="1">
        <f t="array" ref="L11">IF($C11=0,INDEX('24&amp;25'!$L:$L,MATCH($D11&amp;$B11&amp;$E11,'24&amp;25'!$B:$B&amp;'24&amp;25'!$A:$A&amp;'24&amp;25'!$C:$C,0)),INDEX('24&amp;25'!$M:$M,MATCH($D11&amp;$B11&amp;$E11,'24&amp;25'!$B:$B&amp;'24&amp;25'!$A:$A&amp;'24&amp;25'!$C:$C,0)))</f>
        <v>0</v>
      </c>
      <c r="M11">
        <f>L11/VLOOKUP($D11,CPI!$P$16:$R$22,3,FALSE)</f>
        <v>0</v>
      </c>
    </row>
    <row r="12" spans="1:13" ht="16" thickBot="1" x14ac:dyDescent="0.25">
      <c r="A12" s="7">
        <v>2</v>
      </c>
      <c r="B12">
        <f>IF(ISBLANK(G12),"",VLOOKUP(H12,code!B:C,2,FALSE))</f>
        <v>10</v>
      </c>
      <c r="C12">
        <f t="shared" si="0"/>
        <v>1</v>
      </c>
      <c r="D12">
        <v>2017</v>
      </c>
      <c r="E12">
        <v>104179</v>
      </c>
      <c r="F12" t="s">
        <v>54</v>
      </c>
      <c r="G12" t="s">
        <v>285</v>
      </c>
      <c r="H12" t="s">
        <v>18</v>
      </c>
      <c r="I12">
        <v>63685</v>
      </c>
      <c r="J12">
        <f>I12/VLOOKUP($D12,CPI!$P$16:$R$22,3,FALSE)</f>
        <v>78652.214416263334</v>
      </c>
      <c r="K12">
        <f t="shared" si="1"/>
        <v>0</v>
      </c>
      <c r="L12" s="3" cm="1">
        <f t="array" ref="L12">IF($C12=0,INDEX('24&amp;25'!$L:$L,MATCH($D12&amp;$B12&amp;$E12,'24&amp;25'!$B:$B&amp;'24&amp;25'!$A:$A&amp;'24&amp;25'!$C:$C,0)),INDEX('24&amp;25'!$M:$M,MATCH($D12&amp;$B12&amp;$E12,'24&amp;25'!$B:$B&amp;'24&amp;25'!$A:$A&amp;'24&amp;25'!$C:$C,0)))</f>
        <v>0</v>
      </c>
      <c r="M12">
        <f>L12/VLOOKUP($D12,CPI!$P$16:$R$22,3,FALSE)</f>
        <v>0</v>
      </c>
    </row>
    <row r="13" spans="1:13" ht="16" thickBot="1" x14ac:dyDescent="0.25">
      <c r="A13" s="7">
        <v>2</v>
      </c>
      <c r="B13">
        <f>IF(ISBLANK(G13),"",VLOOKUP(H13,code!B:C,2,FALSE))</f>
        <v>17</v>
      </c>
      <c r="C13">
        <f t="shared" si="0"/>
        <v>1</v>
      </c>
      <c r="D13">
        <v>2017</v>
      </c>
      <c r="E13">
        <v>104179</v>
      </c>
      <c r="F13" t="s">
        <v>54</v>
      </c>
      <c r="G13" t="s">
        <v>285</v>
      </c>
      <c r="H13" t="s">
        <v>25</v>
      </c>
      <c r="I13">
        <v>46581</v>
      </c>
      <c r="J13">
        <f>I13/VLOOKUP($D13,CPI!$P$16:$R$22,3,FALSE)</f>
        <v>57528.441543910842</v>
      </c>
      <c r="K13">
        <f t="shared" si="1"/>
        <v>0</v>
      </c>
      <c r="L13" s="3" cm="1">
        <f t="array" ref="L13">IF($C13=0,INDEX('24&amp;25'!$L:$L,MATCH($D13&amp;$B13&amp;$E13,'24&amp;25'!$B:$B&amp;'24&amp;25'!$A:$A&amp;'24&amp;25'!$C:$C,0)),INDEX('24&amp;25'!$M:$M,MATCH($D13&amp;$B13&amp;$E13,'24&amp;25'!$B:$B&amp;'24&amp;25'!$A:$A&amp;'24&amp;25'!$C:$C,0)))</f>
        <v>0</v>
      </c>
      <c r="M13">
        <f>L13/VLOOKUP($D13,CPI!$P$16:$R$22,3,FALSE)</f>
        <v>0</v>
      </c>
    </row>
    <row r="14" spans="1:13" ht="16" thickBot="1" x14ac:dyDescent="0.25">
      <c r="A14" s="7">
        <v>2</v>
      </c>
      <c r="B14">
        <f>IF(ISBLANK(G14),"",VLOOKUP(H14,code!B:C,2,FALSE))</f>
        <v>18</v>
      </c>
      <c r="C14">
        <f t="shared" si="0"/>
        <v>1</v>
      </c>
      <c r="D14">
        <v>2017</v>
      </c>
      <c r="E14">
        <v>104179</v>
      </c>
      <c r="F14" t="s">
        <v>54</v>
      </c>
      <c r="G14" t="s">
        <v>285</v>
      </c>
      <c r="H14" t="s">
        <v>26</v>
      </c>
      <c r="I14">
        <v>439507</v>
      </c>
      <c r="J14">
        <f>I14/VLOOKUP($D14,CPI!$P$16:$R$22,3,FALSE)</f>
        <v>542799.69853888114</v>
      </c>
      <c r="K14">
        <f t="shared" si="1"/>
        <v>0</v>
      </c>
      <c r="L14" s="3" cm="1">
        <f t="array" ref="L14">IF($C14=0,INDEX('24&amp;25'!$L:$L,MATCH($D14&amp;$B14&amp;$E14,'24&amp;25'!$B:$B&amp;'24&amp;25'!$A:$A&amp;'24&amp;25'!$C:$C,0)),INDEX('24&amp;25'!$M:$M,MATCH($D14&amp;$B14&amp;$E14,'24&amp;25'!$B:$B&amp;'24&amp;25'!$A:$A&amp;'24&amp;25'!$C:$C,0)))</f>
        <v>7422</v>
      </c>
      <c r="M14">
        <f>L14/VLOOKUP($D14,CPI!$P$16:$R$22,3,FALSE)</f>
        <v>9166.3144444925238</v>
      </c>
    </row>
    <row r="15" spans="1:13" ht="16" thickBot="1" x14ac:dyDescent="0.25">
      <c r="A15" s="7">
        <v>2</v>
      </c>
      <c r="B15">
        <f>IF(ISBLANK(G15),"",VLOOKUP(H15,code!B:C,2,FALSE))</f>
        <v>19</v>
      </c>
      <c r="C15">
        <f t="shared" si="0"/>
        <v>1</v>
      </c>
      <c r="D15">
        <v>2017</v>
      </c>
      <c r="E15">
        <v>104179</v>
      </c>
      <c r="F15" t="s">
        <v>54</v>
      </c>
      <c r="G15" t="s">
        <v>285</v>
      </c>
      <c r="H15" t="s">
        <v>27</v>
      </c>
      <c r="I15">
        <v>14464</v>
      </c>
      <c r="J15">
        <f>I15/VLOOKUP($D15,CPI!$P$16:$R$22,3,FALSE)</f>
        <v>17863.321493551586</v>
      </c>
      <c r="K15">
        <f t="shared" si="1"/>
        <v>0</v>
      </c>
      <c r="L15" s="3" cm="1">
        <f t="array" ref="L15">IF($C15=0,INDEX('24&amp;25'!$L:$L,MATCH($D15&amp;$B15&amp;$E15,'24&amp;25'!$B:$B&amp;'24&amp;25'!$A:$A&amp;'24&amp;25'!$C:$C,0)),INDEX('24&amp;25'!$M:$M,MATCH($D15&amp;$B15&amp;$E15,'24&amp;25'!$B:$B&amp;'24&amp;25'!$A:$A&amp;'24&amp;25'!$C:$C,0)))</f>
        <v>45379</v>
      </c>
      <c r="M15">
        <f>L15/VLOOKUP($D15,CPI!$P$16:$R$22,3,FALSE)</f>
        <v>56043.948150987104</v>
      </c>
    </row>
    <row r="16" spans="1:13" ht="16" thickBot="1" x14ac:dyDescent="0.25">
      <c r="A16" s="7">
        <v>2</v>
      </c>
      <c r="B16">
        <f>IF(ISBLANK(G16),"",VLOOKUP(H16,code!B:C,2,FALSE))</f>
        <v>20</v>
      </c>
      <c r="C16">
        <f t="shared" si="0"/>
        <v>1</v>
      </c>
      <c r="D16">
        <v>2017</v>
      </c>
      <c r="E16">
        <v>104179</v>
      </c>
      <c r="F16" t="s">
        <v>54</v>
      </c>
      <c r="G16" t="s">
        <v>285</v>
      </c>
      <c r="H16" t="s">
        <v>28</v>
      </c>
      <c r="I16">
        <v>14843</v>
      </c>
      <c r="J16">
        <f>I16/VLOOKUP($D16,CPI!$P$16:$R$22,3,FALSE)</f>
        <v>18331.393869523381</v>
      </c>
      <c r="K16">
        <f t="shared" si="1"/>
        <v>0</v>
      </c>
      <c r="L16" s="3" cm="1">
        <f t="array" ref="L16">IF($C16=0,INDEX('24&amp;25'!$L:$L,MATCH($D16&amp;$B16&amp;$E16,'24&amp;25'!$B:$B&amp;'24&amp;25'!$A:$A&amp;'24&amp;25'!$C:$C,0)),INDEX('24&amp;25'!$M:$M,MATCH($D16&amp;$B16&amp;$E16,'24&amp;25'!$B:$B&amp;'24&amp;25'!$A:$A&amp;'24&amp;25'!$C:$C,0)))</f>
        <v>0</v>
      </c>
      <c r="M16">
        <f>L16/VLOOKUP($D16,CPI!$P$16:$R$22,3,FALSE)</f>
        <v>0</v>
      </c>
    </row>
    <row r="17" spans="1:13" ht="16" thickBot="1" x14ac:dyDescent="0.25">
      <c r="A17" s="7">
        <v>2</v>
      </c>
      <c r="B17">
        <f>IF(ISBLANK(G17),"",VLOOKUP(H17,code!B:C,2,FALSE))</f>
        <v>21</v>
      </c>
      <c r="C17">
        <f t="shared" si="0"/>
        <v>1</v>
      </c>
      <c r="D17">
        <v>2017</v>
      </c>
      <c r="E17">
        <v>104179</v>
      </c>
      <c r="F17" t="s">
        <v>54</v>
      </c>
      <c r="G17" t="s">
        <v>285</v>
      </c>
      <c r="H17" t="s">
        <v>30</v>
      </c>
      <c r="I17">
        <v>16537</v>
      </c>
      <c r="J17">
        <f>I17/VLOOKUP($D17,CPI!$P$16:$R$22,3,FALSE)</f>
        <v>20423.516837587293</v>
      </c>
      <c r="K17">
        <f t="shared" si="1"/>
        <v>0</v>
      </c>
      <c r="L17" s="3" cm="1">
        <f t="array" ref="L17">IF($C17=0,INDEX('24&amp;25'!$L:$L,MATCH($D17&amp;$B17&amp;$E17,'24&amp;25'!$B:$B&amp;'24&amp;25'!$A:$A&amp;'24&amp;25'!$C:$C,0)),INDEX('24&amp;25'!$M:$M,MATCH($D17&amp;$B17&amp;$E17,'24&amp;25'!$B:$B&amp;'24&amp;25'!$A:$A&amp;'24&amp;25'!$C:$C,0)))</f>
        <v>40125</v>
      </c>
      <c r="M17">
        <f>L17/VLOOKUP($D17,CPI!$P$16:$R$22,3,FALSE)</f>
        <v>49555.15589938865</v>
      </c>
    </row>
    <row r="18" spans="1:13" ht="16" thickBot="1" x14ac:dyDescent="0.25">
      <c r="A18" s="7">
        <v>2</v>
      </c>
      <c r="B18">
        <f>IF(ISBLANK(G18),"",VLOOKUP(H18,code!B:C,2,FALSE))</f>
        <v>23</v>
      </c>
      <c r="C18">
        <f t="shared" si="0"/>
        <v>1</v>
      </c>
      <c r="D18">
        <v>2017</v>
      </c>
      <c r="E18">
        <v>104179</v>
      </c>
      <c r="F18" t="s">
        <v>54</v>
      </c>
      <c r="G18" t="s">
        <v>285</v>
      </c>
      <c r="H18" t="s">
        <v>33</v>
      </c>
      <c r="I18">
        <v>125996</v>
      </c>
      <c r="J18">
        <f>I18/VLOOKUP($D18,CPI!$P$16:$R$22,3,FALSE)</f>
        <v>155607.51209219618</v>
      </c>
      <c r="K18">
        <f t="shared" si="1"/>
        <v>0</v>
      </c>
      <c r="L18" s="3" cm="1">
        <f t="array" ref="L18">IF($C18=0,INDEX('24&amp;25'!$L:$L,MATCH($D18&amp;$B18&amp;$E18,'24&amp;25'!$B:$B&amp;'24&amp;25'!$A:$A&amp;'24&amp;25'!$C:$C,0)),INDEX('24&amp;25'!$M:$M,MATCH($D18&amp;$B18&amp;$E18,'24&amp;25'!$B:$B&amp;'24&amp;25'!$A:$A&amp;'24&amp;25'!$C:$C,0)))</f>
        <v>64377</v>
      </c>
      <c r="M18">
        <f>L18/VLOOKUP($D18,CPI!$P$16:$R$22,3,FALSE)</f>
        <v>79506.847883736904</v>
      </c>
    </row>
    <row r="19" spans="1:13" ht="16" thickBot="1" x14ac:dyDescent="0.25">
      <c r="A19" s="7">
        <v>2</v>
      </c>
      <c r="B19">
        <f>IF(ISBLANK(G19),"",VLOOKUP(H19,code!B:C,2,FALSE))</f>
        <v>1</v>
      </c>
      <c r="C19">
        <f t="shared" si="0"/>
        <v>0</v>
      </c>
      <c r="D19">
        <v>2018</v>
      </c>
      <c r="E19">
        <v>104179</v>
      </c>
      <c r="F19" t="s">
        <v>54</v>
      </c>
      <c r="G19" t="s">
        <v>284</v>
      </c>
      <c r="H19" t="s">
        <v>9</v>
      </c>
      <c r="I19">
        <v>523676</v>
      </c>
      <c r="J19">
        <f>I19/VLOOKUP($D19,CPI!$P$16:$R$22,3,FALSE)</f>
        <v>632493.58752408065</v>
      </c>
      <c r="K19">
        <f t="shared" si="1"/>
        <v>0</v>
      </c>
      <c r="L19" s="3" cm="1">
        <f t="array" ref="L19">IF($C19=0,INDEX('24&amp;25'!$L:$L,MATCH($D19&amp;$B19&amp;$E19,'24&amp;25'!$B:$B&amp;'24&amp;25'!$A:$A&amp;'24&amp;25'!$C:$C,0)),INDEX('24&amp;25'!$M:$M,MATCH($D19&amp;$B19&amp;$E19,'24&amp;25'!$B:$B&amp;'24&amp;25'!$A:$A&amp;'24&amp;25'!$C:$C,0)))</f>
        <v>51785</v>
      </c>
      <c r="M19">
        <f>L19/VLOOKUP($D19,CPI!$P$16:$R$22,3,FALSE)</f>
        <v>62545.697014823127</v>
      </c>
    </row>
    <row r="20" spans="1:13" ht="16" thickBot="1" x14ac:dyDescent="0.25">
      <c r="A20" s="7">
        <v>2</v>
      </c>
      <c r="B20">
        <f>IF(ISBLANK(G20),"",VLOOKUP(H20,code!B:C,2,FALSE))</f>
        <v>2</v>
      </c>
      <c r="C20">
        <f t="shared" si="0"/>
        <v>0</v>
      </c>
      <c r="D20">
        <v>2018</v>
      </c>
      <c r="E20">
        <v>104179</v>
      </c>
      <c r="F20" t="s">
        <v>54</v>
      </c>
      <c r="G20" t="s">
        <v>284</v>
      </c>
      <c r="H20" t="s">
        <v>10</v>
      </c>
      <c r="I20">
        <v>12967478</v>
      </c>
      <c r="J20">
        <f>I20/VLOOKUP($D20,CPI!$P$16:$R$22,3,FALSE)</f>
        <v>15662063.33946866</v>
      </c>
      <c r="K20">
        <f t="shared" si="1"/>
        <v>0</v>
      </c>
      <c r="L20" s="3" cm="1">
        <f t="array" ref="L20">IF($C20=0,INDEX('24&amp;25'!$L:$L,MATCH($D20&amp;$B20&amp;$E20,'24&amp;25'!$B:$B&amp;'24&amp;25'!$A:$A&amp;'24&amp;25'!$C:$C,0)),INDEX('24&amp;25'!$M:$M,MATCH($D20&amp;$B20&amp;$E20,'24&amp;25'!$B:$B&amp;'24&amp;25'!$A:$A&amp;'24&amp;25'!$C:$C,0)))</f>
        <v>417443</v>
      </c>
      <c r="M20">
        <f>L20/VLOOKUP($D20,CPI!$P$16:$R$22,3,FALSE)</f>
        <v>504185.83371553174</v>
      </c>
    </row>
    <row r="21" spans="1:13" ht="16" thickBot="1" x14ac:dyDescent="0.25">
      <c r="A21" s="7">
        <v>2</v>
      </c>
      <c r="B21">
        <f>IF(ISBLANK(G21),"",VLOOKUP(H21,code!B:C,2,FALSE))</f>
        <v>8</v>
      </c>
      <c r="C21">
        <f t="shared" si="0"/>
        <v>0</v>
      </c>
      <c r="D21">
        <v>2018</v>
      </c>
      <c r="E21">
        <v>104179</v>
      </c>
      <c r="F21" t="s">
        <v>54</v>
      </c>
      <c r="G21" t="s">
        <v>284</v>
      </c>
      <c r="H21" t="s">
        <v>16</v>
      </c>
      <c r="I21">
        <v>12822952</v>
      </c>
      <c r="J21">
        <f>I21/VLOOKUP($D21,CPI!$P$16:$R$22,3,FALSE)</f>
        <v>15487505.467367388</v>
      </c>
      <c r="K21">
        <f t="shared" si="1"/>
        <v>0</v>
      </c>
      <c r="L21" s="3" cm="1">
        <f t="array" ref="L21">IF($C21=0,INDEX('24&amp;25'!$L:$L,MATCH($D21&amp;$B21&amp;$E21,'24&amp;25'!$B:$B&amp;'24&amp;25'!$A:$A&amp;'24&amp;25'!$C:$C,0)),INDEX('24&amp;25'!$M:$M,MATCH($D21&amp;$B21&amp;$E21,'24&amp;25'!$B:$B&amp;'24&amp;25'!$A:$A&amp;'24&amp;25'!$C:$C,0)))</f>
        <v>1123651</v>
      </c>
      <c r="M21">
        <f>L21/VLOOKUP($D21,CPI!$P$16:$R$22,3,FALSE)</f>
        <v>1357140.7742860485</v>
      </c>
    </row>
    <row r="22" spans="1:13" ht="16" thickBot="1" x14ac:dyDescent="0.25">
      <c r="A22" s="7">
        <v>2</v>
      </c>
      <c r="B22">
        <f>IF(ISBLANK(G22),"",VLOOKUP(H22,code!B:C,2,FALSE))</f>
        <v>9</v>
      </c>
      <c r="C22">
        <f t="shared" si="0"/>
        <v>0</v>
      </c>
      <c r="D22">
        <v>2018</v>
      </c>
      <c r="E22">
        <v>104179</v>
      </c>
      <c r="F22" t="s">
        <v>54</v>
      </c>
      <c r="G22" t="s">
        <v>284</v>
      </c>
      <c r="H22" t="s">
        <v>17</v>
      </c>
      <c r="I22">
        <v>65289</v>
      </c>
      <c r="J22">
        <f>I22/VLOOKUP($D22,CPI!$P$16:$R$22,3,FALSE)</f>
        <v>78855.769284557056</v>
      </c>
      <c r="K22">
        <f t="shared" si="1"/>
        <v>0</v>
      </c>
      <c r="L22" s="3" cm="1">
        <f t="array" ref="L22">IF($C22=0,INDEX('24&amp;25'!$L:$L,MATCH($D22&amp;$B22&amp;$E22,'24&amp;25'!$B:$B&amp;'24&amp;25'!$A:$A&amp;'24&amp;25'!$C:$C,0)),INDEX('24&amp;25'!$M:$M,MATCH($D22&amp;$B22&amp;$E22,'24&amp;25'!$B:$B&amp;'24&amp;25'!$A:$A&amp;'24&amp;25'!$C:$C,0)))</f>
        <v>0</v>
      </c>
      <c r="M22">
        <f>L22/VLOOKUP($D22,CPI!$P$16:$R$22,3,FALSE)</f>
        <v>0</v>
      </c>
    </row>
    <row r="23" spans="1:13" ht="16" thickBot="1" x14ac:dyDescent="0.25">
      <c r="A23" s="7">
        <v>2</v>
      </c>
      <c r="B23">
        <f>IF(ISBLANK(G23),"",VLOOKUP(H23,code!B:C,2,FALSE))</f>
        <v>19</v>
      </c>
      <c r="C23">
        <f t="shared" si="0"/>
        <v>0</v>
      </c>
      <c r="D23">
        <v>2018</v>
      </c>
      <c r="E23">
        <v>104179</v>
      </c>
      <c r="F23" t="s">
        <v>54</v>
      </c>
      <c r="G23" t="s">
        <v>284</v>
      </c>
      <c r="H23" t="s">
        <v>27</v>
      </c>
      <c r="I23">
        <v>14595</v>
      </c>
      <c r="J23">
        <f>I23/VLOOKUP($D23,CPI!$P$16:$R$22,3,FALSE)</f>
        <v>17627.777308706063</v>
      </c>
      <c r="K23">
        <f t="shared" si="1"/>
        <v>0</v>
      </c>
      <c r="L23" s="3" cm="1">
        <f t="array" ref="L23">IF($C23=0,INDEX('24&amp;25'!$L:$L,MATCH($D23&amp;$B23&amp;$E23,'24&amp;25'!$B:$B&amp;'24&amp;25'!$A:$A&amp;'24&amp;25'!$C:$C,0)),INDEX('24&amp;25'!$M:$M,MATCH($D23&amp;$B23&amp;$E23,'24&amp;25'!$B:$B&amp;'24&amp;25'!$A:$A&amp;'24&amp;25'!$C:$C,0)))</f>
        <v>36235</v>
      </c>
      <c r="M23">
        <f>L23/VLOOKUP($D23,CPI!$P$16:$R$22,3,FALSE)</f>
        <v>43764.474873652907</v>
      </c>
    </row>
    <row r="24" spans="1:13" ht="16" thickBot="1" x14ac:dyDescent="0.25">
      <c r="A24" s="7">
        <v>2</v>
      </c>
      <c r="B24">
        <f>IF(ISBLANK(G24),"",VLOOKUP(H24,code!B:C,2,FALSE))</f>
        <v>20</v>
      </c>
      <c r="C24">
        <f t="shared" si="0"/>
        <v>0</v>
      </c>
      <c r="D24">
        <v>2018</v>
      </c>
      <c r="E24">
        <v>104179</v>
      </c>
      <c r="F24" t="s">
        <v>54</v>
      </c>
      <c r="G24" t="s">
        <v>284</v>
      </c>
      <c r="H24" t="s">
        <v>28</v>
      </c>
      <c r="I24">
        <v>3151</v>
      </c>
      <c r="J24">
        <f>I24/VLOOKUP($D24,CPI!$P$16:$R$22,3,FALSE)</f>
        <v>3805.764049313656</v>
      </c>
      <c r="K24">
        <f t="shared" si="1"/>
        <v>0</v>
      </c>
      <c r="L24" s="3" cm="1">
        <f t="array" ref="L24">IF($C24=0,INDEX('24&amp;25'!$L:$L,MATCH($D24&amp;$B24&amp;$E24,'24&amp;25'!$B:$B&amp;'24&amp;25'!$A:$A&amp;'24&amp;25'!$C:$C,0)),INDEX('24&amp;25'!$M:$M,MATCH($D24&amp;$B24&amp;$E24,'24&amp;25'!$B:$B&amp;'24&amp;25'!$A:$A&amp;'24&amp;25'!$C:$C,0)))</f>
        <v>0</v>
      </c>
      <c r="M24">
        <f>L24/VLOOKUP($D24,CPI!$P$16:$R$22,3,FALSE)</f>
        <v>0</v>
      </c>
    </row>
    <row r="25" spans="1:13" ht="16" thickBot="1" x14ac:dyDescent="0.25">
      <c r="A25" s="7">
        <v>2</v>
      </c>
      <c r="B25">
        <f>IF(ISBLANK(G25),"",VLOOKUP(H25,code!B:C,2,FALSE))</f>
        <v>21</v>
      </c>
      <c r="C25">
        <f t="shared" si="0"/>
        <v>0</v>
      </c>
      <c r="D25">
        <v>2018</v>
      </c>
      <c r="E25">
        <v>104179</v>
      </c>
      <c r="F25" t="s">
        <v>54</v>
      </c>
      <c r="G25" t="s">
        <v>284</v>
      </c>
      <c r="H25" t="s">
        <v>30</v>
      </c>
      <c r="I25">
        <v>16192</v>
      </c>
      <c r="J25">
        <f>I25/VLOOKUP($D25,CPI!$P$16:$R$22,3,FALSE)</f>
        <v>19556.626939538786</v>
      </c>
      <c r="K25">
        <f t="shared" si="1"/>
        <v>0</v>
      </c>
      <c r="L25" s="3" cm="1">
        <f t="array" ref="L25">IF($C25=0,INDEX('24&amp;25'!$L:$L,MATCH($D25&amp;$B25&amp;$E25,'24&amp;25'!$B:$B&amp;'24&amp;25'!$A:$A&amp;'24&amp;25'!$C:$C,0)),INDEX('24&amp;25'!$M:$M,MATCH($D25&amp;$B25&amp;$E25,'24&amp;25'!$B:$B&amp;'24&amp;25'!$A:$A&amp;'24&amp;25'!$C:$C,0)))</f>
        <v>42786</v>
      </c>
      <c r="M25">
        <f>L25/VLOOKUP($D25,CPI!$P$16:$R$22,3,FALSE)</f>
        <v>51676.744085666163</v>
      </c>
    </row>
    <row r="26" spans="1:13" ht="16" thickBot="1" x14ac:dyDescent="0.25">
      <c r="A26" s="7">
        <v>2</v>
      </c>
      <c r="B26">
        <f>IF(ISBLANK(G26),"",VLOOKUP(H26,code!B:C,2,FALSE))</f>
        <v>2</v>
      </c>
      <c r="C26">
        <f t="shared" si="0"/>
        <v>1</v>
      </c>
      <c r="D26">
        <v>2018</v>
      </c>
      <c r="E26">
        <v>104179</v>
      </c>
      <c r="F26" t="s">
        <v>54</v>
      </c>
      <c r="G26" t="s">
        <v>285</v>
      </c>
      <c r="H26" t="s">
        <v>10</v>
      </c>
      <c r="I26">
        <v>162589</v>
      </c>
      <c r="J26">
        <f>I26/VLOOKUP($D26,CPI!$P$16:$R$22,3,FALSE)</f>
        <v>196374.2846759308</v>
      </c>
      <c r="K26">
        <f t="shared" si="1"/>
        <v>0</v>
      </c>
      <c r="L26" s="3" cm="1">
        <f t="array" ref="L26">IF($C26=0,INDEX('24&amp;25'!$L:$L,MATCH($D26&amp;$B26&amp;$E26,'24&amp;25'!$B:$B&amp;'24&amp;25'!$A:$A&amp;'24&amp;25'!$C:$C,0)),INDEX('24&amp;25'!$M:$M,MATCH($D26&amp;$B26&amp;$E26,'24&amp;25'!$B:$B&amp;'24&amp;25'!$A:$A&amp;'24&amp;25'!$C:$C,0)))</f>
        <v>191198</v>
      </c>
      <c r="M26">
        <f>L26/VLOOKUP($D26,CPI!$P$16:$R$22,3,FALSE)</f>
        <v>230928.11002877576</v>
      </c>
    </row>
    <row r="27" spans="1:13" ht="16" thickBot="1" x14ac:dyDescent="0.25">
      <c r="A27" s="7">
        <v>2</v>
      </c>
      <c r="B27">
        <f>IF(ISBLANK(G27),"",VLOOKUP(H27,code!B:C,2,FALSE))</f>
        <v>3</v>
      </c>
      <c r="C27">
        <f t="shared" si="0"/>
        <v>1</v>
      </c>
      <c r="D27">
        <v>2018</v>
      </c>
      <c r="E27">
        <v>104179</v>
      </c>
      <c r="F27" t="s">
        <v>54</v>
      </c>
      <c r="G27" t="s">
        <v>285</v>
      </c>
      <c r="H27" t="s">
        <v>11</v>
      </c>
      <c r="I27">
        <v>847</v>
      </c>
      <c r="J27">
        <f>I27/VLOOKUP($D27,CPI!$P$16:$R$22,3,FALSE)</f>
        <v>1023.0029037666349</v>
      </c>
      <c r="K27">
        <f t="shared" si="1"/>
        <v>0</v>
      </c>
      <c r="L27" s="3" cm="1">
        <f t="array" ref="L27">IF($C27=0,INDEX('24&amp;25'!$L:$L,MATCH($D27&amp;$B27&amp;$E27,'24&amp;25'!$B:$B&amp;'24&amp;25'!$A:$A&amp;'24&amp;25'!$C:$C,0)),INDEX('24&amp;25'!$M:$M,MATCH($D27&amp;$B27&amp;$E27,'24&amp;25'!$B:$B&amp;'24&amp;25'!$A:$A&amp;'24&amp;25'!$C:$C,0)))</f>
        <v>0</v>
      </c>
      <c r="M27">
        <f>L27/VLOOKUP($D27,CPI!$P$16:$R$22,3,FALSE)</f>
        <v>0</v>
      </c>
    </row>
    <row r="28" spans="1:13" ht="16" thickBot="1" x14ac:dyDescent="0.25">
      <c r="A28" s="7">
        <v>2</v>
      </c>
      <c r="B28">
        <f>IF(ISBLANK(G28),"",VLOOKUP(H28,code!B:C,2,FALSE))</f>
        <v>9</v>
      </c>
      <c r="C28">
        <f t="shared" si="0"/>
        <v>1</v>
      </c>
      <c r="D28">
        <v>2018</v>
      </c>
      <c r="E28">
        <v>104179</v>
      </c>
      <c r="F28" t="s">
        <v>54</v>
      </c>
      <c r="G28" t="s">
        <v>285</v>
      </c>
      <c r="H28" t="s">
        <v>17</v>
      </c>
      <c r="I28">
        <v>36132</v>
      </c>
      <c r="J28">
        <f>I28/VLOOKUP($D28,CPI!$P$16:$R$22,3,FALSE)</f>
        <v>43640.071923135831</v>
      </c>
      <c r="K28">
        <f t="shared" si="1"/>
        <v>0</v>
      </c>
      <c r="L28" s="3" cm="1">
        <f t="array" ref="L28">IF($C28=0,INDEX('24&amp;25'!$L:$L,MATCH($D28&amp;$B28&amp;$E28,'24&amp;25'!$B:$B&amp;'24&amp;25'!$A:$A&amp;'24&amp;25'!$C:$C,0)),INDEX('24&amp;25'!$M:$M,MATCH($D28&amp;$B28&amp;$E28,'24&amp;25'!$B:$B&amp;'24&amp;25'!$A:$A&amp;'24&amp;25'!$C:$C,0)))</f>
        <v>0</v>
      </c>
      <c r="M28">
        <f>L28/VLOOKUP($D28,CPI!$P$16:$R$22,3,FALSE)</f>
        <v>0</v>
      </c>
    </row>
    <row r="29" spans="1:13" ht="16" thickBot="1" x14ac:dyDescent="0.25">
      <c r="A29" s="7">
        <v>2</v>
      </c>
      <c r="B29">
        <f>IF(ISBLANK(G29),"",VLOOKUP(H29,code!B:C,2,FALSE))</f>
        <v>10</v>
      </c>
      <c r="C29">
        <f t="shared" si="0"/>
        <v>1</v>
      </c>
      <c r="D29">
        <v>2018</v>
      </c>
      <c r="E29">
        <v>104179</v>
      </c>
      <c r="F29" t="s">
        <v>54</v>
      </c>
      <c r="G29" t="s">
        <v>285</v>
      </c>
      <c r="H29" t="s">
        <v>18</v>
      </c>
      <c r="I29">
        <v>95040</v>
      </c>
      <c r="J29">
        <f>I29/VLOOKUP($D29,CPI!$P$16:$R$22,3,FALSE)</f>
        <v>114788.89725381462</v>
      </c>
      <c r="K29">
        <f t="shared" si="1"/>
        <v>0</v>
      </c>
      <c r="L29" s="3" cm="1">
        <f t="array" ref="L29">IF($C29=0,INDEX('24&amp;25'!$L:$L,MATCH($D29&amp;$B29&amp;$E29,'24&amp;25'!$B:$B&amp;'24&amp;25'!$A:$A&amp;'24&amp;25'!$C:$C,0)),INDEX('24&amp;25'!$M:$M,MATCH($D29&amp;$B29&amp;$E29,'24&amp;25'!$B:$B&amp;'24&amp;25'!$A:$A&amp;'24&amp;25'!$C:$C,0)))</f>
        <v>8631</v>
      </c>
      <c r="M29">
        <f>L29/VLOOKUP($D29,CPI!$P$16:$R$22,3,FALSE)</f>
        <v>10424.484135076536</v>
      </c>
    </row>
    <row r="30" spans="1:13" ht="16" thickBot="1" x14ac:dyDescent="0.25">
      <c r="A30" s="7">
        <v>2</v>
      </c>
      <c r="B30">
        <f>IF(ISBLANK(G30),"",VLOOKUP(H30,code!B:C,2,FALSE))</f>
        <v>17</v>
      </c>
      <c r="C30">
        <f t="shared" si="0"/>
        <v>1</v>
      </c>
      <c r="D30">
        <v>2018</v>
      </c>
      <c r="E30">
        <v>104179</v>
      </c>
      <c r="F30" t="s">
        <v>54</v>
      </c>
      <c r="G30" t="s">
        <v>285</v>
      </c>
      <c r="H30" t="s">
        <v>25</v>
      </c>
      <c r="I30">
        <v>50096</v>
      </c>
      <c r="J30">
        <f>I30/VLOOKUP($D30,CPI!$P$16:$R$22,3,FALSE)</f>
        <v>60505.730185470296</v>
      </c>
      <c r="K30">
        <f t="shared" si="1"/>
        <v>0</v>
      </c>
      <c r="L30" s="3" cm="1">
        <f t="array" ref="L30">IF($C30=0,INDEX('24&amp;25'!$L:$L,MATCH($D30&amp;$B30&amp;$E30,'24&amp;25'!$B:$B&amp;'24&amp;25'!$A:$A&amp;'24&amp;25'!$C:$C,0)),INDEX('24&amp;25'!$M:$M,MATCH($D30&amp;$B30&amp;$E30,'24&amp;25'!$B:$B&amp;'24&amp;25'!$A:$A&amp;'24&amp;25'!$C:$C,0)))</f>
        <v>8631</v>
      </c>
      <c r="M30">
        <f>L30/VLOOKUP($D30,CPI!$P$16:$R$22,3,FALSE)</f>
        <v>10424.484135076536</v>
      </c>
    </row>
    <row r="31" spans="1:13" ht="16" thickBot="1" x14ac:dyDescent="0.25">
      <c r="A31" s="7">
        <v>2</v>
      </c>
      <c r="B31">
        <f>IF(ISBLANK(G31),"",VLOOKUP(H31,code!B:C,2,FALSE))</f>
        <v>18</v>
      </c>
      <c r="C31">
        <f t="shared" si="0"/>
        <v>1</v>
      </c>
      <c r="D31">
        <v>2018</v>
      </c>
      <c r="E31">
        <v>104179</v>
      </c>
      <c r="F31" t="s">
        <v>54</v>
      </c>
      <c r="G31" t="s">
        <v>285</v>
      </c>
      <c r="H31" t="s">
        <v>26</v>
      </c>
      <c r="I31">
        <v>348702</v>
      </c>
      <c r="J31">
        <f>I31/VLOOKUP($D31,CPI!$P$16:$R$22,3,FALSE)</f>
        <v>421160.75389519846</v>
      </c>
      <c r="K31">
        <f t="shared" si="1"/>
        <v>0</v>
      </c>
      <c r="L31" s="3" cm="1">
        <f t="array" ref="L31">IF($C31=0,INDEX('24&amp;25'!$L:$L,MATCH($D31&amp;$B31&amp;$E31,'24&amp;25'!$B:$B&amp;'24&amp;25'!$A:$A&amp;'24&amp;25'!$C:$C,0)),INDEX('24&amp;25'!$M:$M,MATCH($D31&amp;$B31&amp;$E31,'24&amp;25'!$B:$B&amp;'24&amp;25'!$A:$A&amp;'24&amp;25'!$C:$C,0)))</f>
        <v>98345</v>
      </c>
      <c r="M31">
        <f>L31/VLOOKUP($D31,CPI!$P$16:$R$22,3,FALSE)</f>
        <v>118780.66183108585</v>
      </c>
    </row>
    <row r="32" spans="1:13" ht="16" thickBot="1" x14ac:dyDescent="0.25">
      <c r="A32" s="7">
        <v>2</v>
      </c>
      <c r="B32">
        <f>IF(ISBLANK(G32),"",VLOOKUP(H32,code!B:C,2,FALSE))</f>
        <v>19</v>
      </c>
      <c r="C32">
        <f t="shared" si="0"/>
        <v>1</v>
      </c>
      <c r="D32">
        <v>2018</v>
      </c>
      <c r="E32">
        <v>104179</v>
      </c>
      <c r="F32" t="s">
        <v>54</v>
      </c>
      <c r="G32" t="s">
        <v>285</v>
      </c>
      <c r="H32" t="s">
        <v>27</v>
      </c>
      <c r="I32">
        <v>15621</v>
      </c>
      <c r="J32">
        <f>I32/VLOOKUP($D32,CPI!$P$16:$R$22,3,FALSE)</f>
        <v>18866.975631332472</v>
      </c>
      <c r="K32">
        <f t="shared" si="1"/>
        <v>0</v>
      </c>
      <c r="L32" s="3" cm="1">
        <f t="array" ref="L32">IF($C32=0,INDEX('24&amp;25'!$L:$L,MATCH($D32&amp;$B32&amp;$E32,'24&amp;25'!$B:$B&amp;'24&amp;25'!$A:$A&amp;'24&amp;25'!$C:$C,0)),INDEX('24&amp;25'!$M:$M,MATCH($D32&amp;$B32&amp;$E32,'24&amp;25'!$B:$B&amp;'24&amp;25'!$A:$A&amp;'24&amp;25'!$C:$C,0)))</f>
        <v>36235</v>
      </c>
      <c r="M32">
        <f>L32/VLOOKUP($D32,CPI!$P$16:$R$22,3,FALSE)</f>
        <v>43764.474873652907</v>
      </c>
    </row>
    <row r="33" spans="1:13" ht="16" thickBot="1" x14ac:dyDescent="0.25">
      <c r="A33" s="7">
        <v>2</v>
      </c>
      <c r="B33">
        <f>IF(ISBLANK(G33),"",VLOOKUP(H33,code!B:C,2,FALSE))</f>
        <v>20</v>
      </c>
      <c r="C33">
        <f t="shared" si="0"/>
        <v>1</v>
      </c>
      <c r="D33">
        <v>2018</v>
      </c>
      <c r="E33">
        <v>104179</v>
      </c>
      <c r="F33" t="s">
        <v>54</v>
      </c>
      <c r="G33" t="s">
        <v>285</v>
      </c>
      <c r="H33" t="s">
        <v>28</v>
      </c>
      <c r="I33">
        <v>1877</v>
      </c>
      <c r="J33">
        <f>I33/VLOOKUP($D33,CPI!$P$16:$R$22,3,FALSE)</f>
        <v>2267.0324089373953</v>
      </c>
      <c r="K33">
        <f t="shared" si="1"/>
        <v>0</v>
      </c>
      <c r="L33" s="3" cm="1">
        <f t="array" ref="L33">IF($C33=0,INDEX('24&amp;25'!$L:$L,MATCH($D33&amp;$B33&amp;$E33,'24&amp;25'!$B:$B&amp;'24&amp;25'!$A:$A&amp;'24&amp;25'!$C:$C,0)),INDEX('24&amp;25'!$M:$M,MATCH($D33&amp;$B33&amp;$E33,'24&amp;25'!$B:$B&amp;'24&amp;25'!$A:$A&amp;'24&amp;25'!$C:$C,0)))</f>
        <v>0</v>
      </c>
      <c r="M33">
        <f>L33/VLOOKUP($D33,CPI!$P$16:$R$22,3,FALSE)</f>
        <v>0</v>
      </c>
    </row>
    <row r="34" spans="1:13" ht="16" thickBot="1" x14ac:dyDescent="0.25">
      <c r="A34" s="7">
        <v>2</v>
      </c>
      <c r="B34">
        <f>IF(ISBLANK(G34),"",VLOOKUP(H34,code!B:C,2,FALSE))</f>
        <v>21</v>
      </c>
      <c r="C34">
        <f t="shared" si="0"/>
        <v>1</v>
      </c>
      <c r="D34">
        <v>2018</v>
      </c>
      <c r="E34">
        <v>104179</v>
      </c>
      <c r="F34" t="s">
        <v>54</v>
      </c>
      <c r="G34" t="s">
        <v>285</v>
      </c>
      <c r="H34" t="s">
        <v>30</v>
      </c>
      <c r="I34">
        <v>31619</v>
      </c>
      <c r="J34">
        <f>I34/VLOOKUP($D34,CPI!$P$16:$R$22,3,FALSE)</f>
        <v>38189.290217470167</v>
      </c>
      <c r="K34">
        <f t="shared" si="1"/>
        <v>0</v>
      </c>
      <c r="L34" s="3" cm="1">
        <f t="array" ref="L34">IF($C34=0,INDEX('24&amp;25'!$L:$L,MATCH($D34&amp;$B34&amp;$E34,'24&amp;25'!$B:$B&amp;'24&amp;25'!$A:$A&amp;'24&amp;25'!$C:$C,0)),INDEX('24&amp;25'!$M:$M,MATCH($D34&amp;$B34&amp;$E34,'24&amp;25'!$B:$B&amp;'24&amp;25'!$A:$A&amp;'24&amp;25'!$C:$C,0)))</f>
        <v>42786</v>
      </c>
      <c r="M34">
        <f>L34/VLOOKUP($D34,CPI!$P$16:$R$22,3,FALSE)</f>
        <v>51676.744085666163</v>
      </c>
    </row>
    <row r="35" spans="1:13" ht="16" thickBot="1" x14ac:dyDescent="0.25">
      <c r="A35" s="7">
        <v>2</v>
      </c>
      <c r="B35">
        <f>IF(ISBLANK(G35),"",VLOOKUP(H35,code!B:C,2,FALSE))</f>
        <v>23</v>
      </c>
      <c r="C35">
        <f t="shared" si="0"/>
        <v>1</v>
      </c>
      <c r="D35">
        <v>2018</v>
      </c>
      <c r="E35">
        <v>104179</v>
      </c>
      <c r="F35" t="s">
        <v>54</v>
      </c>
      <c r="G35" t="s">
        <v>285</v>
      </c>
      <c r="H35" t="s">
        <v>33</v>
      </c>
      <c r="I35">
        <v>106121</v>
      </c>
      <c r="J35">
        <f>I35/VLOOKUP($D35,CPI!$P$16:$R$22,3,FALSE)</f>
        <v>128172.48069730704</v>
      </c>
      <c r="K35">
        <f t="shared" si="1"/>
        <v>0</v>
      </c>
      <c r="L35" s="3" cm="1">
        <f t="array" ref="L35">IF($C35=0,INDEX('24&amp;25'!$L:$L,MATCH($D35&amp;$B35&amp;$E35,'24&amp;25'!$B:$B&amp;'24&amp;25'!$A:$A&amp;'24&amp;25'!$C:$C,0)),INDEX('24&amp;25'!$M:$M,MATCH($D35&amp;$B35&amp;$E35,'24&amp;25'!$B:$B&amp;'24&amp;25'!$A:$A&amp;'24&amp;25'!$C:$C,0)))</f>
        <v>63753</v>
      </c>
      <c r="M35">
        <f>L35/VLOOKUP($D35,CPI!$P$16:$R$22,3,FALSE)</f>
        <v>77000.595187525701</v>
      </c>
    </row>
    <row r="36" spans="1:13" ht="16" thickBot="1" x14ac:dyDescent="0.25">
      <c r="A36" s="7">
        <v>2</v>
      </c>
      <c r="B36">
        <f>IF(ISBLANK(G36),"",VLOOKUP(H36,code!B:C,2,FALSE))</f>
        <v>1</v>
      </c>
      <c r="C36">
        <f t="shared" si="0"/>
        <v>0</v>
      </c>
      <c r="D36">
        <v>2019</v>
      </c>
      <c r="E36">
        <v>104179</v>
      </c>
      <c r="F36" t="s">
        <v>54</v>
      </c>
      <c r="G36" t="s">
        <v>284</v>
      </c>
      <c r="H36" t="s">
        <v>9</v>
      </c>
      <c r="I36">
        <v>433228</v>
      </c>
      <c r="J36">
        <f>I36/VLOOKUP($D36,CPI!$P$16:$R$22,3,FALSE)</f>
        <v>512626.52005282935</v>
      </c>
      <c r="K36">
        <f t="shared" si="1"/>
        <v>0</v>
      </c>
      <c r="L36" s="3" cm="1">
        <f t="array" ref="L36">IF($C36=0,INDEX('24&amp;25'!$L:$L,MATCH($D36&amp;$B36&amp;$E36,'24&amp;25'!$B:$B&amp;'24&amp;25'!$A:$A&amp;'24&amp;25'!$C:$C,0)),INDEX('24&amp;25'!$M:$M,MATCH($D36&amp;$B36&amp;$E36,'24&amp;25'!$B:$B&amp;'24&amp;25'!$A:$A&amp;'24&amp;25'!$C:$C,0)))</f>
        <v>59903</v>
      </c>
      <c r="M36">
        <f>L36/VLOOKUP($D36,CPI!$P$16:$R$22,3,FALSE)</f>
        <v>70881.536813697719</v>
      </c>
    </row>
    <row r="37" spans="1:13" ht="16" thickBot="1" x14ac:dyDescent="0.25">
      <c r="A37" s="7">
        <v>2</v>
      </c>
      <c r="B37">
        <f>IF(ISBLANK(G37),"",VLOOKUP(H37,code!B:C,2,FALSE))</f>
        <v>2</v>
      </c>
      <c r="C37">
        <f t="shared" si="0"/>
        <v>0</v>
      </c>
      <c r="D37">
        <v>2019</v>
      </c>
      <c r="E37">
        <v>104179</v>
      </c>
      <c r="F37" t="s">
        <v>54</v>
      </c>
      <c r="G37" t="s">
        <v>284</v>
      </c>
      <c r="H37" t="s">
        <v>10</v>
      </c>
      <c r="I37">
        <v>12406247</v>
      </c>
      <c r="J37">
        <f>I37/VLOOKUP($D37,CPI!$P$16:$R$22,3,FALSE)</f>
        <v>14679963.498494681</v>
      </c>
      <c r="K37">
        <f t="shared" si="1"/>
        <v>0</v>
      </c>
      <c r="L37" s="3" cm="1">
        <f t="array" ref="L37">IF($C37=0,INDEX('24&amp;25'!$L:$L,MATCH($D37&amp;$B37&amp;$E37,'24&amp;25'!$B:$B&amp;'24&amp;25'!$A:$A&amp;'24&amp;25'!$C:$C,0)),INDEX('24&amp;25'!$M:$M,MATCH($D37&amp;$B37&amp;$E37,'24&amp;25'!$B:$B&amp;'24&amp;25'!$A:$A&amp;'24&amp;25'!$C:$C,0)))</f>
        <v>333115</v>
      </c>
      <c r="M37">
        <f>L37/VLOOKUP($D37,CPI!$P$16:$R$22,3,FALSE)</f>
        <v>394165.62001393776</v>
      </c>
    </row>
    <row r="38" spans="1:13" ht="16" thickBot="1" x14ac:dyDescent="0.25">
      <c r="A38" s="7">
        <v>2</v>
      </c>
      <c r="B38">
        <f>IF(ISBLANK(G38),"",VLOOKUP(H38,code!B:C,2,FALSE))</f>
        <v>8</v>
      </c>
      <c r="C38">
        <f t="shared" si="0"/>
        <v>0</v>
      </c>
      <c r="D38">
        <v>2019</v>
      </c>
      <c r="E38">
        <v>104179</v>
      </c>
      <c r="F38" t="s">
        <v>54</v>
      </c>
      <c r="G38" t="s">
        <v>284</v>
      </c>
      <c r="H38" t="s">
        <v>16</v>
      </c>
      <c r="I38">
        <v>11282492</v>
      </c>
      <c r="J38">
        <f>I38/VLOOKUP($D38,CPI!$P$16:$R$22,3,FALSE)</f>
        <v>13350255.780983424</v>
      </c>
      <c r="K38">
        <f t="shared" si="1"/>
        <v>0</v>
      </c>
      <c r="L38" s="3" cm="1">
        <f t="array" ref="L38">IF($C38=0,INDEX('24&amp;25'!$L:$L,MATCH($D38&amp;$B38&amp;$E38,'24&amp;25'!$B:$B&amp;'24&amp;25'!$A:$A&amp;'24&amp;25'!$C:$C,0)),INDEX('24&amp;25'!$M:$M,MATCH($D38&amp;$B38&amp;$E38,'24&amp;25'!$B:$B&amp;'24&amp;25'!$A:$A&amp;'24&amp;25'!$C:$C,0)))</f>
        <v>1629077</v>
      </c>
      <c r="M38">
        <f>L38/VLOOKUP($D38,CPI!$P$16:$R$22,3,FALSE)</f>
        <v>1927641.0421489447</v>
      </c>
    </row>
    <row r="39" spans="1:13" ht="16" thickBot="1" x14ac:dyDescent="0.25">
      <c r="A39" s="7">
        <v>2</v>
      </c>
      <c r="B39">
        <f>IF(ISBLANK(G39),"",VLOOKUP(H39,code!B:C,2,FALSE))</f>
        <v>9</v>
      </c>
      <c r="C39">
        <f t="shared" si="0"/>
        <v>0</v>
      </c>
      <c r="D39">
        <v>2019</v>
      </c>
      <c r="E39">
        <v>104179</v>
      </c>
      <c r="F39" t="s">
        <v>54</v>
      </c>
      <c r="G39" t="s">
        <v>284</v>
      </c>
      <c r="H39" t="s">
        <v>17</v>
      </c>
      <c r="I39">
        <v>48450</v>
      </c>
      <c r="J39">
        <f>I39/VLOOKUP($D39,CPI!$P$16:$R$22,3,FALSE)</f>
        <v>57329.523707053981</v>
      </c>
      <c r="K39">
        <f t="shared" si="1"/>
        <v>0</v>
      </c>
      <c r="L39" s="3" cm="1">
        <f t="array" ref="L39">IF($C39=0,INDEX('24&amp;25'!$L:$L,MATCH($D39&amp;$B39&amp;$E39,'24&amp;25'!$B:$B&amp;'24&amp;25'!$A:$A&amp;'24&amp;25'!$C:$C,0)),INDEX('24&amp;25'!$M:$M,MATCH($D39&amp;$B39&amp;$E39,'24&amp;25'!$B:$B&amp;'24&amp;25'!$A:$A&amp;'24&amp;25'!$C:$C,0)))</f>
        <v>0</v>
      </c>
      <c r="M39">
        <f>L39/VLOOKUP($D39,CPI!$P$16:$R$22,3,FALSE)</f>
        <v>0</v>
      </c>
    </row>
    <row r="40" spans="1:13" ht="16" thickBot="1" x14ac:dyDescent="0.25">
      <c r="A40" s="7">
        <v>2</v>
      </c>
      <c r="B40">
        <f>IF(ISBLANK(G40),"",VLOOKUP(H40,code!B:C,2,FALSE))</f>
        <v>19</v>
      </c>
      <c r="C40">
        <f t="shared" si="0"/>
        <v>0</v>
      </c>
      <c r="D40">
        <v>2019</v>
      </c>
      <c r="E40">
        <v>104179</v>
      </c>
      <c r="F40" t="s">
        <v>54</v>
      </c>
      <c r="G40" t="s">
        <v>284</v>
      </c>
      <c r="H40" t="s">
        <v>27</v>
      </c>
      <c r="I40">
        <v>2464</v>
      </c>
      <c r="J40">
        <f>I40/VLOOKUP($D40,CPI!$P$16:$R$22,3,FALSE)</f>
        <v>2915.5819693329413</v>
      </c>
      <c r="K40">
        <f t="shared" si="1"/>
        <v>0</v>
      </c>
      <c r="L40" s="3" cm="1">
        <f t="array" ref="L40">IF($C40=0,INDEX('24&amp;25'!$L:$L,MATCH($D40&amp;$B40&amp;$E40,'24&amp;25'!$B:$B&amp;'24&amp;25'!$A:$A&amp;'24&amp;25'!$C:$C,0)),INDEX('24&amp;25'!$M:$M,MATCH($D40&amp;$B40&amp;$E40,'24&amp;25'!$B:$B&amp;'24&amp;25'!$A:$A&amp;'24&amp;25'!$C:$C,0)))</f>
        <v>32504</v>
      </c>
      <c r="M40">
        <f>L40/VLOOKUP($D40,CPI!$P$16:$R$22,3,FALSE)</f>
        <v>38461.069939609544</v>
      </c>
    </row>
    <row r="41" spans="1:13" ht="16" thickBot="1" x14ac:dyDescent="0.25">
      <c r="A41" s="7">
        <v>2</v>
      </c>
      <c r="B41">
        <f>IF(ISBLANK(G41),"",VLOOKUP(H41,code!B:C,2,FALSE))</f>
        <v>20</v>
      </c>
      <c r="C41">
        <f t="shared" si="0"/>
        <v>0</v>
      </c>
      <c r="D41">
        <v>2019</v>
      </c>
      <c r="E41">
        <v>104179</v>
      </c>
      <c r="F41" t="s">
        <v>54</v>
      </c>
      <c r="G41" t="s">
        <v>284</v>
      </c>
      <c r="H41" t="s">
        <v>28</v>
      </c>
      <c r="I41">
        <v>15150</v>
      </c>
      <c r="J41">
        <f>I41/VLOOKUP($D41,CPI!$P$16:$R$22,3,FALSE)</f>
        <v>17926.569332546289</v>
      </c>
      <c r="K41">
        <f t="shared" si="1"/>
        <v>0</v>
      </c>
      <c r="L41" s="3" cm="1">
        <f t="array" ref="L41">IF($C41=0,INDEX('24&amp;25'!$L:$L,MATCH($D41&amp;$B41&amp;$E41,'24&amp;25'!$B:$B&amp;'24&amp;25'!$A:$A&amp;'24&amp;25'!$C:$C,0)),INDEX('24&amp;25'!$M:$M,MATCH($D41&amp;$B41&amp;$E41,'24&amp;25'!$B:$B&amp;'24&amp;25'!$A:$A&amp;'24&amp;25'!$C:$C,0)))</f>
        <v>0</v>
      </c>
      <c r="M41">
        <f>L41/VLOOKUP($D41,CPI!$P$16:$R$22,3,FALSE)</f>
        <v>0</v>
      </c>
    </row>
    <row r="42" spans="1:13" ht="16" thickBot="1" x14ac:dyDescent="0.25">
      <c r="A42" s="7">
        <v>2</v>
      </c>
      <c r="B42">
        <f>IF(ISBLANK(G42),"",VLOOKUP(H42,code!B:C,2,FALSE))</f>
        <v>21</v>
      </c>
      <c r="C42">
        <f t="shared" si="0"/>
        <v>0</v>
      </c>
      <c r="D42">
        <v>2019</v>
      </c>
      <c r="E42">
        <v>104179</v>
      </c>
      <c r="F42" t="s">
        <v>54</v>
      </c>
      <c r="G42" t="s">
        <v>284</v>
      </c>
      <c r="H42" t="s">
        <v>30</v>
      </c>
      <c r="I42">
        <v>8217</v>
      </c>
      <c r="J42">
        <f>I42/VLOOKUP($D42,CPI!$P$16:$R$22,3,FALSE)</f>
        <v>9722.9452280879777</v>
      </c>
      <c r="K42">
        <f t="shared" si="1"/>
        <v>0</v>
      </c>
      <c r="L42" s="3" cm="1">
        <f t="array" ref="L42">IF($C42=0,INDEX('24&amp;25'!$L:$L,MATCH($D42&amp;$B42&amp;$E42,'24&amp;25'!$B:$B&amp;'24&amp;25'!$A:$A&amp;'24&amp;25'!$C:$C,0)),INDEX('24&amp;25'!$M:$M,MATCH($D42&amp;$B42&amp;$E42,'24&amp;25'!$B:$B&amp;'24&amp;25'!$A:$A&amp;'24&amp;25'!$C:$C,0)))</f>
        <v>51705</v>
      </c>
      <c r="M42">
        <f>L42/VLOOKUP($D42,CPI!$P$16:$R$22,3,FALSE)</f>
        <v>61181.073751769371</v>
      </c>
    </row>
    <row r="43" spans="1:13" ht="16" thickBot="1" x14ac:dyDescent="0.25">
      <c r="A43" s="7">
        <v>2</v>
      </c>
      <c r="B43">
        <f>IF(ISBLANK(G43),"",VLOOKUP(H43,code!B:C,2,FALSE))</f>
        <v>2</v>
      </c>
      <c r="C43">
        <f t="shared" si="0"/>
        <v>1</v>
      </c>
      <c r="D43">
        <v>2019</v>
      </c>
      <c r="E43">
        <v>104179</v>
      </c>
      <c r="F43" t="s">
        <v>54</v>
      </c>
      <c r="G43" t="s">
        <v>285</v>
      </c>
      <c r="H43" t="s">
        <v>10</v>
      </c>
      <c r="I43">
        <v>517414</v>
      </c>
      <c r="J43">
        <f>I43/VLOOKUP($D43,CPI!$P$16:$R$22,3,FALSE)</f>
        <v>612241.44849043607</v>
      </c>
      <c r="K43">
        <f t="shared" si="1"/>
        <v>0</v>
      </c>
      <c r="L43" s="3" cm="1">
        <f t="array" ref="L43">IF($C43=0,INDEX('24&amp;25'!$L:$L,MATCH($D43&amp;$B43&amp;$E43,'24&amp;25'!$B:$B&amp;'24&amp;25'!$A:$A&amp;'24&amp;25'!$C:$C,0)),INDEX('24&amp;25'!$M:$M,MATCH($D43&amp;$B43&amp;$E43,'24&amp;25'!$B:$B&amp;'24&amp;25'!$A:$A&amp;'24&amp;25'!$C:$C,0)))</f>
        <v>196383</v>
      </c>
      <c r="M43">
        <f>L43/VLOOKUP($D43,CPI!$P$16:$R$22,3,FALSE)</f>
        <v>232374.48615402231</v>
      </c>
    </row>
    <row r="44" spans="1:13" ht="16" thickBot="1" x14ac:dyDescent="0.25">
      <c r="A44" s="7">
        <v>2</v>
      </c>
      <c r="B44">
        <f>IF(ISBLANK(G44),"",VLOOKUP(H44,code!B:C,2,FALSE))</f>
        <v>3</v>
      </c>
      <c r="C44">
        <f t="shared" si="0"/>
        <v>1</v>
      </c>
      <c r="D44">
        <v>2019</v>
      </c>
      <c r="E44">
        <v>104179</v>
      </c>
      <c r="F44" t="s">
        <v>54</v>
      </c>
      <c r="G44" t="s">
        <v>285</v>
      </c>
      <c r="H44" t="s">
        <v>11</v>
      </c>
      <c r="I44">
        <v>1200</v>
      </c>
      <c r="J44">
        <f>I44/VLOOKUP($D44,CPI!$P$16:$R$22,3,FALSE)</f>
        <v>1419.9262837660428</v>
      </c>
      <c r="K44">
        <f t="shared" si="1"/>
        <v>0</v>
      </c>
      <c r="L44" s="3" cm="1">
        <f t="array" ref="L44">IF($C44=0,INDEX('24&amp;25'!$L:$L,MATCH($D44&amp;$B44&amp;$E44,'24&amp;25'!$B:$B&amp;'24&amp;25'!$A:$A&amp;'24&amp;25'!$C:$C,0)),INDEX('24&amp;25'!$M:$M,MATCH($D44&amp;$B44&amp;$E44,'24&amp;25'!$B:$B&amp;'24&amp;25'!$A:$A&amp;'24&amp;25'!$C:$C,0)))</f>
        <v>0</v>
      </c>
      <c r="M44">
        <f>L44/VLOOKUP($D44,CPI!$P$16:$R$22,3,FALSE)</f>
        <v>0</v>
      </c>
    </row>
    <row r="45" spans="1:13" ht="16" thickBot="1" x14ac:dyDescent="0.25">
      <c r="A45" s="7">
        <v>2</v>
      </c>
      <c r="B45">
        <f>IF(ISBLANK(G45),"",VLOOKUP(H45,code!B:C,2,FALSE))</f>
        <v>9</v>
      </c>
      <c r="C45">
        <f t="shared" si="0"/>
        <v>1</v>
      </c>
      <c r="D45">
        <v>2019</v>
      </c>
      <c r="E45">
        <v>104179</v>
      </c>
      <c r="F45" t="s">
        <v>54</v>
      </c>
      <c r="G45" t="s">
        <v>285</v>
      </c>
      <c r="H45" t="s">
        <v>17</v>
      </c>
      <c r="I45">
        <v>20753</v>
      </c>
      <c r="J45">
        <f>I45/VLOOKUP($D45,CPI!$P$16:$R$22,3,FALSE)</f>
        <v>24556.441805830571</v>
      </c>
      <c r="K45">
        <f t="shared" si="1"/>
        <v>0</v>
      </c>
      <c r="L45" s="3" cm="1">
        <f t="array" ref="L45">IF($C45=0,INDEX('24&amp;25'!$L:$L,MATCH($D45&amp;$B45&amp;$E45,'24&amp;25'!$B:$B&amp;'24&amp;25'!$A:$A&amp;'24&amp;25'!$C:$C,0)),INDEX('24&amp;25'!$M:$M,MATCH($D45&amp;$B45&amp;$E45,'24&amp;25'!$B:$B&amp;'24&amp;25'!$A:$A&amp;'24&amp;25'!$C:$C,0)))</f>
        <v>0</v>
      </c>
      <c r="M45">
        <f>L45/VLOOKUP($D45,CPI!$P$16:$R$22,3,FALSE)</f>
        <v>0</v>
      </c>
    </row>
    <row r="46" spans="1:13" ht="16" thickBot="1" x14ac:dyDescent="0.25">
      <c r="A46" s="7">
        <v>2</v>
      </c>
      <c r="B46">
        <f>IF(ISBLANK(G46),"",VLOOKUP(H46,code!B:C,2,FALSE))</f>
        <v>10</v>
      </c>
      <c r="C46">
        <f t="shared" si="0"/>
        <v>1</v>
      </c>
      <c r="D46">
        <v>2019</v>
      </c>
      <c r="E46">
        <v>104179</v>
      </c>
      <c r="F46" t="s">
        <v>54</v>
      </c>
      <c r="G46" t="s">
        <v>285</v>
      </c>
      <c r="H46" t="s">
        <v>18</v>
      </c>
      <c r="I46">
        <v>49727</v>
      </c>
      <c r="J46">
        <f>I46/VLOOKUP($D46,CPI!$P$16:$R$22,3,FALSE)</f>
        <v>58840.561927361676</v>
      </c>
      <c r="K46">
        <f t="shared" si="1"/>
        <v>0</v>
      </c>
      <c r="L46" s="3" cm="1">
        <f t="array" ref="L46">IF($C46=0,INDEX('24&amp;25'!$L:$L,MATCH($D46&amp;$B46&amp;$E46,'24&amp;25'!$B:$B&amp;'24&amp;25'!$A:$A&amp;'24&amp;25'!$C:$C,0)),INDEX('24&amp;25'!$M:$M,MATCH($D46&amp;$B46&amp;$E46,'24&amp;25'!$B:$B&amp;'24&amp;25'!$A:$A&amp;'24&amp;25'!$C:$C,0)))</f>
        <v>26896</v>
      </c>
      <c r="M46">
        <f>L46/VLOOKUP($D46,CPI!$P$16:$R$22,3,FALSE)</f>
        <v>31825.281106809573</v>
      </c>
    </row>
    <row r="47" spans="1:13" ht="16" thickBot="1" x14ac:dyDescent="0.25">
      <c r="A47" s="7">
        <v>2</v>
      </c>
      <c r="B47">
        <f>IF(ISBLANK(G47),"",VLOOKUP(H47,code!B:C,2,FALSE))</f>
        <v>17</v>
      </c>
      <c r="C47">
        <f t="shared" si="0"/>
        <v>1</v>
      </c>
      <c r="D47">
        <v>2019</v>
      </c>
      <c r="E47">
        <v>104179</v>
      </c>
      <c r="F47" t="s">
        <v>54</v>
      </c>
      <c r="G47" t="s">
        <v>285</v>
      </c>
      <c r="H47" t="s">
        <v>25</v>
      </c>
      <c r="I47">
        <v>52139</v>
      </c>
      <c r="J47">
        <f>I47/VLOOKUP($D47,CPI!$P$16:$R$22,3,FALSE)</f>
        <v>61694.613757731422</v>
      </c>
      <c r="K47">
        <f t="shared" si="1"/>
        <v>0</v>
      </c>
      <c r="L47" s="3" cm="1">
        <f t="array" ref="L47">IF($C47=0,INDEX('24&amp;25'!$L:$L,MATCH($D47&amp;$B47&amp;$E47,'24&amp;25'!$B:$B&amp;'24&amp;25'!$A:$A&amp;'24&amp;25'!$C:$C,0)),INDEX('24&amp;25'!$M:$M,MATCH($D47&amp;$B47&amp;$E47,'24&amp;25'!$B:$B&amp;'24&amp;25'!$A:$A&amp;'24&amp;25'!$C:$C,0)))</f>
        <v>26896</v>
      </c>
      <c r="M47">
        <f>L47/VLOOKUP($D47,CPI!$P$16:$R$22,3,FALSE)</f>
        <v>31825.281106809573</v>
      </c>
    </row>
    <row r="48" spans="1:13" ht="16" thickBot="1" x14ac:dyDescent="0.25">
      <c r="A48" s="7">
        <v>2</v>
      </c>
      <c r="B48">
        <f>IF(ISBLANK(G48),"",VLOOKUP(H48,code!B:C,2,FALSE))</f>
        <v>18</v>
      </c>
      <c r="C48">
        <f t="shared" si="0"/>
        <v>1</v>
      </c>
      <c r="D48">
        <v>2019</v>
      </c>
      <c r="E48">
        <v>104179</v>
      </c>
      <c r="F48" t="s">
        <v>54</v>
      </c>
      <c r="G48" t="s">
        <v>285</v>
      </c>
      <c r="H48" t="s">
        <v>26</v>
      </c>
      <c r="I48">
        <v>604396</v>
      </c>
      <c r="J48">
        <f>I48/VLOOKUP($D48,CPI!$P$16:$R$22,3,FALSE)</f>
        <v>715164.80516921764</v>
      </c>
      <c r="K48">
        <f t="shared" si="1"/>
        <v>0</v>
      </c>
      <c r="L48" s="3" cm="1">
        <f t="array" ref="L48">IF($C48=0,INDEX('24&amp;25'!$L:$L,MATCH($D48&amp;$B48&amp;$E48,'24&amp;25'!$B:$B&amp;'24&amp;25'!$A:$A&amp;'24&amp;25'!$C:$C,0)),INDEX('24&amp;25'!$M:$M,MATCH($D48&amp;$B48&amp;$E48,'24&amp;25'!$B:$B&amp;'24&amp;25'!$A:$A&amp;'24&amp;25'!$C:$C,0)))</f>
        <v>82453</v>
      </c>
      <c r="M48">
        <f>L48/VLOOKUP($D48,CPI!$P$16:$R$22,3,FALSE)</f>
        <v>97564.318229467943</v>
      </c>
    </row>
    <row r="49" spans="1:13" ht="16" thickBot="1" x14ac:dyDescent="0.25">
      <c r="A49" s="7">
        <v>2</v>
      </c>
      <c r="B49">
        <f>IF(ISBLANK(G49),"",VLOOKUP(H49,code!B:C,2,FALSE))</f>
        <v>19</v>
      </c>
      <c r="C49">
        <f t="shared" si="0"/>
        <v>1</v>
      </c>
      <c r="D49">
        <v>2019</v>
      </c>
      <c r="E49">
        <v>104179</v>
      </c>
      <c r="F49" t="s">
        <v>54</v>
      </c>
      <c r="G49" t="s">
        <v>285</v>
      </c>
      <c r="H49" t="s">
        <v>27</v>
      </c>
      <c r="I49">
        <v>2465</v>
      </c>
      <c r="J49">
        <f>I49/VLOOKUP($D49,CPI!$P$16:$R$22,3,FALSE)</f>
        <v>2916.7652412360794</v>
      </c>
      <c r="K49">
        <f t="shared" si="1"/>
        <v>0</v>
      </c>
      <c r="L49" s="3" cm="1">
        <f t="array" ref="L49">IF($C49=0,INDEX('24&amp;25'!$L:$L,MATCH($D49&amp;$B49&amp;$E49,'24&amp;25'!$B:$B&amp;'24&amp;25'!$A:$A&amp;'24&amp;25'!$C:$C,0)),INDEX('24&amp;25'!$M:$M,MATCH($D49&amp;$B49&amp;$E49,'24&amp;25'!$B:$B&amp;'24&amp;25'!$A:$A&amp;'24&amp;25'!$C:$C,0)))</f>
        <v>32503</v>
      </c>
      <c r="M49">
        <f>L49/VLOOKUP($D49,CPI!$P$16:$R$22,3,FALSE)</f>
        <v>38459.886667706407</v>
      </c>
    </row>
    <row r="50" spans="1:13" ht="16" thickBot="1" x14ac:dyDescent="0.25">
      <c r="A50" s="7">
        <v>2</v>
      </c>
      <c r="B50">
        <f>IF(ISBLANK(G50),"",VLOOKUP(H50,code!B:C,2,FALSE))</f>
        <v>20</v>
      </c>
      <c r="C50">
        <f t="shared" si="0"/>
        <v>1</v>
      </c>
      <c r="D50">
        <v>2019</v>
      </c>
      <c r="E50">
        <v>104179</v>
      </c>
      <c r="F50" t="s">
        <v>54</v>
      </c>
      <c r="G50" t="s">
        <v>285</v>
      </c>
      <c r="H50" t="s">
        <v>28</v>
      </c>
      <c r="I50">
        <v>1150</v>
      </c>
      <c r="J50">
        <f>I50/VLOOKUP($D50,CPI!$P$16:$R$22,3,FALSE)</f>
        <v>1360.7626886091243</v>
      </c>
      <c r="K50">
        <f t="shared" si="1"/>
        <v>0</v>
      </c>
      <c r="L50" s="3" cm="1">
        <f t="array" ref="L50">IF($C50=0,INDEX('24&amp;25'!$L:$L,MATCH($D50&amp;$B50&amp;$E50,'24&amp;25'!$B:$B&amp;'24&amp;25'!$A:$A&amp;'24&amp;25'!$C:$C,0)),INDEX('24&amp;25'!$M:$M,MATCH($D50&amp;$B50&amp;$E50,'24&amp;25'!$B:$B&amp;'24&amp;25'!$A:$A&amp;'24&amp;25'!$C:$C,0)))</f>
        <v>0</v>
      </c>
      <c r="M50">
        <f>L50/VLOOKUP($D50,CPI!$P$16:$R$22,3,FALSE)</f>
        <v>0</v>
      </c>
    </row>
    <row r="51" spans="1:13" ht="16" thickBot="1" x14ac:dyDescent="0.25">
      <c r="A51" s="7">
        <v>2</v>
      </c>
      <c r="B51">
        <f>IF(ISBLANK(G51),"",VLOOKUP(H51,code!B:C,2,FALSE))</f>
        <v>21</v>
      </c>
      <c r="C51">
        <f t="shared" si="0"/>
        <v>1</v>
      </c>
      <c r="D51">
        <v>2019</v>
      </c>
      <c r="E51">
        <v>104179</v>
      </c>
      <c r="F51" t="s">
        <v>54</v>
      </c>
      <c r="G51" t="s">
        <v>285</v>
      </c>
      <c r="H51" t="s">
        <v>30</v>
      </c>
      <c r="I51">
        <v>8183</v>
      </c>
      <c r="J51">
        <f>I51/VLOOKUP($D51,CPI!$P$16:$R$22,3,FALSE)</f>
        <v>9682.7139833812744</v>
      </c>
      <c r="K51">
        <f t="shared" si="1"/>
        <v>0</v>
      </c>
      <c r="L51" s="3" cm="1">
        <f t="array" ref="L51">IF($C51=0,INDEX('24&amp;25'!$L:$L,MATCH($D51&amp;$B51&amp;$E51,'24&amp;25'!$B:$B&amp;'24&amp;25'!$A:$A&amp;'24&amp;25'!$C:$C,0)),INDEX('24&amp;25'!$M:$M,MATCH($D51&amp;$B51&amp;$E51,'24&amp;25'!$B:$B&amp;'24&amp;25'!$A:$A&amp;'24&amp;25'!$C:$C,0)))</f>
        <v>50287</v>
      </c>
      <c r="M51">
        <f>L51/VLOOKUP($D51,CPI!$P$16:$R$22,3,FALSE)</f>
        <v>59503.194193119161</v>
      </c>
    </row>
    <row r="52" spans="1:13" ht="16" thickBot="1" x14ac:dyDescent="0.25">
      <c r="A52" s="7">
        <v>2</v>
      </c>
      <c r="B52">
        <f>IF(ISBLANK(G52),"",VLOOKUP(H52,code!B:C,2,FALSE))</f>
        <v>23</v>
      </c>
      <c r="C52">
        <f t="shared" si="0"/>
        <v>1</v>
      </c>
      <c r="D52">
        <v>2019</v>
      </c>
      <c r="E52">
        <v>104179</v>
      </c>
      <c r="F52" t="s">
        <v>54</v>
      </c>
      <c r="G52" t="s">
        <v>285</v>
      </c>
      <c r="H52" t="s">
        <v>33</v>
      </c>
      <c r="I52">
        <v>118420</v>
      </c>
      <c r="J52">
        <f>I52/VLOOKUP($D52,CPI!$P$16:$R$22,3,FALSE)</f>
        <v>140123.05876964566</v>
      </c>
      <c r="K52">
        <f t="shared" si="1"/>
        <v>0</v>
      </c>
      <c r="L52" s="3" cm="1">
        <f t="array" ref="L52">IF($C52=0,INDEX('24&amp;25'!$L:$L,MATCH($D52&amp;$B52&amp;$E52,'24&amp;25'!$B:$B&amp;'24&amp;25'!$A:$A&amp;'24&amp;25'!$C:$C,0)),INDEX('24&amp;25'!$M:$M,MATCH($D52&amp;$B52&amp;$E52,'24&amp;25'!$B:$B&amp;'24&amp;25'!$A:$A&amp;'24&amp;25'!$C:$C,0)))</f>
        <v>59296</v>
      </c>
      <c r="M52">
        <f>L52/VLOOKUP($D52,CPI!$P$16:$R$22,3,FALSE)</f>
        <v>70163.290768492734</v>
      </c>
    </row>
    <row r="53" spans="1:13" ht="16" thickBot="1" x14ac:dyDescent="0.25">
      <c r="A53" s="7">
        <v>2</v>
      </c>
      <c r="B53">
        <f>IF(ISBLANK(G53),"",VLOOKUP(H53,code!B:C,2,FALSE))</f>
        <v>1</v>
      </c>
      <c r="C53">
        <f t="shared" si="0"/>
        <v>0</v>
      </c>
      <c r="D53">
        <v>2020</v>
      </c>
      <c r="E53">
        <v>104179</v>
      </c>
      <c r="F53" t="s">
        <v>54</v>
      </c>
      <c r="G53" t="s">
        <v>284</v>
      </c>
      <c r="H53" t="s">
        <v>9</v>
      </c>
      <c r="I53">
        <v>723189</v>
      </c>
      <c r="J53">
        <f>I53/VLOOKUP($D53,CPI!$P$16:$R$22,3,FALSE)</f>
        <v>842550.46868366841</v>
      </c>
      <c r="K53">
        <f t="shared" si="1"/>
        <v>0</v>
      </c>
      <c r="L53" s="3" cm="1">
        <f t="array" ref="L53">IF($C53=0,INDEX('24&amp;25'!$L:$L,MATCH($D53&amp;$B53&amp;$E53,'24&amp;25'!$B:$B&amp;'24&amp;25'!$A:$A&amp;'24&amp;25'!$C:$C,0)),INDEX('24&amp;25'!$M:$M,MATCH($D53&amp;$B53&amp;$E53,'24&amp;25'!$B:$B&amp;'24&amp;25'!$A:$A&amp;'24&amp;25'!$C:$C,0)))</f>
        <v>116863</v>
      </c>
      <c r="M53">
        <f>L53/VLOOKUP($D53,CPI!$P$16:$R$22,3,FALSE)</f>
        <v>136151.09663141935</v>
      </c>
    </row>
    <row r="54" spans="1:13" ht="16" thickBot="1" x14ac:dyDescent="0.25">
      <c r="A54" s="7">
        <v>2</v>
      </c>
      <c r="B54">
        <f>IF(ISBLANK(G54),"",VLOOKUP(H54,code!B:C,2,FALSE))</f>
        <v>2</v>
      </c>
      <c r="C54">
        <f t="shared" si="0"/>
        <v>0</v>
      </c>
      <c r="D54">
        <v>2020</v>
      </c>
      <c r="E54">
        <v>104179</v>
      </c>
      <c r="F54" t="s">
        <v>54</v>
      </c>
      <c r="G54" t="s">
        <v>284</v>
      </c>
      <c r="H54" t="s">
        <v>10</v>
      </c>
      <c r="I54">
        <v>11369053</v>
      </c>
      <c r="J54">
        <f>I54/VLOOKUP($D54,CPI!$P$16:$R$22,3,FALSE)</f>
        <v>13245501.429971233</v>
      </c>
      <c r="K54">
        <f t="shared" si="1"/>
        <v>0</v>
      </c>
      <c r="L54" s="3" cm="1">
        <f t="array" ref="L54">IF($C54=0,INDEX('24&amp;25'!$L:$L,MATCH($D54&amp;$B54&amp;$E54,'24&amp;25'!$B:$B&amp;'24&amp;25'!$A:$A&amp;'24&amp;25'!$C:$C,0)),INDEX('24&amp;25'!$M:$M,MATCH($D54&amp;$B54&amp;$E54,'24&amp;25'!$B:$B&amp;'24&amp;25'!$A:$A&amp;'24&amp;25'!$C:$C,0)))</f>
        <v>511905</v>
      </c>
      <c r="M54">
        <f>L54/VLOOKUP($D54,CPI!$P$16:$R$22,3,FALSE)</f>
        <v>596394.30034405016</v>
      </c>
    </row>
    <row r="55" spans="1:13" ht="16" thickBot="1" x14ac:dyDescent="0.25">
      <c r="A55" s="7">
        <v>2</v>
      </c>
      <c r="B55">
        <f>IF(ISBLANK(G55),"",VLOOKUP(H55,code!B:C,2,FALSE))</f>
        <v>8</v>
      </c>
      <c r="C55">
        <f t="shared" si="0"/>
        <v>0</v>
      </c>
      <c r="D55">
        <v>2020</v>
      </c>
      <c r="E55">
        <v>104179</v>
      </c>
      <c r="F55" t="s">
        <v>54</v>
      </c>
      <c r="G55" t="s">
        <v>284</v>
      </c>
      <c r="H55" t="s">
        <v>16</v>
      </c>
      <c r="I55">
        <v>12008223</v>
      </c>
      <c r="J55">
        <f>I55/VLOOKUP($D55,CPI!$P$16:$R$22,3,FALSE)</f>
        <v>13990165.664450103</v>
      </c>
      <c r="K55">
        <f t="shared" si="1"/>
        <v>0</v>
      </c>
      <c r="L55" s="3" cm="1">
        <f t="array" ref="L55">IF($C55=0,INDEX('24&amp;25'!$L:$L,MATCH($D55&amp;$B55&amp;$E55,'24&amp;25'!$B:$B&amp;'24&amp;25'!$A:$A&amp;'24&amp;25'!$C:$C,0)),INDEX('24&amp;25'!$M:$M,MATCH($D55&amp;$B55&amp;$E55,'24&amp;25'!$B:$B&amp;'24&amp;25'!$A:$A&amp;'24&amp;25'!$C:$C,0)))</f>
        <v>1521384</v>
      </c>
      <c r="M55">
        <f>L55/VLOOKUP($D55,CPI!$P$16:$R$22,3,FALSE)</f>
        <v>1772486.5868366833</v>
      </c>
    </row>
    <row r="56" spans="1:13" ht="16" thickBot="1" x14ac:dyDescent="0.25">
      <c r="A56" s="7">
        <v>2</v>
      </c>
      <c r="B56">
        <f>IF(ISBLANK(G56),"",VLOOKUP(H56,code!B:C,2,FALSE))</f>
        <v>9</v>
      </c>
      <c r="C56">
        <f t="shared" si="0"/>
        <v>0</v>
      </c>
      <c r="D56">
        <v>2020</v>
      </c>
      <c r="E56">
        <v>104179</v>
      </c>
      <c r="F56" t="s">
        <v>54</v>
      </c>
      <c r="G56" t="s">
        <v>284</v>
      </c>
      <c r="H56" t="s">
        <v>17</v>
      </c>
      <c r="I56">
        <v>212386</v>
      </c>
      <c r="J56">
        <f>I56/VLOOKUP($D56,CPI!$P$16:$R$22,3,FALSE)</f>
        <v>247440.05210511995</v>
      </c>
      <c r="K56">
        <f t="shared" si="1"/>
        <v>0</v>
      </c>
      <c r="L56" s="3" cm="1">
        <f t="array" ref="L56">IF($C56=0,INDEX('24&amp;25'!$L:$L,MATCH($D56&amp;$B56&amp;$E56,'24&amp;25'!$B:$B&amp;'24&amp;25'!$A:$A&amp;'24&amp;25'!$C:$C,0)),INDEX('24&amp;25'!$M:$M,MATCH($D56&amp;$B56&amp;$E56,'24&amp;25'!$B:$B&amp;'24&amp;25'!$A:$A&amp;'24&amp;25'!$C:$C,0)))</f>
        <v>0</v>
      </c>
      <c r="M56">
        <f>L56/VLOOKUP($D56,CPI!$P$16:$R$22,3,FALSE)</f>
        <v>0</v>
      </c>
    </row>
    <row r="57" spans="1:13" ht="16" thickBot="1" x14ac:dyDescent="0.25">
      <c r="A57" s="7">
        <v>2</v>
      </c>
      <c r="B57">
        <f>IF(ISBLANK(G57),"",VLOOKUP(H57,code!B:C,2,FALSE))</f>
        <v>19</v>
      </c>
      <c r="C57">
        <f t="shared" si="0"/>
        <v>0</v>
      </c>
      <c r="D57">
        <v>2020</v>
      </c>
      <c r="E57">
        <v>104179</v>
      </c>
      <c r="F57" t="s">
        <v>54</v>
      </c>
      <c r="G57" t="s">
        <v>284</v>
      </c>
      <c r="H57" t="s">
        <v>27</v>
      </c>
      <c r="I57">
        <v>33665</v>
      </c>
      <c r="J57">
        <f>I57/VLOOKUP($D57,CPI!$P$16:$R$22,3,FALSE)</f>
        <v>39221.367482408743</v>
      </c>
      <c r="K57">
        <f t="shared" si="1"/>
        <v>0</v>
      </c>
      <c r="L57" s="3" cm="1">
        <f t="array" ref="L57">IF($C57=0,INDEX('24&amp;25'!$L:$L,MATCH($D57&amp;$B57&amp;$E57,'24&amp;25'!$B:$B&amp;'24&amp;25'!$A:$A&amp;'24&amp;25'!$C:$C,0)),INDEX('24&amp;25'!$M:$M,MATCH($D57&amp;$B57&amp;$E57,'24&amp;25'!$B:$B&amp;'24&amp;25'!$A:$A&amp;'24&amp;25'!$C:$C,0)))</f>
        <v>32522</v>
      </c>
      <c r="M57">
        <f>L57/VLOOKUP($D57,CPI!$P$16:$R$22,3,FALSE)</f>
        <v>37889.716716557166</v>
      </c>
    </row>
    <row r="58" spans="1:13" ht="16" thickBot="1" x14ac:dyDescent="0.25">
      <c r="A58" s="7">
        <v>2</v>
      </c>
      <c r="B58">
        <f>IF(ISBLANK(G58),"",VLOOKUP(H58,code!B:C,2,FALSE))</f>
        <v>20</v>
      </c>
      <c r="C58">
        <f t="shared" si="0"/>
        <v>0</v>
      </c>
      <c r="D58">
        <v>2020</v>
      </c>
      <c r="E58">
        <v>104179</v>
      </c>
      <c r="F58" t="s">
        <v>54</v>
      </c>
      <c r="G58" t="s">
        <v>284</v>
      </c>
      <c r="H58" t="s">
        <v>28</v>
      </c>
      <c r="I58">
        <v>47567</v>
      </c>
      <c r="J58">
        <f>I58/VLOOKUP($D58,CPI!$P$16:$R$22,3,FALSE)</f>
        <v>55417.875747385609</v>
      </c>
      <c r="K58">
        <f t="shared" si="1"/>
        <v>0</v>
      </c>
      <c r="L58" s="3" cm="1">
        <f t="array" ref="L58">IF($C58=0,INDEX('24&amp;25'!$L:$L,MATCH($D58&amp;$B58&amp;$E58,'24&amp;25'!$B:$B&amp;'24&amp;25'!$A:$A&amp;'24&amp;25'!$C:$C,0)),INDEX('24&amp;25'!$M:$M,MATCH($D58&amp;$B58&amp;$E58,'24&amp;25'!$B:$B&amp;'24&amp;25'!$A:$A&amp;'24&amp;25'!$C:$C,0)))</f>
        <v>0</v>
      </c>
      <c r="M58">
        <f>L58/VLOOKUP($D58,CPI!$P$16:$R$22,3,FALSE)</f>
        <v>0</v>
      </c>
    </row>
    <row r="59" spans="1:13" ht="16" thickBot="1" x14ac:dyDescent="0.25">
      <c r="A59" s="7">
        <v>2</v>
      </c>
      <c r="B59">
        <f>IF(ISBLANK(G59),"",VLOOKUP(H59,code!B:C,2,FALSE))</f>
        <v>21</v>
      </c>
      <c r="C59">
        <f t="shared" si="0"/>
        <v>0</v>
      </c>
      <c r="D59">
        <v>2020</v>
      </c>
      <c r="E59">
        <v>104179</v>
      </c>
      <c r="F59" t="s">
        <v>54</v>
      </c>
      <c r="G59" t="s">
        <v>284</v>
      </c>
      <c r="H59" t="s">
        <v>30</v>
      </c>
      <c r="I59">
        <v>14015</v>
      </c>
      <c r="J59">
        <f>I59/VLOOKUP($D59,CPI!$P$16:$R$22,3,FALSE)</f>
        <v>16328.1587781363</v>
      </c>
      <c r="K59">
        <f t="shared" si="1"/>
        <v>0</v>
      </c>
      <c r="L59" s="3" cm="1">
        <f t="array" ref="L59">IF($C59=0,INDEX('24&amp;25'!$L:$L,MATCH($D59&amp;$B59&amp;$E59,'24&amp;25'!$B:$B&amp;'24&amp;25'!$A:$A&amp;'24&amp;25'!$C:$C,0)),INDEX('24&amp;25'!$M:$M,MATCH($D59&amp;$B59&amp;$E59,'24&amp;25'!$B:$B&amp;'24&amp;25'!$A:$A&amp;'24&amp;25'!$C:$C,0)))</f>
        <v>53518</v>
      </c>
      <c r="M59">
        <f>L59/VLOOKUP($D59,CPI!$P$16:$R$22,3,FALSE)</f>
        <v>62351.081090852545</v>
      </c>
    </row>
    <row r="60" spans="1:13" ht="16" thickBot="1" x14ac:dyDescent="0.25">
      <c r="A60" s="7">
        <v>2</v>
      </c>
      <c r="B60">
        <f>IF(ISBLANK(G60),"",VLOOKUP(H60,code!B:C,2,FALSE))</f>
        <v>2</v>
      </c>
      <c r="C60">
        <f t="shared" si="0"/>
        <v>1</v>
      </c>
      <c r="D60">
        <v>2020</v>
      </c>
      <c r="E60">
        <v>104179</v>
      </c>
      <c r="F60" t="s">
        <v>54</v>
      </c>
      <c r="G60" t="s">
        <v>285</v>
      </c>
      <c r="H60" t="s">
        <v>10</v>
      </c>
      <c r="I60">
        <v>723524</v>
      </c>
      <c r="J60">
        <f>I60/VLOOKUP($D60,CPI!$P$16:$R$22,3,FALSE)</f>
        <v>842940.76002799056</v>
      </c>
      <c r="K60">
        <f t="shared" si="1"/>
        <v>0</v>
      </c>
      <c r="L60" s="3" cm="1">
        <f t="array" ref="L60">IF($C60=0,INDEX('24&amp;25'!$L:$L,MATCH($D60&amp;$B60&amp;$E60,'24&amp;25'!$B:$B&amp;'24&amp;25'!$A:$A&amp;'24&amp;25'!$C:$C,0)),INDEX('24&amp;25'!$M:$M,MATCH($D60&amp;$B60&amp;$E60,'24&amp;25'!$B:$B&amp;'24&amp;25'!$A:$A&amp;'24&amp;25'!$C:$C,0)))</f>
        <v>192847</v>
      </c>
      <c r="M60">
        <f>L60/VLOOKUP($D60,CPI!$P$16:$R$22,3,FALSE)</f>
        <v>224676.16381642889</v>
      </c>
    </row>
    <row r="61" spans="1:13" ht="16" thickBot="1" x14ac:dyDescent="0.25">
      <c r="A61" s="7">
        <v>2</v>
      </c>
      <c r="B61">
        <f>IF(ISBLANK(G61),"",VLOOKUP(H61,code!B:C,2,FALSE))</f>
        <v>3</v>
      </c>
      <c r="C61">
        <f t="shared" si="0"/>
        <v>1</v>
      </c>
      <c r="D61">
        <v>2020</v>
      </c>
      <c r="E61">
        <v>104179</v>
      </c>
      <c r="F61" t="s">
        <v>54</v>
      </c>
      <c r="G61" t="s">
        <v>285</v>
      </c>
      <c r="H61" t="s">
        <v>11</v>
      </c>
      <c r="I61">
        <v>1979</v>
      </c>
      <c r="J61">
        <f>I61/VLOOKUP($D61,CPI!$P$16:$R$22,3,FALSE)</f>
        <v>2305.6315534735454</v>
      </c>
      <c r="K61">
        <f t="shared" si="1"/>
        <v>0</v>
      </c>
      <c r="L61" s="3" cm="1">
        <f t="array" ref="L61">IF($C61=0,INDEX('24&amp;25'!$L:$L,MATCH($D61&amp;$B61&amp;$E61,'24&amp;25'!$B:$B&amp;'24&amp;25'!$A:$A&amp;'24&amp;25'!$C:$C,0)),INDEX('24&amp;25'!$M:$M,MATCH($D61&amp;$B61&amp;$E61,'24&amp;25'!$B:$B&amp;'24&amp;25'!$A:$A&amp;'24&amp;25'!$C:$C,0)))</f>
        <v>26280</v>
      </c>
      <c r="M61">
        <f>L61/VLOOKUP($D61,CPI!$P$16:$R$22,3,FALSE)</f>
        <v>30617.482175484976</v>
      </c>
    </row>
    <row r="62" spans="1:13" ht="16" thickBot="1" x14ac:dyDescent="0.25">
      <c r="A62" s="7">
        <v>2</v>
      </c>
      <c r="B62">
        <f>IF(ISBLANK(G62),"",VLOOKUP(H62,code!B:C,2,FALSE))</f>
        <v>9</v>
      </c>
      <c r="C62">
        <f t="shared" si="0"/>
        <v>1</v>
      </c>
      <c r="D62">
        <v>2020</v>
      </c>
      <c r="E62">
        <v>104179</v>
      </c>
      <c r="F62" t="s">
        <v>54</v>
      </c>
      <c r="G62" t="s">
        <v>285</v>
      </c>
      <c r="H62" t="s">
        <v>17</v>
      </c>
      <c r="I62">
        <v>46371</v>
      </c>
      <c r="J62">
        <f>I62/VLOOKUP($D62,CPI!$P$16:$R$22,3,FALSE)</f>
        <v>54024.477395715898</v>
      </c>
      <c r="K62">
        <f t="shared" si="1"/>
        <v>0</v>
      </c>
      <c r="L62" s="3" cm="1">
        <f t="array" ref="L62">IF($C62=0,INDEX('24&amp;25'!$L:$L,MATCH($D62&amp;$B62&amp;$E62,'24&amp;25'!$B:$B&amp;'24&amp;25'!$A:$A&amp;'24&amp;25'!$C:$C,0)),INDEX('24&amp;25'!$M:$M,MATCH($D62&amp;$B62&amp;$E62,'24&amp;25'!$B:$B&amp;'24&amp;25'!$A:$A&amp;'24&amp;25'!$C:$C,0)))</f>
        <v>0</v>
      </c>
      <c r="M62">
        <f>L62/VLOOKUP($D62,CPI!$P$16:$R$22,3,FALSE)</f>
        <v>0</v>
      </c>
    </row>
    <row r="63" spans="1:13" ht="16" thickBot="1" x14ac:dyDescent="0.25">
      <c r="A63" s="7">
        <v>2</v>
      </c>
      <c r="B63">
        <f>IF(ISBLANK(G63),"",VLOOKUP(H63,code!B:C,2,FALSE))</f>
        <v>10</v>
      </c>
      <c r="C63">
        <f t="shared" si="0"/>
        <v>1</v>
      </c>
      <c r="D63">
        <v>2020</v>
      </c>
      <c r="E63">
        <v>104179</v>
      </c>
      <c r="F63" t="s">
        <v>54</v>
      </c>
      <c r="G63" t="s">
        <v>285</v>
      </c>
      <c r="H63" t="s">
        <v>18</v>
      </c>
      <c r="I63">
        <v>78020</v>
      </c>
      <c r="J63">
        <f>I63/VLOOKUP($D63,CPI!$P$16:$R$22,3,FALSE)</f>
        <v>90897.106519457302</v>
      </c>
      <c r="K63">
        <f t="shared" si="1"/>
        <v>0</v>
      </c>
      <c r="L63" s="3" cm="1">
        <f t="array" ref="L63">IF($C63=0,INDEX('24&amp;25'!$L:$L,MATCH($D63&amp;$B63&amp;$E63,'24&amp;25'!$B:$B&amp;'24&amp;25'!$A:$A&amp;'24&amp;25'!$C:$C,0)),INDEX('24&amp;25'!$M:$M,MATCH($D63&amp;$B63&amp;$E63,'24&amp;25'!$B:$B&amp;'24&amp;25'!$A:$A&amp;'24&amp;25'!$C:$C,0)))</f>
        <v>27923</v>
      </c>
      <c r="M63">
        <f>L63/VLOOKUP($D63,CPI!$P$16:$R$22,3,FALSE)</f>
        <v>32531.6573358473</v>
      </c>
    </row>
    <row r="64" spans="1:13" ht="16" thickBot="1" x14ac:dyDescent="0.25">
      <c r="A64" s="7">
        <v>2</v>
      </c>
      <c r="B64">
        <f>IF(ISBLANK(G64),"",VLOOKUP(H64,code!B:C,2,FALSE))</f>
        <v>17</v>
      </c>
      <c r="C64">
        <f t="shared" si="0"/>
        <v>1</v>
      </c>
      <c r="D64">
        <v>2020</v>
      </c>
      <c r="E64">
        <v>104179</v>
      </c>
      <c r="F64" t="s">
        <v>54</v>
      </c>
      <c r="G64" t="s">
        <v>285</v>
      </c>
      <c r="H64" t="s">
        <v>25</v>
      </c>
      <c r="I64">
        <v>76512</v>
      </c>
      <c r="J64">
        <f>I64/VLOOKUP($D64,CPI!$P$16:$R$22,3,FALSE)</f>
        <v>89140.212945612875</v>
      </c>
      <c r="K64">
        <f t="shared" si="1"/>
        <v>0</v>
      </c>
      <c r="L64" s="3" cm="1">
        <f t="array" ref="L64">IF($C64=0,INDEX('24&amp;25'!$L:$L,MATCH($D64&amp;$B64&amp;$E64,'24&amp;25'!$B:$B&amp;'24&amp;25'!$A:$A&amp;'24&amp;25'!$C:$C,0)),INDEX('24&amp;25'!$M:$M,MATCH($D64&amp;$B64&amp;$E64,'24&amp;25'!$B:$B&amp;'24&amp;25'!$A:$A&amp;'24&amp;25'!$C:$C,0)))</f>
        <v>27923</v>
      </c>
      <c r="M64">
        <f>L64/VLOOKUP($D64,CPI!$P$16:$R$22,3,FALSE)</f>
        <v>32531.6573358473</v>
      </c>
    </row>
    <row r="65" spans="1:13" ht="16" thickBot="1" x14ac:dyDescent="0.25">
      <c r="A65" s="7">
        <v>2</v>
      </c>
      <c r="B65">
        <f>IF(ISBLANK(G65),"",VLOOKUP(H65,code!B:C,2,FALSE))</f>
        <v>18</v>
      </c>
      <c r="C65">
        <f t="shared" si="0"/>
        <v>1</v>
      </c>
      <c r="D65">
        <v>2020</v>
      </c>
      <c r="E65">
        <v>104179</v>
      </c>
      <c r="F65" t="s">
        <v>54</v>
      </c>
      <c r="G65" t="s">
        <v>285</v>
      </c>
      <c r="H65" t="s">
        <v>26</v>
      </c>
      <c r="I65">
        <v>917473</v>
      </c>
      <c r="J65">
        <f>I65/VLOOKUP($D65,CPI!$P$16:$R$22,3,FALSE)</f>
        <v>1068900.8076099211</v>
      </c>
      <c r="K65">
        <f t="shared" si="1"/>
        <v>0</v>
      </c>
      <c r="L65" s="3" cm="1">
        <f t="array" ref="L65">IF($C65=0,INDEX('24&amp;25'!$L:$L,MATCH($D65&amp;$B65&amp;$E65,'24&amp;25'!$B:$B&amp;'24&amp;25'!$A:$A&amp;'24&amp;25'!$C:$C,0)),INDEX('24&amp;25'!$M:$M,MATCH($D65&amp;$B65&amp;$E65,'24&amp;25'!$B:$B&amp;'24&amp;25'!$A:$A&amp;'24&amp;25'!$C:$C,0)))</f>
        <v>83643</v>
      </c>
      <c r="M65">
        <f>L65/VLOOKUP($D65,CPI!$P$16:$R$22,3,FALSE)</f>
        <v>97448.175860125193</v>
      </c>
    </row>
    <row r="66" spans="1:13" ht="16" thickBot="1" x14ac:dyDescent="0.25">
      <c r="A66" s="7">
        <v>2</v>
      </c>
      <c r="B66">
        <f>IF(ISBLANK(G66),"",VLOOKUP(H66,code!B:C,2,FALSE))</f>
        <v>19</v>
      </c>
      <c r="C66">
        <f t="shared" si="0"/>
        <v>1</v>
      </c>
      <c r="D66">
        <v>2020</v>
      </c>
      <c r="E66">
        <v>104179</v>
      </c>
      <c r="F66" t="s">
        <v>54</v>
      </c>
      <c r="G66" t="s">
        <v>285</v>
      </c>
      <c r="H66" t="s">
        <v>27</v>
      </c>
      <c r="I66">
        <v>0</v>
      </c>
      <c r="J66">
        <f>I66/VLOOKUP($D66,CPI!$P$16:$R$22,3,FALSE)</f>
        <v>0</v>
      </c>
      <c r="K66">
        <f t="shared" si="1"/>
        <v>0</v>
      </c>
      <c r="L66" s="3" cm="1">
        <f t="array" ref="L66">IF($C66=0,INDEX('24&amp;25'!$L:$L,MATCH($D66&amp;$B66&amp;$E66,'24&amp;25'!$B:$B&amp;'24&amp;25'!$A:$A&amp;'24&amp;25'!$C:$C,0)),INDEX('24&amp;25'!$M:$M,MATCH($D66&amp;$B66&amp;$E66,'24&amp;25'!$B:$B&amp;'24&amp;25'!$A:$A&amp;'24&amp;25'!$C:$C,0)))</f>
        <v>32521</v>
      </c>
      <c r="M66">
        <f>L66/VLOOKUP($D66,CPI!$P$16:$R$22,3,FALSE)</f>
        <v>37888.551667768144</v>
      </c>
    </row>
    <row r="67" spans="1:13" ht="16" thickBot="1" x14ac:dyDescent="0.25">
      <c r="A67" s="7">
        <v>2</v>
      </c>
      <c r="B67">
        <f>IF(ISBLANK(G67),"",VLOOKUP(H67,code!B:C,2,FALSE))</f>
        <v>20</v>
      </c>
      <c r="C67">
        <f t="shared" ref="C67:C130" si="2">IF(ISBLANK(G67),"",IF(MID(G67,1,1)="M",0,1))</f>
        <v>1</v>
      </c>
      <c r="D67">
        <v>2020</v>
      </c>
      <c r="E67">
        <v>104179</v>
      </c>
      <c r="F67" t="s">
        <v>54</v>
      </c>
      <c r="G67" t="s">
        <v>285</v>
      </c>
      <c r="H67" t="s">
        <v>28</v>
      </c>
      <c r="I67">
        <v>12990</v>
      </c>
      <c r="J67">
        <f>I67/VLOOKUP($D67,CPI!$P$16:$R$22,3,FALSE)</f>
        <v>15133.983769389264</v>
      </c>
      <c r="K67">
        <f t="shared" ref="K67:K130" si="3">IF(ISBLANK(G67),"",IF(D67=2021,1,0))</f>
        <v>0</v>
      </c>
      <c r="L67" s="3" cm="1">
        <f t="array" ref="L67">IF($C67=0,INDEX('24&amp;25'!$L:$L,MATCH($D67&amp;$B67&amp;$E67,'24&amp;25'!$B:$B&amp;'24&amp;25'!$A:$A&amp;'24&amp;25'!$C:$C,0)),INDEX('24&amp;25'!$M:$M,MATCH($D67&amp;$B67&amp;$E67,'24&amp;25'!$B:$B&amp;'24&amp;25'!$A:$A&amp;'24&amp;25'!$C:$C,0)))</f>
        <v>788</v>
      </c>
      <c r="M67">
        <f>L67/VLOOKUP($D67,CPI!$P$16:$R$22,3,FALSE)</f>
        <v>918.0584457489407</v>
      </c>
    </row>
    <row r="68" spans="1:13" ht="16" thickBot="1" x14ac:dyDescent="0.25">
      <c r="A68" s="7">
        <v>2</v>
      </c>
      <c r="B68">
        <f>IF(ISBLANK(G68),"",VLOOKUP(H68,code!B:C,2,FALSE))</f>
        <v>21</v>
      </c>
      <c r="C68">
        <f t="shared" si="2"/>
        <v>1</v>
      </c>
      <c r="D68">
        <v>2020</v>
      </c>
      <c r="E68">
        <v>104179</v>
      </c>
      <c r="F68" t="s">
        <v>54</v>
      </c>
      <c r="G68" t="s">
        <v>285</v>
      </c>
      <c r="H68" t="s">
        <v>30</v>
      </c>
      <c r="I68">
        <v>0</v>
      </c>
      <c r="J68">
        <f>I68/VLOOKUP($D68,CPI!$P$16:$R$22,3,FALSE)</f>
        <v>0</v>
      </c>
      <c r="K68">
        <f t="shared" si="3"/>
        <v>0</v>
      </c>
      <c r="L68" s="3" cm="1">
        <f t="array" ref="L68">IF($C68=0,INDEX('24&amp;25'!$L:$L,MATCH($D68&amp;$B68&amp;$E68,'24&amp;25'!$B:$B&amp;'24&amp;25'!$A:$A&amp;'24&amp;25'!$C:$C,0)),INDEX('24&amp;25'!$M:$M,MATCH($D68&amp;$B68&amp;$E68,'24&amp;25'!$B:$B&amp;'24&amp;25'!$A:$A&amp;'24&amp;25'!$C:$C,0)))</f>
        <v>52098</v>
      </c>
      <c r="M68">
        <f>L68/VLOOKUP($D68,CPI!$P$16:$R$22,3,FALSE)</f>
        <v>60696.711810442022</v>
      </c>
    </row>
    <row r="69" spans="1:13" ht="16" thickBot="1" x14ac:dyDescent="0.25">
      <c r="A69" s="7">
        <v>2</v>
      </c>
      <c r="B69">
        <f>IF(ISBLANK(G69),"",VLOOKUP(H69,code!B:C,2,FALSE))</f>
        <v>23</v>
      </c>
      <c r="C69">
        <f t="shared" si="2"/>
        <v>1</v>
      </c>
      <c r="D69">
        <v>2020</v>
      </c>
      <c r="E69">
        <v>104179</v>
      </c>
      <c r="F69" t="s">
        <v>54</v>
      </c>
      <c r="G69" t="s">
        <v>285</v>
      </c>
      <c r="H69" t="s">
        <v>33</v>
      </c>
      <c r="I69">
        <v>119777</v>
      </c>
      <c r="J69">
        <f>I69/VLOOKUP($D69,CPI!$P$16:$R$22,3,FALSE)</f>
        <v>139546.04880262801</v>
      </c>
      <c r="K69">
        <f t="shared" si="3"/>
        <v>0</v>
      </c>
      <c r="L69" s="3" cm="1">
        <f t="array" ref="L69">IF($C69=0,INDEX('24&amp;25'!$L:$L,MATCH($D69&amp;$B69&amp;$E69,'24&amp;25'!$B:$B&amp;'24&amp;25'!$A:$A&amp;'24&amp;25'!$C:$C,0)),INDEX('24&amp;25'!$M:$M,MATCH($D69&amp;$B69&amp;$E69,'24&amp;25'!$B:$B&amp;'24&amp;25'!$A:$A&amp;'24&amp;25'!$C:$C,0)))</f>
        <v>26280</v>
      </c>
      <c r="M69">
        <f>L69/VLOOKUP($D69,CPI!$P$16:$R$22,3,FALSE)</f>
        <v>30617.482175484976</v>
      </c>
    </row>
    <row r="70" spans="1:13" ht="16" thickBot="1" x14ac:dyDescent="0.25">
      <c r="A70" s="7">
        <v>2</v>
      </c>
      <c r="B70">
        <f>IF(ISBLANK(G70),"",VLOOKUP(H70,code!B:C,2,FALSE))</f>
        <v>1</v>
      </c>
      <c r="C70">
        <f t="shared" si="2"/>
        <v>0</v>
      </c>
      <c r="D70">
        <v>2021</v>
      </c>
      <c r="E70">
        <v>104179</v>
      </c>
      <c r="F70" t="s">
        <v>54</v>
      </c>
      <c r="G70" t="s">
        <v>284</v>
      </c>
      <c r="H70" t="s">
        <v>9</v>
      </c>
      <c r="I70">
        <v>662765</v>
      </c>
      <c r="J70">
        <f>I70/VLOOKUP($D70,CPI!$P$16:$R$22,3,FALSE)</f>
        <v>754781.23890131339</v>
      </c>
      <c r="K70">
        <f t="shared" si="3"/>
        <v>1</v>
      </c>
      <c r="L70" s="3" cm="1">
        <f t="array" ref="L70">IF($C70=0,INDEX('24&amp;25'!$L:$L,MATCH($D70&amp;$B70&amp;$E70,'24&amp;25'!$B:$B&amp;'24&amp;25'!$A:$A&amp;'24&amp;25'!$C:$C,0)),INDEX('24&amp;25'!$M:$M,MATCH($D70&amp;$B70&amp;$E70,'24&amp;25'!$B:$B&amp;'24&amp;25'!$A:$A&amp;'24&amp;25'!$C:$C,0)))</f>
        <v>122942</v>
      </c>
      <c r="M70">
        <f>L70/VLOOKUP($D70,CPI!$P$16:$R$22,3,FALSE)</f>
        <v>140010.88632170568</v>
      </c>
    </row>
    <row r="71" spans="1:13" ht="16" thickBot="1" x14ac:dyDescent="0.25">
      <c r="A71" s="7">
        <v>2</v>
      </c>
      <c r="B71">
        <f>IF(ISBLANK(G71),"",VLOOKUP(H71,code!B:C,2,FALSE))</f>
        <v>2</v>
      </c>
      <c r="C71">
        <f t="shared" si="2"/>
        <v>0</v>
      </c>
      <c r="D71">
        <v>2021</v>
      </c>
      <c r="E71">
        <v>104179</v>
      </c>
      <c r="F71" t="s">
        <v>54</v>
      </c>
      <c r="G71" t="s">
        <v>284</v>
      </c>
      <c r="H71" t="s">
        <v>10</v>
      </c>
      <c r="I71">
        <v>4065510</v>
      </c>
      <c r="J71">
        <f>I71/VLOOKUP($D71,CPI!$P$16:$R$22,3,FALSE)</f>
        <v>4629952.8106729817</v>
      </c>
      <c r="K71">
        <f t="shared" si="3"/>
        <v>1</v>
      </c>
      <c r="L71" s="3" cm="1">
        <f t="array" ref="L71">IF($C71=0,INDEX('24&amp;25'!$L:$L,MATCH($D71&amp;$B71&amp;$E71,'24&amp;25'!$B:$B&amp;'24&amp;25'!$A:$A&amp;'24&amp;25'!$C:$C,0)),INDEX('24&amp;25'!$M:$M,MATCH($D71&amp;$B71&amp;$E71,'24&amp;25'!$B:$B&amp;'24&amp;25'!$A:$A&amp;'24&amp;25'!$C:$C,0)))</f>
        <v>604505</v>
      </c>
      <c r="M71">
        <f>L71/VLOOKUP($D71,CPI!$P$16:$R$22,3,FALSE)</f>
        <v>688432.6010305892</v>
      </c>
    </row>
    <row r="72" spans="1:13" ht="16" thickBot="1" x14ac:dyDescent="0.25">
      <c r="A72" s="7">
        <v>2</v>
      </c>
      <c r="B72">
        <f>IF(ISBLANK(G72),"",VLOOKUP(H72,code!B:C,2,FALSE))</f>
        <v>8</v>
      </c>
      <c r="C72">
        <f t="shared" si="2"/>
        <v>0</v>
      </c>
      <c r="D72">
        <v>2021</v>
      </c>
      <c r="E72">
        <v>104179</v>
      </c>
      <c r="F72" t="s">
        <v>54</v>
      </c>
      <c r="G72" t="s">
        <v>284</v>
      </c>
      <c r="H72" t="s">
        <v>16</v>
      </c>
      <c r="I72">
        <v>1391524</v>
      </c>
      <c r="J72">
        <f>I72/VLOOKUP($D72,CPI!$P$16:$R$22,3,FALSE)</f>
        <v>1584718.880268136</v>
      </c>
      <c r="K72">
        <f t="shared" si="3"/>
        <v>1</v>
      </c>
      <c r="L72" s="3" cm="1">
        <f t="array" ref="L72">IF($C72=0,INDEX('24&amp;25'!$L:$L,MATCH($D72&amp;$B72&amp;$E72,'24&amp;25'!$B:$B&amp;'24&amp;25'!$A:$A&amp;'24&amp;25'!$C:$C,0)),INDEX('24&amp;25'!$M:$M,MATCH($D72&amp;$B72&amp;$E72,'24&amp;25'!$B:$B&amp;'24&amp;25'!$A:$A&amp;'24&amp;25'!$C:$C,0)))</f>
        <v>2372160</v>
      </c>
      <c r="M72">
        <f>L72/VLOOKUP($D72,CPI!$P$16:$R$22,3,FALSE)</f>
        <v>2701503.3438279624</v>
      </c>
    </row>
    <row r="73" spans="1:13" ht="16" thickBot="1" x14ac:dyDescent="0.25">
      <c r="A73" s="7">
        <v>2</v>
      </c>
      <c r="B73">
        <v>9</v>
      </c>
      <c r="C73">
        <f t="shared" si="2"/>
        <v>0</v>
      </c>
      <c r="D73">
        <v>2021</v>
      </c>
      <c r="E73">
        <v>104179</v>
      </c>
      <c r="F73" t="s">
        <v>54</v>
      </c>
      <c r="G73" t="s">
        <v>284</v>
      </c>
      <c r="H73" t="s">
        <v>286</v>
      </c>
      <c r="I73">
        <v>88385</v>
      </c>
      <c r="J73">
        <f>I73/VLOOKUP($D73,CPI!$P$16:$R$22,3,FALSE)</f>
        <v>100656.09952289663</v>
      </c>
      <c r="K73">
        <f t="shared" si="3"/>
        <v>1</v>
      </c>
      <c r="L73" s="3" cm="1">
        <f t="array" ref="L73">IF($C73=0,INDEX('24&amp;25'!$L:$L,MATCH($D73&amp;$B73&amp;$E73,'24&amp;25'!$B:$B&amp;'24&amp;25'!$A:$A&amp;'24&amp;25'!$C:$C,0)),INDEX('24&amp;25'!$M:$M,MATCH($D73&amp;$B73&amp;$E73,'24&amp;25'!$B:$B&amp;'24&amp;25'!$A:$A&amp;'24&amp;25'!$C:$C,0)))</f>
        <v>0</v>
      </c>
      <c r="M73">
        <f>L73/VLOOKUP($D73,CPI!$P$16:$R$22,3,FALSE)</f>
        <v>0</v>
      </c>
    </row>
    <row r="74" spans="1:13" ht="16" thickBot="1" x14ac:dyDescent="0.25">
      <c r="A74" s="7">
        <v>2</v>
      </c>
      <c r="B74">
        <v>19</v>
      </c>
      <c r="C74">
        <f t="shared" si="2"/>
        <v>0</v>
      </c>
      <c r="D74">
        <v>2021</v>
      </c>
      <c r="E74">
        <v>104179</v>
      </c>
      <c r="F74" t="s">
        <v>54</v>
      </c>
      <c r="G74" t="s">
        <v>284</v>
      </c>
      <c r="H74" t="s">
        <v>287</v>
      </c>
      <c r="I74">
        <v>11447</v>
      </c>
      <c r="J74">
        <f>I74/VLOOKUP($D74,CPI!$P$16:$R$22,3,FALSE)</f>
        <v>13036.266009374867</v>
      </c>
      <c r="K74">
        <f t="shared" si="3"/>
        <v>1</v>
      </c>
      <c r="L74" s="3" cm="1">
        <f t="array" ref="L74">IF($C74=0,INDEX('24&amp;25'!$L:$L,MATCH($D74&amp;$B74&amp;$E74,'24&amp;25'!$B:$B&amp;'24&amp;25'!$A:$A&amp;'24&amp;25'!$C:$C,0)),INDEX('24&amp;25'!$M:$M,MATCH($D74&amp;$B74&amp;$E74,'24&amp;25'!$B:$B&amp;'24&amp;25'!$A:$A&amp;'24&amp;25'!$C:$C,0)))</f>
        <v>29242</v>
      </c>
      <c r="M74">
        <f>L74/VLOOKUP($D74,CPI!$P$16:$R$22,3,FALSE)</f>
        <v>33301.868668309588</v>
      </c>
    </row>
    <row r="75" spans="1:13" ht="16" thickBot="1" x14ac:dyDescent="0.25">
      <c r="A75" s="7">
        <v>2</v>
      </c>
      <c r="B75">
        <f>IF(ISBLANK(G75),"",VLOOKUP(H75,code!B:C,2,FALSE))</f>
        <v>20</v>
      </c>
      <c r="C75">
        <f t="shared" si="2"/>
        <v>0</v>
      </c>
      <c r="D75">
        <v>2021</v>
      </c>
      <c r="E75">
        <v>104179</v>
      </c>
      <c r="F75" t="s">
        <v>54</v>
      </c>
      <c r="G75" t="s">
        <v>284</v>
      </c>
      <c r="H75" t="s">
        <v>28</v>
      </c>
      <c r="I75">
        <v>33682</v>
      </c>
      <c r="J75">
        <f>I75/VLOOKUP($D75,CPI!$P$16:$R$22,3,FALSE)</f>
        <v>38358.304510156748</v>
      </c>
      <c r="K75">
        <f t="shared" si="3"/>
        <v>1</v>
      </c>
      <c r="L75" s="3" cm="1">
        <f t="array" ref="L75">IF($C75=0,INDEX('24&amp;25'!$L:$L,MATCH($D75&amp;$B75&amp;$E75,'24&amp;25'!$B:$B&amp;'24&amp;25'!$A:$A&amp;'24&amp;25'!$C:$C,0)),INDEX('24&amp;25'!$M:$M,MATCH($D75&amp;$B75&amp;$E75,'24&amp;25'!$B:$B&amp;'24&amp;25'!$A:$A&amp;'24&amp;25'!$C:$C,0)))</f>
        <v>0</v>
      </c>
      <c r="M75">
        <f>L75/VLOOKUP($D75,CPI!$P$16:$R$22,3,FALSE)</f>
        <v>0</v>
      </c>
    </row>
    <row r="76" spans="1:13" ht="16" thickBot="1" x14ac:dyDescent="0.25">
      <c r="A76" s="7">
        <v>2</v>
      </c>
      <c r="B76">
        <v>21</v>
      </c>
      <c r="C76">
        <f t="shared" si="2"/>
        <v>0</v>
      </c>
      <c r="D76">
        <v>2021</v>
      </c>
      <c r="E76">
        <v>104179</v>
      </c>
      <c r="F76" t="s">
        <v>54</v>
      </c>
      <c r="G76" t="s">
        <v>284</v>
      </c>
      <c r="H76" t="s">
        <v>288</v>
      </c>
      <c r="I76">
        <v>79629</v>
      </c>
      <c r="J76">
        <f>I76/VLOOKUP($D76,CPI!$P$16:$R$22,3,FALSE)</f>
        <v>90684.44361496561</v>
      </c>
      <c r="K76">
        <f t="shared" si="3"/>
        <v>1</v>
      </c>
      <c r="L76" s="3" cm="1">
        <f t="array" ref="L76">IF($C76=0,INDEX('24&amp;25'!$L:$L,MATCH($D76&amp;$B76&amp;$E76,'24&amp;25'!$B:$B&amp;'24&amp;25'!$A:$A&amp;'24&amp;25'!$C:$C,0)),INDEX('24&amp;25'!$M:$M,MATCH($D76&amp;$B76&amp;$E76,'24&amp;25'!$B:$B&amp;'24&amp;25'!$A:$A&amp;'24&amp;25'!$C:$C,0)))</f>
        <v>34677</v>
      </c>
      <c r="M76">
        <f>L76/VLOOKUP($D76,CPI!$P$16:$R$22,3,FALSE)</f>
        <v>39491.447226967095</v>
      </c>
    </row>
    <row r="77" spans="1:13" ht="16" thickBot="1" x14ac:dyDescent="0.25">
      <c r="A77" s="7">
        <v>2</v>
      </c>
      <c r="B77">
        <f>IF(ISBLANK(G77),"",VLOOKUP(H77,code!B:C,2,FALSE))</f>
        <v>2</v>
      </c>
      <c r="C77">
        <f t="shared" si="2"/>
        <v>1</v>
      </c>
      <c r="D77">
        <v>2021</v>
      </c>
      <c r="E77">
        <v>104179</v>
      </c>
      <c r="F77" t="s">
        <v>54</v>
      </c>
      <c r="G77" t="s">
        <v>289</v>
      </c>
      <c r="H77" t="s">
        <v>10</v>
      </c>
      <c r="I77">
        <v>242848</v>
      </c>
      <c r="J77">
        <f>I77/VLOOKUP($D77,CPI!$P$16:$R$22,3,FALSE)</f>
        <v>276564.2638110132</v>
      </c>
      <c r="K77">
        <f t="shared" si="3"/>
        <v>1</v>
      </c>
      <c r="L77" s="3" cm="1">
        <f t="array" ref="L77">IF($C77=0,INDEX('24&amp;25'!$L:$L,MATCH($D77&amp;$B77&amp;$E77,'24&amp;25'!$B:$B&amp;'24&amp;25'!$A:$A&amp;'24&amp;25'!$C:$C,0)),INDEX('24&amp;25'!$M:$M,MATCH($D77&amp;$B77&amp;$E77,'24&amp;25'!$B:$B&amp;'24&amp;25'!$A:$A&amp;'24&amp;25'!$C:$C,0)))</f>
        <v>304167</v>
      </c>
      <c r="M77">
        <f>L77/VLOOKUP($D77,CPI!$P$16:$R$22,3,FALSE)</f>
        <v>346396.60376286588</v>
      </c>
    </row>
    <row r="78" spans="1:13" ht="16" thickBot="1" x14ac:dyDescent="0.25">
      <c r="A78" s="7">
        <v>2</v>
      </c>
      <c r="B78">
        <v>3</v>
      </c>
      <c r="C78">
        <f t="shared" si="2"/>
        <v>1</v>
      </c>
      <c r="D78">
        <v>2021</v>
      </c>
      <c r="E78">
        <v>104179</v>
      </c>
      <c r="F78" t="s">
        <v>54</v>
      </c>
      <c r="G78" t="s">
        <v>289</v>
      </c>
      <c r="H78" t="s">
        <v>290</v>
      </c>
      <c r="I78">
        <v>4574</v>
      </c>
      <c r="J78">
        <f>I78/VLOOKUP($D78,CPI!$P$16:$R$22,3,FALSE)</f>
        <v>5209.0399866236257</v>
      </c>
      <c r="K78">
        <f t="shared" si="3"/>
        <v>1</v>
      </c>
      <c r="L78" s="3" cm="1">
        <f t="array" ref="L78">IF($C78=0,INDEX('24&amp;25'!$L:$L,MATCH($D78&amp;$B78&amp;$E78,'24&amp;25'!$B:$B&amp;'24&amp;25'!$A:$A&amp;'24&amp;25'!$C:$C,0)),INDEX('24&amp;25'!$M:$M,MATCH($D78&amp;$B78&amp;$E78,'24&amp;25'!$B:$B&amp;'24&amp;25'!$A:$A&amp;'24&amp;25'!$C:$C,0)))</f>
        <v>25758</v>
      </c>
      <c r="M78">
        <f>L78/VLOOKUP($D78,CPI!$P$16:$R$22,3,FALSE)</f>
        <v>29334.160904121414</v>
      </c>
    </row>
    <row r="79" spans="1:13" ht="16" thickBot="1" x14ac:dyDescent="0.25">
      <c r="A79" s="7">
        <v>2</v>
      </c>
      <c r="B79">
        <v>9</v>
      </c>
      <c r="C79">
        <f t="shared" si="2"/>
        <v>1</v>
      </c>
      <c r="D79">
        <v>2021</v>
      </c>
      <c r="E79">
        <v>104179</v>
      </c>
      <c r="F79" t="s">
        <v>54</v>
      </c>
      <c r="G79" t="s">
        <v>289</v>
      </c>
      <c r="H79" t="s">
        <v>286</v>
      </c>
      <c r="I79">
        <v>105107</v>
      </c>
      <c r="J79">
        <f>I79/VLOOKUP($D79,CPI!$P$16:$R$22,3,FALSE)</f>
        <v>119699.73018671828</v>
      </c>
      <c r="K79">
        <f t="shared" si="3"/>
        <v>1</v>
      </c>
      <c r="L79" s="3" cm="1">
        <f t="array" ref="L79">IF($C79=0,INDEX('24&amp;25'!$L:$L,MATCH($D79&amp;$B79&amp;$E79,'24&amp;25'!$B:$B&amp;'24&amp;25'!$A:$A&amp;'24&amp;25'!$C:$C,0)),INDEX('24&amp;25'!$M:$M,MATCH($D79&amp;$B79&amp;$E79,'24&amp;25'!$B:$B&amp;'24&amp;25'!$A:$A&amp;'24&amp;25'!$C:$C,0)))</f>
        <v>0</v>
      </c>
      <c r="M79">
        <f>L79/VLOOKUP($D79,CPI!$P$16:$R$22,3,FALSE)</f>
        <v>0</v>
      </c>
    </row>
    <row r="80" spans="1:13" ht="16" thickBot="1" x14ac:dyDescent="0.25">
      <c r="A80" s="7">
        <v>2</v>
      </c>
      <c r="B80">
        <f>IF(ISBLANK(G80),"",VLOOKUP(H80,code!B:C,2,FALSE))</f>
        <v>10</v>
      </c>
      <c r="C80">
        <f t="shared" si="2"/>
        <v>1</v>
      </c>
      <c r="D80">
        <v>2021</v>
      </c>
      <c r="E80">
        <v>104179</v>
      </c>
      <c r="F80" t="s">
        <v>54</v>
      </c>
      <c r="G80" t="s">
        <v>289</v>
      </c>
      <c r="H80" t="s">
        <v>18</v>
      </c>
      <c r="I80">
        <v>1200</v>
      </c>
      <c r="J80">
        <f>I80/VLOOKUP($D80,CPI!$P$16:$R$22,3,FALSE)</f>
        <v>1366.6042815803128</v>
      </c>
      <c r="K80">
        <f t="shared" si="3"/>
        <v>1</v>
      </c>
      <c r="L80" s="3" cm="1">
        <f t="array" ref="L80">IF($C80=0,INDEX('24&amp;25'!$L:$L,MATCH($D80&amp;$B80&amp;$E80,'24&amp;25'!$B:$B&amp;'24&amp;25'!$A:$A&amp;'24&amp;25'!$C:$C,0)),INDEX('24&amp;25'!$M:$M,MATCH($D80&amp;$B80&amp;$E80,'24&amp;25'!$B:$B&amp;'24&amp;25'!$A:$A&amp;'24&amp;25'!$C:$C,0)))</f>
        <v>33930</v>
      </c>
      <c r="M80">
        <f>L80/VLOOKUP($D80,CPI!$P$16:$R$22,3,FALSE)</f>
        <v>38640.736061683347</v>
      </c>
    </row>
    <row r="81" spans="1:13" ht="16" thickBot="1" x14ac:dyDescent="0.25">
      <c r="A81" s="7">
        <v>2</v>
      </c>
      <c r="B81">
        <f>IF(ISBLANK(G81),"",VLOOKUP(H81,code!B:C,2,FALSE))</f>
        <v>17</v>
      </c>
      <c r="C81">
        <f t="shared" si="2"/>
        <v>1</v>
      </c>
      <c r="D81">
        <v>2021</v>
      </c>
      <c r="E81">
        <v>104179</v>
      </c>
      <c r="F81" t="s">
        <v>54</v>
      </c>
      <c r="G81" t="s">
        <v>289</v>
      </c>
      <c r="H81" t="s">
        <v>25</v>
      </c>
      <c r="I81">
        <v>14860</v>
      </c>
      <c r="J81">
        <f>I81/VLOOKUP($D81,CPI!$P$16:$R$22,3,FALSE)</f>
        <v>16923.116353569541</v>
      </c>
      <c r="K81">
        <f t="shared" si="3"/>
        <v>1</v>
      </c>
      <c r="L81" s="3" cm="1">
        <f t="array" ref="L81">IF($C81=0,INDEX('24&amp;25'!$L:$L,MATCH($D81&amp;$B81&amp;$E81,'24&amp;25'!$B:$B&amp;'24&amp;25'!$A:$A&amp;'24&amp;25'!$C:$C,0)),INDEX('24&amp;25'!$M:$M,MATCH($D81&amp;$B81&amp;$E81,'24&amp;25'!$B:$B&amp;'24&amp;25'!$A:$A&amp;'24&amp;25'!$C:$C,0)))</f>
        <v>29999</v>
      </c>
      <c r="M81">
        <f>L81/VLOOKUP($D81,CPI!$P$16:$R$22,3,FALSE)</f>
        <v>34163.968202606506</v>
      </c>
    </row>
    <row r="82" spans="1:13" ht="16" thickBot="1" x14ac:dyDescent="0.25">
      <c r="A82" s="7">
        <v>2</v>
      </c>
      <c r="B82">
        <f>IF(ISBLANK(G82),"",VLOOKUP(H82,code!B:C,2,FALSE))</f>
        <v>18</v>
      </c>
      <c r="C82">
        <f t="shared" si="2"/>
        <v>1</v>
      </c>
      <c r="D82">
        <v>2021</v>
      </c>
      <c r="E82">
        <v>104179</v>
      </c>
      <c r="F82" t="s">
        <v>54</v>
      </c>
      <c r="G82" t="s">
        <v>289</v>
      </c>
      <c r="H82" t="s">
        <v>26</v>
      </c>
      <c r="I82">
        <v>918737</v>
      </c>
      <c r="J82">
        <f>I82/VLOOKUP($D82,CPI!$P$16:$R$22,3,FALSE)</f>
        <v>1046291.5982052099</v>
      </c>
      <c r="K82">
        <f t="shared" si="3"/>
        <v>1</v>
      </c>
      <c r="L82" s="3" cm="1">
        <f t="array" ref="L82">IF($C82=0,INDEX('24&amp;25'!$L:$L,MATCH($D82&amp;$B82&amp;$E82,'24&amp;25'!$B:$B&amp;'24&amp;25'!$A:$A&amp;'24&amp;25'!$C:$C,0)),INDEX('24&amp;25'!$M:$M,MATCH($D82&amp;$B82&amp;$E82,'24&amp;25'!$B:$B&amp;'24&amp;25'!$A:$A&amp;'24&amp;25'!$C:$C,0)))</f>
        <v>88129</v>
      </c>
      <c r="M82">
        <f>L82/VLOOKUP($D82,CPI!$P$16:$R$22,3,FALSE)</f>
        <v>100364.5572761595</v>
      </c>
    </row>
    <row r="83" spans="1:13" ht="16" thickBot="1" x14ac:dyDescent="0.25">
      <c r="A83" s="7">
        <v>2</v>
      </c>
      <c r="B83">
        <v>19</v>
      </c>
      <c r="C83">
        <f t="shared" si="2"/>
        <v>1</v>
      </c>
      <c r="D83">
        <v>2021</v>
      </c>
      <c r="E83">
        <v>104179</v>
      </c>
      <c r="F83" t="s">
        <v>54</v>
      </c>
      <c r="G83" t="s">
        <v>289</v>
      </c>
      <c r="H83" t="s">
        <v>287</v>
      </c>
      <c r="I83">
        <v>5220</v>
      </c>
      <c r="J83">
        <f>I83/VLOOKUP($D83,CPI!$P$16:$R$22,3,FALSE)</f>
        <v>5944.7286248743612</v>
      </c>
      <c r="K83">
        <f t="shared" si="3"/>
        <v>1</v>
      </c>
      <c r="L83" s="3" cm="1">
        <f t="array" ref="L83">IF($C83=0,INDEX('24&amp;25'!$L:$L,MATCH($D83&amp;$B83&amp;$E83,'24&amp;25'!$B:$B&amp;'24&amp;25'!$A:$A&amp;'24&amp;25'!$C:$C,0)),INDEX('24&amp;25'!$M:$M,MATCH($D83&amp;$B83&amp;$E83,'24&amp;25'!$B:$B&amp;'24&amp;25'!$A:$A&amp;'24&amp;25'!$C:$C,0)))</f>
        <v>29241</v>
      </c>
      <c r="M83">
        <f>L83/VLOOKUP($D83,CPI!$P$16:$R$22,3,FALSE)</f>
        <v>33300.729831408273</v>
      </c>
    </row>
    <row r="84" spans="1:13" ht="16" thickBot="1" x14ac:dyDescent="0.25">
      <c r="A84" s="7">
        <v>2</v>
      </c>
      <c r="B84">
        <f>IF(ISBLANK(G84),"",VLOOKUP(H84,code!B:C,2,FALSE))</f>
        <v>20</v>
      </c>
      <c r="C84">
        <f t="shared" si="2"/>
        <v>1</v>
      </c>
      <c r="D84">
        <v>2021</v>
      </c>
      <c r="E84">
        <v>104179</v>
      </c>
      <c r="F84" t="s">
        <v>54</v>
      </c>
      <c r="G84" t="s">
        <v>289</v>
      </c>
      <c r="H84" t="s">
        <v>28</v>
      </c>
      <c r="I84">
        <v>33681</v>
      </c>
      <c r="J84">
        <f>I84/VLOOKUP($D84,CPI!$P$16:$R$22,3,FALSE)</f>
        <v>38357.165673255433</v>
      </c>
      <c r="K84">
        <f t="shared" si="3"/>
        <v>1</v>
      </c>
      <c r="L84" s="3" cm="1">
        <f t="array" ref="L84">IF($C84=0,INDEX('24&amp;25'!$L:$L,MATCH($D84&amp;$B84&amp;$E84,'24&amp;25'!$B:$B&amp;'24&amp;25'!$A:$A&amp;'24&amp;25'!$C:$C,0)),INDEX('24&amp;25'!$M:$M,MATCH($D84&amp;$B84&amp;$E84,'24&amp;25'!$B:$B&amp;'24&amp;25'!$A:$A&amp;'24&amp;25'!$C:$C,0)))</f>
        <v>0</v>
      </c>
      <c r="M84">
        <f>L84/VLOOKUP($D84,CPI!$P$16:$R$22,3,FALSE)</f>
        <v>0</v>
      </c>
    </row>
    <row r="85" spans="1:13" ht="16" thickBot="1" x14ac:dyDescent="0.25">
      <c r="A85" s="7">
        <v>2</v>
      </c>
      <c r="B85">
        <v>21</v>
      </c>
      <c r="C85">
        <f t="shared" si="2"/>
        <v>1</v>
      </c>
      <c r="D85">
        <v>2021</v>
      </c>
      <c r="E85">
        <v>104179</v>
      </c>
      <c r="F85" t="s">
        <v>54</v>
      </c>
      <c r="G85" t="s">
        <v>289</v>
      </c>
      <c r="H85" t="s">
        <v>288</v>
      </c>
      <c r="I85">
        <v>79649</v>
      </c>
      <c r="J85">
        <f>I85/VLOOKUP($D85,CPI!$P$16:$R$22,3,FALSE)</f>
        <v>90707.22035299195</v>
      </c>
      <c r="K85">
        <f t="shared" si="3"/>
        <v>1</v>
      </c>
      <c r="L85" s="3" cm="1">
        <f t="array" ref="L85">IF($C85=0,INDEX('24&amp;25'!$L:$L,MATCH($D85&amp;$B85&amp;$E85,'24&amp;25'!$B:$B&amp;'24&amp;25'!$A:$A&amp;'24&amp;25'!$C:$C,0)),INDEX('24&amp;25'!$M:$M,MATCH($D85&amp;$B85&amp;$E85,'24&amp;25'!$B:$B&amp;'24&amp;25'!$A:$A&amp;'24&amp;25'!$C:$C,0)))</f>
        <v>34983</v>
      </c>
      <c r="M85">
        <f>L85/VLOOKUP($D85,CPI!$P$16:$R$22,3,FALSE)</f>
        <v>39839.931318770068</v>
      </c>
    </row>
    <row r="86" spans="1:13" ht="16" thickBot="1" x14ac:dyDescent="0.25">
      <c r="A86" s="7">
        <v>2</v>
      </c>
      <c r="B86">
        <f>IF(ISBLANK(G86),"",VLOOKUP(H86,code!B:C,2,FALSE))</f>
        <v>23</v>
      </c>
      <c r="C86">
        <f t="shared" si="2"/>
        <v>1</v>
      </c>
      <c r="D86">
        <v>2021</v>
      </c>
      <c r="E86">
        <v>104179</v>
      </c>
      <c r="F86" t="s">
        <v>54</v>
      </c>
      <c r="G86" t="s">
        <v>289</v>
      </c>
      <c r="H86" t="s">
        <v>33</v>
      </c>
      <c r="I86">
        <v>9461</v>
      </c>
      <c r="J86">
        <f>I86/VLOOKUP($D86,CPI!$P$16:$R$22,3,FALSE)</f>
        <v>10774.53592335945</v>
      </c>
      <c r="K86">
        <f t="shared" si="3"/>
        <v>1</v>
      </c>
      <c r="L86" s="3" cm="1">
        <f t="array" ref="L86">IF($C86=0,INDEX('24&amp;25'!$L:$L,MATCH($D86&amp;$B86&amp;$E86,'24&amp;25'!$B:$B&amp;'24&amp;25'!$A:$A&amp;'24&amp;25'!$C:$C,0)),INDEX('24&amp;25'!$M:$M,MATCH($D86&amp;$B86&amp;$E86,'24&amp;25'!$B:$B&amp;'24&amp;25'!$A:$A&amp;'24&amp;25'!$C:$C,0)))</f>
        <v>25759</v>
      </c>
      <c r="M86">
        <f>L86/VLOOKUP($D86,CPI!$P$16:$R$22,3,FALSE)</f>
        <v>29335.299741022733</v>
      </c>
    </row>
    <row r="87" spans="1:13" ht="16" thickBot="1" x14ac:dyDescent="0.25">
      <c r="A87" s="7">
        <v>2</v>
      </c>
      <c r="B87">
        <f>IF(ISBLANK(G87),"",VLOOKUP(H87,code!B:C,2,FALSE))</f>
        <v>1</v>
      </c>
      <c r="C87">
        <f t="shared" si="2"/>
        <v>0</v>
      </c>
      <c r="D87">
        <v>2022</v>
      </c>
      <c r="E87">
        <v>104179</v>
      </c>
      <c r="F87" t="s">
        <v>54</v>
      </c>
      <c r="G87" t="s">
        <v>284</v>
      </c>
      <c r="H87" t="s">
        <v>9</v>
      </c>
      <c r="I87">
        <v>1432993</v>
      </c>
      <c r="J87">
        <f>I87/VLOOKUP($D87,CPI!$P$16:$R$22,3,FALSE)</f>
        <v>1522727.5018225338</v>
      </c>
      <c r="K87">
        <f t="shared" si="3"/>
        <v>0</v>
      </c>
      <c r="L87" s="3" cm="1">
        <f t="array" ref="L87">IF($C87=0,INDEX('24&amp;25'!$L:$L,MATCH($D87&amp;$B87&amp;$E87,'24&amp;25'!$B:$B&amp;'24&amp;25'!$A:$A&amp;'24&amp;25'!$C:$C,0)),INDEX('24&amp;25'!$M:$M,MATCH($D87&amp;$B87&amp;$E87,'24&amp;25'!$B:$B&amp;'24&amp;25'!$A:$A&amp;'24&amp;25'!$C:$C,0)))</f>
        <v>122942</v>
      </c>
      <c r="M87">
        <f>L87/VLOOKUP($D87,CPI!$P$16:$R$22,3,FALSE)</f>
        <v>130640.66923499692</v>
      </c>
    </row>
    <row r="88" spans="1:13" ht="16" thickBot="1" x14ac:dyDescent="0.25">
      <c r="A88" s="7">
        <v>2</v>
      </c>
      <c r="B88">
        <f>IF(ISBLANK(G88),"",VLOOKUP(H88,code!B:C,2,FALSE))</f>
        <v>2</v>
      </c>
      <c r="C88">
        <f t="shared" si="2"/>
        <v>0</v>
      </c>
      <c r="D88">
        <v>2022</v>
      </c>
      <c r="E88">
        <v>104179</v>
      </c>
      <c r="F88" t="s">
        <v>54</v>
      </c>
      <c r="G88" t="s">
        <v>284</v>
      </c>
      <c r="H88" t="s">
        <v>10</v>
      </c>
      <c r="I88">
        <v>15504917</v>
      </c>
      <c r="J88">
        <f>I88/VLOOKUP($D88,CPI!$P$16:$R$22,3,FALSE)</f>
        <v>16475840.097876078</v>
      </c>
      <c r="K88">
        <f t="shared" si="3"/>
        <v>0</v>
      </c>
      <c r="L88" s="3" cm="1">
        <f t="array" ref="L88">IF($C88=0,INDEX('24&amp;25'!$L:$L,MATCH($D88&amp;$B88&amp;$E88,'24&amp;25'!$B:$B&amp;'24&amp;25'!$A:$A&amp;'24&amp;25'!$C:$C,0)),INDEX('24&amp;25'!$M:$M,MATCH($D88&amp;$B88&amp;$E88,'24&amp;25'!$B:$B&amp;'24&amp;25'!$A:$A&amp;'24&amp;25'!$C:$C,0)))</f>
        <v>604505</v>
      </c>
      <c r="M88">
        <f>L88/VLOOKUP($D88,CPI!$P$16:$R$22,3,FALSE)</f>
        <v>642359.30565552716</v>
      </c>
    </row>
    <row r="89" spans="1:13" ht="16" thickBot="1" x14ac:dyDescent="0.25">
      <c r="A89" s="7">
        <v>2</v>
      </c>
      <c r="B89">
        <f>IF(ISBLANK(G89),"",VLOOKUP(H89,code!B:C,2,FALSE))</f>
        <v>8</v>
      </c>
      <c r="C89">
        <f t="shared" si="2"/>
        <v>0</v>
      </c>
      <c r="D89">
        <v>2022</v>
      </c>
      <c r="E89">
        <v>104179</v>
      </c>
      <c r="F89" t="s">
        <v>54</v>
      </c>
      <c r="G89" t="s">
        <v>284</v>
      </c>
      <c r="H89" t="s">
        <v>16</v>
      </c>
      <c r="I89">
        <v>14652941</v>
      </c>
      <c r="J89">
        <f>I89/VLOOKUP($D89,CPI!$P$16:$R$22,3,FALSE)</f>
        <v>15570513.075278791</v>
      </c>
      <c r="K89">
        <f t="shared" si="3"/>
        <v>0</v>
      </c>
      <c r="L89" s="3" cm="1">
        <f t="array" ref="L89">IF($C89=0,INDEX('24&amp;25'!$L:$L,MATCH($D89&amp;$B89&amp;$E89,'24&amp;25'!$B:$B&amp;'24&amp;25'!$A:$A&amp;'24&amp;25'!$C:$C,0)),INDEX('24&amp;25'!$M:$M,MATCH($D89&amp;$B89&amp;$E89,'24&amp;25'!$B:$B&amp;'24&amp;25'!$A:$A&amp;'24&amp;25'!$C:$C,0)))</f>
        <v>2372160</v>
      </c>
      <c r="M89">
        <f>L89/VLOOKUP($D89,CPI!$P$16:$R$22,3,FALSE)</f>
        <v>2520705.4540554923</v>
      </c>
    </row>
    <row r="90" spans="1:13" ht="16" thickBot="1" x14ac:dyDescent="0.25">
      <c r="A90" s="7">
        <v>2</v>
      </c>
      <c r="B90">
        <f>IF(ISBLANK(G90),"",VLOOKUP(H90,code!B:C,2,FALSE))</f>
        <v>9</v>
      </c>
      <c r="C90">
        <f t="shared" si="2"/>
        <v>0</v>
      </c>
      <c r="D90">
        <v>2022</v>
      </c>
      <c r="E90">
        <v>104179</v>
      </c>
      <c r="F90" t="s">
        <v>54</v>
      </c>
      <c r="G90" t="s">
        <v>284</v>
      </c>
      <c r="H90" t="s">
        <v>17</v>
      </c>
      <c r="I90">
        <v>100202</v>
      </c>
      <c r="J90">
        <f>I90/VLOOKUP($D90,CPI!$P$16:$R$22,3,FALSE)</f>
        <v>106476.68281535327</v>
      </c>
      <c r="K90">
        <f t="shared" si="3"/>
        <v>0</v>
      </c>
      <c r="L90" s="3" cm="1">
        <f t="array" ref="L90">IF($C90=0,INDEX('24&amp;25'!$L:$L,MATCH($D90&amp;$B90&amp;$E90,'24&amp;25'!$B:$B&amp;'24&amp;25'!$A:$A&amp;'24&amp;25'!$C:$C,0)),INDEX('24&amp;25'!$M:$M,MATCH($D90&amp;$B90&amp;$E90,'24&amp;25'!$B:$B&amp;'24&amp;25'!$A:$A&amp;'24&amp;25'!$C:$C,0)))</f>
        <v>0</v>
      </c>
      <c r="M90">
        <f>L90/VLOOKUP($D90,CPI!$P$16:$R$22,3,FALSE)</f>
        <v>0</v>
      </c>
    </row>
    <row r="91" spans="1:13" ht="16" thickBot="1" x14ac:dyDescent="0.25">
      <c r="A91" s="7">
        <v>2</v>
      </c>
      <c r="B91">
        <f>IF(ISBLANK(G91),"",VLOOKUP(H91,code!B:C,2,FALSE))</f>
        <v>19</v>
      </c>
      <c r="C91">
        <f t="shared" si="2"/>
        <v>0</v>
      </c>
      <c r="D91">
        <v>2022</v>
      </c>
      <c r="E91">
        <v>104179</v>
      </c>
      <c r="F91" t="s">
        <v>54</v>
      </c>
      <c r="G91" t="s">
        <v>284</v>
      </c>
      <c r="H91" t="s">
        <v>27</v>
      </c>
      <c r="I91">
        <v>37839</v>
      </c>
      <c r="J91">
        <f>I91/VLOOKUP($D91,CPI!$P$16:$R$22,3,FALSE)</f>
        <v>40208.490858966412</v>
      </c>
      <c r="K91">
        <f t="shared" si="3"/>
        <v>0</v>
      </c>
      <c r="L91" s="3" cm="1">
        <f t="array" ref="L91">IF($C91=0,INDEX('24&amp;25'!$L:$L,MATCH($D91&amp;$B91&amp;$E91,'24&amp;25'!$B:$B&amp;'24&amp;25'!$A:$A&amp;'24&amp;25'!$C:$C,0)),INDEX('24&amp;25'!$M:$M,MATCH($D91&amp;$B91&amp;$E91,'24&amp;25'!$B:$B&amp;'24&amp;25'!$A:$A&amp;'24&amp;25'!$C:$C,0)))</f>
        <v>29242</v>
      </c>
      <c r="M91">
        <f>L91/VLOOKUP($D91,CPI!$P$16:$R$22,3,FALSE)</f>
        <v>31073.143838312211</v>
      </c>
    </row>
    <row r="92" spans="1:13" ht="16" thickBot="1" x14ac:dyDescent="0.25">
      <c r="A92" s="7">
        <v>2</v>
      </c>
      <c r="B92">
        <f>IF(ISBLANK(G92),"",VLOOKUP(H92,code!B:C,2,FALSE))</f>
        <v>20</v>
      </c>
      <c r="C92">
        <f t="shared" si="2"/>
        <v>0</v>
      </c>
      <c r="D92">
        <v>2022</v>
      </c>
      <c r="E92">
        <v>104179</v>
      </c>
      <c r="F92" t="s">
        <v>54</v>
      </c>
      <c r="G92" t="s">
        <v>284</v>
      </c>
      <c r="H92" t="s">
        <v>28</v>
      </c>
      <c r="I92">
        <v>11975</v>
      </c>
      <c r="J92">
        <f>I92/VLOOKUP($D92,CPI!$P$16:$R$22,3,FALSE)</f>
        <v>12724.878512543217</v>
      </c>
      <c r="K92">
        <f t="shared" si="3"/>
        <v>0</v>
      </c>
      <c r="L92" s="3" cm="1">
        <f t="array" ref="L92">IF($C92=0,INDEX('24&amp;25'!$L:$L,MATCH($D92&amp;$B92&amp;$E92,'24&amp;25'!$B:$B&amp;'24&amp;25'!$A:$A&amp;'24&amp;25'!$C:$C,0)),INDEX('24&amp;25'!$M:$M,MATCH($D92&amp;$B92&amp;$E92,'24&amp;25'!$B:$B&amp;'24&amp;25'!$A:$A&amp;'24&amp;25'!$C:$C,0)))</f>
        <v>0</v>
      </c>
      <c r="M92">
        <f>L92/VLOOKUP($D92,CPI!$P$16:$R$22,3,FALSE)</f>
        <v>0</v>
      </c>
    </row>
    <row r="93" spans="1:13" ht="16" thickBot="1" x14ac:dyDescent="0.25">
      <c r="A93" s="7">
        <v>2</v>
      </c>
      <c r="B93">
        <f>IF(ISBLANK(G93),"",VLOOKUP(H93,code!B:C,2,FALSE))</f>
        <v>21</v>
      </c>
      <c r="C93">
        <f t="shared" si="2"/>
        <v>0</v>
      </c>
      <c r="D93">
        <v>2022</v>
      </c>
      <c r="E93">
        <v>104179</v>
      </c>
      <c r="F93" t="s">
        <v>54</v>
      </c>
      <c r="G93" t="s">
        <v>284</v>
      </c>
      <c r="H93" t="s">
        <v>30</v>
      </c>
      <c r="I93">
        <v>25263</v>
      </c>
      <c r="J93">
        <f>I93/VLOOKUP($D93,CPI!$P$16:$R$22,3,FALSE)</f>
        <v>26844.977525042112</v>
      </c>
      <c r="K93">
        <f t="shared" si="3"/>
        <v>0</v>
      </c>
      <c r="L93" s="3" cm="1">
        <f t="array" ref="L93">IF($C93=0,INDEX('24&amp;25'!$L:$L,MATCH($D93&amp;$B93&amp;$E93,'24&amp;25'!$B:$B&amp;'24&amp;25'!$A:$A&amp;'24&amp;25'!$C:$C,0)),INDEX('24&amp;25'!$M:$M,MATCH($D93&amp;$B93&amp;$E93,'24&amp;25'!$B:$B&amp;'24&amp;25'!$A:$A&amp;'24&amp;25'!$C:$C,0)))</f>
        <v>34677</v>
      </c>
      <c r="M93">
        <f>L93/VLOOKUP($D93,CPI!$P$16:$R$22,3,FALSE)</f>
        <v>36848.48535945396</v>
      </c>
    </row>
    <row r="94" spans="1:13" ht="16" thickBot="1" x14ac:dyDescent="0.25">
      <c r="A94" s="7">
        <v>2</v>
      </c>
      <c r="B94">
        <f>IF(ISBLANK(G94),"",VLOOKUP(H94,code!B:C,2,FALSE))</f>
        <v>2</v>
      </c>
      <c r="C94">
        <f t="shared" si="2"/>
        <v>1</v>
      </c>
      <c r="D94">
        <v>2022</v>
      </c>
      <c r="E94">
        <v>104179</v>
      </c>
      <c r="F94" t="s">
        <v>54</v>
      </c>
      <c r="G94" t="s">
        <v>285</v>
      </c>
      <c r="H94" t="s">
        <v>10</v>
      </c>
      <c r="I94">
        <v>1265576</v>
      </c>
      <c r="J94">
        <f>I94/VLOOKUP($D94,CPI!$P$16:$R$22,3,FALSE)</f>
        <v>1344826.7931850017</v>
      </c>
      <c r="K94">
        <f t="shared" si="3"/>
        <v>0</v>
      </c>
      <c r="L94" s="3" cm="1">
        <f t="array" ref="L94">IF($C94=0,INDEX('24&amp;25'!$L:$L,MATCH($D94&amp;$B94&amp;$E94,'24&amp;25'!$B:$B&amp;'24&amp;25'!$A:$A&amp;'24&amp;25'!$C:$C,0)),INDEX('24&amp;25'!$M:$M,MATCH($D94&amp;$B94&amp;$E94,'24&amp;25'!$B:$B&amp;'24&amp;25'!$A:$A&amp;'24&amp;25'!$C:$C,0)))</f>
        <v>304167</v>
      </c>
      <c r="M94">
        <f>L94/VLOOKUP($D94,CPI!$P$16:$R$22,3,FALSE)</f>
        <v>323214.03945926786</v>
      </c>
    </row>
    <row r="95" spans="1:13" ht="16" thickBot="1" x14ac:dyDescent="0.25">
      <c r="A95" s="7">
        <v>2</v>
      </c>
      <c r="B95">
        <f>IF(ISBLANK(G95),"",VLOOKUP(H95,code!B:C,2,FALSE))</f>
        <v>3</v>
      </c>
      <c r="C95">
        <f t="shared" si="2"/>
        <v>1</v>
      </c>
      <c r="D95">
        <v>2022</v>
      </c>
      <c r="E95">
        <v>104179</v>
      </c>
      <c r="F95" t="s">
        <v>54</v>
      </c>
      <c r="G95" t="s">
        <v>285</v>
      </c>
      <c r="H95" t="s">
        <v>11</v>
      </c>
      <c r="I95">
        <v>3494</v>
      </c>
      <c r="J95">
        <f>I95/VLOOKUP($D95,CPI!$P$16:$R$22,3,FALSE)</f>
        <v>3712.7954507579125</v>
      </c>
      <c r="K95">
        <f t="shared" si="3"/>
        <v>0</v>
      </c>
      <c r="L95" s="3" cm="1">
        <f t="array" ref="L95">IF($C95=0,INDEX('24&amp;25'!$L:$L,MATCH($D95&amp;$B95&amp;$E95,'24&amp;25'!$B:$B&amp;'24&amp;25'!$A:$A&amp;'24&amp;25'!$C:$C,0)),INDEX('24&amp;25'!$M:$M,MATCH($D95&amp;$B95&amp;$E95,'24&amp;25'!$B:$B&amp;'24&amp;25'!$A:$A&amp;'24&amp;25'!$C:$C,0)))</f>
        <v>25758</v>
      </c>
      <c r="M95">
        <f>L95/VLOOKUP($D95,CPI!$P$16:$R$22,3,FALSE)</f>
        <v>27370.974590905069</v>
      </c>
    </row>
    <row r="96" spans="1:13" ht="16" thickBot="1" x14ac:dyDescent="0.25">
      <c r="A96" s="7">
        <v>2</v>
      </c>
      <c r="B96">
        <f>IF(ISBLANK(G96),"",VLOOKUP(H96,code!B:C,2,FALSE))</f>
        <v>9</v>
      </c>
      <c r="C96">
        <f t="shared" si="2"/>
        <v>1</v>
      </c>
      <c r="D96">
        <v>2022</v>
      </c>
      <c r="E96">
        <v>104179</v>
      </c>
      <c r="F96" t="s">
        <v>54</v>
      </c>
      <c r="G96" t="s">
        <v>285</v>
      </c>
      <c r="H96" t="s">
        <v>17</v>
      </c>
      <c r="I96">
        <v>38614</v>
      </c>
      <c r="J96">
        <f>I96/VLOOKUP($D96,CPI!$P$16:$R$22,3,FALSE)</f>
        <v>41032.021618650841</v>
      </c>
      <c r="K96">
        <f t="shared" si="3"/>
        <v>0</v>
      </c>
      <c r="L96" s="3" cm="1">
        <f t="array" ref="L96">IF($C96=0,INDEX('24&amp;25'!$L:$L,MATCH($D96&amp;$B96&amp;$E96,'24&amp;25'!$B:$B&amp;'24&amp;25'!$A:$A&amp;'24&amp;25'!$C:$C,0)),INDEX('24&amp;25'!$M:$M,MATCH($D96&amp;$B96&amp;$E96,'24&amp;25'!$B:$B&amp;'24&amp;25'!$A:$A&amp;'24&amp;25'!$C:$C,0)))</f>
        <v>0</v>
      </c>
      <c r="M96">
        <f>L96/VLOOKUP($D96,CPI!$P$16:$R$22,3,FALSE)</f>
        <v>0</v>
      </c>
    </row>
    <row r="97" spans="1:13" ht="16" thickBot="1" x14ac:dyDescent="0.25">
      <c r="A97" s="7">
        <v>2</v>
      </c>
      <c r="B97">
        <f>IF(ISBLANK(G97),"",VLOOKUP(H97,code!B:C,2,FALSE))</f>
        <v>10</v>
      </c>
      <c r="C97">
        <f t="shared" si="2"/>
        <v>1</v>
      </c>
      <c r="D97">
        <v>2022</v>
      </c>
      <c r="E97">
        <v>104179</v>
      </c>
      <c r="F97" t="s">
        <v>54</v>
      </c>
      <c r="G97" t="s">
        <v>285</v>
      </c>
      <c r="H97" t="s">
        <v>18</v>
      </c>
      <c r="I97">
        <v>53346</v>
      </c>
      <c r="J97">
        <f>I97/VLOOKUP($D97,CPI!$P$16:$R$22,3,FALSE)</f>
        <v>56686.544395000456</v>
      </c>
      <c r="K97">
        <f t="shared" si="3"/>
        <v>0</v>
      </c>
      <c r="L97" s="3" cm="1">
        <f t="array" ref="L97">IF($C97=0,INDEX('24&amp;25'!$L:$L,MATCH($D97&amp;$B97&amp;$E97,'24&amp;25'!$B:$B&amp;'24&amp;25'!$A:$A&amp;'24&amp;25'!$C:$C,0)),INDEX('24&amp;25'!$M:$M,MATCH($D97&amp;$B97&amp;$E97,'24&amp;25'!$B:$B&amp;'24&amp;25'!$A:$A&amp;'24&amp;25'!$C:$C,0)))</f>
        <v>33930</v>
      </c>
      <c r="M97">
        <f>L97/VLOOKUP($D97,CPI!$P$16:$R$22,3,FALSE)</f>
        <v>36054.707969151677</v>
      </c>
    </row>
    <row r="98" spans="1:13" ht="16" thickBot="1" x14ac:dyDescent="0.25">
      <c r="A98" s="7">
        <v>2</v>
      </c>
      <c r="B98">
        <f>IF(ISBLANK(G98),"",VLOOKUP(H98,code!B:C,2,FALSE))</f>
        <v>17</v>
      </c>
      <c r="C98">
        <f t="shared" si="2"/>
        <v>1</v>
      </c>
      <c r="D98">
        <v>2022</v>
      </c>
      <c r="E98">
        <v>104179</v>
      </c>
      <c r="F98" t="s">
        <v>54</v>
      </c>
      <c r="G98" t="s">
        <v>285</v>
      </c>
      <c r="H98" t="s">
        <v>25</v>
      </c>
      <c r="I98">
        <v>39364</v>
      </c>
      <c r="J98">
        <f>I98/VLOOKUP($D98,CPI!$P$16:$R$22,3,FALSE)</f>
        <v>41828.986869958346</v>
      </c>
      <c r="K98">
        <f t="shared" si="3"/>
        <v>0</v>
      </c>
      <c r="L98" s="3" cm="1">
        <f t="array" ref="L98">IF($C98=0,INDEX('24&amp;25'!$L:$L,MATCH($D98&amp;$B98&amp;$E98,'24&amp;25'!$B:$B&amp;'24&amp;25'!$A:$A&amp;'24&amp;25'!$C:$C,0)),INDEX('24&amp;25'!$M:$M,MATCH($D98&amp;$B98&amp;$E98,'24&amp;25'!$B:$B&amp;'24&amp;25'!$A:$A&amp;'24&amp;25'!$C:$C,0)))</f>
        <v>29999</v>
      </c>
      <c r="M98">
        <f>L98/VLOOKUP($D98,CPI!$P$16:$R$22,3,FALSE)</f>
        <v>31877.547431965257</v>
      </c>
    </row>
    <row r="99" spans="1:13" ht="16" thickBot="1" x14ac:dyDescent="0.25">
      <c r="A99" s="7">
        <v>2</v>
      </c>
      <c r="B99">
        <f>IF(ISBLANK(G99),"",VLOOKUP(H99,code!B:C,2,FALSE))</f>
        <v>18</v>
      </c>
      <c r="C99">
        <f t="shared" si="2"/>
        <v>1</v>
      </c>
      <c r="D99">
        <v>2022</v>
      </c>
      <c r="E99">
        <v>104179</v>
      </c>
      <c r="F99" t="s">
        <v>54</v>
      </c>
      <c r="G99" t="s">
        <v>285</v>
      </c>
      <c r="H99" t="s">
        <v>26</v>
      </c>
      <c r="I99">
        <v>959814</v>
      </c>
      <c r="J99">
        <f>I99/VLOOKUP($D99,CPI!$P$16:$R$22,3,FALSE)</f>
        <v>1019917.8742912865</v>
      </c>
      <c r="K99">
        <f t="shared" si="3"/>
        <v>0</v>
      </c>
      <c r="L99" s="3" cm="1">
        <f t="array" ref="L99">IF($C99=0,INDEX('24&amp;25'!$L:$L,MATCH($D99&amp;$B99&amp;$E99,'24&amp;25'!$B:$B&amp;'24&amp;25'!$A:$A&amp;'24&amp;25'!$C:$C,0)),INDEX('24&amp;25'!$M:$M,MATCH($D99&amp;$B99&amp;$E99,'24&amp;25'!$B:$B&amp;'24&amp;25'!$A:$A&amp;'24&amp;25'!$C:$C,0)))</f>
        <v>88129</v>
      </c>
      <c r="M99">
        <f>L99/VLOOKUP($D99,CPI!$P$16:$R$22,3,FALSE)</f>
        <v>93647.66750997254</v>
      </c>
    </row>
    <row r="100" spans="1:13" ht="16" thickBot="1" x14ac:dyDescent="0.25">
      <c r="A100" s="7">
        <v>2</v>
      </c>
      <c r="B100">
        <f>IF(ISBLANK(G100),"",VLOOKUP(H100,code!B:C,2,FALSE))</f>
        <v>19</v>
      </c>
      <c r="C100">
        <f t="shared" si="2"/>
        <v>1</v>
      </c>
      <c r="D100">
        <v>2022</v>
      </c>
      <c r="E100">
        <v>104179</v>
      </c>
      <c r="F100" t="s">
        <v>54</v>
      </c>
      <c r="G100" t="s">
        <v>285</v>
      </c>
      <c r="H100" t="s">
        <v>27</v>
      </c>
      <c r="I100">
        <v>7670</v>
      </c>
      <c r="J100">
        <f>I100/VLOOKUP($D100,CPI!$P$16:$R$22,3,FALSE)</f>
        <v>8150.2979700381193</v>
      </c>
      <c r="K100">
        <f t="shared" si="3"/>
        <v>0</v>
      </c>
      <c r="L100" s="3" cm="1">
        <f t="array" ref="L100">IF($C100=0,INDEX('24&amp;25'!$L:$L,MATCH($D100&amp;$B100&amp;$E100,'24&amp;25'!$B:$B&amp;'24&amp;25'!$A:$A&amp;'24&amp;25'!$C:$C,0)),INDEX('24&amp;25'!$M:$M,MATCH($D100&amp;$B100&amp;$E100,'24&amp;25'!$B:$B&amp;'24&amp;25'!$A:$A&amp;'24&amp;25'!$C:$C,0)))</f>
        <v>29241</v>
      </c>
      <c r="M100">
        <f>L100/VLOOKUP($D100,CPI!$P$16:$R$22,3,FALSE)</f>
        <v>31072.081217977135</v>
      </c>
    </row>
    <row r="101" spans="1:13" ht="16" thickBot="1" x14ac:dyDescent="0.25">
      <c r="A101" s="7">
        <v>2</v>
      </c>
      <c r="B101">
        <f>IF(ISBLANK(G101),"",VLOOKUP(H101,code!B:C,2,FALSE))</f>
        <v>20</v>
      </c>
      <c r="C101">
        <f t="shared" si="2"/>
        <v>1</v>
      </c>
      <c r="D101">
        <v>2022</v>
      </c>
      <c r="E101">
        <v>104179</v>
      </c>
      <c r="F101" t="s">
        <v>54</v>
      </c>
      <c r="G101" t="s">
        <v>285</v>
      </c>
      <c r="H101" t="s">
        <v>28</v>
      </c>
      <c r="I101">
        <v>35933</v>
      </c>
      <c r="J101">
        <f>I101/VLOOKUP($D101,CPI!$P$16:$R$22,3,FALSE)</f>
        <v>38183.136500310262</v>
      </c>
      <c r="K101">
        <f t="shared" si="3"/>
        <v>0</v>
      </c>
      <c r="L101" s="3" cm="1">
        <f t="array" ref="L101">IF($C101=0,INDEX('24&amp;25'!$L:$L,MATCH($D101&amp;$B101&amp;$E101,'24&amp;25'!$B:$B&amp;'24&amp;25'!$A:$A&amp;'24&amp;25'!$C:$C,0)),INDEX('24&amp;25'!$M:$M,MATCH($D101&amp;$B101&amp;$E101,'24&amp;25'!$B:$B&amp;'24&amp;25'!$A:$A&amp;'24&amp;25'!$C:$C,0)))</f>
        <v>0</v>
      </c>
      <c r="M101">
        <f>L101/VLOOKUP($D101,CPI!$P$16:$R$22,3,FALSE)</f>
        <v>0</v>
      </c>
    </row>
    <row r="102" spans="1:13" ht="16" thickBot="1" x14ac:dyDescent="0.25">
      <c r="A102" s="7">
        <v>2</v>
      </c>
      <c r="B102">
        <f>IF(ISBLANK(G102),"",VLOOKUP(H102,code!B:C,2,FALSE))</f>
        <v>21</v>
      </c>
      <c r="C102">
        <f t="shared" si="2"/>
        <v>1</v>
      </c>
      <c r="D102">
        <v>2022</v>
      </c>
      <c r="E102">
        <v>104179</v>
      </c>
      <c r="F102" t="s">
        <v>54</v>
      </c>
      <c r="G102" t="s">
        <v>285</v>
      </c>
      <c r="H102" t="s">
        <v>30</v>
      </c>
      <c r="I102">
        <v>15264</v>
      </c>
      <c r="J102">
        <f>I102/VLOOKUP($D102,CPI!$P$16:$R$22,3,FALSE)</f>
        <v>16219.83679461041</v>
      </c>
      <c r="K102">
        <f t="shared" si="3"/>
        <v>0</v>
      </c>
      <c r="L102" s="3" cm="1">
        <f t="array" ref="L102">IF($C102=0,INDEX('24&amp;25'!$L:$L,MATCH($D102&amp;$B102&amp;$E102,'24&amp;25'!$B:$B&amp;'24&amp;25'!$A:$A&amp;'24&amp;25'!$C:$C,0)),INDEX('24&amp;25'!$M:$M,MATCH($D102&amp;$B102&amp;$E102,'24&amp;25'!$B:$B&amp;'24&amp;25'!$A:$A&amp;'24&amp;25'!$C:$C,0)))</f>
        <v>34983</v>
      </c>
      <c r="M102">
        <f>L102/VLOOKUP($D102,CPI!$P$16:$R$22,3,FALSE)</f>
        <v>37173.64718198742</v>
      </c>
    </row>
    <row r="103" spans="1:13" ht="16" thickBot="1" x14ac:dyDescent="0.25">
      <c r="A103" s="7">
        <v>2</v>
      </c>
      <c r="B103">
        <f>IF(ISBLANK(G103),"",VLOOKUP(H103,code!B:C,2,FALSE))</f>
        <v>23</v>
      </c>
      <c r="C103">
        <f t="shared" si="2"/>
        <v>1</v>
      </c>
      <c r="D103">
        <v>2022</v>
      </c>
      <c r="E103">
        <v>104179</v>
      </c>
      <c r="F103" t="s">
        <v>54</v>
      </c>
      <c r="G103" t="s">
        <v>285</v>
      </c>
      <c r="H103" t="s">
        <v>33</v>
      </c>
      <c r="I103">
        <v>214865</v>
      </c>
      <c r="J103">
        <f>I103/VLOOKUP($D103,CPI!$P$16:$R$22,3,FALSE)</f>
        <v>228319.91829625037</v>
      </c>
      <c r="K103">
        <f t="shared" si="3"/>
        <v>0</v>
      </c>
      <c r="L103" s="3" cm="1">
        <f t="array" ref="L103">IF($C103=0,INDEX('24&amp;25'!$L:$L,MATCH($D103&amp;$B103&amp;$E103,'24&amp;25'!$B:$B&amp;'24&amp;25'!$A:$A&amp;'24&amp;25'!$C:$C,0)),INDEX('24&amp;25'!$M:$M,MATCH($D103&amp;$B103&amp;$E103,'24&amp;25'!$B:$B&amp;'24&amp;25'!$A:$A&amp;'24&amp;25'!$C:$C,0)))</f>
        <v>25759</v>
      </c>
      <c r="M103">
        <f>L103/VLOOKUP($D103,CPI!$P$16:$R$22,3,FALSE)</f>
        <v>27372.037211240146</v>
      </c>
    </row>
    <row r="104" spans="1:13" ht="16" thickBot="1" x14ac:dyDescent="0.25">
      <c r="A104" s="7">
        <v>2</v>
      </c>
      <c r="B104">
        <f>IF(ISBLANK(G104),"",VLOOKUP(H104,code!B:C,2,FALSE))</f>
        <v>1</v>
      </c>
      <c r="C104">
        <f t="shared" si="2"/>
        <v>0</v>
      </c>
      <c r="D104">
        <v>2023</v>
      </c>
      <c r="E104">
        <v>104179</v>
      </c>
      <c r="F104" t="s">
        <v>54</v>
      </c>
      <c r="G104" t="s">
        <v>284</v>
      </c>
      <c r="H104" t="s">
        <v>9</v>
      </c>
      <c r="I104">
        <v>1520442</v>
      </c>
      <c r="J104">
        <f>I104/VLOOKUP($D104,CPI!$P$16:$R$22,3,FALSE)</f>
        <v>1520442</v>
      </c>
      <c r="K104">
        <f t="shared" si="3"/>
        <v>0</v>
      </c>
      <c r="L104" s="3" cm="1">
        <f t="array" ref="L104">IF($C104=0,INDEX('24&amp;25'!$L:$L,MATCH($D104&amp;$B104&amp;$E104,'24&amp;25'!$B:$B&amp;'24&amp;25'!$A:$A&amp;'24&amp;25'!$C:$C,0)),INDEX('24&amp;25'!$M:$M,MATCH($D104&amp;$B104&amp;$E104,'24&amp;25'!$B:$B&amp;'24&amp;25'!$A:$A&amp;'24&amp;25'!$C:$C,0)))</f>
        <v>136549</v>
      </c>
      <c r="M104">
        <f>L104/VLOOKUP($D104,CPI!$P$16:$R$22,3,FALSE)</f>
        <v>136549</v>
      </c>
    </row>
    <row r="105" spans="1:13" ht="16" thickBot="1" x14ac:dyDescent="0.25">
      <c r="A105" s="7">
        <v>2</v>
      </c>
      <c r="B105">
        <f>IF(ISBLANK(G105),"",VLOOKUP(H105,code!B:C,2,FALSE))</f>
        <v>2</v>
      </c>
      <c r="C105">
        <f t="shared" si="2"/>
        <v>0</v>
      </c>
      <c r="D105">
        <v>2023</v>
      </c>
      <c r="E105">
        <v>104179</v>
      </c>
      <c r="F105" t="s">
        <v>54</v>
      </c>
      <c r="G105" t="s">
        <v>284</v>
      </c>
      <c r="H105" t="s">
        <v>10</v>
      </c>
      <c r="I105">
        <v>14943051</v>
      </c>
      <c r="J105">
        <f>I105/VLOOKUP($D105,CPI!$P$16:$R$22,3,FALSE)</f>
        <v>14943051</v>
      </c>
      <c r="K105">
        <f t="shared" si="3"/>
        <v>0</v>
      </c>
      <c r="L105" s="3" cm="1">
        <f t="array" ref="L105">IF($C105=0,INDEX('24&amp;25'!$L:$L,MATCH($D105&amp;$B105&amp;$E105,'24&amp;25'!$B:$B&amp;'24&amp;25'!$A:$A&amp;'24&amp;25'!$C:$C,0)),INDEX('24&amp;25'!$M:$M,MATCH($D105&amp;$B105&amp;$E105,'24&amp;25'!$B:$B&amp;'24&amp;25'!$A:$A&amp;'24&amp;25'!$C:$C,0)))</f>
        <v>670769</v>
      </c>
      <c r="M105">
        <f>L105/VLOOKUP($D105,CPI!$P$16:$R$22,3,FALSE)</f>
        <v>670769</v>
      </c>
    </row>
    <row r="106" spans="1:13" ht="16" thickBot="1" x14ac:dyDescent="0.25">
      <c r="A106" s="7">
        <v>2</v>
      </c>
      <c r="B106">
        <f>IF(ISBLANK(G106),"",VLOOKUP(H106,code!B:C,2,FALSE))</f>
        <v>8</v>
      </c>
      <c r="C106">
        <f t="shared" si="2"/>
        <v>0</v>
      </c>
      <c r="D106">
        <v>2023</v>
      </c>
      <c r="E106">
        <v>104179</v>
      </c>
      <c r="F106" t="s">
        <v>54</v>
      </c>
      <c r="G106" t="s">
        <v>284</v>
      </c>
      <c r="H106" t="s">
        <v>16</v>
      </c>
      <c r="I106">
        <v>13905788</v>
      </c>
      <c r="J106">
        <f>I106/VLOOKUP($D106,CPI!$P$16:$R$22,3,FALSE)</f>
        <v>13905788</v>
      </c>
      <c r="K106">
        <f t="shared" si="3"/>
        <v>0</v>
      </c>
      <c r="L106" s="3" cm="1">
        <f t="array" ref="L106">IF($C106=0,INDEX('24&amp;25'!$L:$L,MATCH($D106&amp;$B106&amp;$E106,'24&amp;25'!$B:$B&amp;'24&amp;25'!$A:$A&amp;'24&amp;25'!$C:$C,0)),INDEX('24&amp;25'!$M:$M,MATCH($D106&amp;$B106&amp;$E106,'24&amp;25'!$B:$B&amp;'24&amp;25'!$A:$A&amp;'24&amp;25'!$C:$C,0)))</f>
        <v>2878759</v>
      </c>
      <c r="M106">
        <f>L106/VLOOKUP($D106,CPI!$P$16:$R$22,3,FALSE)</f>
        <v>2878759</v>
      </c>
    </row>
    <row r="107" spans="1:13" ht="16" thickBot="1" x14ac:dyDescent="0.25">
      <c r="A107" s="7">
        <v>2</v>
      </c>
      <c r="B107">
        <f>IF(ISBLANK(G107),"",VLOOKUP(H107,code!B:C,2,FALSE))</f>
        <v>9</v>
      </c>
      <c r="C107">
        <f t="shared" si="2"/>
        <v>0</v>
      </c>
      <c r="D107">
        <v>2023</v>
      </c>
      <c r="E107">
        <v>104179</v>
      </c>
      <c r="F107" t="s">
        <v>54</v>
      </c>
      <c r="G107" t="s">
        <v>284</v>
      </c>
      <c r="H107" t="s">
        <v>17</v>
      </c>
      <c r="I107">
        <v>305454</v>
      </c>
      <c r="J107">
        <f>I107/VLOOKUP($D107,CPI!$P$16:$R$22,3,FALSE)</f>
        <v>305454</v>
      </c>
      <c r="K107">
        <f t="shared" si="3"/>
        <v>0</v>
      </c>
      <c r="L107" s="3" cm="1">
        <f t="array" ref="L107">IF($C107=0,INDEX('24&amp;25'!$L:$L,MATCH($D107&amp;$B107&amp;$E107,'24&amp;25'!$B:$B&amp;'24&amp;25'!$A:$A&amp;'24&amp;25'!$C:$C,0)),INDEX('24&amp;25'!$M:$M,MATCH($D107&amp;$B107&amp;$E107,'24&amp;25'!$B:$B&amp;'24&amp;25'!$A:$A&amp;'24&amp;25'!$C:$C,0)))</f>
        <v>0</v>
      </c>
      <c r="M107">
        <f>L107/VLOOKUP($D107,CPI!$P$16:$R$22,3,FALSE)</f>
        <v>0</v>
      </c>
    </row>
    <row r="108" spans="1:13" ht="16" thickBot="1" x14ac:dyDescent="0.25">
      <c r="A108" s="7">
        <v>2</v>
      </c>
      <c r="B108">
        <f>IF(ISBLANK(G108),"",VLOOKUP(H108,code!B:C,2,FALSE))</f>
        <v>19</v>
      </c>
      <c r="C108">
        <f t="shared" si="2"/>
        <v>0</v>
      </c>
      <c r="D108">
        <v>2023</v>
      </c>
      <c r="E108">
        <v>104179</v>
      </c>
      <c r="F108" t="s">
        <v>54</v>
      </c>
      <c r="G108" t="s">
        <v>284</v>
      </c>
      <c r="H108" t="s">
        <v>27</v>
      </c>
      <c r="I108">
        <v>205325</v>
      </c>
      <c r="J108">
        <f>I108/VLOOKUP($D108,CPI!$P$16:$R$22,3,FALSE)</f>
        <v>205325</v>
      </c>
      <c r="K108">
        <f t="shared" si="3"/>
        <v>0</v>
      </c>
      <c r="L108" s="3" cm="1">
        <f t="array" ref="L108">IF($C108=0,INDEX('24&amp;25'!$L:$L,MATCH($D108&amp;$B108&amp;$E108,'24&amp;25'!$B:$B&amp;'24&amp;25'!$A:$A&amp;'24&amp;25'!$C:$C,0)),INDEX('24&amp;25'!$M:$M,MATCH($D108&amp;$B108&amp;$E108,'24&amp;25'!$B:$B&amp;'24&amp;25'!$A:$A&amp;'24&amp;25'!$C:$C,0)))</f>
        <v>31096</v>
      </c>
      <c r="M108">
        <f>L108/VLOOKUP($D108,CPI!$P$16:$R$22,3,FALSE)</f>
        <v>31096</v>
      </c>
    </row>
    <row r="109" spans="1:13" ht="16" thickBot="1" x14ac:dyDescent="0.25">
      <c r="A109" s="7">
        <v>2</v>
      </c>
      <c r="B109">
        <f>IF(ISBLANK(G109),"",VLOOKUP(H109,code!B:C,2,FALSE))</f>
        <v>20</v>
      </c>
      <c r="C109">
        <f t="shared" si="2"/>
        <v>0</v>
      </c>
      <c r="D109">
        <v>2023</v>
      </c>
      <c r="E109">
        <v>104179</v>
      </c>
      <c r="F109" t="s">
        <v>54</v>
      </c>
      <c r="G109" t="s">
        <v>284</v>
      </c>
      <c r="H109" t="s">
        <v>28</v>
      </c>
      <c r="I109">
        <v>14188</v>
      </c>
      <c r="J109">
        <f>I109/VLOOKUP($D109,CPI!$P$16:$R$22,3,FALSE)</f>
        <v>14188</v>
      </c>
      <c r="K109">
        <f t="shared" si="3"/>
        <v>0</v>
      </c>
      <c r="L109" s="3" cm="1">
        <f t="array" ref="L109">IF($C109=0,INDEX('24&amp;25'!$L:$L,MATCH($D109&amp;$B109&amp;$E109,'24&amp;25'!$B:$B&amp;'24&amp;25'!$A:$A&amp;'24&amp;25'!$C:$C,0)),INDEX('24&amp;25'!$M:$M,MATCH($D109&amp;$B109&amp;$E109,'24&amp;25'!$B:$B&amp;'24&amp;25'!$A:$A&amp;'24&amp;25'!$C:$C,0)))</f>
        <v>2992</v>
      </c>
      <c r="M109">
        <f>L109/VLOOKUP($D109,CPI!$P$16:$R$22,3,FALSE)</f>
        <v>2992</v>
      </c>
    </row>
    <row r="110" spans="1:13" ht="16" thickBot="1" x14ac:dyDescent="0.25">
      <c r="A110" s="7">
        <v>2</v>
      </c>
      <c r="B110">
        <f>IF(ISBLANK(G110),"",VLOOKUP(H110,code!B:C,2,FALSE))</f>
        <v>21</v>
      </c>
      <c r="C110">
        <f t="shared" si="2"/>
        <v>0</v>
      </c>
      <c r="D110">
        <v>2023</v>
      </c>
      <c r="E110">
        <v>104179</v>
      </c>
      <c r="F110" t="s">
        <v>54</v>
      </c>
      <c r="G110" t="s">
        <v>284</v>
      </c>
      <c r="H110" t="s">
        <v>31</v>
      </c>
      <c r="I110">
        <v>269662</v>
      </c>
      <c r="J110">
        <f>I110/VLOOKUP($D110,CPI!$P$16:$R$22,3,FALSE)</f>
        <v>269662</v>
      </c>
      <c r="K110">
        <f t="shared" si="3"/>
        <v>0</v>
      </c>
      <c r="L110" s="3" cm="1">
        <f t="array" ref="L110">IF($C110=0,INDEX('24&amp;25'!$L:$L,MATCH($D110&amp;$B110&amp;$E110,'24&amp;25'!$B:$B&amp;'24&amp;25'!$A:$A&amp;'24&amp;25'!$C:$C,0)),INDEX('24&amp;25'!$M:$M,MATCH($D110&amp;$B110&amp;$E110,'24&amp;25'!$B:$B&amp;'24&amp;25'!$A:$A&amp;'24&amp;25'!$C:$C,0)))</f>
        <v>47678</v>
      </c>
      <c r="M110">
        <f>L110/VLOOKUP($D110,CPI!$P$16:$R$22,3,FALSE)</f>
        <v>47678</v>
      </c>
    </row>
    <row r="111" spans="1:13" ht="16" thickBot="1" x14ac:dyDescent="0.25">
      <c r="A111" s="7">
        <v>2</v>
      </c>
      <c r="B111">
        <f>IF(ISBLANK(G111),"",VLOOKUP(H111,code!B:C,2,FALSE))</f>
        <v>2</v>
      </c>
      <c r="C111">
        <f t="shared" si="2"/>
        <v>1</v>
      </c>
      <c r="D111">
        <v>2023</v>
      </c>
      <c r="E111">
        <v>104179</v>
      </c>
      <c r="F111" t="s">
        <v>54</v>
      </c>
      <c r="G111" t="s">
        <v>285</v>
      </c>
      <c r="H111" t="s">
        <v>10</v>
      </c>
      <c r="I111">
        <v>1476216</v>
      </c>
      <c r="J111">
        <f>I111/VLOOKUP($D111,CPI!$P$16:$R$22,3,FALSE)</f>
        <v>1476216</v>
      </c>
      <c r="K111">
        <f t="shared" si="3"/>
        <v>0</v>
      </c>
      <c r="L111" s="3" cm="1">
        <f t="array" ref="L111">IF($C111=0,INDEX('24&amp;25'!$L:$L,MATCH($D111&amp;$B111&amp;$E111,'24&amp;25'!$B:$B&amp;'24&amp;25'!$A:$A&amp;'24&amp;25'!$C:$C,0)),INDEX('24&amp;25'!$M:$M,MATCH($D111&amp;$B111&amp;$E111,'24&amp;25'!$B:$B&amp;'24&amp;25'!$A:$A&amp;'24&amp;25'!$C:$C,0)))</f>
        <v>410725</v>
      </c>
      <c r="M111">
        <f>L111/VLOOKUP($D111,CPI!$P$16:$R$22,3,FALSE)</f>
        <v>410725</v>
      </c>
    </row>
    <row r="112" spans="1:13" ht="16" thickBot="1" x14ac:dyDescent="0.25">
      <c r="A112" s="7">
        <v>2</v>
      </c>
      <c r="B112">
        <f>IF(ISBLANK(G112),"",VLOOKUP(H112,code!B:C,2,FALSE))</f>
        <v>3</v>
      </c>
      <c r="C112">
        <f t="shared" si="2"/>
        <v>1</v>
      </c>
      <c r="D112">
        <v>2023</v>
      </c>
      <c r="E112">
        <v>104179</v>
      </c>
      <c r="F112" t="s">
        <v>54</v>
      </c>
      <c r="G112" t="s">
        <v>285</v>
      </c>
      <c r="H112" t="s">
        <v>11</v>
      </c>
      <c r="I112">
        <v>117650</v>
      </c>
      <c r="J112">
        <f>I112/VLOOKUP($D112,CPI!$P$16:$R$22,3,FALSE)</f>
        <v>117650</v>
      </c>
      <c r="K112">
        <f t="shared" si="3"/>
        <v>0</v>
      </c>
      <c r="L112" s="3" cm="1">
        <f t="array" ref="L112">IF($C112=0,INDEX('24&amp;25'!$L:$L,MATCH($D112&amp;$B112&amp;$E112,'24&amp;25'!$B:$B&amp;'24&amp;25'!$A:$A&amp;'24&amp;25'!$C:$C,0)),INDEX('24&amp;25'!$M:$M,MATCH($D112&amp;$B112&amp;$E112,'24&amp;25'!$B:$B&amp;'24&amp;25'!$A:$A&amp;'24&amp;25'!$C:$C,0)))</f>
        <v>31095</v>
      </c>
      <c r="M112">
        <f>L112/VLOOKUP($D112,CPI!$P$16:$R$22,3,FALSE)</f>
        <v>31095</v>
      </c>
    </row>
    <row r="113" spans="1:13" ht="16" thickBot="1" x14ac:dyDescent="0.25">
      <c r="A113" s="7">
        <v>2</v>
      </c>
      <c r="B113">
        <f>IF(ISBLANK(G113),"",VLOOKUP(H113,code!B:C,2,FALSE))</f>
        <v>9</v>
      </c>
      <c r="C113">
        <f t="shared" si="2"/>
        <v>1</v>
      </c>
      <c r="D113">
        <v>2023</v>
      </c>
      <c r="E113">
        <v>104179</v>
      </c>
      <c r="F113" t="s">
        <v>54</v>
      </c>
      <c r="G113" t="s">
        <v>285</v>
      </c>
      <c r="H113" t="s">
        <v>17</v>
      </c>
      <c r="I113">
        <v>165280</v>
      </c>
      <c r="J113">
        <f>I113/VLOOKUP($D113,CPI!$P$16:$R$22,3,FALSE)</f>
        <v>165280</v>
      </c>
      <c r="K113">
        <f t="shared" si="3"/>
        <v>0</v>
      </c>
      <c r="L113" s="3" cm="1">
        <f t="array" ref="L113">IF($C113=0,INDEX('24&amp;25'!$L:$L,MATCH($D113&amp;$B113&amp;$E113,'24&amp;25'!$B:$B&amp;'24&amp;25'!$A:$A&amp;'24&amp;25'!$C:$C,0)),INDEX('24&amp;25'!$M:$M,MATCH($D113&amp;$B113&amp;$E113,'24&amp;25'!$B:$B&amp;'24&amp;25'!$A:$A&amp;'24&amp;25'!$C:$C,0)))</f>
        <v>0</v>
      </c>
      <c r="M113">
        <f>L113/VLOOKUP($D113,CPI!$P$16:$R$22,3,FALSE)</f>
        <v>0</v>
      </c>
    </row>
    <row r="114" spans="1:13" ht="16" thickBot="1" x14ac:dyDescent="0.25">
      <c r="A114" s="7">
        <v>2</v>
      </c>
      <c r="B114">
        <f>IF(ISBLANK(G114),"",VLOOKUP(H114,code!B:C,2,FALSE))</f>
        <v>10</v>
      </c>
      <c r="C114">
        <f t="shared" si="2"/>
        <v>1</v>
      </c>
      <c r="D114">
        <v>2023</v>
      </c>
      <c r="E114">
        <v>104179</v>
      </c>
      <c r="F114" t="s">
        <v>54</v>
      </c>
      <c r="G114" t="s">
        <v>285</v>
      </c>
      <c r="H114" t="s">
        <v>18</v>
      </c>
      <c r="I114">
        <v>178498</v>
      </c>
      <c r="J114">
        <f>I114/VLOOKUP($D114,CPI!$P$16:$R$22,3,FALSE)</f>
        <v>178498</v>
      </c>
      <c r="K114">
        <f t="shared" si="3"/>
        <v>0</v>
      </c>
      <c r="L114" s="3" cm="1">
        <f t="array" ref="L114">IF($C114=0,INDEX('24&amp;25'!$L:$L,MATCH($D114&amp;$B114&amp;$E114,'24&amp;25'!$B:$B&amp;'24&amp;25'!$A:$A&amp;'24&amp;25'!$C:$C,0)),INDEX('24&amp;25'!$M:$M,MATCH($D114&amp;$B114&amp;$E114,'24&amp;25'!$B:$B&amp;'24&amp;25'!$A:$A&amp;'24&amp;25'!$C:$C,0)))</f>
        <v>25937</v>
      </c>
      <c r="M114">
        <f>L114/VLOOKUP($D114,CPI!$P$16:$R$22,3,FALSE)</f>
        <v>25937</v>
      </c>
    </row>
    <row r="115" spans="1:13" ht="16" thickBot="1" x14ac:dyDescent="0.25">
      <c r="A115" s="7">
        <v>2</v>
      </c>
      <c r="B115">
        <f>IF(ISBLANK(G115),"",VLOOKUP(H115,code!B:C,2,FALSE))</f>
        <v>17</v>
      </c>
      <c r="C115">
        <f t="shared" si="2"/>
        <v>1</v>
      </c>
      <c r="D115">
        <v>2023</v>
      </c>
      <c r="E115">
        <v>104179</v>
      </c>
      <c r="F115" t="s">
        <v>54</v>
      </c>
      <c r="G115" t="s">
        <v>285</v>
      </c>
      <c r="H115" t="s">
        <v>25</v>
      </c>
      <c r="I115">
        <v>186630</v>
      </c>
      <c r="J115">
        <f>I115/VLOOKUP($D115,CPI!$P$16:$R$22,3,FALSE)</f>
        <v>186630</v>
      </c>
      <c r="K115">
        <f t="shared" si="3"/>
        <v>0</v>
      </c>
      <c r="L115" s="3" cm="1">
        <f t="array" ref="L115">IF($C115=0,INDEX('24&amp;25'!$L:$L,MATCH($D115&amp;$B115&amp;$E115,'24&amp;25'!$B:$B&amp;'24&amp;25'!$A:$A&amp;'24&amp;25'!$C:$C,0)),INDEX('24&amp;25'!$M:$M,MATCH($D115&amp;$B115&amp;$E115,'24&amp;25'!$B:$B&amp;'24&amp;25'!$A:$A&amp;'24&amp;25'!$C:$C,0)))</f>
        <v>25937</v>
      </c>
      <c r="M115">
        <f>L115/VLOOKUP($D115,CPI!$P$16:$R$22,3,FALSE)</f>
        <v>25937</v>
      </c>
    </row>
    <row r="116" spans="1:13" ht="16" thickBot="1" x14ac:dyDescent="0.25">
      <c r="A116" s="7">
        <v>2</v>
      </c>
      <c r="B116">
        <f>IF(ISBLANK(G116),"",VLOOKUP(H116,code!B:C,2,FALSE))</f>
        <v>18</v>
      </c>
      <c r="C116">
        <f t="shared" si="2"/>
        <v>1</v>
      </c>
      <c r="D116">
        <v>2023</v>
      </c>
      <c r="E116">
        <v>104179</v>
      </c>
      <c r="F116" t="s">
        <v>54</v>
      </c>
      <c r="G116" t="s">
        <v>285</v>
      </c>
      <c r="H116" t="s">
        <v>26</v>
      </c>
      <c r="I116">
        <v>884832</v>
      </c>
      <c r="J116">
        <f>I116/VLOOKUP($D116,CPI!$P$16:$R$22,3,FALSE)</f>
        <v>884832</v>
      </c>
      <c r="K116">
        <f t="shared" si="3"/>
        <v>0</v>
      </c>
      <c r="L116" s="3" cm="1">
        <f t="array" ref="L116">IF($C116=0,INDEX('24&amp;25'!$L:$L,MATCH($D116&amp;$B116&amp;$E116,'24&amp;25'!$B:$B&amp;'24&amp;25'!$A:$A&amp;'24&amp;25'!$C:$C,0)),INDEX('24&amp;25'!$M:$M,MATCH($D116&amp;$B116&amp;$E116,'24&amp;25'!$B:$B&amp;'24&amp;25'!$A:$A&amp;'24&amp;25'!$C:$C,0)))</f>
        <v>87201</v>
      </c>
      <c r="M116">
        <f>L116/VLOOKUP($D116,CPI!$P$16:$R$22,3,FALSE)</f>
        <v>87201</v>
      </c>
    </row>
    <row r="117" spans="1:13" ht="16" thickBot="1" x14ac:dyDescent="0.25">
      <c r="A117" s="7">
        <v>2</v>
      </c>
      <c r="B117">
        <f>IF(ISBLANK(G117),"",VLOOKUP(H117,code!B:C,2,FALSE))</f>
        <v>19</v>
      </c>
      <c r="C117">
        <f t="shared" si="2"/>
        <v>1</v>
      </c>
      <c r="D117">
        <v>2023</v>
      </c>
      <c r="E117">
        <v>104179</v>
      </c>
      <c r="F117" t="s">
        <v>54</v>
      </c>
      <c r="G117" t="s">
        <v>285</v>
      </c>
      <c r="H117" t="s">
        <v>27</v>
      </c>
      <c r="I117">
        <v>186480</v>
      </c>
      <c r="J117">
        <f>I117/VLOOKUP($D117,CPI!$P$16:$R$22,3,FALSE)</f>
        <v>186480</v>
      </c>
      <c r="K117">
        <f t="shared" si="3"/>
        <v>0</v>
      </c>
      <c r="L117" s="3" cm="1">
        <f t="array" ref="L117">IF($C117=0,INDEX('24&amp;25'!$L:$L,MATCH($D117&amp;$B117&amp;$E117,'24&amp;25'!$B:$B&amp;'24&amp;25'!$A:$A&amp;'24&amp;25'!$C:$C,0)),INDEX('24&amp;25'!$M:$M,MATCH($D117&amp;$B117&amp;$E117,'24&amp;25'!$B:$B&amp;'24&amp;25'!$A:$A&amp;'24&amp;25'!$C:$C,0)))</f>
        <v>31095</v>
      </c>
      <c r="M117">
        <f>L117/VLOOKUP($D117,CPI!$P$16:$R$22,3,FALSE)</f>
        <v>31095</v>
      </c>
    </row>
    <row r="118" spans="1:13" ht="16" thickBot="1" x14ac:dyDescent="0.25">
      <c r="A118" s="7">
        <v>2</v>
      </c>
      <c r="B118">
        <f>IF(ISBLANK(G118),"",VLOOKUP(H118,code!B:C,2,FALSE))</f>
        <v>20</v>
      </c>
      <c r="C118">
        <f t="shared" si="2"/>
        <v>1</v>
      </c>
      <c r="D118">
        <v>2023</v>
      </c>
      <c r="E118">
        <v>104179</v>
      </c>
      <c r="F118" t="s">
        <v>54</v>
      </c>
      <c r="G118" t="s">
        <v>285</v>
      </c>
      <c r="H118" t="s">
        <v>28</v>
      </c>
      <c r="I118">
        <v>70207</v>
      </c>
      <c r="J118">
        <f>I118/VLOOKUP($D118,CPI!$P$16:$R$22,3,FALSE)</f>
        <v>70207</v>
      </c>
      <c r="K118">
        <f t="shared" si="3"/>
        <v>0</v>
      </c>
      <c r="L118" s="3" cm="1">
        <f t="array" ref="L118">IF($C118=0,INDEX('24&amp;25'!$L:$L,MATCH($D118&amp;$B118&amp;$E118,'24&amp;25'!$B:$B&amp;'24&amp;25'!$A:$A&amp;'24&amp;25'!$C:$C,0)),INDEX('24&amp;25'!$M:$M,MATCH($D118&amp;$B118&amp;$E118,'24&amp;25'!$B:$B&amp;'24&amp;25'!$A:$A&amp;'24&amp;25'!$C:$C,0)))</f>
        <v>0</v>
      </c>
      <c r="M118">
        <f>L118/VLOOKUP($D118,CPI!$P$16:$R$22,3,FALSE)</f>
        <v>0</v>
      </c>
    </row>
    <row r="119" spans="1:13" ht="16" thickBot="1" x14ac:dyDescent="0.25">
      <c r="A119" s="7">
        <v>2</v>
      </c>
      <c r="B119">
        <f>IF(ISBLANK(G119),"",VLOOKUP(H119,code!B:C,2,FALSE))</f>
        <v>21</v>
      </c>
      <c r="C119">
        <f t="shared" si="2"/>
        <v>1</v>
      </c>
      <c r="D119">
        <v>2023</v>
      </c>
      <c r="E119">
        <v>104179</v>
      </c>
      <c r="F119" t="s">
        <v>54</v>
      </c>
      <c r="G119" t="s">
        <v>285</v>
      </c>
      <c r="H119" t="s">
        <v>31</v>
      </c>
      <c r="I119">
        <v>360871</v>
      </c>
      <c r="J119">
        <f>I119/VLOOKUP($D119,CPI!$P$16:$R$22,3,FALSE)</f>
        <v>360871</v>
      </c>
      <c r="K119">
        <f t="shared" si="3"/>
        <v>0</v>
      </c>
      <c r="L119" s="3" cm="1">
        <f t="array" ref="L119">IF($C119=0,INDEX('24&amp;25'!$L:$L,MATCH($D119&amp;$B119&amp;$E119,'24&amp;25'!$B:$B&amp;'24&amp;25'!$A:$A&amp;'24&amp;25'!$C:$C,0)),INDEX('24&amp;25'!$M:$M,MATCH($D119&amp;$B119&amp;$E119,'24&amp;25'!$B:$B&amp;'24&amp;25'!$A:$A&amp;'24&amp;25'!$C:$C,0)))</f>
        <v>42731</v>
      </c>
      <c r="M119">
        <f>L119/VLOOKUP($D119,CPI!$P$16:$R$22,3,FALSE)</f>
        <v>42731</v>
      </c>
    </row>
    <row r="120" spans="1:13" ht="16" thickBot="1" x14ac:dyDescent="0.25">
      <c r="A120" s="7">
        <v>2</v>
      </c>
      <c r="B120">
        <f>IF(ISBLANK(G120),"",VLOOKUP(H120,code!B:C,2,FALSE))</f>
        <v>23</v>
      </c>
      <c r="C120">
        <f t="shared" si="2"/>
        <v>1</v>
      </c>
      <c r="D120">
        <v>2023</v>
      </c>
      <c r="E120">
        <v>104179</v>
      </c>
      <c r="F120" t="s">
        <v>54</v>
      </c>
      <c r="G120" t="s">
        <v>285</v>
      </c>
      <c r="H120" t="s">
        <v>33</v>
      </c>
      <c r="I120">
        <v>199800</v>
      </c>
      <c r="J120">
        <f>I120/VLOOKUP($D120,CPI!$P$16:$R$22,3,FALSE)</f>
        <v>199800</v>
      </c>
      <c r="K120">
        <f t="shared" si="3"/>
        <v>0</v>
      </c>
      <c r="L120" s="3" cm="1">
        <f t="array" ref="L120">IF($C120=0,INDEX('24&amp;25'!$L:$L,MATCH($D120&amp;$B120&amp;$E120,'24&amp;25'!$B:$B&amp;'24&amp;25'!$A:$A&amp;'24&amp;25'!$C:$C,0)),INDEX('24&amp;25'!$M:$M,MATCH($D120&amp;$B120&amp;$E120,'24&amp;25'!$B:$B&amp;'24&amp;25'!$A:$A&amp;'24&amp;25'!$C:$C,0)))</f>
        <v>31096</v>
      </c>
      <c r="M120">
        <f>L120/VLOOKUP($D120,CPI!$P$16:$R$22,3,FALSE)</f>
        <v>31096</v>
      </c>
    </row>
    <row r="121" spans="1:13" ht="16" thickBot="1" x14ac:dyDescent="0.25">
      <c r="A121" s="7">
        <v>2</v>
      </c>
      <c r="B121">
        <f>IF(ISBLANK(G121),"",VLOOKUP(H121,code!B:C,2,FALSE))</f>
        <v>1</v>
      </c>
      <c r="C121">
        <f t="shared" si="2"/>
        <v>0</v>
      </c>
      <c r="D121">
        <v>2017</v>
      </c>
      <c r="E121">
        <v>110635</v>
      </c>
      <c r="F121" t="s">
        <v>72</v>
      </c>
      <c r="G121" t="s">
        <v>284</v>
      </c>
      <c r="H121" t="s">
        <v>9</v>
      </c>
      <c r="I121">
        <v>770635</v>
      </c>
      <c r="J121">
        <f>I121/VLOOKUP($D121,CPI!$P$16:$R$22,3,FALSE)</f>
        <v>951749.22284175374</v>
      </c>
      <c r="K121">
        <f t="shared" si="3"/>
        <v>0</v>
      </c>
      <c r="L121" s="3" cm="1">
        <f t="array" ref="L121">IF($C121=0,INDEX('24&amp;25'!$L:$L,MATCH($D121&amp;$B121&amp;$E121,'24&amp;25'!$B:$B&amp;'24&amp;25'!$A:$A&amp;'24&amp;25'!$C:$C,0)),INDEX('24&amp;25'!$M:$M,MATCH($D121&amp;$B121&amp;$E121,'24&amp;25'!$B:$B&amp;'24&amp;25'!$A:$A&amp;'24&amp;25'!$C:$C,0)))</f>
        <v>0</v>
      </c>
      <c r="M121">
        <f>L121/VLOOKUP($D121,CPI!$P$16:$R$22,3,FALSE)</f>
        <v>0</v>
      </c>
    </row>
    <row r="122" spans="1:13" ht="16" thickBot="1" x14ac:dyDescent="0.25">
      <c r="A122" s="7">
        <v>2</v>
      </c>
      <c r="B122">
        <f>IF(ISBLANK(G122),"",VLOOKUP(H122,code!B:C,2,FALSE))</f>
        <v>2</v>
      </c>
      <c r="C122">
        <f t="shared" si="2"/>
        <v>0</v>
      </c>
      <c r="D122">
        <v>2017</v>
      </c>
      <c r="E122">
        <v>110635</v>
      </c>
      <c r="F122" t="s">
        <v>72</v>
      </c>
      <c r="G122" t="s">
        <v>284</v>
      </c>
      <c r="H122" t="s">
        <v>10</v>
      </c>
      <c r="I122">
        <v>4483513</v>
      </c>
      <c r="J122">
        <f>I122/VLOOKUP($D122,CPI!$P$16:$R$22,3,FALSE)</f>
        <v>5537225.8116370263</v>
      </c>
      <c r="K122">
        <f t="shared" si="3"/>
        <v>0</v>
      </c>
      <c r="L122" s="3" cm="1">
        <f t="array" ref="L122">IF($C122=0,INDEX('24&amp;25'!$L:$L,MATCH($D122&amp;$B122&amp;$E122,'24&amp;25'!$B:$B&amp;'24&amp;25'!$A:$A&amp;'24&amp;25'!$C:$C,0)),INDEX('24&amp;25'!$M:$M,MATCH($D122&amp;$B122&amp;$E122,'24&amp;25'!$B:$B&amp;'24&amp;25'!$A:$A&amp;'24&amp;25'!$C:$C,0)))</f>
        <v>321208</v>
      </c>
      <c r="M122">
        <f>L122/VLOOKUP($D122,CPI!$P$16:$R$22,3,FALSE)</f>
        <v>396698.1312431359</v>
      </c>
    </row>
    <row r="123" spans="1:13" ht="16" thickBot="1" x14ac:dyDescent="0.25">
      <c r="A123" s="7">
        <v>2</v>
      </c>
      <c r="B123">
        <f>IF(ISBLANK(G123),"",VLOOKUP(H123,code!B:C,2,FALSE))</f>
        <v>8</v>
      </c>
      <c r="C123">
        <f t="shared" si="2"/>
        <v>0</v>
      </c>
      <c r="D123">
        <v>2017</v>
      </c>
      <c r="E123">
        <v>110635</v>
      </c>
      <c r="F123" t="s">
        <v>72</v>
      </c>
      <c r="G123" t="s">
        <v>284</v>
      </c>
      <c r="H123" t="s">
        <v>16</v>
      </c>
      <c r="I123">
        <v>15691684</v>
      </c>
      <c r="J123">
        <f>I123/VLOOKUP($D123,CPI!$P$16:$R$22,3,FALSE)</f>
        <v>19379535.126328785</v>
      </c>
      <c r="K123">
        <f t="shared" si="3"/>
        <v>0</v>
      </c>
      <c r="L123" s="3" cm="1">
        <f t="array" ref="L123">IF($C123=0,INDEX('24&amp;25'!$L:$L,MATCH($D123&amp;$B123&amp;$E123,'24&amp;25'!$B:$B&amp;'24&amp;25'!$A:$A&amp;'24&amp;25'!$C:$C,0)),INDEX('24&amp;25'!$M:$M,MATCH($D123&amp;$B123&amp;$E123,'24&amp;25'!$B:$B&amp;'24&amp;25'!$A:$A&amp;'24&amp;25'!$C:$C,0)))</f>
        <v>1190737</v>
      </c>
      <c r="M123">
        <f>L123/VLOOKUP($D123,CPI!$P$16:$R$22,3,FALSE)</f>
        <v>1470583.3687269867</v>
      </c>
    </row>
    <row r="124" spans="1:13" ht="16" thickBot="1" x14ac:dyDescent="0.25">
      <c r="A124" s="7">
        <v>2</v>
      </c>
      <c r="B124">
        <f>IF(ISBLANK(G124),"",VLOOKUP(H124,code!B:C,2,FALSE))</f>
        <v>9</v>
      </c>
      <c r="C124">
        <f t="shared" si="2"/>
        <v>0</v>
      </c>
      <c r="D124">
        <v>2017</v>
      </c>
      <c r="E124">
        <v>110635</v>
      </c>
      <c r="F124" t="s">
        <v>72</v>
      </c>
      <c r="G124" t="s">
        <v>284</v>
      </c>
      <c r="H124" t="s">
        <v>17</v>
      </c>
      <c r="I124">
        <v>309443</v>
      </c>
      <c r="J124">
        <f>I124/VLOOKUP($D124,CPI!$P$16:$R$22,3,FALSE)</f>
        <v>382168.12727662356</v>
      </c>
      <c r="K124">
        <f t="shared" si="3"/>
        <v>0</v>
      </c>
      <c r="L124" s="3" cm="1">
        <f t="array" ref="L124">IF($C124=0,INDEX('24&amp;25'!$L:$L,MATCH($D124&amp;$B124&amp;$E124,'24&amp;25'!$B:$B&amp;'24&amp;25'!$A:$A&amp;'24&amp;25'!$C:$C,0)),INDEX('24&amp;25'!$M:$M,MATCH($D124&amp;$B124&amp;$E124,'24&amp;25'!$B:$B&amp;'24&amp;25'!$A:$A&amp;'24&amp;25'!$C:$C,0)))</f>
        <v>0</v>
      </c>
      <c r="M124">
        <f>L124/VLOOKUP($D124,CPI!$P$16:$R$22,3,FALSE)</f>
        <v>0</v>
      </c>
    </row>
    <row r="125" spans="1:13" ht="16" thickBot="1" x14ac:dyDescent="0.25">
      <c r="A125" s="7">
        <v>2</v>
      </c>
      <c r="B125">
        <f>IF(ISBLANK(G125),"",VLOOKUP(H125,code!B:C,2,FALSE))</f>
        <v>10</v>
      </c>
      <c r="C125">
        <f t="shared" si="2"/>
        <v>0</v>
      </c>
      <c r="D125">
        <v>2017</v>
      </c>
      <c r="E125">
        <v>110635</v>
      </c>
      <c r="F125" t="s">
        <v>72</v>
      </c>
      <c r="G125" t="s">
        <v>284</v>
      </c>
      <c r="H125" t="s">
        <v>18</v>
      </c>
      <c r="I125">
        <v>95475</v>
      </c>
      <c r="J125">
        <f>I125/VLOOKUP($D125,CPI!$P$16:$R$22,3,FALSE)</f>
        <v>117913.48310265747</v>
      </c>
      <c r="K125">
        <f t="shared" si="3"/>
        <v>0</v>
      </c>
      <c r="L125" s="3" cm="1">
        <f t="array" ref="L125">IF($C125=0,INDEX('24&amp;25'!$L:$L,MATCH($D125&amp;$B125&amp;$E125,'24&amp;25'!$B:$B&amp;'24&amp;25'!$A:$A&amp;'24&amp;25'!$C:$C,0)),INDEX('24&amp;25'!$M:$M,MATCH($D125&amp;$B125&amp;$E125,'24&amp;25'!$B:$B&amp;'24&amp;25'!$A:$A&amp;'24&amp;25'!$C:$C,0)))</f>
        <v>0</v>
      </c>
      <c r="M125">
        <f>L125/VLOOKUP($D125,CPI!$P$16:$R$22,3,FALSE)</f>
        <v>0</v>
      </c>
    </row>
    <row r="126" spans="1:13" ht="16" thickBot="1" x14ac:dyDescent="0.25">
      <c r="A126" s="7">
        <v>2</v>
      </c>
      <c r="B126">
        <f>IF(ISBLANK(G126),"",VLOOKUP(H126,code!B:C,2,FALSE))</f>
        <v>17</v>
      </c>
      <c r="C126">
        <f t="shared" si="2"/>
        <v>0</v>
      </c>
      <c r="D126">
        <v>2017</v>
      </c>
      <c r="E126">
        <v>110635</v>
      </c>
      <c r="F126" t="s">
        <v>72</v>
      </c>
      <c r="G126" t="s">
        <v>284</v>
      </c>
      <c r="H126" t="s">
        <v>25</v>
      </c>
      <c r="I126">
        <v>97918</v>
      </c>
      <c r="J126">
        <f>I126/VLOOKUP($D126,CPI!$P$16:$R$22,3,FALSE)</f>
        <v>120930.63564750997</v>
      </c>
      <c r="K126">
        <f t="shared" si="3"/>
        <v>0</v>
      </c>
      <c r="L126" s="3" cm="1">
        <f t="array" ref="L126">IF($C126=0,INDEX('24&amp;25'!$L:$L,MATCH($D126&amp;$B126&amp;$E126,'24&amp;25'!$B:$B&amp;'24&amp;25'!$A:$A&amp;'24&amp;25'!$C:$C,0)),INDEX('24&amp;25'!$M:$M,MATCH($D126&amp;$B126&amp;$E126,'24&amp;25'!$B:$B&amp;'24&amp;25'!$A:$A&amp;'24&amp;25'!$C:$C,0)))</f>
        <v>0</v>
      </c>
      <c r="M126">
        <f>L126/VLOOKUP($D126,CPI!$P$16:$R$22,3,FALSE)</f>
        <v>0</v>
      </c>
    </row>
    <row r="127" spans="1:13" ht="16" thickBot="1" x14ac:dyDescent="0.25">
      <c r="A127" s="7">
        <v>2</v>
      </c>
      <c r="B127">
        <f>IF(ISBLANK(G127),"",VLOOKUP(H127,code!B:C,2,FALSE))</f>
        <v>19</v>
      </c>
      <c r="C127">
        <f t="shared" si="2"/>
        <v>0</v>
      </c>
      <c r="D127">
        <v>2017</v>
      </c>
      <c r="E127">
        <v>110635</v>
      </c>
      <c r="F127" t="s">
        <v>72</v>
      </c>
      <c r="G127" t="s">
        <v>284</v>
      </c>
      <c r="H127" t="s">
        <v>27</v>
      </c>
      <c r="I127">
        <v>460384</v>
      </c>
      <c r="J127">
        <f>I127/VLOOKUP($D127,CPI!$P$16:$R$22,3,FALSE)</f>
        <v>568583.19984010328</v>
      </c>
      <c r="K127">
        <f t="shared" si="3"/>
        <v>0</v>
      </c>
      <c r="L127" s="3" cm="1">
        <f t="array" ref="L127">IF($C127=0,INDEX('24&amp;25'!$L:$L,MATCH($D127&amp;$B127&amp;$E127,'24&amp;25'!$B:$B&amp;'24&amp;25'!$A:$A&amp;'24&amp;25'!$C:$C,0)),INDEX('24&amp;25'!$M:$M,MATCH($D127&amp;$B127&amp;$E127,'24&amp;25'!$B:$B&amp;'24&amp;25'!$A:$A&amp;'24&amp;25'!$C:$C,0)))</f>
        <v>0</v>
      </c>
      <c r="M127">
        <f>L127/VLOOKUP($D127,CPI!$P$16:$R$22,3,FALSE)</f>
        <v>0</v>
      </c>
    </row>
    <row r="128" spans="1:13" ht="16" thickBot="1" x14ac:dyDescent="0.25">
      <c r="A128" s="7">
        <v>2</v>
      </c>
      <c r="B128">
        <f>IF(ISBLANK(G128),"",VLOOKUP(H128,code!B:C,2,FALSE))</f>
        <v>20</v>
      </c>
      <c r="C128">
        <f t="shared" si="2"/>
        <v>0</v>
      </c>
      <c r="D128">
        <v>2017</v>
      </c>
      <c r="E128">
        <v>110635</v>
      </c>
      <c r="F128" t="s">
        <v>72</v>
      </c>
      <c r="G128" t="s">
        <v>284</v>
      </c>
      <c r="H128" t="s">
        <v>28</v>
      </c>
      <c r="I128">
        <v>502315</v>
      </c>
      <c r="J128">
        <f>I128/VLOOKUP($D128,CPI!$P$16:$R$22,3,FALSE)</f>
        <v>620368.80088726257</v>
      </c>
      <c r="K128">
        <f t="shared" si="3"/>
        <v>0</v>
      </c>
      <c r="L128" s="3" cm="1">
        <f t="array" ref="L128">IF($C128=0,INDEX('24&amp;25'!$L:$L,MATCH($D128&amp;$B128&amp;$E128,'24&amp;25'!$B:$B&amp;'24&amp;25'!$A:$A&amp;'24&amp;25'!$C:$C,0)),INDEX('24&amp;25'!$M:$M,MATCH($D128&amp;$B128&amp;$E128,'24&amp;25'!$B:$B&amp;'24&amp;25'!$A:$A&amp;'24&amp;25'!$C:$C,0)))</f>
        <v>981</v>
      </c>
      <c r="M128">
        <f>L128/VLOOKUP($D128,CPI!$P$16:$R$22,3,FALSE)</f>
        <v>1211.5540918953336</v>
      </c>
    </row>
    <row r="129" spans="1:13" ht="16" thickBot="1" x14ac:dyDescent="0.25">
      <c r="A129" s="7">
        <v>2</v>
      </c>
      <c r="B129">
        <f>IF(ISBLANK(G129),"",VLOOKUP(H129,code!B:C,2,FALSE))</f>
        <v>21</v>
      </c>
      <c r="C129">
        <f t="shared" si="2"/>
        <v>0</v>
      </c>
      <c r="D129">
        <v>2017</v>
      </c>
      <c r="E129">
        <v>110635</v>
      </c>
      <c r="F129" t="s">
        <v>72</v>
      </c>
      <c r="G129" t="s">
        <v>284</v>
      </c>
      <c r="H129" t="s">
        <v>30</v>
      </c>
      <c r="I129">
        <v>193390</v>
      </c>
      <c r="J129">
        <f>I129/VLOOKUP($D129,CPI!$P$16:$R$22,3,FALSE)</f>
        <v>238840.41369178245</v>
      </c>
      <c r="K129">
        <f t="shared" si="3"/>
        <v>0</v>
      </c>
      <c r="L129" s="3" cm="1">
        <f t="array" ref="L129">IF($C129=0,INDEX('24&amp;25'!$L:$L,MATCH($D129&amp;$B129&amp;$E129,'24&amp;25'!$B:$B&amp;'24&amp;25'!$A:$A&amp;'24&amp;25'!$C:$C,0)),INDEX('24&amp;25'!$M:$M,MATCH($D129&amp;$B129&amp;$E129,'24&amp;25'!$B:$B&amp;'24&amp;25'!$A:$A&amp;'24&amp;25'!$C:$C,0)))</f>
        <v>0</v>
      </c>
      <c r="M129">
        <f>L129/VLOOKUP($D129,CPI!$P$16:$R$22,3,FALSE)</f>
        <v>0</v>
      </c>
    </row>
    <row r="130" spans="1:13" ht="16" thickBot="1" x14ac:dyDescent="0.25">
      <c r="A130" s="7">
        <v>2</v>
      </c>
      <c r="B130">
        <f>IF(ISBLANK(G130),"",VLOOKUP(H130,code!B:C,2,FALSE))</f>
        <v>24</v>
      </c>
      <c r="C130">
        <f t="shared" si="2"/>
        <v>0</v>
      </c>
      <c r="D130">
        <v>2017</v>
      </c>
      <c r="E130">
        <v>110635</v>
      </c>
      <c r="F130" t="s">
        <v>72</v>
      </c>
      <c r="G130" t="s">
        <v>284</v>
      </c>
      <c r="H130" t="s">
        <v>34</v>
      </c>
      <c r="I130">
        <v>89734</v>
      </c>
      <c r="J130">
        <f>I130/VLOOKUP($D130,CPI!$P$16:$R$22,3,FALSE)</f>
        <v>110823.23637322719</v>
      </c>
      <c r="K130">
        <f t="shared" si="3"/>
        <v>0</v>
      </c>
      <c r="L130" s="3" cm="1">
        <f t="array" ref="L130">IF($C130=0,INDEX('24&amp;25'!$L:$L,MATCH($D130&amp;$B130&amp;$E130,'24&amp;25'!$B:$B&amp;'24&amp;25'!$A:$A&amp;'24&amp;25'!$C:$C,0)),INDEX('24&amp;25'!$M:$M,MATCH($D130&amp;$B130&amp;$E130,'24&amp;25'!$B:$B&amp;'24&amp;25'!$A:$A&amp;'24&amp;25'!$C:$C,0)))</f>
        <v>0</v>
      </c>
      <c r="M130">
        <f>L130/VLOOKUP($D130,CPI!$P$16:$R$22,3,FALSE)</f>
        <v>0</v>
      </c>
    </row>
    <row r="131" spans="1:13" ht="16" thickBot="1" x14ac:dyDescent="0.25">
      <c r="A131" s="7">
        <v>2</v>
      </c>
      <c r="B131">
        <f>IF(ISBLANK(G131),"",VLOOKUP(H131,code!B:C,2,FALSE))</f>
        <v>2</v>
      </c>
      <c r="C131">
        <f t="shared" ref="C131:C194" si="4">IF(ISBLANK(G131),"",IF(MID(G131,1,1)="M",0,1))</f>
        <v>1</v>
      </c>
      <c r="D131">
        <v>2017</v>
      </c>
      <c r="E131">
        <v>110635</v>
      </c>
      <c r="F131" t="s">
        <v>72</v>
      </c>
      <c r="G131" t="s">
        <v>285</v>
      </c>
      <c r="H131" t="s">
        <v>10</v>
      </c>
      <c r="I131">
        <v>308545</v>
      </c>
      <c r="J131">
        <f>I131/VLOOKUP($D131,CPI!$P$16:$R$22,3,FALSE)</f>
        <v>381059.07980004663</v>
      </c>
      <c r="K131">
        <f t="shared" ref="K131:K194" si="5">IF(ISBLANK(G131),"",IF(D131=2021,1,0))</f>
        <v>0</v>
      </c>
      <c r="L131" s="3" cm="1">
        <f t="array" ref="L131">IF($C131=0,INDEX('24&amp;25'!$L:$L,MATCH($D131&amp;$B131&amp;$E131,'24&amp;25'!$B:$B&amp;'24&amp;25'!$A:$A&amp;'24&amp;25'!$C:$C,0)),INDEX('24&amp;25'!$M:$M,MATCH($D131&amp;$B131&amp;$E131,'24&amp;25'!$B:$B&amp;'24&amp;25'!$A:$A&amp;'24&amp;25'!$C:$C,0)))</f>
        <v>286625</v>
      </c>
      <c r="M131">
        <f>L131/VLOOKUP($D131,CPI!$P$16:$R$22,3,FALSE)</f>
        <v>353987.45320030581</v>
      </c>
    </row>
    <row r="132" spans="1:13" ht="16" thickBot="1" x14ac:dyDescent="0.25">
      <c r="A132" s="7">
        <v>2</v>
      </c>
      <c r="B132">
        <f>IF(ISBLANK(G132),"",VLOOKUP(H132,code!B:C,2,FALSE))</f>
        <v>3</v>
      </c>
      <c r="C132">
        <f t="shared" si="4"/>
        <v>1</v>
      </c>
      <c r="D132">
        <v>2017</v>
      </c>
      <c r="E132">
        <v>110635</v>
      </c>
      <c r="F132" t="s">
        <v>72</v>
      </c>
      <c r="G132" t="s">
        <v>285</v>
      </c>
      <c r="H132" t="s">
        <v>11</v>
      </c>
      <c r="I132">
        <v>0</v>
      </c>
      <c r="J132">
        <f>I132/VLOOKUP($D132,CPI!$P$16:$R$22,3,FALSE)</f>
        <v>0</v>
      </c>
      <c r="K132">
        <f t="shared" si="5"/>
        <v>0</v>
      </c>
      <c r="L132" s="3" cm="1">
        <f t="array" ref="L132">IF($C132=0,INDEX('24&amp;25'!$L:$L,MATCH($D132&amp;$B132&amp;$E132,'24&amp;25'!$B:$B&amp;'24&amp;25'!$A:$A&amp;'24&amp;25'!$C:$C,0)),INDEX('24&amp;25'!$M:$M,MATCH($D132&amp;$B132&amp;$E132,'24&amp;25'!$B:$B&amp;'24&amp;25'!$A:$A&amp;'24&amp;25'!$C:$C,0)))</f>
        <v>0</v>
      </c>
      <c r="M132">
        <f>L132/VLOOKUP($D132,CPI!$P$16:$R$22,3,FALSE)</f>
        <v>0</v>
      </c>
    </row>
    <row r="133" spans="1:13" ht="16" thickBot="1" x14ac:dyDescent="0.25">
      <c r="A133" s="7">
        <v>2</v>
      </c>
      <c r="B133">
        <f>IF(ISBLANK(G133),"",VLOOKUP(H133,code!B:C,2,FALSE))</f>
        <v>7</v>
      </c>
      <c r="C133">
        <f t="shared" si="4"/>
        <v>1</v>
      </c>
      <c r="D133">
        <v>2017</v>
      </c>
      <c r="E133">
        <v>110635</v>
      </c>
      <c r="F133" t="s">
        <v>72</v>
      </c>
      <c r="G133" t="s">
        <v>285</v>
      </c>
      <c r="H133" t="s">
        <v>15</v>
      </c>
      <c r="I133">
        <v>85407</v>
      </c>
      <c r="J133">
        <f>I133/VLOOKUP($D133,CPI!$P$16:$R$22,3,FALSE)</f>
        <v>105479.30716259405</v>
      </c>
      <c r="K133">
        <f t="shared" si="5"/>
        <v>0</v>
      </c>
      <c r="L133" s="3" cm="1">
        <f t="array" ref="L133">IF($C133=0,INDEX('24&amp;25'!$L:$L,MATCH($D133&amp;$B133&amp;$E133,'24&amp;25'!$B:$B&amp;'24&amp;25'!$A:$A&amp;'24&amp;25'!$C:$C,0)),INDEX('24&amp;25'!$M:$M,MATCH($D133&amp;$B133&amp;$E133,'24&amp;25'!$B:$B&amp;'24&amp;25'!$A:$A&amp;'24&amp;25'!$C:$C,0)))</f>
        <v>0</v>
      </c>
      <c r="M133">
        <f>L133/VLOOKUP($D133,CPI!$P$16:$R$22,3,FALSE)</f>
        <v>0</v>
      </c>
    </row>
    <row r="134" spans="1:13" ht="16" thickBot="1" x14ac:dyDescent="0.25">
      <c r="A134" s="7">
        <v>2</v>
      </c>
      <c r="B134">
        <f>IF(ISBLANK(G134),"",VLOOKUP(H134,code!B:C,2,FALSE))</f>
        <v>9</v>
      </c>
      <c r="C134">
        <f t="shared" si="4"/>
        <v>1</v>
      </c>
      <c r="D134">
        <v>2017</v>
      </c>
      <c r="E134">
        <v>110635</v>
      </c>
      <c r="F134" t="s">
        <v>72</v>
      </c>
      <c r="G134" t="s">
        <v>285</v>
      </c>
      <c r="H134" t="s">
        <v>17</v>
      </c>
      <c r="I134">
        <v>57085</v>
      </c>
      <c r="J134">
        <f>I134/VLOOKUP($D134,CPI!$P$16:$R$22,3,FALSE)</f>
        <v>70501.085969261083</v>
      </c>
      <c r="K134">
        <f t="shared" si="5"/>
        <v>0</v>
      </c>
      <c r="L134" s="3" cm="1">
        <f t="array" ref="L134">IF($C134=0,INDEX('24&amp;25'!$L:$L,MATCH($D134&amp;$B134&amp;$E134,'24&amp;25'!$B:$B&amp;'24&amp;25'!$A:$A&amp;'24&amp;25'!$C:$C,0)),INDEX('24&amp;25'!$M:$M,MATCH($D134&amp;$B134&amp;$E134,'24&amp;25'!$B:$B&amp;'24&amp;25'!$A:$A&amp;'24&amp;25'!$C:$C,0)))</f>
        <v>0</v>
      </c>
      <c r="M134">
        <f>L134/VLOOKUP($D134,CPI!$P$16:$R$22,3,FALSE)</f>
        <v>0</v>
      </c>
    </row>
    <row r="135" spans="1:13" ht="16" thickBot="1" x14ac:dyDescent="0.25">
      <c r="A135" s="7">
        <v>2</v>
      </c>
      <c r="B135">
        <f>IF(ISBLANK(G135),"",VLOOKUP(H135,code!B:C,2,FALSE))</f>
        <v>10</v>
      </c>
      <c r="C135">
        <f t="shared" si="4"/>
        <v>1</v>
      </c>
      <c r="D135">
        <v>2017</v>
      </c>
      <c r="E135">
        <v>110635</v>
      </c>
      <c r="F135" t="s">
        <v>72</v>
      </c>
      <c r="G135" t="s">
        <v>285</v>
      </c>
      <c r="H135" t="s">
        <v>18</v>
      </c>
      <c r="I135">
        <v>72930</v>
      </c>
      <c r="J135">
        <f>I135/VLOOKUP($D135,CPI!$P$16:$R$22,3,FALSE)</f>
        <v>90069.969339374802</v>
      </c>
      <c r="K135">
        <f t="shared" si="5"/>
        <v>0</v>
      </c>
      <c r="L135" s="3" cm="1">
        <f t="array" ref="L135">IF($C135=0,INDEX('24&amp;25'!$L:$L,MATCH($D135&amp;$B135&amp;$E135,'24&amp;25'!$B:$B&amp;'24&amp;25'!$A:$A&amp;'24&amp;25'!$C:$C,0)),INDEX('24&amp;25'!$M:$M,MATCH($D135&amp;$B135&amp;$E135,'24&amp;25'!$B:$B&amp;'24&amp;25'!$A:$A&amp;'24&amp;25'!$C:$C,0)))</f>
        <v>0</v>
      </c>
      <c r="M135">
        <f>L135/VLOOKUP($D135,CPI!$P$16:$R$22,3,FALSE)</f>
        <v>0</v>
      </c>
    </row>
    <row r="136" spans="1:13" ht="16" thickBot="1" x14ac:dyDescent="0.25">
      <c r="A136" s="7">
        <v>2</v>
      </c>
      <c r="B136">
        <f>IF(ISBLANK(G136),"",VLOOKUP(H136,code!B:C,2,FALSE))</f>
        <v>12</v>
      </c>
      <c r="C136">
        <f t="shared" si="4"/>
        <v>1</v>
      </c>
      <c r="D136">
        <v>2017</v>
      </c>
      <c r="E136">
        <v>110635</v>
      </c>
      <c r="F136" t="s">
        <v>72</v>
      </c>
      <c r="G136" t="s">
        <v>285</v>
      </c>
      <c r="H136" t="s">
        <v>20</v>
      </c>
      <c r="I136">
        <v>97499</v>
      </c>
      <c r="J136">
        <f>I136/VLOOKUP($D136,CPI!$P$16:$R$22,3,FALSE)</f>
        <v>120413.16249307149</v>
      </c>
      <c r="K136">
        <f t="shared" si="5"/>
        <v>0</v>
      </c>
      <c r="L136" s="3" cm="1">
        <f t="array" ref="L136">IF($C136=0,INDEX('24&amp;25'!$L:$L,MATCH($D136&amp;$B136&amp;$E136,'24&amp;25'!$B:$B&amp;'24&amp;25'!$A:$A&amp;'24&amp;25'!$C:$C,0)),INDEX('24&amp;25'!$M:$M,MATCH($D136&amp;$B136&amp;$E136,'24&amp;25'!$B:$B&amp;'24&amp;25'!$A:$A&amp;'24&amp;25'!$C:$C,0)))</f>
        <v>0</v>
      </c>
      <c r="M136">
        <f>L136/VLOOKUP($D136,CPI!$P$16:$R$22,3,FALSE)</f>
        <v>0</v>
      </c>
    </row>
    <row r="137" spans="1:13" ht="16" thickBot="1" x14ac:dyDescent="0.25">
      <c r="A137" s="7">
        <v>2</v>
      </c>
      <c r="B137">
        <f>IF(ISBLANK(G137),"",VLOOKUP(H137,code!B:C,2,FALSE))</f>
        <v>14</v>
      </c>
      <c r="C137">
        <f t="shared" si="4"/>
        <v>1</v>
      </c>
      <c r="D137">
        <v>2017</v>
      </c>
      <c r="E137">
        <v>110635</v>
      </c>
      <c r="F137" t="s">
        <v>72</v>
      </c>
      <c r="G137" t="s">
        <v>285</v>
      </c>
      <c r="H137" t="s">
        <v>22</v>
      </c>
      <c r="I137">
        <v>91923</v>
      </c>
      <c r="J137">
        <f>I137/VLOOKUP($D137,CPI!$P$16:$R$22,3,FALSE)</f>
        <v>113526.69397481627</v>
      </c>
      <c r="K137">
        <f t="shared" si="5"/>
        <v>0</v>
      </c>
      <c r="L137" s="3" cm="1">
        <f t="array" ref="L137">IF($C137=0,INDEX('24&amp;25'!$L:$L,MATCH($D137&amp;$B137&amp;$E137,'24&amp;25'!$B:$B&amp;'24&amp;25'!$A:$A&amp;'24&amp;25'!$C:$C,0)),INDEX('24&amp;25'!$M:$M,MATCH($D137&amp;$B137&amp;$E137,'24&amp;25'!$B:$B&amp;'24&amp;25'!$A:$A&amp;'24&amp;25'!$C:$C,0)))</f>
        <v>26479</v>
      </c>
      <c r="M137">
        <f>L137/VLOOKUP($D137,CPI!$P$16:$R$22,3,FALSE)</f>
        <v>32702.080325480674</v>
      </c>
    </row>
    <row r="138" spans="1:13" ht="16" thickBot="1" x14ac:dyDescent="0.25">
      <c r="A138" s="7">
        <v>2</v>
      </c>
      <c r="B138">
        <f>IF(ISBLANK(G138),"",VLOOKUP(H138,code!B:C,2,FALSE))</f>
        <v>17</v>
      </c>
      <c r="C138">
        <f t="shared" si="4"/>
        <v>1</v>
      </c>
      <c r="D138">
        <v>2017</v>
      </c>
      <c r="E138">
        <v>110635</v>
      </c>
      <c r="F138" t="s">
        <v>72</v>
      </c>
      <c r="G138" t="s">
        <v>285</v>
      </c>
      <c r="H138" t="s">
        <v>25</v>
      </c>
      <c r="I138">
        <v>116111</v>
      </c>
      <c r="J138">
        <f>I138/VLOOKUP($D138,CPI!$P$16:$R$22,3,FALSE)</f>
        <v>143399.34471361781</v>
      </c>
      <c r="K138">
        <f t="shared" si="5"/>
        <v>0</v>
      </c>
      <c r="L138" s="3" cm="1">
        <f t="array" ref="L138">IF($C138=0,INDEX('24&amp;25'!$L:$L,MATCH($D138&amp;$B138&amp;$E138,'24&amp;25'!$B:$B&amp;'24&amp;25'!$A:$A&amp;'24&amp;25'!$C:$C,0)),INDEX('24&amp;25'!$M:$M,MATCH($D138&amp;$B138&amp;$E138,'24&amp;25'!$B:$B&amp;'24&amp;25'!$A:$A&amp;'24&amp;25'!$C:$C,0)))</f>
        <v>0</v>
      </c>
      <c r="M138">
        <f>L138/VLOOKUP($D138,CPI!$P$16:$R$22,3,FALSE)</f>
        <v>0</v>
      </c>
    </row>
    <row r="139" spans="1:13" ht="16" thickBot="1" x14ac:dyDescent="0.25">
      <c r="A139" s="7">
        <v>2</v>
      </c>
      <c r="B139">
        <f>IF(ISBLANK(G139),"",VLOOKUP(H139,code!B:C,2,FALSE))</f>
        <v>18</v>
      </c>
      <c r="C139">
        <f t="shared" si="4"/>
        <v>1</v>
      </c>
      <c r="D139">
        <v>2017</v>
      </c>
      <c r="E139">
        <v>110635</v>
      </c>
      <c r="F139" t="s">
        <v>72</v>
      </c>
      <c r="G139" t="s">
        <v>285</v>
      </c>
      <c r="H139" t="s">
        <v>26</v>
      </c>
      <c r="I139">
        <v>87979</v>
      </c>
      <c r="J139">
        <f>I139/VLOOKUP($D139,CPI!$P$16:$R$22,3,FALSE)</f>
        <v>108655.77721800159</v>
      </c>
      <c r="K139">
        <f t="shared" si="5"/>
        <v>0</v>
      </c>
      <c r="L139" s="3" cm="1">
        <f t="array" ref="L139">IF($C139=0,INDEX('24&amp;25'!$L:$L,MATCH($D139&amp;$B139&amp;$E139,'24&amp;25'!$B:$B&amp;'24&amp;25'!$A:$A&amp;'24&amp;25'!$C:$C,0)),INDEX('24&amp;25'!$M:$M,MATCH($D139&amp;$B139&amp;$E139,'24&amp;25'!$B:$B&amp;'24&amp;25'!$A:$A&amp;'24&amp;25'!$C:$C,0)))</f>
        <v>0</v>
      </c>
      <c r="M139">
        <f>L139/VLOOKUP($D139,CPI!$P$16:$R$22,3,FALSE)</f>
        <v>0</v>
      </c>
    </row>
    <row r="140" spans="1:13" ht="16" thickBot="1" x14ac:dyDescent="0.25">
      <c r="A140" s="7">
        <v>2</v>
      </c>
      <c r="B140">
        <f>IF(ISBLANK(G140),"",VLOOKUP(H140,code!B:C,2,FALSE))</f>
        <v>19</v>
      </c>
      <c r="C140">
        <f t="shared" si="4"/>
        <v>1</v>
      </c>
      <c r="D140">
        <v>2017</v>
      </c>
      <c r="E140">
        <v>110635</v>
      </c>
      <c r="F140" t="s">
        <v>72</v>
      </c>
      <c r="G140" t="s">
        <v>285</v>
      </c>
      <c r="H140" t="s">
        <v>27</v>
      </c>
      <c r="I140">
        <v>24961</v>
      </c>
      <c r="J140">
        <f>I140/VLOOKUP($D140,CPI!$P$16:$R$22,3,FALSE)</f>
        <v>30827.320782670158</v>
      </c>
      <c r="K140">
        <f t="shared" si="5"/>
        <v>0</v>
      </c>
      <c r="L140" s="3" cm="1">
        <f t="array" ref="L140">IF($C140=0,INDEX('24&amp;25'!$L:$L,MATCH($D140&amp;$B140&amp;$E140,'24&amp;25'!$B:$B&amp;'24&amp;25'!$A:$A&amp;'24&amp;25'!$C:$C,0)),INDEX('24&amp;25'!$M:$M,MATCH($D140&amp;$B140&amp;$E140,'24&amp;25'!$B:$B&amp;'24&amp;25'!$A:$A&amp;'24&amp;25'!$C:$C,0)))</f>
        <v>0</v>
      </c>
      <c r="M140">
        <f>L140/VLOOKUP($D140,CPI!$P$16:$R$22,3,FALSE)</f>
        <v>0</v>
      </c>
    </row>
    <row r="141" spans="1:13" ht="16" thickBot="1" x14ac:dyDescent="0.25">
      <c r="A141" s="7">
        <v>2</v>
      </c>
      <c r="B141">
        <f>IF(ISBLANK(G141),"",VLOOKUP(H141,code!B:C,2,FALSE))</f>
        <v>20</v>
      </c>
      <c r="C141">
        <f t="shared" si="4"/>
        <v>1</v>
      </c>
      <c r="D141">
        <v>2017</v>
      </c>
      <c r="E141">
        <v>110635</v>
      </c>
      <c r="F141" t="s">
        <v>72</v>
      </c>
      <c r="G141" t="s">
        <v>285</v>
      </c>
      <c r="H141" t="s">
        <v>28</v>
      </c>
      <c r="I141">
        <v>12329</v>
      </c>
      <c r="J141">
        <f>I141/VLOOKUP($D141,CPI!$P$16:$R$22,3,FALSE)</f>
        <v>15226.554942892526</v>
      </c>
      <c r="K141">
        <f t="shared" si="5"/>
        <v>0</v>
      </c>
      <c r="L141" s="3" cm="1">
        <f t="array" ref="L141">IF($C141=0,INDEX('24&amp;25'!$L:$L,MATCH($D141&amp;$B141&amp;$E141,'24&amp;25'!$B:$B&amp;'24&amp;25'!$A:$A&amp;'24&amp;25'!$C:$C,0)),INDEX('24&amp;25'!$M:$M,MATCH($D141&amp;$B141&amp;$E141,'24&amp;25'!$B:$B&amp;'24&amp;25'!$A:$A&amp;'24&amp;25'!$C:$C,0)))</f>
        <v>2919</v>
      </c>
      <c r="M141">
        <f>L141/VLOOKUP($D141,CPI!$P$16:$R$22,3,FALSE)</f>
        <v>3605.0218086059926</v>
      </c>
    </row>
    <row r="142" spans="1:13" ht="16" thickBot="1" x14ac:dyDescent="0.25">
      <c r="A142" s="7">
        <v>2</v>
      </c>
      <c r="B142">
        <f>IF(ISBLANK(G142),"",VLOOKUP(H142,code!B:C,2,FALSE))</f>
        <v>21</v>
      </c>
      <c r="C142">
        <f t="shared" si="4"/>
        <v>1</v>
      </c>
      <c r="D142">
        <v>2017</v>
      </c>
      <c r="E142">
        <v>110635</v>
      </c>
      <c r="F142" t="s">
        <v>72</v>
      </c>
      <c r="G142" t="s">
        <v>285</v>
      </c>
      <c r="H142" t="s">
        <v>30</v>
      </c>
      <c r="I142">
        <v>192491</v>
      </c>
      <c r="J142">
        <f>I142/VLOOKUP($D142,CPI!$P$16:$R$22,3,FALSE)</f>
        <v>237730.1311957438</v>
      </c>
      <c r="K142">
        <f t="shared" si="5"/>
        <v>0</v>
      </c>
      <c r="L142" s="3" cm="1">
        <f t="array" ref="L142">IF($C142=0,INDEX('24&amp;25'!$L:$L,MATCH($D142&amp;$B142&amp;$E142,'24&amp;25'!$B:$B&amp;'24&amp;25'!$A:$A&amp;'24&amp;25'!$C:$C,0)),INDEX('24&amp;25'!$M:$M,MATCH($D142&amp;$B142&amp;$E142,'24&amp;25'!$B:$B&amp;'24&amp;25'!$A:$A&amp;'24&amp;25'!$C:$C,0)))</f>
        <v>0</v>
      </c>
      <c r="M142">
        <f>L142/VLOOKUP($D142,CPI!$P$16:$R$22,3,FALSE)</f>
        <v>0</v>
      </c>
    </row>
    <row r="143" spans="1:13" ht="16" thickBot="1" x14ac:dyDescent="0.25">
      <c r="A143" s="7">
        <v>2</v>
      </c>
      <c r="B143">
        <f>IF(ISBLANK(G143),"",VLOOKUP(H143,code!B:C,2,FALSE))</f>
        <v>23</v>
      </c>
      <c r="C143">
        <f t="shared" si="4"/>
        <v>1</v>
      </c>
      <c r="D143">
        <v>2017</v>
      </c>
      <c r="E143">
        <v>110635</v>
      </c>
      <c r="F143" t="s">
        <v>72</v>
      </c>
      <c r="G143" t="s">
        <v>285</v>
      </c>
      <c r="H143" t="s">
        <v>33</v>
      </c>
      <c r="I143">
        <v>97795</v>
      </c>
      <c r="J143">
        <f>I143/VLOOKUP($D143,CPI!$P$16:$R$22,3,FALSE)</f>
        <v>120778.72825372493</v>
      </c>
      <c r="K143">
        <f t="shared" si="5"/>
        <v>0</v>
      </c>
      <c r="L143" s="3" cm="1">
        <f t="array" ref="L143">IF($C143=0,INDEX('24&amp;25'!$L:$L,MATCH($D143&amp;$B143&amp;$E143,'24&amp;25'!$B:$B&amp;'24&amp;25'!$A:$A&amp;'24&amp;25'!$C:$C,0)),INDEX('24&amp;25'!$M:$M,MATCH($D143&amp;$B143&amp;$E143,'24&amp;25'!$B:$B&amp;'24&amp;25'!$A:$A&amp;'24&amp;25'!$C:$C,0)))</f>
        <v>76784</v>
      </c>
      <c r="M143">
        <f>L143/VLOOKUP($D143,CPI!$P$16:$R$22,3,FALSE)</f>
        <v>94829.734344639452</v>
      </c>
    </row>
    <row r="144" spans="1:13" ht="16" thickBot="1" x14ac:dyDescent="0.25">
      <c r="A144" s="7">
        <v>2</v>
      </c>
      <c r="B144">
        <f>IF(ISBLANK(G144),"",VLOOKUP(H144,code!B:C,2,FALSE))</f>
        <v>24</v>
      </c>
      <c r="C144">
        <f t="shared" si="4"/>
        <v>1</v>
      </c>
      <c r="D144">
        <v>2017</v>
      </c>
      <c r="E144">
        <v>110635</v>
      </c>
      <c r="F144" t="s">
        <v>72</v>
      </c>
      <c r="G144" t="s">
        <v>285</v>
      </c>
      <c r="H144" t="s">
        <v>34</v>
      </c>
      <c r="I144">
        <v>2285</v>
      </c>
      <c r="J144">
        <f>I144/VLOOKUP($D144,CPI!$P$16:$R$22,3,FALSE)</f>
        <v>2822.0194699091107</v>
      </c>
      <c r="K144">
        <f t="shared" si="5"/>
        <v>0</v>
      </c>
      <c r="L144" s="3" cm="1">
        <f t="array" ref="L144">IF($C144=0,INDEX('24&amp;25'!$L:$L,MATCH($D144&amp;$B144&amp;$E144,'24&amp;25'!$B:$B&amp;'24&amp;25'!$A:$A&amp;'24&amp;25'!$C:$C,0)),INDEX('24&amp;25'!$M:$M,MATCH($D144&amp;$B144&amp;$E144,'24&amp;25'!$B:$B&amp;'24&amp;25'!$A:$A&amp;'24&amp;25'!$C:$C,0)))</f>
        <v>0</v>
      </c>
      <c r="M144">
        <f>L144/VLOOKUP($D144,CPI!$P$16:$R$22,3,FALSE)</f>
        <v>0</v>
      </c>
    </row>
    <row r="145" spans="1:13" ht="16" thickBot="1" x14ac:dyDescent="0.25">
      <c r="A145" s="7">
        <v>2</v>
      </c>
      <c r="B145">
        <f>IF(ISBLANK(G145),"",VLOOKUP(H145,code!B:C,2,FALSE))</f>
        <v>1</v>
      </c>
      <c r="C145">
        <f t="shared" si="4"/>
        <v>0</v>
      </c>
      <c r="D145">
        <v>2018</v>
      </c>
      <c r="E145">
        <v>110635</v>
      </c>
      <c r="F145" t="s">
        <v>72</v>
      </c>
      <c r="G145" t="s">
        <v>284</v>
      </c>
      <c r="H145" t="s">
        <v>9</v>
      </c>
      <c r="I145">
        <v>234699</v>
      </c>
      <c r="J145">
        <f>I145/VLOOKUP($D145,CPI!$P$16:$R$22,3,FALSE)</f>
        <v>283468.42799424491</v>
      </c>
      <c r="K145">
        <f t="shared" si="5"/>
        <v>0</v>
      </c>
      <c r="L145" s="3" cm="1">
        <f t="array" ref="L145">IF($C145=0,INDEX('24&amp;25'!$L:$L,MATCH($D145&amp;$B145&amp;$E145,'24&amp;25'!$B:$B&amp;'24&amp;25'!$A:$A&amp;'24&amp;25'!$C:$C,0)),INDEX('24&amp;25'!$M:$M,MATCH($D145&amp;$B145&amp;$E145,'24&amp;25'!$B:$B&amp;'24&amp;25'!$A:$A&amp;'24&amp;25'!$C:$C,0)))</f>
        <v>0</v>
      </c>
      <c r="M145">
        <f>L145/VLOOKUP($D145,CPI!$P$16:$R$22,3,FALSE)</f>
        <v>0</v>
      </c>
    </row>
    <row r="146" spans="1:13" ht="16" thickBot="1" x14ac:dyDescent="0.25">
      <c r="A146" s="7">
        <v>2</v>
      </c>
      <c r="B146">
        <f>IF(ISBLANK(G146),"",VLOOKUP(H146,code!B:C,2,FALSE))</f>
        <v>2</v>
      </c>
      <c r="C146">
        <f t="shared" si="4"/>
        <v>0</v>
      </c>
      <c r="D146">
        <v>2018</v>
      </c>
      <c r="E146">
        <v>110635</v>
      </c>
      <c r="F146" t="s">
        <v>72</v>
      </c>
      <c r="G146" t="s">
        <v>284</v>
      </c>
      <c r="H146" t="s">
        <v>10</v>
      </c>
      <c r="I146">
        <v>3261356</v>
      </c>
      <c r="J146">
        <f>I146/VLOOKUP($D146,CPI!$P$16:$R$22,3,FALSE)</f>
        <v>3939051.5445297961</v>
      </c>
      <c r="K146">
        <f t="shared" si="5"/>
        <v>0</v>
      </c>
      <c r="L146" s="3" cm="1">
        <f t="array" ref="L146">IF($C146=0,INDEX('24&amp;25'!$L:$L,MATCH($D146&amp;$B146&amp;$E146,'24&amp;25'!$B:$B&amp;'24&amp;25'!$A:$A&amp;'24&amp;25'!$C:$C,0)),INDEX('24&amp;25'!$M:$M,MATCH($D146&amp;$B146&amp;$E146,'24&amp;25'!$B:$B&amp;'24&amp;25'!$A:$A&amp;'24&amp;25'!$C:$C,0)))</f>
        <v>400997</v>
      </c>
      <c r="M146">
        <f>L146/VLOOKUP($D146,CPI!$P$16:$R$22,3,FALSE)</f>
        <v>484322.42668442655</v>
      </c>
    </row>
    <row r="147" spans="1:13" ht="16" thickBot="1" x14ac:dyDescent="0.25">
      <c r="A147" s="7">
        <v>2</v>
      </c>
      <c r="B147">
        <f>IF(ISBLANK(G147),"",VLOOKUP(H147,code!B:C,2,FALSE))</f>
        <v>8</v>
      </c>
      <c r="C147">
        <f t="shared" si="4"/>
        <v>0</v>
      </c>
      <c r="D147">
        <v>2018</v>
      </c>
      <c r="E147">
        <v>110635</v>
      </c>
      <c r="F147" t="s">
        <v>72</v>
      </c>
      <c r="G147" t="s">
        <v>284</v>
      </c>
      <c r="H147" t="s">
        <v>16</v>
      </c>
      <c r="I147">
        <v>10686912</v>
      </c>
      <c r="J147">
        <f>I147/VLOOKUP($D147,CPI!$P$16:$R$22,3,FALSE)</f>
        <v>12907605.676857729</v>
      </c>
      <c r="K147">
        <f t="shared" si="5"/>
        <v>0</v>
      </c>
      <c r="L147" s="3" cm="1">
        <f t="array" ref="L147">IF($C147=0,INDEX('24&amp;25'!$L:$L,MATCH($D147&amp;$B147&amp;$E147,'24&amp;25'!$B:$B&amp;'24&amp;25'!$A:$A&amp;'24&amp;25'!$C:$C,0)),INDEX('24&amp;25'!$M:$M,MATCH($D147&amp;$B147&amp;$E147,'24&amp;25'!$B:$B&amp;'24&amp;25'!$A:$A&amp;'24&amp;25'!$C:$C,0)))</f>
        <v>2022594</v>
      </c>
      <c r="M147">
        <f>L147/VLOOKUP($D147,CPI!$P$16:$R$22,3,FALSE)</f>
        <v>2442880.2067780085</v>
      </c>
    </row>
    <row r="148" spans="1:13" ht="16" thickBot="1" x14ac:dyDescent="0.25">
      <c r="A148" s="7">
        <v>2</v>
      </c>
      <c r="B148">
        <f>IF(ISBLANK(G148),"",VLOOKUP(H148,code!B:C,2,FALSE))</f>
        <v>9</v>
      </c>
      <c r="C148">
        <f t="shared" si="4"/>
        <v>0</v>
      </c>
      <c r="D148">
        <v>2018</v>
      </c>
      <c r="E148">
        <v>110635</v>
      </c>
      <c r="F148" t="s">
        <v>72</v>
      </c>
      <c r="G148" t="s">
        <v>284</v>
      </c>
      <c r="H148" t="s">
        <v>17</v>
      </c>
      <c r="I148">
        <v>315398</v>
      </c>
      <c r="J148">
        <f>I148/VLOOKUP($D148,CPI!$P$16:$R$22,3,FALSE)</f>
        <v>380936.32803091983</v>
      </c>
      <c r="K148">
        <f t="shared" si="5"/>
        <v>0</v>
      </c>
      <c r="L148" s="3" cm="1">
        <f t="array" ref="L148">IF($C148=0,INDEX('24&amp;25'!$L:$L,MATCH($D148&amp;$B148&amp;$E148,'24&amp;25'!$B:$B&amp;'24&amp;25'!$A:$A&amp;'24&amp;25'!$C:$C,0)),INDEX('24&amp;25'!$M:$M,MATCH($D148&amp;$B148&amp;$E148,'24&amp;25'!$B:$B&amp;'24&amp;25'!$A:$A&amp;'24&amp;25'!$C:$C,0)))</f>
        <v>0</v>
      </c>
      <c r="M148">
        <f>L148/VLOOKUP($D148,CPI!$P$16:$R$22,3,FALSE)</f>
        <v>0</v>
      </c>
    </row>
    <row r="149" spans="1:13" ht="16" thickBot="1" x14ac:dyDescent="0.25">
      <c r="A149" s="7">
        <v>2</v>
      </c>
      <c r="B149">
        <f>IF(ISBLANK(G149),"",VLOOKUP(H149,code!B:C,2,FALSE))</f>
        <v>10</v>
      </c>
      <c r="C149">
        <f t="shared" si="4"/>
        <v>0</v>
      </c>
      <c r="D149">
        <v>2018</v>
      </c>
      <c r="E149">
        <v>110635</v>
      </c>
      <c r="F149" t="s">
        <v>72</v>
      </c>
      <c r="G149" t="s">
        <v>284</v>
      </c>
      <c r="H149" t="s">
        <v>18</v>
      </c>
      <c r="I149">
        <v>133364</v>
      </c>
      <c r="J149">
        <f>I149/VLOOKUP($D149,CPI!$P$16:$R$22,3,FALSE)</f>
        <v>161076.45721125559</v>
      </c>
      <c r="K149">
        <f t="shared" si="5"/>
        <v>0</v>
      </c>
      <c r="L149" s="3" cm="1">
        <f t="array" ref="L149">IF($C149=0,INDEX('24&amp;25'!$L:$L,MATCH($D149&amp;$B149&amp;$E149,'24&amp;25'!$B:$B&amp;'24&amp;25'!$A:$A&amp;'24&amp;25'!$C:$C,0)),INDEX('24&amp;25'!$M:$M,MATCH($D149&amp;$B149&amp;$E149,'24&amp;25'!$B:$B&amp;'24&amp;25'!$A:$A&amp;'24&amp;25'!$C:$C,0)))</f>
        <v>0</v>
      </c>
      <c r="M149">
        <f>L149/VLOOKUP($D149,CPI!$P$16:$R$22,3,FALSE)</f>
        <v>0</v>
      </c>
    </row>
    <row r="150" spans="1:13" ht="16" thickBot="1" x14ac:dyDescent="0.25">
      <c r="A150" s="7">
        <v>2</v>
      </c>
      <c r="B150">
        <f>IF(ISBLANK(G150),"",VLOOKUP(H150,code!B:C,2,FALSE))</f>
        <v>17</v>
      </c>
      <c r="C150">
        <f t="shared" si="4"/>
        <v>0</v>
      </c>
      <c r="D150">
        <v>2018</v>
      </c>
      <c r="E150">
        <v>110635</v>
      </c>
      <c r="F150" t="s">
        <v>72</v>
      </c>
      <c r="G150" t="s">
        <v>284</v>
      </c>
      <c r="H150" t="s">
        <v>25</v>
      </c>
      <c r="I150">
        <v>111242</v>
      </c>
      <c r="J150">
        <f>I150/VLOOKUP($D150,CPI!$P$16:$R$22,3,FALSE)</f>
        <v>134357.60214971428</v>
      </c>
      <c r="K150">
        <f t="shared" si="5"/>
        <v>0</v>
      </c>
      <c r="L150" s="3" cm="1">
        <f t="array" ref="L150">IF($C150=0,INDEX('24&amp;25'!$L:$L,MATCH($D150&amp;$B150&amp;$E150,'24&amp;25'!$B:$B&amp;'24&amp;25'!$A:$A&amp;'24&amp;25'!$C:$C,0)),INDEX('24&amp;25'!$M:$M,MATCH($D150&amp;$B150&amp;$E150,'24&amp;25'!$B:$B&amp;'24&amp;25'!$A:$A&amp;'24&amp;25'!$C:$C,0)))</f>
        <v>0</v>
      </c>
      <c r="M150">
        <f>L150/VLOOKUP($D150,CPI!$P$16:$R$22,3,FALSE)</f>
        <v>0</v>
      </c>
    </row>
    <row r="151" spans="1:13" ht="16" thickBot="1" x14ac:dyDescent="0.25">
      <c r="A151" s="7">
        <v>2</v>
      </c>
      <c r="B151">
        <f>IF(ISBLANK(G151),"",VLOOKUP(H151,code!B:C,2,FALSE))</f>
        <v>19</v>
      </c>
      <c r="C151">
        <f t="shared" si="4"/>
        <v>0</v>
      </c>
      <c r="D151">
        <v>2018</v>
      </c>
      <c r="E151">
        <v>110635</v>
      </c>
      <c r="F151" t="s">
        <v>72</v>
      </c>
      <c r="G151" t="s">
        <v>284</v>
      </c>
      <c r="H151" t="s">
        <v>27</v>
      </c>
      <c r="I151">
        <v>284062</v>
      </c>
      <c r="J151">
        <f>I151/VLOOKUP($D151,CPI!$P$16:$R$22,3,FALSE)</f>
        <v>343088.84397846262</v>
      </c>
      <c r="K151">
        <f t="shared" si="5"/>
        <v>0</v>
      </c>
      <c r="L151" s="3" cm="1">
        <f t="array" ref="L151">IF($C151=0,INDEX('24&amp;25'!$L:$L,MATCH($D151&amp;$B151&amp;$E151,'24&amp;25'!$B:$B&amp;'24&amp;25'!$A:$A&amp;'24&amp;25'!$C:$C,0)),INDEX('24&amp;25'!$M:$M,MATCH($D151&amp;$B151&amp;$E151,'24&amp;25'!$B:$B&amp;'24&amp;25'!$A:$A&amp;'24&amp;25'!$C:$C,0)))</f>
        <v>0</v>
      </c>
      <c r="M151">
        <f>L151/VLOOKUP($D151,CPI!$P$16:$R$22,3,FALSE)</f>
        <v>0</v>
      </c>
    </row>
    <row r="152" spans="1:13" ht="16" thickBot="1" x14ac:dyDescent="0.25">
      <c r="A152" s="7">
        <v>2</v>
      </c>
      <c r="B152">
        <f>IF(ISBLANK(G152),"",VLOOKUP(H152,code!B:C,2,FALSE))</f>
        <v>20</v>
      </c>
      <c r="C152">
        <f t="shared" si="4"/>
        <v>0</v>
      </c>
      <c r="D152">
        <v>2018</v>
      </c>
      <c r="E152">
        <v>110635</v>
      </c>
      <c r="F152" t="s">
        <v>72</v>
      </c>
      <c r="G152" t="s">
        <v>284</v>
      </c>
      <c r="H152" t="s">
        <v>28</v>
      </c>
      <c r="I152">
        <v>350247</v>
      </c>
      <c r="J152">
        <f>I152/VLOOKUP($D152,CPI!$P$16:$R$22,3,FALSE)</f>
        <v>423026.79815295461</v>
      </c>
      <c r="K152">
        <f t="shared" si="5"/>
        <v>0</v>
      </c>
      <c r="L152" s="3" cm="1">
        <f t="array" ref="L152">IF($C152=0,INDEX('24&amp;25'!$L:$L,MATCH($D152&amp;$B152&amp;$E152,'24&amp;25'!$B:$B&amp;'24&amp;25'!$A:$A&amp;'24&amp;25'!$C:$C,0)),INDEX('24&amp;25'!$M:$M,MATCH($D152&amp;$B152&amp;$E152,'24&amp;25'!$B:$B&amp;'24&amp;25'!$A:$A&amp;'24&amp;25'!$C:$C,0)))</f>
        <v>6805</v>
      </c>
      <c r="M152">
        <f>L152/VLOOKUP($D152,CPI!$P$16:$R$22,3,FALSE)</f>
        <v>8219.0493035796353</v>
      </c>
    </row>
    <row r="153" spans="1:13" ht="16" thickBot="1" x14ac:dyDescent="0.25">
      <c r="A153" s="7">
        <v>2</v>
      </c>
      <c r="B153">
        <f>IF(ISBLANK(G153),"",VLOOKUP(H153,code!B:C,2,FALSE))</f>
        <v>21</v>
      </c>
      <c r="C153">
        <f t="shared" si="4"/>
        <v>0</v>
      </c>
      <c r="D153">
        <v>2018</v>
      </c>
      <c r="E153">
        <v>110635</v>
      </c>
      <c r="F153" t="s">
        <v>72</v>
      </c>
      <c r="G153" t="s">
        <v>284</v>
      </c>
      <c r="H153" t="s">
        <v>30</v>
      </c>
      <c r="I153">
        <v>118840</v>
      </c>
      <c r="J153">
        <f>I153/VLOOKUP($D153,CPI!$P$16:$R$22,3,FALSE)</f>
        <v>143534.4333927118</v>
      </c>
      <c r="K153">
        <f t="shared" si="5"/>
        <v>0</v>
      </c>
      <c r="L153" s="3" cm="1">
        <f t="array" ref="L153">IF($C153=0,INDEX('24&amp;25'!$L:$L,MATCH($D153&amp;$B153&amp;$E153,'24&amp;25'!$B:$B&amp;'24&amp;25'!$A:$A&amp;'24&amp;25'!$C:$C,0)),INDEX('24&amp;25'!$M:$M,MATCH($D153&amp;$B153&amp;$E153,'24&amp;25'!$B:$B&amp;'24&amp;25'!$A:$A&amp;'24&amp;25'!$C:$C,0)))</f>
        <v>0</v>
      </c>
      <c r="M153">
        <f>L153/VLOOKUP($D153,CPI!$P$16:$R$22,3,FALSE)</f>
        <v>0</v>
      </c>
    </row>
    <row r="154" spans="1:13" ht="16" thickBot="1" x14ac:dyDescent="0.25">
      <c r="A154" s="7">
        <v>2</v>
      </c>
      <c r="B154">
        <f>IF(ISBLANK(G154),"",VLOOKUP(H154,code!B:C,2,FALSE))</f>
        <v>24</v>
      </c>
      <c r="C154">
        <f t="shared" si="4"/>
        <v>0</v>
      </c>
      <c r="D154">
        <v>2018</v>
      </c>
      <c r="E154">
        <v>110635</v>
      </c>
      <c r="F154" t="s">
        <v>72</v>
      </c>
      <c r="G154" t="s">
        <v>284</v>
      </c>
      <c r="H154" t="s">
        <v>34</v>
      </c>
      <c r="I154">
        <v>14446</v>
      </c>
      <c r="J154">
        <f>I154/VLOOKUP($D154,CPI!$P$16:$R$22,3,FALSE)</f>
        <v>17447.815758928933</v>
      </c>
      <c r="K154">
        <f t="shared" si="5"/>
        <v>0</v>
      </c>
      <c r="L154" s="3" cm="1">
        <f t="array" ref="L154">IF($C154=0,INDEX('24&amp;25'!$L:$L,MATCH($D154&amp;$B154&amp;$E154,'24&amp;25'!$B:$B&amp;'24&amp;25'!$A:$A&amp;'24&amp;25'!$C:$C,0)),INDEX('24&amp;25'!$M:$M,MATCH($D154&amp;$B154&amp;$E154,'24&amp;25'!$B:$B&amp;'24&amp;25'!$A:$A&amp;'24&amp;25'!$C:$C,0)))</f>
        <v>0</v>
      </c>
      <c r="M154">
        <f>L154/VLOOKUP($D154,CPI!$P$16:$R$22,3,FALSE)</f>
        <v>0</v>
      </c>
    </row>
    <row r="155" spans="1:13" ht="16" thickBot="1" x14ac:dyDescent="0.25">
      <c r="A155" s="7">
        <v>2</v>
      </c>
      <c r="B155">
        <f>IF(ISBLANK(G155),"",VLOOKUP(H155,code!B:C,2,FALSE))</f>
        <v>2</v>
      </c>
      <c r="C155">
        <f t="shared" si="4"/>
        <v>1</v>
      </c>
      <c r="D155">
        <v>2018</v>
      </c>
      <c r="E155">
        <v>110635</v>
      </c>
      <c r="F155" t="s">
        <v>72</v>
      </c>
      <c r="G155" t="s">
        <v>285</v>
      </c>
      <c r="H155" t="s">
        <v>10</v>
      </c>
      <c r="I155">
        <v>321034</v>
      </c>
      <c r="J155">
        <f>I155/VLOOKUP($D155,CPI!$P$16:$R$22,3,FALSE)</f>
        <v>387743.46423591248</v>
      </c>
      <c r="K155">
        <f t="shared" si="5"/>
        <v>0</v>
      </c>
      <c r="L155" s="3" cm="1">
        <f t="array" ref="L155">IF($C155=0,INDEX('24&amp;25'!$L:$L,MATCH($D155&amp;$B155&amp;$E155,'24&amp;25'!$B:$B&amp;'24&amp;25'!$A:$A&amp;'24&amp;25'!$C:$C,0)),INDEX('24&amp;25'!$M:$M,MATCH($D155&amp;$B155&amp;$E155,'24&amp;25'!$B:$B&amp;'24&amp;25'!$A:$A&amp;'24&amp;25'!$C:$C,0)))</f>
        <v>284311</v>
      </c>
      <c r="M155">
        <f>L155/VLOOKUP($D155,CPI!$P$16:$R$22,3,FALSE)</f>
        <v>343389.58509184857</v>
      </c>
    </row>
    <row r="156" spans="1:13" ht="16" thickBot="1" x14ac:dyDescent="0.25">
      <c r="A156" s="7">
        <v>2</v>
      </c>
      <c r="B156">
        <f>IF(ISBLANK(G156),"",VLOOKUP(H156,code!B:C,2,FALSE))</f>
        <v>3</v>
      </c>
      <c r="C156">
        <f t="shared" si="4"/>
        <v>1</v>
      </c>
      <c r="D156">
        <v>2018</v>
      </c>
      <c r="E156">
        <v>110635</v>
      </c>
      <c r="F156" t="s">
        <v>72</v>
      </c>
      <c r="G156" t="s">
        <v>285</v>
      </c>
      <c r="H156" t="s">
        <v>11</v>
      </c>
      <c r="I156">
        <v>1000</v>
      </c>
      <c r="J156">
        <f>I156/VLOOKUP($D156,CPI!$P$16:$R$22,3,FALSE)</f>
        <v>1207.7956360881167</v>
      </c>
      <c r="K156">
        <f t="shared" si="5"/>
        <v>0</v>
      </c>
      <c r="L156" s="3" cm="1">
        <f t="array" ref="L156">IF($C156=0,INDEX('24&amp;25'!$L:$L,MATCH($D156&amp;$B156&amp;$E156,'24&amp;25'!$B:$B&amp;'24&amp;25'!$A:$A&amp;'24&amp;25'!$C:$C,0)),INDEX('24&amp;25'!$M:$M,MATCH($D156&amp;$B156&amp;$E156,'24&amp;25'!$B:$B&amp;'24&amp;25'!$A:$A&amp;'24&amp;25'!$C:$C,0)))</f>
        <v>0</v>
      </c>
      <c r="M156">
        <f>L156/VLOOKUP($D156,CPI!$P$16:$R$22,3,FALSE)</f>
        <v>0</v>
      </c>
    </row>
    <row r="157" spans="1:13" ht="16" thickBot="1" x14ac:dyDescent="0.25">
      <c r="A157" s="7">
        <v>2</v>
      </c>
      <c r="B157">
        <f>IF(ISBLANK(G157),"",VLOOKUP(H157,code!B:C,2,FALSE))</f>
        <v>7</v>
      </c>
      <c r="C157">
        <f t="shared" si="4"/>
        <v>1</v>
      </c>
      <c r="D157">
        <v>2018</v>
      </c>
      <c r="E157">
        <v>110635</v>
      </c>
      <c r="F157" t="s">
        <v>72</v>
      </c>
      <c r="G157" t="s">
        <v>285</v>
      </c>
      <c r="H157" t="s">
        <v>15</v>
      </c>
      <c r="I157">
        <v>133701</v>
      </c>
      <c r="J157">
        <f>I157/VLOOKUP($D157,CPI!$P$16:$R$22,3,FALSE)</f>
        <v>161483.48434061729</v>
      </c>
      <c r="K157">
        <f t="shared" si="5"/>
        <v>0</v>
      </c>
      <c r="L157" s="3" cm="1">
        <f t="array" ref="L157">IF($C157=0,INDEX('24&amp;25'!$L:$L,MATCH($D157&amp;$B157&amp;$E157,'24&amp;25'!$B:$B&amp;'24&amp;25'!$A:$A&amp;'24&amp;25'!$C:$C,0)),INDEX('24&amp;25'!$M:$M,MATCH($D157&amp;$B157&amp;$E157,'24&amp;25'!$B:$B&amp;'24&amp;25'!$A:$A&amp;'24&amp;25'!$C:$C,0)))</f>
        <v>0</v>
      </c>
      <c r="M157">
        <f>L157/VLOOKUP($D157,CPI!$P$16:$R$22,3,FALSE)</f>
        <v>0</v>
      </c>
    </row>
    <row r="158" spans="1:13" ht="16" thickBot="1" x14ac:dyDescent="0.25">
      <c r="A158" s="7">
        <v>2</v>
      </c>
      <c r="B158">
        <f>IF(ISBLANK(G158),"",VLOOKUP(H158,code!B:C,2,FALSE))</f>
        <v>9</v>
      </c>
      <c r="C158">
        <f t="shared" si="4"/>
        <v>1</v>
      </c>
      <c r="D158">
        <v>2018</v>
      </c>
      <c r="E158">
        <v>110635</v>
      </c>
      <c r="F158" t="s">
        <v>72</v>
      </c>
      <c r="G158" t="s">
        <v>285</v>
      </c>
      <c r="H158" t="s">
        <v>17</v>
      </c>
      <c r="I158">
        <v>63050</v>
      </c>
      <c r="J158">
        <f>I158/VLOOKUP($D158,CPI!$P$16:$R$22,3,FALSE)</f>
        <v>76151.514855355766</v>
      </c>
      <c r="K158">
        <f t="shared" si="5"/>
        <v>0</v>
      </c>
      <c r="L158" s="3" cm="1">
        <f t="array" ref="L158">IF($C158=0,INDEX('24&amp;25'!$L:$L,MATCH($D158&amp;$B158&amp;$E158,'24&amp;25'!$B:$B&amp;'24&amp;25'!$A:$A&amp;'24&amp;25'!$C:$C,0)),INDEX('24&amp;25'!$M:$M,MATCH($D158&amp;$B158&amp;$E158,'24&amp;25'!$B:$B&amp;'24&amp;25'!$A:$A&amp;'24&amp;25'!$C:$C,0)))</f>
        <v>0</v>
      </c>
      <c r="M158">
        <f>L158/VLOOKUP($D158,CPI!$P$16:$R$22,3,FALSE)</f>
        <v>0</v>
      </c>
    </row>
    <row r="159" spans="1:13" ht="16" thickBot="1" x14ac:dyDescent="0.25">
      <c r="A159" s="7">
        <v>2</v>
      </c>
      <c r="B159">
        <f>IF(ISBLANK(G159),"",VLOOKUP(H159,code!B:C,2,FALSE))</f>
        <v>10</v>
      </c>
      <c r="C159">
        <f t="shared" si="4"/>
        <v>1</v>
      </c>
      <c r="D159">
        <v>2018</v>
      </c>
      <c r="E159">
        <v>110635</v>
      </c>
      <c r="F159" t="s">
        <v>72</v>
      </c>
      <c r="G159" t="s">
        <v>285</v>
      </c>
      <c r="H159" t="s">
        <v>18</v>
      </c>
      <c r="I159">
        <v>102368</v>
      </c>
      <c r="J159">
        <f>I159/VLOOKUP($D159,CPI!$P$16:$R$22,3,FALSE)</f>
        <v>123639.62367506833</v>
      </c>
      <c r="K159">
        <f t="shared" si="5"/>
        <v>0</v>
      </c>
      <c r="L159" s="3" cm="1">
        <f t="array" ref="L159">IF($C159=0,INDEX('24&amp;25'!$L:$L,MATCH($D159&amp;$B159&amp;$E159,'24&amp;25'!$B:$B&amp;'24&amp;25'!$A:$A&amp;'24&amp;25'!$C:$C,0)),INDEX('24&amp;25'!$M:$M,MATCH($D159&amp;$B159&amp;$E159,'24&amp;25'!$B:$B&amp;'24&amp;25'!$A:$A&amp;'24&amp;25'!$C:$C,0)))</f>
        <v>202</v>
      </c>
      <c r="M159">
        <f>L159/VLOOKUP($D159,CPI!$P$16:$R$22,3,FALSE)</f>
        <v>243.97471848979959</v>
      </c>
    </row>
    <row r="160" spans="1:13" ht="16" thickBot="1" x14ac:dyDescent="0.25">
      <c r="A160" s="7">
        <v>2</v>
      </c>
      <c r="B160">
        <f>IF(ISBLANK(G160),"",VLOOKUP(H160,code!B:C,2,FALSE))</f>
        <v>12</v>
      </c>
      <c r="C160">
        <f t="shared" si="4"/>
        <v>1</v>
      </c>
      <c r="D160">
        <v>2018</v>
      </c>
      <c r="E160">
        <v>110635</v>
      </c>
      <c r="F160" t="s">
        <v>72</v>
      </c>
      <c r="G160" t="s">
        <v>285</v>
      </c>
      <c r="H160" t="s">
        <v>20</v>
      </c>
      <c r="I160">
        <v>110831</v>
      </c>
      <c r="J160">
        <f>I160/VLOOKUP($D160,CPI!$P$16:$R$22,3,FALSE)</f>
        <v>133861.19814328206</v>
      </c>
      <c r="K160">
        <f t="shared" si="5"/>
        <v>0</v>
      </c>
      <c r="L160" s="3" cm="1">
        <f t="array" ref="L160">IF($C160=0,INDEX('24&amp;25'!$L:$L,MATCH($D160&amp;$B160&amp;$E160,'24&amp;25'!$B:$B&amp;'24&amp;25'!$A:$A&amp;'24&amp;25'!$C:$C,0)),INDEX('24&amp;25'!$M:$M,MATCH($D160&amp;$B160&amp;$E160,'24&amp;25'!$B:$B&amp;'24&amp;25'!$A:$A&amp;'24&amp;25'!$C:$C,0)))</f>
        <v>455</v>
      </c>
      <c r="M160">
        <f>L160/VLOOKUP($D160,CPI!$P$16:$R$22,3,FALSE)</f>
        <v>549.54701442009309</v>
      </c>
    </row>
    <row r="161" spans="1:13" ht="16" thickBot="1" x14ac:dyDescent="0.25">
      <c r="A161" s="7">
        <v>2</v>
      </c>
      <c r="B161">
        <f>IF(ISBLANK(G161),"",VLOOKUP(H161,code!B:C,2,FALSE))</f>
        <v>14</v>
      </c>
      <c r="C161">
        <f t="shared" si="4"/>
        <v>1</v>
      </c>
      <c r="D161">
        <v>2018</v>
      </c>
      <c r="E161">
        <v>110635</v>
      </c>
      <c r="F161" t="s">
        <v>72</v>
      </c>
      <c r="G161" t="s">
        <v>285</v>
      </c>
      <c r="H161" t="s">
        <v>22</v>
      </c>
      <c r="I161">
        <v>78724</v>
      </c>
      <c r="J161">
        <f>I161/VLOOKUP($D161,CPI!$P$16:$R$22,3,FALSE)</f>
        <v>95082.503655400898</v>
      </c>
      <c r="K161">
        <f t="shared" si="5"/>
        <v>0</v>
      </c>
      <c r="L161" s="3" cm="1">
        <f t="array" ref="L161">IF($C161=0,INDEX('24&amp;25'!$L:$L,MATCH($D161&amp;$B161&amp;$E161,'24&amp;25'!$B:$B&amp;'24&amp;25'!$A:$A&amp;'24&amp;25'!$C:$C,0)),INDEX('24&amp;25'!$M:$M,MATCH($D161&amp;$B161&amp;$E161,'24&amp;25'!$B:$B&amp;'24&amp;25'!$A:$A&amp;'24&amp;25'!$C:$C,0)))</f>
        <v>20412</v>
      </c>
      <c r="M161">
        <f>L161/VLOOKUP($D161,CPI!$P$16:$R$22,3,FALSE)</f>
        <v>24653.524523830638</v>
      </c>
    </row>
    <row r="162" spans="1:13" ht="16" thickBot="1" x14ac:dyDescent="0.25">
      <c r="A162" s="7">
        <v>2</v>
      </c>
      <c r="B162">
        <f>IF(ISBLANK(G162),"",VLOOKUP(H162,code!B:C,2,FALSE))</f>
        <v>17</v>
      </c>
      <c r="C162">
        <f t="shared" si="4"/>
        <v>1</v>
      </c>
      <c r="D162">
        <v>2018</v>
      </c>
      <c r="E162">
        <v>110635</v>
      </c>
      <c r="F162" t="s">
        <v>72</v>
      </c>
      <c r="G162" t="s">
        <v>285</v>
      </c>
      <c r="H162" t="s">
        <v>25</v>
      </c>
      <c r="I162">
        <v>69874</v>
      </c>
      <c r="J162">
        <f>I162/VLOOKUP($D162,CPI!$P$16:$R$22,3,FALSE)</f>
        <v>84393.512276021065</v>
      </c>
      <c r="K162">
        <f t="shared" si="5"/>
        <v>0</v>
      </c>
      <c r="L162" s="3" cm="1">
        <f t="array" ref="L162">IF($C162=0,INDEX('24&amp;25'!$L:$L,MATCH($D162&amp;$B162&amp;$E162,'24&amp;25'!$B:$B&amp;'24&amp;25'!$A:$A&amp;'24&amp;25'!$C:$C,0)),INDEX('24&amp;25'!$M:$M,MATCH($D162&amp;$B162&amp;$E162,'24&amp;25'!$B:$B&amp;'24&amp;25'!$A:$A&amp;'24&amp;25'!$C:$C,0)))</f>
        <v>0</v>
      </c>
      <c r="M162">
        <f>L162/VLOOKUP($D162,CPI!$P$16:$R$22,3,FALSE)</f>
        <v>0</v>
      </c>
    </row>
    <row r="163" spans="1:13" ht="16" thickBot="1" x14ac:dyDescent="0.25">
      <c r="A163" s="7">
        <v>2</v>
      </c>
      <c r="B163">
        <f>IF(ISBLANK(G163),"",VLOOKUP(H163,code!B:C,2,FALSE))</f>
        <v>18</v>
      </c>
      <c r="C163">
        <f t="shared" si="4"/>
        <v>1</v>
      </c>
      <c r="D163">
        <v>2018</v>
      </c>
      <c r="E163">
        <v>110635</v>
      </c>
      <c r="F163" t="s">
        <v>72</v>
      </c>
      <c r="G163" t="s">
        <v>285</v>
      </c>
      <c r="H163" t="s">
        <v>26</v>
      </c>
      <c r="I163">
        <v>115794</v>
      </c>
      <c r="J163">
        <f>I163/VLOOKUP($D163,CPI!$P$16:$R$22,3,FALSE)</f>
        <v>139855.48788518738</v>
      </c>
      <c r="K163">
        <f t="shared" si="5"/>
        <v>0</v>
      </c>
      <c r="L163" s="3" cm="1">
        <f t="array" ref="L163">IF($C163=0,INDEX('24&amp;25'!$L:$L,MATCH($D163&amp;$B163&amp;$E163,'24&amp;25'!$B:$B&amp;'24&amp;25'!$A:$A&amp;'24&amp;25'!$C:$C,0)),INDEX('24&amp;25'!$M:$M,MATCH($D163&amp;$B163&amp;$E163,'24&amp;25'!$B:$B&amp;'24&amp;25'!$A:$A&amp;'24&amp;25'!$C:$C,0)))</f>
        <v>0</v>
      </c>
      <c r="M163">
        <f>L163/VLOOKUP($D163,CPI!$P$16:$R$22,3,FALSE)</f>
        <v>0</v>
      </c>
    </row>
    <row r="164" spans="1:13" ht="16" thickBot="1" x14ac:dyDescent="0.25">
      <c r="A164" s="7">
        <v>2</v>
      </c>
      <c r="B164">
        <f>IF(ISBLANK(G164),"",VLOOKUP(H164,code!B:C,2,FALSE))</f>
        <v>19</v>
      </c>
      <c r="C164">
        <f t="shared" si="4"/>
        <v>1</v>
      </c>
      <c r="D164">
        <v>2018</v>
      </c>
      <c r="E164">
        <v>110635</v>
      </c>
      <c r="F164" t="s">
        <v>72</v>
      </c>
      <c r="G164" t="s">
        <v>285</v>
      </c>
      <c r="H164" t="s">
        <v>27</v>
      </c>
      <c r="I164">
        <v>6139</v>
      </c>
      <c r="J164">
        <f>I164/VLOOKUP($D164,CPI!$P$16:$R$22,3,FALSE)</f>
        <v>7414.657409944949</v>
      </c>
      <c r="K164">
        <f t="shared" si="5"/>
        <v>0</v>
      </c>
      <c r="L164" s="3" cm="1">
        <f t="array" ref="L164">IF($C164=0,INDEX('24&amp;25'!$L:$L,MATCH($D164&amp;$B164&amp;$E164,'24&amp;25'!$B:$B&amp;'24&amp;25'!$A:$A&amp;'24&amp;25'!$C:$C,0)),INDEX('24&amp;25'!$M:$M,MATCH($D164&amp;$B164&amp;$E164,'24&amp;25'!$B:$B&amp;'24&amp;25'!$A:$A&amp;'24&amp;25'!$C:$C,0)))</f>
        <v>0</v>
      </c>
      <c r="M164">
        <f>L164/VLOOKUP($D164,CPI!$P$16:$R$22,3,FALSE)</f>
        <v>0</v>
      </c>
    </row>
    <row r="165" spans="1:13" ht="16" thickBot="1" x14ac:dyDescent="0.25">
      <c r="A165" s="7">
        <v>2</v>
      </c>
      <c r="B165">
        <f>IF(ISBLANK(G165),"",VLOOKUP(H165,code!B:C,2,FALSE))</f>
        <v>20</v>
      </c>
      <c r="C165">
        <f t="shared" si="4"/>
        <v>1</v>
      </c>
      <c r="D165">
        <v>2018</v>
      </c>
      <c r="E165">
        <v>110635</v>
      </c>
      <c r="F165" t="s">
        <v>72</v>
      </c>
      <c r="G165" t="s">
        <v>285</v>
      </c>
      <c r="H165" t="s">
        <v>28</v>
      </c>
      <c r="I165">
        <v>56841</v>
      </c>
      <c r="J165">
        <f>I165/VLOOKUP($D165,CPI!$P$16:$R$22,3,FALSE)</f>
        <v>68652.311750884648</v>
      </c>
      <c r="K165">
        <f t="shared" si="5"/>
        <v>0</v>
      </c>
      <c r="L165" s="3" cm="1">
        <f t="array" ref="L165">IF($C165=0,INDEX('24&amp;25'!$L:$L,MATCH($D165&amp;$B165&amp;$E165,'24&amp;25'!$B:$B&amp;'24&amp;25'!$A:$A&amp;'24&amp;25'!$C:$C,0)),INDEX('24&amp;25'!$M:$M,MATCH($D165&amp;$B165&amp;$E165,'24&amp;25'!$B:$B&amp;'24&amp;25'!$A:$A&amp;'24&amp;25'!$C:$C,0)))</f>
        <v>3075</v>
      </c>
      <c r="M165">
        <f>L165/VLOOKUP($D165,CPI!$P$16:$R$22,3,FALSE)</f>
        <v>3713.9715809709592</v>
      </c>
    </row>
    <row r="166" spans="1:13" ht="16" thickBot="1" x14ac:dyDescent="0.25">
      <c r="A166" s="7">
        <v>2</v>
      </c>
      <c r="B166">
        <f>IF(ISBLANK(G166),"",VLOOKUP(H166,code!B:C,2,FALSE))</f>
        <v>21</v>
      </c>
      <c r="C166">
        <f t="shared" si="4"/>
        <v>1</v>
      </c>
      <c r="D166">
        <v>2018</v>
      </c>
      <c r="E166">
        <v>110635</v>
      </c>
      <c r="F166" t="s">
        <v>72</v>
      </c>
      <c r="G166" t="s">
        <v>285</v>
      </c>
      <c r="H166" t="s">
        <v>30</v>
      </c>
      <c r="I166">
        <v>118840</v>
      </c>
      <c r="J166">
        <f>I166/VLOOKUP($D166,CPI!$P$16:$R$22,3,FALSE)</f>
        <v>143534.4333927118</v>
      </c>
      <c r="K166">
        <f t="shared" si="5"/>
        <v>0</v>
      </c>
      <c r="L166" s="3" cm="1">
        <f t="array" ref="L166">IF($C166=0,INDEX('24&amp;25'!$L:$L,MATCH($D166&amp;$B166&amp;$E166,'24&amp;25'!$B:$B&amp;'24&amp;25'!$A:$A&amp;'24&amp;25'!$C:$C,0)),INDEX('24&amp;25'!$M:$M,MATCH($D166&amp;$B166&amp;$E166,'24&amp;25'!$B:$B&amp;'24&amp;25'!$A:$A&amp;'24&amp;25'!$C:$C,0)))</f>
        <v>0</v>
      </c>
      <c r="M166">
        <f>L166/VLOOKUP($D166,CPI!$P$16:$R$22,3,FALSE)</f>
        <v>0</v>
      </c>
    </row>
    <row r="167" spans="1:13" ht="16" thickBot="1" x14ac:dyDescent="0.25">
      <c r="A167" s="7">
        <v>2</v>
      </c>
      <c r="B167">
        <f>IF(ISBLANK(G167),"",VLOOKUP(H167,code!B:C,2,FALSE))</f>
        <v>23</v>
      </c>
      <c r="C167">
        <f t="shared" si="4"/>
        <v>1</v>
      </c>
      <c r="D167">
        <v>2018</v>
      </c>
      <c r="E167">
        <v>110635</v>
      </c>
      <c r="F167" t="s">
        <v>72</v>
      </c>
      <c r="G167" t="s">
        <v>285</v>
      </c>
      <c r="H167" t="s">
        <v>33</v>
      </c>
      <c r="I167">
        <v>104369</v>
      </c>
      <c r="J167">
        <f>I167/VLOOKUP($D167,CPI!$P$16:$R$22,3,FALSE)</f>
        <v>126056.42274288066</v>
      </c>
      <c r="K167">
        <f t="shared" si="5"/>
        <v>0</v>
      </c>
      <c r="L167" s="3" cm="1">
        <f t="array" ref="L167">IF($C167=0,INDEX('24&amp;25'!$L:$L,MATCH($D167&amp;$B167&amp;$E167,'24&amp;25'!$B:$B&amp;'24&amp;25'!$A:$A&amp;'24&amp;25'!$C:$C,0)),INDEX('24&amp;25'!$M:$M,MATCH($D167&amp;$B167&amp;$E167,'24&amp;25'!$B:$B&amp;'24&amp;25'!$A:$A&amp;'24&amp;25'!$C:$C,0)))</f>
        <v>87020</v>
      </c>
      <c r="M167">
        <f>L167/VLOOKUP($D167,CPI!$P$16:$R$22,3,FALSE)</f>
        <v>105102.37625238791</v>
      </c>
    </row>
    <row r="168" spans="1:13" ht="16" thickBot="1" x14ac:dyDescent="0.25">
      <c r="A168" s="7">
        <v>2</v>
      </c>
      <c r="B168">
        <f>IF(ISBLANK(G168),"",VLOOKUP(H168,code!B:C,2,FALSE))</f>
        <v>24</v>
      </c>
      <c r="C168">
        <f t="shared" si="4"/>
        <v>1</v>
      </c>
      <c r="D168">
        <v>2018</v>
      </c>
      <c r="E168">
        <v>110635</v>
      </c>
      <c r="F168" t="s">
        <v>72</v>
      </c>
      <c r="G168" t="s">
        <v>285</v>
      </c>
      <c r="H168" t="s">
        <v>34</v>
      </c>
      <c r="I168">
        <v>25251</v>
      </c>
      <c r="J168">
        <f>I168/VLOOKUP($D168,CPI!$P$16:$R$22,3,FALSE)</f>
        <v>30498.047606861037</v>
      </c>
      <c r="K168">
        <f t="shared" si="5"/>
        <v>0</v>
      </c>
      <c r="L168" s="3" cm="1">
        <f t="array" ref="L168">IF($C168=0,INDEX('24&amp;25'!$L:$L,MATCH($D168&amp;$B168&amp;$E168,'24&amp;25'!$B:$B&amp;'24&amp;25'!$A:$A&amp;'24&amp;25'!$C:$C,0)),INDEX('24&amp;25'!$M:$M,MATCH($D168&amp;$B168&amp;$E168,'24&amp;25'!$B:$B&amp;'24&amp;25'!$A:$A&amp;'24&amp;25'!$C:$C,0)))</f>
        <v>0</v>
      </c>
      <c r="M168">
        <f>L168/VLOOKUP($D168,CPI!$P$16:$R$22,3,FALSE)</f>
        <v>0</v>
      </c>
    </row>
    <row r="169" spans="1:13" ht="16" thickBot="1" x14ac:dyDescent="0.25">
      <c r="A169" s="7">
        <v>2</v>
      </c>
      <c r="B169">
        <f>IF(ISBLANK(G169),"",VLOOKUP(H169,code!B:C,2,FALSE))</f>
        <v>1</v>
      </c>
      <c r="C169">
        <f t="shared" si="4"/>
        <v>0</v>
      </c>
      <c r="D169">
        <v>2019</v>
      </c>
      <c r="E169">
        <v>110635</v>
      </c>
      <c r="F169" t="s">
        <v>72</v>
      </c>
      <c r="G169" t="s">
        <v>284</v>
      </c>
      <c r="H169" t="s">
        <v>9</v>
      </c>
      <c r="I169">
        <v>1194191</v>
      </c>
      <c r="J169">
        <f>I169/VLOOKUP($D169,CPI!$P$16:$R$22,3,FALSE)</f>
        <v>1413052.6572807119</v>
      </c>
      <c r="K169">
        <f t="shared" si="5"/>
        <v>0</v>
      </c>
      <c r="L169" s="3" cm="1">
        <f t="array" ref="L169">IF($C169=0,INDEX('24&amp;25'!$L:$L,MATCH($D169&amp;$B169&amp;$E169,'24&amp;25'!$B:$B&amp;'24&amp;25'!$A:$A&amp;'24&amp;25'!$C:$C,0)),INDEX('24&amp;25'!$M:$M,MATCH($D169&amp;$B169&amp;$E169,'24&amp;25'!$B:$B&amp;'24&amp;25'!$A:$A&amp;'24&amp;25'!$C:$C,0)))</f>
        <v>0</v>
      </c>
      <c r="M169">
        <f>L169/VLOOKUP($D169,CPI!$P$16:$R$22,3,FALSE)</f>
        <v>0</v>
      </c>
    </row>
    <row r="170" spans="1:13" ht="16" thickBot="1" x14ac:dyDescent="0.25">
      <c r="A170" s="7">
        <v>2</v>
      </c>
      <c r="B170">
        <f>IF(ISBLANK(G170),"",VLOOKUP(H170,code!B:C,2,FALSE))</f>
        <v>2</v>
      </c>
      <c r="C170">
        <f t="shared" si="4"/>
        <v>0</v>
      </c>
      <c r="D170">
        <v>2019</v>
      </c>
      <c r="E170">
        <v>110635</v>
      </c>
      <c r="F170" t="s">
        <v>72</v>
      </c>
      <c r="G170" t="s">
        <v>284</v>
      </c>
      <c r="H170" t="s">
        <v>10</v>
      </c>
      <c r="I170">
        <v>2563633</v>
      </c>
      <c r="J170">
        <f>I170/VLOOKUP($D170,CPI!$P$16:$R$22,3,FALSE)</f>
        <v>3033474.8988583265</v>
      </c>
      <c r="K170">
        <f t="shared" si="5"/>
        <v>0</v>
      </c>
      <c r="L170" s="3" cm="1">
        <f t="array" ref="L170">IF($C170=0,INDEX('24&amp;25'!$L:$L,MATCH($D170&amp;$B170&amp;$E170,'24&amp;25'!$B:$B&amp;'24&amp;25'!$A:$A&amp;'24&amp;25'!$C:$C,0)),INDEX('24&amp;25'!$M:$M,MATCH($D170&amp;$B170&amp;$E170,'24&amp;25'!$B:$B&amp;'24&amp;25'!$A:$A&amp;'24&amp;25'!$C:$C,0)))</f>
        <v>397720</v>
      </c>
      <c r="M170">
        <f>L170/VLOOKUP($D170,CPI!$P$16:$R$22,3,FALSE)</f>
        <v>470610.90131619212</v>
      </c>
    </row>
    <row r="171" spans="1:13" ht="16" thickBot="1" x14ac:dyDescent="0.25">
      <c r="A171" s="7">
        <v>2</v>
      </c>
      <c r="B171">
        <f>IF(ISBLANK(G171),"",VLOOKUP(H171,code!B:C,2,FALSE))</f>
        <v>8</v>
      </c>
      <c r="C171">
        <f t="shared" si="4"/>
        <v>0</v>
      </c>
      <c r="D171">
        <v>2019</v>
      </c>
      <c r="E171">
        <v>110635</v>
      </c>
      <c r="F171" t="s">
        <v>72</v>
      </c>
      <c r="G171" t="s">
        <v>284</v>
      </c>
      <c r="H171" t="s">
        <v>16</v>
      </c>
      <c r="I171">
        <v>10390019</v>
      </c>
      <c r="J171">
        <f>I171/VLOOKUP($D171,CPI!$P$16:$R$22,3,FALSE)</f>
        <v>12294217.555773813</v>
      </c>
      <c r="K171">
        <f t="shared" si="5"/>
        <v>0</v>
      </c>
      <c r="L171" s="3" cm="1">
        <f t="array" ref="L171">IF($C171=0,INDEX('24&amp;25'!$L:$L,MATCH($D171&amp;$B171&amp;$E171,'24&amp;25'!$B:$B&amp;'24&amp;25'!$A:$A&amp;'24&amp;25'!$C:$C,0)),INDEX('24&amp;25'!$M:$M,MATCH($D171&amp;$B171&amp;$E171,'24&amp;25'!$B:$B&amp;'24&amp;25'!$A:$A&amp;'24&amp;25'!$C:$C,0)))</f>
        <v>2005873</v>
      </c>
      <c r="M171">
        <f>L171/VLOOKUP($D171,CPI!$P$16:$R$22,3,FALSE)</f>
        <v>2373493.1621638695</v>
      </c>
    </row>
    <row r="172" spans="1:13" ht="16" thickBot="1" x14ac:dyDescent="0.25">
      <c r="A172" s="7">
        <v>2</v>
      </c>
      <c r="B172">
        <f>IF(ISBLANK(G172),"",VLOOKUP(H172,code!B:C,2,FALSE))</f>
        <v>9</v>
      </c>
      <c r="C172">
        <f t="shared" si="4"/>
        <v>0</v>
      </c>
      <c r="D172">
        <v>2019</v>
      </c>
      <c r="E172">
        <v>110635</v>
      </c>
      <c r="F172" t="s">
        <v>72</v>
      </c>
      <c r="G172" t="s">
        <v>284</v>
      </c>
      <c r="H172" t="s">
        <v>17</v>
      </c>
      <c r="I172">
        <v>144405</v>
      </c>
      <c r="J172">
        <f>I172/VLOOKUP($D172,CPI!$P$16:$R$22,3,FALSE)</f>
        <v>170870.37917269618</v>
      </c>
      <c r="K172">
        <f t="shared" si="5"/>
        <v>0</v>
      </c>
      <c r="L172" s="3" cm="1">
        <f t="array" ref="L172">IF($C172=0,INDEX('24&amp;25'!$L:$L,MATCH($D172&amp;$B172&amp;$E172,'24&amp;25'!$B:$B&amp;'24&amp;25'!$A:$A&amp;'24&amp;25'!$C:$C,0)),INDEX('24&amp;25'!$M:$M,MATCH($D172&amp;$B172&amp;$E172,'24&amp;25'!$B:$B&amp;'24&amp;25'!$A:$A&amp;'24&amp;25'!$C:$C,0)))</f>
        <v>0</v>
      </c>
      <c r="M172">
        <f>L172/VLOOKUP($D172,CPI!$P$16:$R$22,3,FALSE)</f>
        <v>0</v>
      </c>
    </row>
    <row r="173" spans="1:13" ht="16" thickBot="1" x14ac:dyDescent="0.25">
      <c r="A173" s="7">
        <v>2</v>
      </c>
      <c r="B173">
        <f>IF(ISBLANK(G173),"",VLOOKUP(H173,code!B:C,2,FALSE))</f>
        <v>10</v>
      </c>
      <c r="C173">
        <f t="shared" si="4"/>
        <v>0</v>
      </c>
      <c r="D173">
        <v>2019</v>
      </c>
      <c r="E173">
        <v>110635</v>
      </c>
      <c r="F173" t="s">
        <v>72</v>
      </c>
      <c r="G173" t="s">
        <v>284</v>
      </c>
      <c r="H173" t="s">
        <v>18</v>
      </c>
      <c r="I173">
        <v>329464</v>
      </c>
      <c r="J173">
        <f>I173/VLOOKUP($D173,CPI!$P$16:$R$22,3,FALSE)</f>
        <v>389845.49429557961</v>
      </c>
      <c r="K173">
        <f t="shared" si="5"/>
        <v>0</v>
      </c>
      <c r="L173" s="3" cm="1">
        <f t="array" ref="L173">IF($C173=0,INDEX('24&amp;25'!$L:$L,MATCH($D173&amp;$B173&amp;$E173,'24&amp;25'!$B:$B&amp;'24&amp;25'!$A:$A&amp;'24&amp;25'!$C:$C,0)),INDEX('24&amp;25'!$M:$M,MATCH($D173&amp;$B173&amp;$E173,'24&amp;25'!$B:$B&amp;'24&amp;25'!$A:$A&amp;'24&amp;25'!$C:$C,0)))</f>
        <v>0</v>
      </c>
      <c r="M173">
        <f>L173/VLOOKUP($D173,CPI!$P$16:$R$22,3,FALSE)</f>
        <v>0</v>
      </c>
    </row>
    <row r="174" spans="1:13" ht="16" thickBot="1" x14ac:dyDescent="0.25">
      <c r="A174" s="7">
        <v>2</v>
      </c>
      <c r="B174">
        <f>IF(ISBLANK(G174),"",VLOOKUP(H174,code!B:C,2,FALSE))</f>
        <v>17</v>
      </c>
      <c r="C174">
        <f t="shared" si="4"/>
        <v>0</v>
      </c>
      <c r="D174">
        <v>2019</v>
      </c>
      <c r="E174">
        <v>110635</v>
      </c>
      <c r="F174" t="s">
        <v>72</v>
      </c>
      <c r="G174" t="s">
        <v>284</v>
      </c>
      <c r="H174" t="s">
        <v>25</v>
      </c>
      <c r="I174">
        <v>90396</v>
      </c>
      <c r="J174">
        <f>I174/VLOOKUP($D174,CPI!$P$16:$R$22,3,FALSE)</f>
        <v>106963.046956096</v>
      </c>
      <c r="K174">
        <f t="shared" si="5"/>
        <v>0</v>
      </c>
      <c r="L174" s="3" cm="1">
        <f t="array" ref="L174">IF($C174=0,INDEX('24&amp;25'!$L:$L,MATCH($D174&amp;$B174&amp;$E174,'24&amp;25'!$B:$B&amp;'24&amp;25'!$A:$A&amp;'24&amp;25'!$C:$C,0)),INDEX('24&amp;25'!$M:$M,MATCH($D174&amp;$B174&amp;$E174,'24&amp;25'!$B:$B&amp;'24&amp;25'!$A:$A&amp;'24&amp;25'!$C:$C,0)))</f>
        <v>2204</v>
      </c>
      <c r="M174">
        <f>L174/VLOOKUP($D174,CPI!$P$16:$R$22,3,FALSE)</f>
        <v>2607.9312745169655</v>
      </c>
    </row>
    <row r="175" spans="1:13" ht="16" thickBot="1" x14ac:dyDescent="0.25">
      <c r="A175" s="7">
        <v>2</v>
      </c>
      <c r="B175">
        <f>IF(ISBLANK(G175),"",VLOOKUP(H175,code!B:C,2,FALSE))</f>
        <v>19</v>
      </c>
      <c r="C175">
        <f t="shared" si="4"/>
        <v>0</v>
      </c>
      <c r="D175">
        <v>2019</v>
      </c>
      <c r="E175">
        <v>110635</v>
      </c>
      <c r="F175" t="s">
        <v>72</v>
      </c>
      <c r="G175" t="s">
        <v>284</v>
      </c>
      <c r="H175" t="s">
        <v>27</v>
      </c>
      <c r="I175">
        <v>380622</v>
      </c>
      <c r="J175">
        <f>I175/VLOOKUP($D175,CPI!$P$16:$R$22,3,FALSE)</f>
        <v>450379.3183163323</v>
      </c>
      <c r="K175">
        <f t="shared" si="5"/>
        <v>0</v>
      </c>
      <c r="L175" s="3" cm="1">
        <f t="array" ref="L175">IF($C175=0,INDEX('24&amp;25'!$L:$L,MATCH($D175&amp;$B175&amp;$E175,'24&amp;25'!$B:$B&amp;'24&amp;25'!$A:$A&amp;'24&amp;25'!$C:$C,0)),INDEX('24&amp;25'!$M:$M,MATCH($D175&amp;$B175&amp;$E175,'24&amp;25'!$B:$B&amp;'24&amp;25'!$A:$A&amp;'24&amp;25'!$C:$C,0)))</f>
        <v>355</v>
      </c>
      <c r="M175">
        <f>L175/VLOOKUP($D175,CPI!$P$16:$R$22,3,FALSE)</f>
        <v>420.06152561412097</v>
      </c>
    </row>
    <row r="176" spans="1:13" ht="16" thickBot="1" x14ac:dyDescent="0.25">
      <c r="A176" s="7">
        <v>2</v>
      </c>
      <c r="B176">
        <f>IF(ISBLANK(G176),"",VLOOKUP(H176,code!B:C,2,FALSE))</f>
        <v>20</v>
      </c>
      <c r="C176">
        <f t="shared" si="4"/>
        <v>0</v>
      </c>
      <c r="D176">
        <v>2019</v>
      </c>
      <c r="E176">
        <v>110635</v>
      </c>
      <c r="F176" t="s">
        <v>72</v>
      </c>
      <c r="G176" t="s">
        <v>284</v>
      </c>
      <c r="H176" t="s">
        <v>28</v>
      </c>
      <c r="I176">
        <v>434320</v>
      </c>
      <c r="J176">
        <f>I176/VLOOKUP($D176,CPI!$P$16:$R$22,3,FALSE)</f>
        <v>513918.65297105641</v>
      </c>
      <c r="K176">
        <f t="shared" si="5"/>
        <v>0</v>
      </c>
      <c r="L176" s="3" cm="1">
        <f t="array" ref="L176">IF($C176=0,INDEX('24&amp;25'!$L:$L,MATCH($D176&amp;$B176&amp;$E176,'24&amp;25'!$B:$B&amp;'24&amp;25'!$A:$A&amp;'24&amp;25'!$C:$C,0)),INDEX('24&amp;25'!$M:$M,MATCH($D176&amp;$B176&amp;$E176,'24&amp;25'!$B:$B&amp;'24&amp;25'!$A:$A&amp;'24&amp;25'!$C:$C,0)))</f>
        <v>3398</v>
      </c>
      <c r="M176">
        <f>L176/VLOOKUP($D176,CPI!$P$16:$R$22,3,FALSE)</f>
        <v>4020.757926864178</v>
      </c>
    </row>
    <row r="177" spans="1:13" ht="16" thickBot="1" x14ac:dyDescent="0.25">
      <c r="A177" s="7">
        <v>2</v>
      </c>
      <c r="B177">
        <f>IF(ISBLANK(G177),"",VLOOKUP(H177,code!B:C,2,FALSE))</f>
        <v>21</v>
      </c>
      <c r="C177">
        <f t="shared" si="4"/>
        <v>0</v>
      </c>
      <c r="D177">
        <v>2019</v>
      </c>
      <c r="E177">
        <v>110635</v>
      </c>
      <c r="F177" t="s">
        <v>72</v>
      </c>
      <c r="G177" t="s">
        <v>284</v>
      </c>
      <c r="H177" t="s">
        <v>30</v>
      </c>
      <c r="I177">
        <v>96654</v>
      </c>
      <c r="J177">
        <f>I177/VLOOKUP($D177,CPI!$P$16:$R$22,3,FALSE)</f>
        <v>114367.96252593592</v>
      </c>
      <c r="K177">
        <f t="shared" si="5"/>
        <v>0</v>
      </c>
      <c r="L177" s="3" cm="1">
        <f t="array" ref="L177">IF($C177=0,INDEX('24&amp;25'!$L:$L,MATCH($D177&amp;$B177&amp;$E177,'24&amp;25'!$B:$B&amp;'24&amp;25'!$A:$A&amp;'24&amp;25'!$C:$C,0)),INDEX('24&amp;25'!$M:$M,MATCH($D177&amp;$B177&amp;$E177,'24&amp;25'!$B:$B&amp;'24&amp;25'!$A:$A&amp;'24&amp;25'!$C:$C,0)))</f>
        <v>1227</v>
      </c>
      <c r="M177">
        <f>L177/VLOOKUP($D177,CPI!$P$16:$R$22,3,FALSE)</f>
        <v>1451.8746251507787</v>
      </c>
    </row>
    <row r="178" spans="1:13" ht="16" thickBot="1" x14ac:dyDescent="0.25">
      <c r="A178" s="7">
        <v>2</v>
      </c>
      <c r="B178">
        <f>IF(ISBLANK(G178),"",VLOOKUP(H178,code!B:C,2,FALSE))</f>
        <v>24</v>
      </c>
      <c r="C178">
        <f t="shared" si="4"/>
        <v>0</v>
      </c>
      <c r="D178">
        <v>2019</v>
      </c>
      <c r="E178">
        <v>110635</v>
      </c>
      <c r="F178" t="s">
        <v>72</v>
      </c>
      <c r="G178" t="s">
        <v>284</v>
      </c>
      <c r="H178" t="s">
        <v>34</v>
      </c>
      <c r="I178">
        <v>11664</v>
      </c>
      <c r="J178">
        <f>I178/VLOOKUP($D178,CPI!$P$16:$R$22,3,FALSE)</f>
        <v>13801.683478205936</v>
      </c>
      <c r="K178">
        <f t="shared" si="5"/>
        <v>0</v>
      </c>
      <c r="L178" s="3" cm="1">
        <f t="array" ref="L178">IF($C178=0,INDEX('24&amp;25'!$L:$L,MATCH($D178&amp;$B178&amp;$E178,'24&amp;25'!$B:$B&amp;'24&amp;25'!$A:$A&amp;'24&amp;25'!$C:$C,0)),INDEX('24&amp;25'!$M:$M,MATCH($D178&amp;$B178&amp;$E178,'24&amp;25'!$B:$B&amp;'24&amp;25'!$A:$A&amp;'24&amp;25'!$C:$C,0)))</f>
        <v>0</v>
      </c>
      <c r="M178">
        <f>L178/VLOOKUP($D178,CPI!$P$16:$R$22,3,FALSE)</f>
        <v>0</v>
      </c>
    </row>
    <row r="179" spans="1:13" ht="16" thickBot="1" x14ac:dyDescent="0.25">
      <c r="A179" s="7">
        <v>2</v>
      </c>
      <c r="B179">
        <f>IF(ISBLANK(G179),"",VLOOKUP(H179,code!B:C,2,FALSE))</f>
        <v>2</v>
      </c>
      <c r="C179">
        <f t="shared" si="4"/>
        <v>1</v>
      </c>
      <c r="D179">
        <v>2019</v>
      </c>
      <c r="E179">
        <v>110635</v>
      </c>
      <c r="F179" t="s">
        <v>72</v>
      </c>
      <c r="G179" t="s">
        <v>285</v>
      </c>
      <c r="H179" t="s">
        <v>10</v>
      </c>
      <c r="I179">
        <v>383636</v>
      </c>
      <c r="J179">
        <f>I179/VLOOKUP($D179,CPI!$P$16:$R$22,3,FALSE)</f>
        <v>453945.69983239134</v>
      </c>
      <c r="K179">
        <f t="shared" si="5"/>
        <v>0</v>
      </c>
      <c r="L179" s="3" cm="1">
        <f t="array" ref="L179">IF($C179=0,INDEX('24&amp;25'!$L:$L,MATCH($D179&amp;$B179&amp;$E179,'24&amp;25'!$B:$B&amp;'24&amp;25'!$A:$A&amp;'24&amp;25'!$C:$C,0)),INDEX('24&amp;25'!$M:$M,MATCH($D179&amp;$B179&amp;$E179,'24&amp;25'!$B:$B&amp;'24&amp;25'!$A:$A&amp;'24&amp;25'!$C:$C,0)))</f>
        <v>323301</v>
      </c>
      <c r="M179">
        <f>L179/VLOOKUP($D179,CPI!$P$16:$R$22,3,FALSE)</f>
        <v>382552.98955653782</v>
      </c>
    </row>
    <row r="180" spans="1:13" ht="16" thickBot="1" x14ac:dyDescent="0.25">
      <c r="A180" s="7">
        <v>2</v>
      </c>
      <c r="B180">
        <f>IF(ISBLANK(G180),"",VLOOKUP(H180,code!B:C,2,FALSE))</f>
        <v>3</v>
      </c>
      <c r="C180">
        <f t="shared" si="4"/>
        <v>1</v>
      </c>
      <c r="D180">
        <v>2019</v>
      </c>
      <c r="E180">
        <v>110635</v>
      </c>
      <c r="F180" t="s">
        <v>72</v>
      </c>
      <c r="G180" t="s">
        <v>285</v>
      </c>
      <c r="H180" t="s">
        <v>11</v>
      </c>
      <c r="I180">
        <v>2000</v>
      </c>
      <c r="J180">
        <f>I180/VLOOKUP($D180,CPI!$P$16:$R$22,3,FALSE)</f>
        <v>2366.543806276738</v>
      </c>
      <c r="K180">
        <f t="shared" si="5"/>
        <v>0</v>
      </c>
      <c r="L180" s="3" cm="1">
        <f t="array" ref="L180">IF($C180=0,INDEX('24&amp;25'!$L:$L,MATCH($D180&amp;$B180&amp;$E180,'24&amp;25'!$B:$B&amp;'24&amp;25'!$A:$A&amp;'24&amp;25'!$C:$C,0)),INDEX('24&amp;25'!$M:$M,MATCH($D180&amp;$B180&amp;$E180,'24&amp;25'!$B:$B&amp;'24&amp;25'!$A:$A&amp;'24&amp;25'!$C:$C,0)))</f>
        <v>0</v>
      </c>
      <c r="M180">
        <f>L180/VLOOKUP($D180,CPI!$P$16:$R$22,3,FALSE)</f>
        <v>0</v>
      </c>
    </row>
    <row r="181" spans="1:13" ht="16" thickBot="1" x14ac:dyDescent="0.25">
      <c r="A181" s="7">
        <v>2</v>
      </c>
      <c r="B181">
        <f>IF(ISBLANK(G181),"",VLOOKUP(H181,code!B:C,2,FALSE))</f>
        <v>7</v>
      </c>
      <c r="C181">
        <f t="shared" si="4"/>
        <v>1</v>
      </c>
      <c r="D181">
        <v>2019</v>
      </c>
      <c r="E181">
        <v>110635</v>
      </c>
      <c r="F181" t="s">
        <v>72</v>
      </c>
      <c r="G181" t="s">
        <v>285</v>
      </c>
      <c r="H181" t="s">
        <v>15</v>
      </c>
      <c r="I181">
        <v>106137</v>
      </c>
      <c r="J181">
        <f>I181/VLOOKUP($D181,CPI!$P$16:$R$22,3,FALSE)</f>
        <v>125588.92998339707</v>
      </c>
      <c r="K181">
        <f t="shared" si="5"/>
        <v>0</v>
      </c>
      <c r="L181" s="3" cm="1">
        <f t="array" ref="L181">IF($C181=0,INDEX('24&amp;25'!$L:$L,MATCH($D181&amp;$B181&amp;$E181,'24&amp;25'!$B:$B&amp;'24&amp;25'!$A:$A&amp;'24&amp;25'!$C:$C,0)),INDEX('24&amp;25'!$M:$M,MATCH($D181&amp;$B181&amp;$E181,'24&amp;25'!$B:$B&amp;'24&amp;25'!$A:$A&amp;'24&amp;25'!$C:$C,0)))</f>
        <v>178</v>
      </c>
      <c r="M181">
        <f>L181/VLOOKUP($D181,CPI!$P$16:$R$22,3,FALSE)</f>
        <v>210.62239875862969</v>
      </c>
    </row>
    <row r="182" spans="1:13" ht="16" thickBot="1" x14ac:dyDescent="0.25">
      <c r="A182" s="7">
        <v>2</v>
      </c>
      <c r="B182">
        <f>IF(ISBLANK(G182),"",VLOOKUP(H182,code!B:C,2,FALSE))</f>
        <v>9</v>
      </c>
      <c r="C182">
        <f t="shared" si="4"/>
        <v>1</v>
      </c>
      <c r="D182">
        <v>2019</v>
      </c>
      <c r="E182">
        <v>110635</v>
      </c>
      <c r="F182" t="s">
        <v>72</v>
      </c>
      <c r="G182" t="s">
        <v>285</v>
      </c>
      <c r="H182" t="s">
        <v>17</v>
      </c>
      <c r="I182">
        <v>173698</v>
      </c>
      <c r="J182">
        <f>I182/VLOOKUP($D182,CPI!$P$16:$R$22,3,FALSE)</f>
        <v>205531.96303132843</v>
      </c>
      <c r="K182">
        <f t="shared" si="5"/>
        <v>0</v>
      </c>
      <c r="L182" s="3" cm="1">
        <f t="array" ref="L182">IF($C182=0,INDEX('24&amp;25'!$L:$L,MATCH($D182&amp;$B182&amp;$E182,'24&amp;25'!$B:$B&amp;'24&amp;25'!$A:$A&amp;'24&amp;25'!$C:$C,0)),INDEX('24&amp;25'!$M:$M,MATCH($D182&amp;$B182&amp;$E182,'24&amp;25'!$B:$B&amp;'24&amp;25'!$A:$A&amp;'24&amp;25'!$C:$C,0)))</f>
        <v>213</v>
      </c>
      <c r="M182">
        <f>L182/VLOOKUP($D182,CPI!$P$16:$R$22,3,FALSE)</f>
        <v>252.03691536847259</v>
      </c>
    </row>
    <row r="183" spans="1:13" ht="16" thickBot="1" x14ac:dyDescent="0.25">
      <c r="A183" s="7">
        <v>2</v>
      </c>
      <c r="B183">
        <f>IF(ISBLANK(G183),"",VLOOKUP(H183,code!B:C,2,FALSE))</f>
        <v>10</v>
      </c>
      <c r="C183">
        <f t="shared" si="4"/>
        <v>1</v>
      </c>
      <c r="D183">
        <v>2019</v>
      </c>
      <c r="E183">
        <v>110635</v>
      </c>
      <c r="F183" t="s">
        <v>72</v>
      </c>
      <c r="G183" t="s">
        <v>285</v>
      </c>
      <c r="H183" t="s">
        <v>18</v>
      </c>
      <c r="I183">
        <v>92026</v>
      </c>
      <c r="J183">
        <f>I183/VLOOKUP($D183,CPI!$P$16:$R$22,3,FALSE)</f>
        <v>108891.78015821155</v>
      </c>
      <c r="K183">
        <f t="shared" si="5"/>
        <v>0</v>
      </c>
      <c r="L183" s="3" cm="1">
        <f t="array" ref="L183">IF($C183=0,INDEX('24&amp;25'!$L:$L,MATCH($D183&amp;$B183&amp;$E183,'24&amp;25'!$B:$B&amp;'24&amp;25'!$A:$A&amp;'24&amp;25'!$C:$C,0)),INDEX('24&amp;25'!$M:$M,MATCH($D183&amp;$B183&amp;$E183,'24&amp;25'!$B:$B&amp;'24&amp;25'!$A:$A&amp;'24&amp;25'!$C:$C,0)))</f>
        <v>3850</v>
      </c>
      <c r="M183">
        <f>L183/VLOOKUP($D183,CPI!$P$16:$R$22,3,FALSE)</f>
        <v>4555.5968270827207</v>
      </c>
    </row>
    <row r="184" spans="1:13" ht="16" thickBot="1" x14ac:dyDescent="0.25">
      <c r="A184" s="7">
        <v>2</v>
      </c>
      <c r="B184">
        <f>IF(ISBLANK(G184),"",VLOOKUP(H184,code!B:C,2,FALSE))</f>
        <v>12</v>
      </c>
      <c r="C184">
        <f t="shared" si="4"/>
        <v>1</v>
      </c>
      <c r="D184">
        <v>2019</v>
      </c>
      <c r="E184">
        <v>110635</v>
      </c>
      <c r="F184" t="s">
        <v>72</v>
      </c>
      <c r="G184" t="s">
        <v>285</v>
      </c>
      <c r="H184" t="s">
        <v>20</v>
      </c>
      <c r="I184">
        <v>89113</v>
      </c>
      <c r="J184">
        <f>I184/VLOOKUP($D184,CPI!$P$16:$R$22,3,FALSE)</f>
        <v>105444.90910436948</v>
      </c>
      <c r="K184">
        <f t="shared" si="5"/>
        <v>0</v>
      </c>
      <c r="L184" s="3" cm="1">
        <f t="array" ref="L184">IF($C184=0,INDEX('24&amp;25'!$L:$L,MATCH($D184&amp;$B184&amp;$E184,'24&amp;25'!$B:$B&amp;'24&amp;25'!$A:$A&amp;'24&amp;25'!$C:$C,0)),INDEX('24&amp;25'!$M:$M,MATCH($D184&amp;$B184&amp;$E184,'24&amp;25'!$B:$B&amp;'24&amp;25'!$A:$A&amp;'24&amp;25'!$C:$C,0)))</f>
        <v>0</v>
      </c>
      <c r="M184">
        <f>L184/VLOOKUP($D184,CPI!$P$16:$R$22,3,FALSE)</f>
        <v>0</v>
      </c>
    </row>
    <row r="185" spans="1:13" ht="16" thickBot="1" x14ac:dyDescent="0.25">
      <c r="A185" s="7">
        <v>2</v>
      </c>
      <c r="B185">
        <f>IF(ISBLANK(G185),"",VLOOKUP(H185,code!B:C,2,FALSE))</f>
        <v>14</v>
      </c>
      <c r="C185">
        <f t="shared" si="4"/>
        <v>1</v>
      </c>
      <c r="D185">
        <v>2019</v>
      </c>
      <c r="E185">
        <v>110635</v>
      </c>
      <c r="F185" t="s">
        <v>72</v>
      </c>
      <c r="G185" t="s">
        <v>285</v>
      </c>
      <c r="H185" t="s">
        <v>22</v>
      </c>
      <c r="I185">
        <v>130662</v>
      </c>
      <c r="J185">
        <f>I185/VLOOKUP($D185,CPI!$P$16:$R$22,3,FALSE)</f>
        <v>154608.67340786557</v>
      </c>
      <c r="K185">
        <f t="shared" si="5"/>
        <v>0</v>
      </c>
      <c r="L185" s="3" cm="1">
        <f t="array" ref="L185">IF($C185=0,INDEX('24&amp;25'!$L:$L,MATCH($D185&amp;$B185&amp;$E185,'24&amp;25'!$B:$B&amp;'24&amp;25'!$A:$A&amp;'24&amp;25'!$C:$C,0)),INDEX('24&amp;25'!$M:$M,MATCH($D185&amp;$B185&amp;$E185,'24&amp;25'!$B:$B&amp;'24&amp;25'!$A:$A&amp;'24&amp;25'!$C:$C,0)))</f>
        <v>26078</v>
      </c>
      <c r="M185">
        <f>L185/VLOOKUP($D185,CPI!$P$16:$R$22,3,FALSE)</f>
        <v>30857.364690042388</v>
      </c>
    </row>
    <row r="186" spans="1:13" ht="16" thickBot="1" x14ac:dyDescent="0.25">
      <c r="A186" s="7">
        <v>2</v>
      </c>
      <c r="B186">
        <f>IF(ISBLANK(G186),"",VLOOKUP(H186,code!B:C,2,FALSE))</f>
        <v>17</v>
      </c>
      <c r="C186">
        <f t="shared" si="4"/>
        <v>1</v>
      </c>
      <c r="D186">
        <v>2019</v>
      </c>
      <c r="E186">
        <v>110635</v>
      </c>
      <c r="F186" t="s">
        <v>72</v>
      </c>
      <c r="G186" t="s">
        <v>285</v>
      </c>
      <c r="H186" t="s">
        <v>25</v>
      </c>
      <c r="I186">
        <v>67715</v>
      </c>
      <c r="J186">
        <f>I186/VLOOKUP($D186,CPI!$P$16:$R$22,3,FALSE)</f>
        <v>80125.256921014661</v>
      </c>
      <c r="K186">
        <f t="shared" si="5"/>
        <v>0</v>
      </c>
      <c r="L186" s="3" cm="1">
        <f t="array" ref="L186">IF($C186=0,INDEX('24&amp;25'!$L:$L,MATCH($D186&amp;$B186&amp;$E186,'24&amp;25'!$B:$B&amp;'24&amp;25'!$A:$A&amp;'24&amp;25'!$C:$C,0)),INDEX('24&amp;25'!$M:$M,MATCH($D186&amp;$B186&amp;$E186,'24&amp;25'!$B:$B&amp;'24&amp;25'!$A:$A&amp;'24&amp;25'!$C:$C,0)))</f>
        <v>0</v>
      </c>
      <c r="M186">
        <f>L186/VLOOKUP($D186,CPI!$P$16:$R$22,3,FALSE)</f>
        <v>0</v>
      </c>
    </row>
    <row r="187" spans="1:13" ht="16" thickBot="1" x14ac:dyDescent="0.25">
      <c r="A187" s="7">
        <v>2</v>
      </c>
      <c r="B187">
        <f>IF(ISBLANK(G187),"",VLOOKUP(H187,code!B:C,2,FALSE))</f>
        <v>18</v>
      </c>
      <c r="C187">
        <f t="shared" si="4"/>
        <v>1</v>
      </c>
      <c r="D187">
        <v>2019</v>
      </c>
      <c r="E187">
        <v>110635</v>
      </c>
      <c r="F187" t="s">
        <v>72</v>
      </c>
      <c r="G187" t="s">
        <v>285</v>
      </c>
      <c r="H187" t="s">
        <v>26</v>
      </c>
      <c r="I187">
        <v>105782</v>
      </c>
      <c r="J187">
        <f>I187/VLOOKUP($D187,CPI!$P$16:$R$22,3,FALSE)</f>
        <v>125168.86845778296</v>
      </c>
      <c r="K187">
        <f t="shared" si="5"/>
        <v>0</v>
      </c>
      <c r="L187" s="3" cm="1">
        <f t="array" ref="L187">IF($C187=0,INDEX('24&amp;25'!$L:$L,MATCH($D187&amp;$B187&amp;$E187,'24&amp;25'!$B:$B&amp;'24&amp;25'!$A:$A&amp;'24&amp;25'!$C:$C,0)),INDEX('24&amp;25'!$M:$M,MATCH($D187&amp;$B187&amp;$E187,'24&amp;25'!$B:$B&amp;'24&amp;25'!$A:$A&amp;'24&amp;25'!$C:$C,0)))</f>
        <v>231</v>
      </c>
      <c r="M187">
        <f>L187/VLOOKUP($D187,CPI!$P$16:$R$22,3,FALSE)</f>
        <v>273.33580962496325</v>
      </c>
    </row>
    <row r="188" spans="1:13" ht="16" thickBot="1" x14ac:dyDescent="0.25">
      <c r="A188" s="7">
        <v>2</v>
      </c>
      <c r="B188">
        <f>IF(ISBLANK(G188),"",VLOOKUP(H188,code!B:C,2,FALSE))</f>
        <v>19</v>
      </c>
      <c r="C188">
        <f t="shared" si="4"/>
        <v>1</v>
      </c>
      <c r="D188">
        <v>2019</v>
      </c>
      <c r="E188">
        <v>110635</v>
      </c>
      <c r="F188" t="s">
        <v>72</v>
      </c>
      <c r="G188" t="s">
        <v>285</v>
      </c>
      <c r="H188" t="s">
        <v>27</v>
      </c>
      <c r="I188">
        <v>3674</v>
      </c>
      <c r="J188">
        <f>I188/VLOOKUP($D188,CPI!$P$16:$R$22,3,FALSE)</f>
        <v>4347.3409721303678</v>
      </c>
      <c r="K188">
        <f t="shared" si="5"/>
        <v>0</v>
      </c>
      <c r="L188" s="3" cm="1">
        <f t="array" ref="L188">IF($C188=0,INDEX('24&amp;25'!$L:$L,MATCH($D188&amp;$B188&amp;$E188,'24&amp;25'!$B:$B&amp;'24&amp;25'!$A:$A&amp;'24&amp;25'!$C:$C,0)),INDEX('24&amp;25'!$M:$M,MATCH($D188&amp;$B188&amp;$E188,'24&amp;25'!$B:$B&amp;'24&amp;25'!$A:$A&amp;'24&amp;25'!$C:$C,0)))</f>
        <v>0</v>
      </c>
      <c r="M188">
        <f>L188/VLOOKUP($D188,CPI!$P$16:$R$22,3,FALSE)</f>
        <v>0</v>
      </c>
    </row>
    <row r="189" spans="1:13" ht="16" thickBot="1" x14ac:dyDescent="0.25">
      <c r="A189" s="7">
        <v>2</v>
      </c>
      <c r="B189">
        <f>IF(ISBLANK(G189),"",VLOOKUP(H189,code!B:C,2,FALSE))</f>
        <v>20</v>
      </c>
      <c r="C189">
        <f t="shared" si="4"/>
        <v>1</v>
      </c>
      <c r="D189">
        <v>2019</v>
      </c>
      <c r="E189">
        <v>110635</v>
      </c>
      <c r="F189" t="s">
        <v>72</v>
      </c>
      <c r="G189" t="s">
        <v>285</v>
      </c>
      <c r="H189" t="s">
        <v>28</v>
      </c>
      <c r="I189">
        <v>64219</v>
      </c>
      <c r="J189">
        <f>I189/VLOOKUP($D189,CPI!$P$16:$R$22,3,FALSE)</f>
        <v>75988.538347642912</v>
      </c>
      <c r="K189">
        <f t="shared" si="5"/>
        <v>0</v>
      </c>
      <c r="L189" s="3" cm="1">
        <f t="array" ref="L189">IF($C189=0,INDEX('24&amp;25'!$L:$L,MATCH($D189&amp;$B189&amp;$E189,'24&amp;25'!$B:$B&amp;'24&amp;25'!$A:$A&amp;'24&amp;25'!$C:$C,0)),INDEX('24&amp;25'!$M:$M,MATCH($D189&amp;$B189&amp;$E189,'24&amp;25'!$B:$B&amp;'24&amp;25'!$A:$A&amp;'24&amp;25'!$C:$C,0)))</f>
        <v>3066</v>
      </c>
      <c r="M189">
        <f>L189/VLOOKUP($D189,CPI!$P$16:$R$22,3,FALSE)</f>
        <v>3627.9116550222393</v>
      </c>
    </row>
    <row r="190" spans="1:13" ht="16" thickBot="1" x14ac:dyDescent="0.25">
      <c r="A190" s="7">
        <v>2</v>
      </c>
      <c r="B190">
        <f>IF(ISBLANK(G190),"",VLOOKUP(H190,code!B:C,2,FALSE))</f>
        <v>21</v>
      </c>
      <c r="C190">
        <f t="shared" si="4"/>
        <v>1</v>
      </c>
      <c r="D190">
        <v>2019</v>
      </c>
      <c r="E190">
        <v>110635</v>
      </c>
      <c r="F190" t="s">
        <v>72</v>
      </c>
      <c r="G190" t="s">
        <v>285</v>
      </c>
      <c r="H190" t="s">
        <v>30</v>
      </c>
      <c r="I190">
        <v>96654</v>
      </c>
      <c r="J190">
        <f>I190/VLOOKUP($D190,CPI!$P$16:$R$22,3,FALSE)</f>
        <v>114367.96252593592</v>
      </c>
      <c r="K190">
        <f t="shared" si="5"/>
        <v>0</v>
      </c>
      <c r="L190" s="3" cm="1">
        <f t="array" ref="L190">IF($C190=0,INDEX('24&amp;25'!$L:$L,MATCH($D190&amp;$B190&amp;$E190,'24&amp;25'!$B:$B&amp;'24&amp;25'!$A:$A&amp;'24&amp;25'!$C:$C,0)),INDEX('24&amp;25'!$M:$M,MATCH($D190&amp;$B190&amp;$E190,'24&amp;25'!$B:$B&amp;'24&amp;25'!$A:$A&amp;'24&amp;25'!$C:$C,0)))</f>
        <v>1226</v>
      </c>
      <c r="M190">
        <f>L190/VLOOKUP($D190,CPI!$P$16:$R$22,3,FALSE)</f>
        <v>1450.6913532476403</v>
      </c>
    </row>
    <row r="191" spans="1:13" ht="16" thickBot="1" x14ac:dyDescent="0.25">
      <c r="A191" s="7">
        <v>2</v>
      </c>
      <c r="B191">
        <f>IF(ISBLANK(G191),"",VLOOKUP(H191,code!B:C,2,FALSE))</f>
        <v>23</v>
      </c>
      <c r="C191">
        <f t="shared" si="4"/>
        <v>1</v>
      </c>
      <c r="D191">
        <v>2019</v>
      </c>
      <c r="E191">
        <v>110635</v>
      </c>
      <c r="F191" t="s">
        <v>72</v>
      </c>
      <c r="G191" t="s">
        <v>285</v>
      </c>
      <c r="H191" t="s">
        <v>33</v>
      </c>
      <c r="I191">
        <v>108262</v>
      </c>
      <c r="J191">
        <f>I191/VLOOKUP($D191,CPI!$P$16:$R$22,3,FALSE)</f>
        <v>128103.3827775661</v>
      </c>
      <c r="K191">
        <f t="shared" si="5"/>
        <v>0</v>
      </c>
      <c r="L191" s="3" cm="1">
        <f t="array" ref="L191">IF($C191=0,INDEX('24&amp;25'!$L:$L,MATCH($D191&amp;$B191&amp;$E191,'24&amp;25'!$B:$B&amp;'24&amp;25'!$A:$A&amp;'24&amp;25'!$C:$C,0)),INDEX('24&amp;25'!$M:$M,MATCH($D191&amp;$B191&amp;$E191,'24&amp;25'!$B:$B&amp;'24&amp;25'!$A:$A&amp;'24&amp;25'!$C:$C,0)))</f>
        <v>94801</v>
      </c>
      <c r="M191">
        <f>L191/VLOOKUP($D191,CPI!$P$16:$R$22,3,FALSE)</f>
        <v>112175.35968942053</v>
      </c>
    </row>
    <row r="192" spans="1:13" ht="16" thickBot="1" x14ac:dyDescent="0.25">
      <c r="A192" s="7">
        <v>2</v>
      </c>
      <c r="B192">
        <f>IF(ISBLANK(G192),"",VLOOKUP(H192,code!B:C,2,FALSE))</f>
        <v>24</v>
      </c>
      <c r="C192">
        <f t="shared" si="4"/>
        <v>1</v>
      </c>
      <c r="D192">
        <v>2019</v>
      </c>
      <c r="E192">
        <v>110635</v>
      </c>
      <c r="F192" t="s">
        <v>72</v>
      </c>
      <c r="G192" t="s">
        <v>285</v>
      </c>
      <c r="H192" t="s">
        <v>34</v>
      </c>
      <c r="I192">
        <v>7000</v>
      </c>
      <c r="J192">
        <f>I192/VLOOKUP($D192,CPI!$P$16:$R$22,3,FALSE)</f>
        <v>8282.9033219685825</v>
      </c>
      <c r="K192">
        <f t="shared" si="5"/>
        <v>0</v>
      </c>
      <c r="L192" s="3" cm="1">
        <f t="array" ref="L192">IF($C192=0,INDEX('24&amp;25'!$L:$L,MATCH($D192&amp;$B192&amp;$E192,'24&amp;25'!$B:$B&amp;'24&amp;25'!$A:$A&amp;'24&amp;25'!$C:$C,0)),INDEX('24&amp;25'!$M:$M,MATCH($D192&amp;$B192&amp;$E192,'24&amp;25'!$B:$B&amp;'24&amp;25'!$A:$A&amp;'24&amp;25'!$C:$C,0)))</f>
        <v>569</v>
      </c>
      <c r="M192">
        <f>L192/VLOOKUP($D192,CPI!$P$16:$R$22,3,FALSE)</f>
        <v>673.28171288573196</v>
      </c>
    </row>
    <row r="193" spans="1:13" ht="16" thickBot="1" x14ac:dyDescent="0.25">
      <c r="A193" s="7">
        <v>2</v>
      </c>
      <c r="B193">
        <f>IF(ISBLANK(G193),"",VLOOKUP(H193,code!B:C,2,FALSE))</f>
        <v>1</v>
      </c>
      <c r="C193">
        <f t="shared" si="4"/>
        <v>0</v>
      </c>
      <c r="D193">
        <v>2020</v>
      </c>
      <c r="E193">
        <v>110635</v>
      </c>
      <c r="F193" t="s">
        <v>72</v>
      </c>
      <c r="G193" t="s">
        <v>284</v>
      </c>
      <c r="H193" t="s">
        <v>9</v>
      </c>
      <c r="I193">
        <v>608687</v>
      </c>
      <c r="J193">
        <f>I193/VLOOKUP($D193,CPI!$P$16:$R$22,3,FALSE)</f>
        <v>709150.05224312877</v>
      </c>
      <c r="K193">
        <f t="shared" si="5"/>
        <v>0</v>
      </c>
      <c r="L193" s="3" cm="1">
        <f t="array" ref="L193">IF($C193=0,INDEX('24&amp;25'!$L:$L,MATCH($D193&amp;$B193&amp;$E193,'24&amp;25'!$B:$B&amp;'24&amp;25'!$A:$A&amp;'24&amp;25'!$C:$C,0)),INDEX('24&amp;25'!$M:$M,MATCH($D193&amp;$B193&amp;$E193,'24&amp;25'!$B:$B&amp;'24&amp;25'!$A:$A&amp;'24&amp;25'!$C:$C,0)))</f>
        <v>0</v>
      </c>
      <c r="M193">
        <f>L193/VLOOKUP($D193,CPI!$P$16:$R$22,3,FALSE)</f>
        <v>0</v>
      </c>
    </row>
    <row r="194" spans="1:13" ht="16" thickBot="1" x14ac:dyDescent="0.25">
      <c r="A194" s="7">
        <v>2</v>
      </c>
      <c r="B194">
        <f>IF(ISBLANK(G194),"",VLOOKUP(H194,code!B:C,2,FALSE))</f>
        <v>2</v>
      </c>
      <c r="C194">
        <f t="shared" si="4"/>
        <v>0</v>
      </c>
      <c r="D194">
        <v>2020</v>
      </c>
      <c r="E194">
        <v>110635</v>
      </c>
      <c r="F194" t="s">
        <v>72</v>
      </c>
      <c r="G194" t="s">
        <v>284</v>
      </c>
      <c r="H194" t="s">
        <v>10</v>
      </c>
      <c r="I194">
        <v>2003270</v>
      </c>
      <c r="J194">
        <f>I194/VLOOKUP($D194,CPI!$P$16:$R$22,3,FALSE)</f>
        <v>2333907.2875830969</v>
      </c>
      <c r="K194">
        <f t="shared" si="5"/>
        <v>0</v>
      </c>
      <c r="L194" s="3" cm="1">
        <f t="array" ref="L194">IF($C194=0,INDEX('24&amp;25'!$L:$L,MATCH($D194&amp;$B194&amp;$E194,'24&amp;25'!$B:$B&amp;'24&amp;25'!$A:$A&amp;'24&amp;25'!$C:$C,0)),INDEX('24&amp;25'!$M:$M,MATCH($D194&amp;$B194&amp;$E194,'24&amp;25'!$B:$B&amp;'24&amp;25'!$A:$A&amp;'24&amp;25'!$C:$C,0)))</f>
        <v>482062</v>
      </c>
      <c r="M194">
        <f>L194/VLOOKUP($D194,CPI!$P$16:$R$22,3,FALSE)</f>
        <v>561625.74933328154</v>
      </c>
    </row>
    <row r="195" spans="1:13" ht="16" thickBot="1" x14ac:dyDescent="0.25">
      <c r="A195" s="7">
        <v>2</v>
      </c>
      <c r="B195">
        <f>IF(ISBLANK(G195),"",VLOOKUP(H195,code!B:C,2,FALSE))</f>
        <v>8</v>
      </c>
      <c r="C195">
        <f t="shared" ref="C195:C258" si="6">IF(ISBLANK(G195),"",IF(MID(G195,1,1)="M",0,1))</f>
        <v>0</v>
      </c>
      <c r="D195">
        <v>2020</v>
      </c>
      <c r="E195">
        <v>110635</v>
      </c>
      <c r="F195" t="s">
        <v>72</v>
      </c>
      <c r="G195" t="s">
        <v>284</v>
      </c>
      <c r="H195" t="s">
        <v>16</v>
      </c>
      <c r="I195">
        <v>9071073</v>
      </c>
      <c r="J195">
        <f>I195/VLOOKUP($D195,CPI!$P$16:$R$22,3,FALSE)</f>
        <v>10568242.613775611</v>
      </c>
      <c r="K195">
        <f t="shared" ref="K195:K258" si="7">IF(ISBLANK(G195),"",IF(D195=2021,1,0))</f>
        <v>0</v>
      </c>
      <c r="L195" s="3" cm="1">
        <f t="array" ref="L195">IF($C195=0,INDEX('24&amp;25'!$L:$L,MATCH($D195&amp;$B195&amp;$E195,'24&amp;25'!$B:$B&amp;'24&amp;25'!$A:$A&amp;'24&amp;25'!$C:$C,0)),INDEX('24&amp;25'!$M:$M,MATCH($D195&amp;$B195&amp;$E195,'24&amp;25'!$B:$B&amp;'24&amp;25'!$A:$A&amp;'24&amp;25'!$C:$C,0)))</f>
        <v>2043179</v>
      </c>
      <c r="M195">
        <f>L195/VLOOKUP($D195,CPI!$P$16:$R$22,3,FALSE)</f>
        <v>2380403.2197041558</v>
      </c>
    </row>
    <row r="196" spans="1:13" ht="16" thickBot="1" x14ac:dyDescent="0.25">
      <c r="A196" s="7">
        <v>2</v>
      </c>
      <c r="B196">
        <f>IF(ISBLANK(G196),"",VLOOKUP(H196,code!B:C,2,FALSE))</f>
        <v>9</v>
      </c>
      <c r="C196">
        <f t="shared" si="6"/>
        <v>0</v>
      </c>
      <c r="D196">
        <v>2020</v>
      </c>
      <c r="E196">
        <v>110635</v>
      </c>
      <c r="F196" t="s">
        <v>72</v>
      </c>
      <c r="G196" t="s">
        <v>284</v>
      </c>
      <c r="H196" t="s">
        <v>17</v>
      </c>
      <c r="I196">
        <v>227270</v>
      </c>
      <c r="J196">
        <f>I196/VLOOKUP($D196,CPI!$P$16:$R$22,3,FALSE)</f>
        <v>264780.63828091591</v>
      </c>
      <c r="K196">
        <f t="shared" si="7"/>
        <v>0</v>
      </c>
      <c r="L196" s="3" cm="1">
        <f t="array" ref="L196">IF($C196=0,INDEX('24&amp;25'!$L:$L,MATCH($D196&amp;$B196&amp;$E196,'24&amp;25'!$B:$B&amp;'24&amp;25'!$A:$A&amp;'24&amp;25'!$C:$C,0)),INDEX('24&amp;25'!$M:$M,MATCH($D196&amp;$B196&amp;$E196,'24&amp;25'!$B:$B&amp;'24&amp;25'!$A:$A&amp;'24&amp;25'!$C:$C,0)))</f>
        <v>0</v>
      </c>
      <c r="M196">
        <f>L196/VLOOKUP($D196,CPI!$P$16:$R$22,3,FALSE)</f>
        <v>0</v>
      </c>
    </row>
    <row r="197" spans="1:13" ht="16" thickBot="1" x14ac:dyDescent="0.25">
      <c r="A197" s="7">
        <v>2</v>
      </c>
      <c r="B197">
        <f>IF(ISBLANK(G197),"",VLOOKUP(H197,code!B:C,2,FALSE))</f>
        <v>10</v>
      </c>
      <c r="C197">
        <f t="shared" si="6"/>
        <v>0</v>
      </c>
      <c r="D197">
        <v>2020</v>
      </c>
      <c r="E197">
        <v>110635</v>
      </c>
      <c r="F197" t="s">
        <v>72</v>
      </c>
      <c r="G197" t="s">
        <v>284</v>
      </c>
      <c r="H197" t="s">
        <v>18</v>
      </c>
      <c r="I197">
        <v>186228</v>
      </c>
      <c r="J197">
        <f>I197/VLOOKUP($D197,CPI!$P$16:$R$22,3,FALSE)</f>
        <v>216964.70588189558</v>
      </c>
      <c r="K197">
        <f t="shared" si="7"/>
        <v>0</v>
      </c>
      <c r="L197" s="3" cm="1">
        <f t="array" ref="L197">IF($C197=0,INDEX('24&amp;25'!$L:$L,MATCH($D197&amp;$B197&amp;$E197,'24&amp;25'!$B:$B&amp;'24&amp;25'!$A:$A&amp;'24&amp;25'!$C:$C,0)),INDEX('24&amp;25'!$M:$M,MATCH($D197&amp;$B197&amp;$E197,'24&amp;25'!$B:$B&amp;'24&amp;25'!$A:$A&amp;'24&amp;25'!$C:$C,0)))</f>
        <v>0</v>
      </c>
      <c r="M197">
        <f>L197/VLOOKUP($D197,CPI!$P$16:$R$22,3,FALSE)</f>
        <v>0</v>
      </c>
    </row>
    <row r="198" spans="1:13" ht="16" thickBot="1" x14ac:dyDescent="0.25">
      <c r="A198" s="7">
        <v>2</v>
      </c>
      <c r="B198">
        <f>IF(ISBLANK(G198),"",VLOOKUP(H198,code!B:C,2,FALSE))</f>
        <v>17</v>
      </c>
      <c r="C198">
        <f t="shared" si="6"/>
        <v>0</v>
      </c>
      <c r="D198">
        <v>2020</v>
      </c>
      <c r="E198">
        <v>110635</v>
      </c>
      <c r="F198" t="s">
        <v>72</v>
      </c>
      <c r="G198" t="s">
        <v>284</v>
      </c>
      <c r="H198" t="s">
        <v>25</v>
      </c>
      <c r="I198">
        <v>253475</v>
      </c>
      <c r="J198">
        <f>I198/VLOOKUP($D198,CPI!$P$16:$R$22,3,FALSE)</f>
        <v>295310.74179722427</v>
      </c>
      <c r="K198">
        <f t="shared" si="7"/>
        <v>0</v>
      </c>
      <c r="L198" s="3" cm="1">
        <f t="array" ref="L198">IF($C198=0,INDEX('24&amp;25'!$L:$L,MATCH($D198&amp;$B198&amp;$E198,'24&amp;25'!$B:$B&amp;'24&amp;25'!$A:$A&amp;'24&amp;25'!$C:$C,0)),INDEX('24&amp;25'!$M:$M,MATCH($D198&amp;$B198&amp;$E198,'24&amp;25'!$B:$B&amp;'24&amp;25'!$A:$A&amp;'24&amp;25'!$C:$C,0)))</f>
        <v>2490</v>
      </c>
      <c r="M198">
        <f>L198/VLOOKUP($D198,CPI!$P$16:$R$22,3,FALSE)</f>
        <v>2900.9714846635311</v>
      </c>
    </row>
    <row r="199" spans="1:13" ht="16" thickBot="1" x14ac:dyDescent="0.25">
      <c r="A199" s="7">
        <v>2</v>
      </c>
      <c r="B199">
        <f>IF(ISBLANK(G199),"",VLOOKUP(H199,code!B:C,2,FALSE))</f>
        <v>19</v>
      </c>
      <c r="C199">
        <f t="shared" si="6"/>
        <v>0</v>
      </c>
      <c r="D199">
        <v>2020</v>
      </c>
      <c r="E199">
        <v>110635</v>
      </c>
      <c r="F199" t="s">
        <v>72</v>
      </c>
      <c r="G199" t="s">
        <v>284</v>
      </c>
      <c r="H199" t="s">
        <v>27</v>
      </c>
      <c r="I199">
        <v>340083</v>
      </c>
      <c r="J199">
        <f>I199/VLOOKUP($D199,CPI!$P$16:$R$22,3,FALSE)</f>
        <v>396213.28731679823</v>
      </c>
      <c r="K199">
        <f t="shared" si="7"/>
        <v>0</v>
      </c>
      <c r="L199" s="3" cm="1">
        <f t="array" ref="L199">IF($C199=0,INDEX('24&amp;25'!$L:$L,MATCH($D199&amp;$B199&amp;$E199,'24&amp;25'!$B:$B&amp;'24&amp;25'!$A:$A&amp;'24&amp;25'!$C:$C,0)),INDEX('24&amp;25'!$M:$M,MATCH($D199&amp;$B199&amp;$E199,'24&amp;25'!$B:$B&amp;'24&amp;25'!$A:$A&amp;'24&amp;25'!$C:$C,0)))</f>
        <v>14213</v>
      </c>
      <c r="M199">
        <f>L199/VLOOKUP($D199,CPI!$P$16:$R$22,3,FALSE)</f>
        <v>16558.838438362556</v>
      </c>
    </row>
    <row r="200" spans="1:13" ht="16" thickBot="1" x14ac:dyDescent="0.25">
      <c r="A200" s="7">
        <v>2</v>
      </c>
      <c r="B200">
        <f>IF(ISBLANK(G200),"",VLOOKUP(H200,code!B:C,2,FALSE))</f>
        <v>20</v>
      </c>
      <c r="C200">
        <f t="shared" si="6"/>
        <v>0</v>
      </c>
      <c r="D200">
        <v>2020</v>
      </c>
      <c r="E200">
        <v>110635</v>
      </c>
      <c r="F200" t="s">
        <v>72</v>
      </c>
      <c r="G200" t="s">
        <v>284</v>
      </c>
      <c r="H200" t="s">
        <v>28</v>
      </c>
      <c r="I200">
        <v>548755</v>
      </c>
      <c r="J200">
        <f>I200/VLOOKUP($D200,CPI!$P$16:$R$22,3,FALSE)</f>
        <v>639326.34821949236</v>
      </c>
      <c r="K200">
        <f t="shared" si="7"/>
        <v>0</v>
      </c>
      <c r="L200" s="3" cm="1">
        <f t="array" ref="L200">IF($C200=0,INDEX('24&amp;25'!$L:$L,MATCH($D200&amp;$B200&amp;$E200,'24&amp;25'!$B:$B&amp;'24&amp;25'!$A:$A&amp;'24&amp;25'!$C:$C,0)),INDEX('24&amp;25'!$M:$M,MATCH($D200&amp;$B200&amp;$E200,'24&amp;25'!$B:$B&amp;'24&amp;25'!$A:$A&amp;'24&amp;25'!$C:$C,0)))</f>
        <v>3879</v>
      </c>
      <c r="M200">
        <f>L200/VLOOKUP($D200,CPI!$P$16:$R$22,3,FALSE)</f>
        <v>4519.2242526143918</v>
      </c>
    </row>
    <row r="201" spans="1:13" ht="16" thickBot="1" x14ac:dyDescent="0.25">
      <c r="A201" s="7">
        <v>2</v>
      </c>
      <c r="B201">
        <f>IF(ISBLANK(G201),"",VLOOKUP(H201,code!B:C,2,FALSE))</f>
        <v>21</v>
      </c>
      <c r="C201">
        <f t="shared" si="6"/>
        <v>0</v>
      </c>
      <c r="D201">
        <v>2020</v>
      </c>
      <c r="E201">
        <v>110635</v>
      </c>
      <c r="F201" t="s">
        <v>72</v>
      </c>
      <c r="G201" t="s">
        <v>284</v>
      </c>
      <c r="H201" t="s">
        <v>30</v>
      </c>
      <c r="I201">
        <v>92161</v>
      </c>
      <c r="J201">
        <f>I201/VLOOKUP($D201,CPI!$P$16:$R$22,3,FALSE)</f>
        <v>107372.0614450103</v>
      </c>
      <c r="K201">
        <f t="shared" si="7"/>
        <v>0</v>
      </c>
      <c r="L201" s="3" cm="1">
        <f t="array" ref="L201">IF($C201=0,INDEX('24&amp;25'!$L:$L,MATCH($D201&amp;$B201&amp;$E201,'24&amp;25'!$B:$B&amp;'24&amp;25'!$A:$A&amp;'24&amp;25'!$C:$C,0)),INDEX('24&amp;25'!$M:$M,MATCH($D201&amp;$B201&amp;$E201,'24&amp;25'!$B:$B&amp;'24&amp;25'!$A:$A&amp;'24&amp;25'!$C:$C,0)))</f>
        <v>375</v>
      </c>
      <c r="M201">
        <f>L201/VLOOKUP($D201,CPI!$P$16:$R$22,3,FALSE)</f>
        <v>436.89329588306185</v>
      </c>
    </row>
    <row r="202" spans="1:13" ht="16" thickBot="1" x14ac:dyDescent="0.25">
      <c r="A202" s="7">
        <v>2</v>
      </c>
      <c r="B202">
        <f>IF(ISBLANK(G202),"",VLOOKUP(H202,code!B:C,2,FALSE))</f>
        <v>24</v>
      </c>
      <c r="C202">
        <f t="shared" si="6"/>
        <v>0</v>
      </c>
      <c r="D202">
        <v>2020</v>
      </c>
      <c r="E202">
        <v>110635</v>
      </c>
      <c r="F202" t="s">
        <v>72</v>
      </c>
      <c r="G202" t="s">
        <v>284</v>
      </c>
      <c r="H202" t="s">
        <v>34</v>
      </c>
      <c r="I202">
        <v>29063</v>
      </c>
      <c r="J202">
        <f>I202/VLOOKUP($D202,CPI!$P$16:$R$22,3,FALSE)</f>
        <v>33859.812955331807</v>
      </c>
      <c r="K202">
        <f t="shared" si="7"/>
        <v>0</v>
      </c>
      <c r="L202" s="3" cm="1">
        <f t="array" ref="L202">IF($C202=0,INDEX('24&amp;25'!$L:$L,MATCH($D202&amp;$B202&amp;$E202,'24&amp;25'!$B:$B&amp;'24&amp;25'!$A:$A&amp;'24&amp;25'!$C:$C,0)),INDEX('24&amp;25'!$M:$M,MATCH($D202&amp;$B202&amp;$E202,'24&amp;25'!$B:$B&amp;'24&amp;25'!$A:$A&amp;'24&amp;25'!$C:$C,0)))</f>
        <v>0</v>
      </c>
      <c r="M202">
        <f>L202/VLOOKUP($D202,CPI!$P$16:$R$22,3,FALSE)</f>
        <v>0</v>
      </c>
    </row>
    <row r="203" spans="1:13" ht="16" thickBot="1" x14ac:dyDescent="0.25">
      <c r="A203" s="7">
        <v>2</v>
      </c>
      <c r="B203">
        <f>IF(ISBLANK(G203),"",VLOOKUP(H203,code!B:C,2,FALSE))</f>
        <v>2</v>
      </c>
      <c r="C203">
        <f t="shared" si="6"/>
        <v>1</v>
      </c>
      <c r="D203">
        <v>2020</v>
      </c>
      <c r="E203">
        <v>110635</v>
      </c>
      <c r="F203" t="s">
        <v>72</v>
      </c>
      <c r="G203" t="s">
        <v>285</v>
      </c>
      <c r="H203" t="s">
        <v>10</v>
      </c>
      <c r="I203">
        <v>378949</v>
      </c>
      <c r="J203">
        <f>I203/VLOOKUP($D203,CPI!$P$16:$R$22,3,FALSE)</f>
        <v>441494.07355090778</v>
      </c>
      <c r="K203">
        <f t="shared" si="7"/>
        <v>0</v>
      </c>
      <c r="L203" s="3" cm="1">
        <f t="array" ref="L203">IF($C203=0,INDEX('24&amp;25'!$L:$L,MATCH($D203&amp;$B203&amp;$E203,'24&amp;25'!$B:$B&amp;'24&amp;25'!$A:$A&amp;'24&amp;25'!$C:$C,0)),INDEX('24&amp;25'!$M:$M,MATCH($D203&amp;$B203&amp;$E203,'24&amp;25'!$B:$B&amp;'24&amp;25'!$A:$A&amp;'24&amp;25'!$C:$C,0)))</f>
        <v>300721</v>
      </c>
      <c r="M203">
        <f>L203/VLOOKUP($D203,CPI!$P$16:$R$22,3,FALSE)</f>
        <v>350354.63688333402</v>
      </c>
    </row>
    <row r="204" spans="1:13" ht="16" thickBot="1" x14ac:dyDescent="0.25">
      <c r="A204" s="7">
        <v>2</v>
      </c>
      <c r="B204">
        <f>IF(ISBLANK(G204),"",VLOOKUP(H204,code!B:C,2,FALSE))</f>
        <v>3</v>
      </c>
      <c r="C204">
        <f t="shared" si="6"/>
        <v>1</v>
      </c>
      <c r="D204">
        <v>2020</v>
      </c>
      <c r="E204">
        <v>110635</v>
      </c>
      <c r="F204" t="s">
        <v>72</v>
      </c>
      <c r="G204" t="s">
        <v>285</v>
      </c>
      <c r="H204" t="s">
        <v>11</v>
      </c>
      <c r="I204">
        <v>17115</v>
      </c>
      <c r="J204">
        <f>I204/VLOOKUP($D204,CPI!$P$16:$R$22,3,FALSE)</f>
        <v>19939.810024102942</v>
      </c>
      <c r="K204">
        <f t="shared" si="7"/>
        <v>0</v>
      </c>
      <c r="L204" s="3" cm="1">
        <f t="array" ref="L204">IF($C204=0,INDEX('24&amp;25'!$L:$L,MATCH($D204&amp;$B204&amp;$E204,'24&amp;25'!$B:$B&amp;'24&amp;25'!$A:$A&amp;'24&amp;25'!$C:$C,0)),INDEX('24&amp;25'!$M:$M,MATCH($D204&amp;$B204&amp;$E204,'24&amp;25'!$B:$B&amp;'24&amp;25'!$A:$A&amp;'24&amp;25'!$C:$C,0)))</f>
        <v>0</v>
      </c>
      <c r="M204">
        <f>L204/VLOOKUP($D204,CPI!$P$16:$R$22,3,FALSE)</f>
        <v>0</v>
      </c>
    </row>
    <row r="205" spans="1:13" ht="16" thickBot="1" x14ac:dyDescent="0.25">
      <c r="A205" s="7">
        <v>2</v>
      </c>
      <c r="B205">
        <f>IF(ISBLANK(G205),"",VLOOKUP(H205,code!B:C,2,FALSE))</f>
        <v>7</v>
      </c>
      <c r="C205">
        <f t="shared" si="6"/>
        <v>1</v>
      </c>
      <c r="D205">
        <v>2020</v>
      </c>
      <c r="E205">
        <v>110635</v>
      </c>
      <c r="F205" t="s">
        <v>72</v>
      </c>
      <c r="G205" t="s">
        <v>285</v>
      </c>
      <c r="H205" t="s">
        <v>15</v>
      </c>
      <c r="I205">
        <v>102122</v>
      </c>
      <c r="J205">
        <f>I205/VLOOKUP($D205,CPI!$P$16:$R$22,3,FALSE)</f>
        <v>118977.11243245345</v>
      </c>
      <c r="K205">
        <f t="shared" si="7"/>
        <v>0</v>
      </c>
      <c r="L205" s="3" cm="1">
        <f t="array" ref="L205">IF($C205=0,INDEX('24&amp;25'!$L:$L,MATCH($D205&amp;$B205&amp;$E205,'24&amp;25'!$B:$B&amp;'24&amp;25'!$A:$A&amp;'24&amp;25'!$C:$C,0)),INDEX('24&amp;25'!$M:$M,MATCH($D205&amp;$B205&amp;$E205,'24&amp;25'!$B:$B&amp;'24&amp;25'!$A:$A&amp;'24&amp;25'!$C:$C,0)))</f>
        <v>0</v>
      </c>
      <c r="M205">
        <f>L205/VLOOKUP($D205,CPI!$P$16:$R$22,3,FALSE)</f>
        <v>0</v>
      </c>
    </row>
    <row r="206" spans="1:13" ht="16" thickBot="1" x14ac:dyDescent="0.25">
      <c r="A206" s="7">
        <v>2</v>
      </c>
      <c r="B206">
        <f>IF(ISBLANK(G206),"",VLOOKUP(H206,code!B:C,2,FALSE))</f>
        <v>9</v>
      </c>
      <c r="C206">
        <f t="shared" si="6"/>
        <v>1</v>
      </c>
      <c r="D206">
        <v>2020</v>
      </c>
      <c r="E206">
        <v>110635</v>
      </c>
      <c r="F206" t="s">
        <v>72</v>
      </c>
      <c r="G206" t="s">
        <v>285</v>
      </c>
      <c r="H206" t="s">
        <v>17</v>
      </c>
      <c r="I206">
        <v>76946</v>
      </c>
      <c r="J206">
        <f>I206/VLOOKUP($D206,CPI!$P$16:$R$22,3,FALSE)</f>
        <v>89645.844120048205</v>
      </c>
      <c r="K206">
        <f t="shared" si="7"/>
        <v>0</v>
      </c>
      <c r="L206" s="3" cm="1">
        <f t="array" ref="L206">IF($C206=0,INDEX('24&amp;25'!$L:$L,MATCH($D206&amp;$B206&amp;$E206,'24&amp;25'!$B:$B&amp;'24&amp;25'!$A:$A&amp;'24&amp;25'!$C:$C,0)),INDEX('24&amp;25'!$M:$M,MATCH($D206&amp;$B206&amp;$E206,'24&amp;25'!$B:$B&amp;'24&amp;25'!$A:$A&amp;'24&amp;25'!$C:$C,0)))</f>
        <v>0</v>
      </c>
      <c r="M206">
        <f>L206/VLOOKUP($D206,CPI!$P$16:$R$22,3,FALSE)</f>
        <v>0</v>
      </c>
    </row>
    <row r="207" spans="1:13" ht="16" thickBot="1" x14ac:dyDescent="0.25">
      <c r="A207" s="7">
        <v>2</v>
      </c>
      <c r="B207">
        <f>IF(ISBLANK(G207),"",VLOOKUP(H207,code!B:C,2,FALSE))</f>
        <v>10</v>
      </c>
      <c r="C207">
        <f t="shared" si="6"/>
        <v>1</v>
      </c>
      <c r="D207">
        <v>2020</v>
      </c>
      <c r="E207">
        <v>110635</v>
      </c>
      <c r="F207" t="s">
        <v>72</v>
      </c>
      <c r="G207" t="s">
        <v>285</v>
      </c>
      <c r="H207" t="s">
        <v>18</v>
      </c>
      <c r="I207">
        <v>145082</v>
      </c>
      <c r="J207">
        <f>I207/VLOOKUP($D207,CPI!$P$16:$R$22,3,FALSE)</f>
        <v>169027.60840881703</v>
      </c>
      <c r="K207">
        <f t="shared" si="7"/>
        <v>0</v>
      </c>
      <c r="L207" s="3" cm="1">
        <f t="array" ref="L207">IF($C207=0,INDEX('24&amp;25'!$L:$L,MATCH($D207&amp;$B207&amp;$E207,'24&amp;25'!$B:$B&amp;'24&amp;25'!$A:$A&amp;'24&amp;25'!$C:$C,0)),INDEX('24&amp;25'!$M:$M,MATCH($D207&amp;$B207&amp;$E207,'24&amp;25'!$B:$B&amp;'24&amp;25'!$A:$A&amp;'24&amp;25'!$C:$C,0)))</f>
        <v>938</v>
      </c>
      <c r="M207">
        <f>L207/VLOOKUP($D207,CPI!$P$16:$R$22,3,FALSE)</f>
        <v>1092.8157641021655</v>
      </c>
    </row>
    <row r="208" spans="1:13" ht="16" thickBot="1" x14ac:dyDescent="0.25">
      <c r="A208" s="7">
        <v>2</v>
      </c>
      <c r="B208">
        <f>IF(ISBLANK(G208),"",VLOOKUP(H208,code!B:C,2,FALSE))</f>
        <v>12</v>
      </c>
      <c r="C208">
        <f t="shared" si="6"/>
        <v>1</v>
      </c>
      <c r="D208">
        <v>2020</v>
      </c>
      <c r="E208">
        <v>110635</v>
      </c>
      <c r="F208" t="s">
        <v>72</v>
      </c>
      <c r="G208" t="s">
        <v>285</v>
      </c>
      <c r="H208" t="s">
        <v>20</v>
      </c>
      <c r="I208">
        <v>115728</v>
      </c>
      <c r="J208">
        <f>I208/VLOOKUP($D208,CPI!$P$16:$R$22,3,FALSE)</f>
        <v>134828.76625587995</v>
      </c>
      <c r="K208">
        <f t="shared" si="7"/>
        <v>0</v>
      </c>
      <c r="L208" s="3" cm="1">
        <f t="array" ref="L208">IF($C208=0,INDEX('24&amp;25'!$L:$L,MATCH($D208&amp;$B208&amp;$E208,'24&amp;25'!$B:$B&amp;'24&amp;25'!$A:$A&amp;'24&amp;25'!$C:$C,0)),INDEX('24&amp;25'!$M:$M,MATCH($D208&amp;$B208&amp;$E208,'24&amp;25'!$B:$B&amp;'24&amp;25'!$A:$A&amp;'24&amp;25'!$C:$C,0)))</f>
        <v>0</v>
      </c>
      <c r="M208">
        <f>L208/VLOOKUP($D208,CPI!$P$16:$R$22,3,FALSE)</f>
        <v>0</v>
      </c>
    </row>
    <row r="209" spans="1:13" ht="16" thickBot="1" x14ac:dyDescent="0.25">
      <c r="A209" s="7">
        <v>2</v>
      </c>
      <c r="B209">
        <f>IF(ISBLANK(G209),"",VLOOKUP(H209,code!B:C,2,FALSE))</f>
        <v>14</v>
      </c>
      <c r="C209">
        <f t="shared" si="6"/>
        <v>1</v>
      </c>
      <c r="D209">
        <v>2020</v>
      </c>
      <c r="E209">
        <v>110635</v>
      </c>
      <c r="F209" t="s">
        <v>72</v>
      </c>
      <c r="G209" t="s">
        <v>285</v>
      </c>
      <c r="H209" t="s">
        <v>22</v>
      </c>
      <c r="I209">
        <v>69336</v>
      </c>
      <c r="J209">
        <f>I209/VLOOKUP($D209,CPI!$P$16:$R$22,3,FALSE)</f>
        <v>80779.822835594605</v>
      </c>
      <c r="K209">
        <f t="shared" si="7"/>
        <v>0</v>
      </c>
      <c r="L209" s="3" cm="1">
        <f t="array" ref="L209">IF($C209=0,INDEX('24&amp;25'!$L:$L,MATCH($D209&amp;$B209&amp;$E209,'24&amp;25'!$B:$B&amp;'24&amp;25'!$A:$A&amp;'24&amp;25'!$C:$C,0)),INDEX('24&amp;25'!$M:$M,MATCH($D209&amp;$B209&amp;$E209,'24&amp;25'!$B:$B&amp;'24&amp;25'!$A:$A&amp;'24&amp;25'!$C:$C,0)))</f>
        <v>47315</v>
      </c>
      <c r="M209">
        <f>L209/VLOOKUP($D209,CPI!$P$16:$R$22,3,FALSE)</f>
        <v>55124.283452552198</v>
      </c>
    </row>
    <row r="210" spans="1:13" ht="16" thickBot="1" x14ac:dyDescent="0.25">
      <c r="A210" s="7">
        <v>2</v>
      </c>
      <c r="B210">
        <f>IF(ISBLANK(G210),"",VLOOKUP(H210,code!B:C,2,FALSE))</f>
        <v>17</v>
      </c>
      <c r="C210">
        <f t="shared" si="6"/>
        <v>1</v>
      </c>
      <c r="D210">
        <v>2020</v>
      </c>
      <c r="E210">
        <v>110635</v>
      </c>
      <c r="F210" t="s">
        <v>72</v>
      </c>
      <c r="G210" t="s">
        <v>285</v>
      </c>
      <c r="H210" t="s">
        <v>25</v>
      </c>
      <c r="I210">
        <v>64111</v>
      </c>
      <c r="J210">
        <f>I210/VLOOKUP($D210,CPI!$P$16:$R$22,3,FALSE)</f>
        <v>74692.442912957282</v>
      </c>
      <c r="K210">
        <f t="shared" si="7"/>
        <v>0</v>
      </c>
      <c r="L210" s="3" cm="1">
        <f t="array" ref="L210">IF($C210=0,INDEX('24&amp;25'!$L:$L,MATCH($D210&amp;$B210&amp;$E210,'24&amp;25'!$B:$B&amp;'24&amp;25'!$A:$A&amp;'24&amp;25'!$C:$C,0)),INDEX('24&amp;25'!$M:$M,MATCH($D210&amp;$B210&amp;$E210,'24&amp;25'!$B:$B&amp;'24&amp;25'!$A:$A&amp;'24&amp;25'!$C:$C,0)))</f>
        <v>0</v>
      </c>
      <c r="M210">
        <f>L210/VLOOKUP($D210,CPI!$P$16:$R$22,3,FALSE)</f>
        <v>0</v>
      </c>
    </row>
    <row r="211" spans="1:13" ht="16" thickBot="1" x14ac:dyDescent="0.25">
      <c r="A211" s="7">
        <v>2</v>
      </c>
      <c r="B211">
        <f>IF(ISBLANK(G211),"",VLOOKUP(H211,code!B:C,2,FALSE))</f>
        <v>18</v>
      </c>
      <c r="C211">
        <f t="shared" si="6"/>
        <v>1</v>
      </c>
      <c r="D211">
        <v>2020</v>
      </c>
      <c r="E211">
        <v>110635</v>
      </c>
      <c r="F211" t="s">
        <v>72</v>
      </c>
      <c r="G211" t="s">
        <v>285</v>
      </c>
      <c r="H211" t="s">
        <v>26</v>
      </c>
      <c r="I211">
        <v>32254</v>
      </c>
      <c r="J211">
        <f>I211/VLOOKUP($D211,CPI!$P$16:$R$22,3,FALSE)</f>
        <v>37577.48364109941</v>
      </c>
      <c r="K211">
        <f t="shared" si="7"/>
        <v>0</v>
      </c>
      <c r="L211" s="3" cm="1">
        <f t="array" ref="L211">IF($C211=0,INDEX('24&amp;25'!$L:$L,MATCH($D211&amp;$B211&amp;$E211,'24&amp;25'!$B:$B&amp;'24&amp;25'!$A:$A&amp;'24&amp;25'!$C:$C,0)),INDEX('24&amp;25'!$M:$M,MATCH($D211&amp;$B211&amp;$E211,'24&amp;25'!$B:$B&amp;'24&amp;25'!$A:$A&amp;'24&amp;25'!$C:$C,0)))</f>
        <v>0</v>
      </c>
      <c r="M211">
        <f>L211/VLOOKUP($D211,CPI!$P$16:$R$22,3,FALSE)</f>
        <v>0</v>
      </c>
    </row>
    <row r="212" spans="1:13" ht="16" thickBot="1" x14ac:dyDescent="0.25">
      <c r="A212" s="7">
        <v>2</v>
      </c>
      <c r="B212">
        <f>IF(ISBLANK(G212),"",VLOOKUP(H212,code!B:C,2,FALSE))</f>
        <v>19</v>
      </c>
      <c r="C212">
        <f t="shared" si="6"/>
        <v>1</v>
      </c>
      <c r="D212">
        <v>2020</v>
      </c>
      <c r="E212">
        <v>110635</v>
      </c>
      <c r="F212" t="s">
        <v>72</v>
      </c>
      <c r="G212" t="s">
        <v>285</v>
      </c>
      <c r="H212" t="s">
        <v>27</v>
      </c>
      <c r="I212">
        <v>31801</v>
      </c>
      <c r="J212">
        <f>I212/VLOOKUP($D212,CPI!$P$16:$R$22,3,FALSE)</f>
        <v>37049.71653967267</v>
      </c>
      <c r="K212">
        <f t="shared" si="7"/>
        <v>0</v>
      </c>
      <c r="L212" s="3" cm="1">
        <f t="array" ref="L212">IF($C212=0,INDEX('24&amp;25'!$L:$L,MATCH($D212&amp;$B212&amp;$E212,'24&amp;25'!$B:$B&amp;'24&amp;25'!$A:$A&amp;'24&amp;25'!$C:$C,0)),INDEX('24&amp;25'!$M:$M,MATCH($D212&amp;$B212&amp;$E212,'24&amp;25'!$B:$B&amp;'24&amp;25'!$A:$A&amp;'24&amp;25'!$C:$C,0)))</f>
        <v>900</v>
      </c>
      <c r="M212">
        <f>L212/VLOOKUP($D212,CPI!$P$16:$R$22,3,FALSE)</f>
        <v>1048.5439101193485</v>
      </c>
    </row>
    <row r="213" spans="1:13" ht="16" thickBot="1" x14ac:dyDescent="0.25">
      <c r="A213" s="7">
        <v>2</v>
      </c>
      <c r="B213">
        <f>IF(ISBLANK(G213),"",VLOOKUP(H213,code!B:C,2,FALSE))</f>
        <v>20</v>
      </c>
      <c r="C213">
        <f t="shared" si="6"/>
        <v>1</v>
      </c>
      <c r="D213">
        <v>2020</v>
      </c>
      <c r="E213">
        <v>110635</v>
      </c>
      <c r="F213" t="s">
        <v>72</v>
      </c>
      <c r="G213" t="s">
        <v>285</v>
      </c>
      <c r="H213" t="s">
        <v>28</v>
      </c>
      <c r="I213">
        <v>20814</v>
      </c>
      <c r="J213">
        <f>I213/VLOOKUP($D213,CPI!$P$16:$R$22,3,FALSE)</f>
        <v>24249.325494693465</v>
      </c>
      <c r="K213">
        <f t="shared" si="7"/>
        <v>0</v>
      </c>
      <c r="L213" s="3" cm="1">
        <f t="array" ref="L213">IF($C213=0,INDEX('24&amp;25'!$L:$L,MATCH($D213&amp;$B213&amp;$E213,'24&amp;25'!$B:$B&amp;'24&amp;25'!$A:$A&amp;'24&amp;25'!$C:$C,0)),INDEX('24&amp;25'!$M:$M,MATCH($D213&amp;$B213&amp;$E213,'24&amp;25'!$B:$B&amp;'24&amp;25'!$A:$A&amp;'24&amp;25'!$C:$C,0)))</f>
        <v>3198</v>
      </c>
      <c r="M213">
        <f>L213/VLOOKUP($D213,CPI!$P$16:$R$22,3,FALSE)</f>
        <v>3725.8260272907519</v>
      </c>
    </row>
    <row r="214" spans="1:13" ht="16" thickBot="1" x14ac:dyDescent="0.25">
      <c r="A214" s="7">
        <v>2</v>
      </c>
      <c r="B214">
        <f>IF(ISBLANK(G214),"",VLOOKUP(H214,code!B:C,2,FALSE))</f>
        <v>21</v>
      </c>
      <c r="C214">
        <f t="shared" si="6"/>
        <v>1</v>
      </c>
      <c r="D214">
        <v>2020</v>
      </c>
      <c r="E214">
        <v>110635</v>
      </c>
      <c r="F214" t="s">
        <v>72</v>
      </c>
      <c r="G214" t="s">
        <v>285</v>
      </c>
      <c r="H214" t="s">
        <v>30</v>
      </c>
      <c r="I214">
        <v>132622</v>
      </c>
      <c r="J214">
        <f>I214/VLOOKUP($D214,CPI!$P$16:$R$22,3,FALSE)</f>
        <v>154511.10049760915</v>
      </c>
      <c r="K214">
        <f t="shared" si="7"/>
        <v>0</v>
      </c>
      <c r="L214" s="3" cm="1">
        <f t="array" ref="L214">IF($C214=0,INDEX('24&amp;25'!$L:$L,MATCH($D214&amp;$B214&amp;$E214,'24&amp;25'!$B:$B&amp;'24&amp;25'!$A:$A&amp;'24&amp;25'!$C:$C,0)),INDEX('24&amp;25'!$M:$M,MATCH($D214&amp;$B214&amp;$E214,'24&amp;25'!$B:$B&amp;'24&amp;25'!$A:$A&amp;'24&amp;25'!$C:$C,0)))</f>
        <v>375</v>
      </c>
      <c r="M214">
        <f>L214/VLOOKUP($D214,CPI!$P$16:$R$22,3,FALSE)</f>
        <v>436.89329588306185</v>
      </c>
    </row>
    <row r="215" spans="1:13" ht="16" thickBot="1" x14ac:dyDescent="0.25">
      <c r="A215" s="7">
        <v>2</v>
      </c>
      <c r="B215">
        <f>IF(ISBLANK(G215),"",VLOOKUP(H215,code!B:C,2,FALSE))</f>
        <v>23</v>
      </c>
      <c r="C215">
        <f t="shared" si="6"/>
        <v>1</v>
      </c>
      <c r="D215">
        <v>2020</v>
      </c>
      <c r="E215">
        <v>110635</v>
      </c>
      <c r="F215" t="s">
        <v>72</v>
      </c>
      <c r="G215" t="s">
        <v>285</v>
      </c>
      <c r="H215" t="s">
        <v>33</v>
      </c>
      <c r="I215">
        <v>95972</v>
      </c>
      <c r="J215">
        <f>I215/VLOOKUP($D215,CPI!$P$16:$R$22,3,FALSE)</f>
        <v>111812.06237997123</v>
      </c>
      <c r="K215">
        <f t="shared" si="7"/>
        <v>0</v>
      </c>
      <c r="L215" s="3" cm="1">
        <f t="array" ref="L215">IF($C215=0,INDEX('24&amp;25'!$L:$L,MATCH($D215&amp;$B215&amp;$E215,'24&amp;25'!$B:$B&amp;'24&amp;25'!$A:$A&amp;'24&amp;25'!$C:$C,0)),INDEX('24&amp;25'!$M:$M,MATCH($D215&amp;$B215&amp;$E215,'24&amp;25'!$B:$B&amp;'24&amp;25'!$A:$A&amp;'24&amp;25'!$C:$C,0)))</f>
        <v>94568</v>
      </c>
      <c r="M215">
        <f>L215/VLOOKUP($D215,CPI!$P$16:$R$22,3,FALSE)</f>
        <v>110176.33388018506</v>
      </c>
    </row>
    <row r="216" spans="1:13" ht="16" thickBot="1" x14ac:dyDescent="0.25">
      <c r="A216" s="7">
        <v>2</v>
      </c>
      <c r="B216">
        <f>IF(ISBLANK(G216),"",VLOOKUP(H216,code!B:C,2,FALSE))</f>
        <v>24</v>
      </c>
      <c r="C216">
        <f t="shared" si="6"/>
        <v>1</v>
      </c>
      <c r="D216">
        <v>2020</v>
      </c>
      <c r="E216">
        <v>110635</v>
      </c>
      <c r="F216" t="s">
        <v>72</v>
      </c>
      <c r="G216" t="s">
        <v>285</v>
      </c>
      <c r="H216" t="s">
        <v>34</v>
      </c>
      <c r="I216">
        <v>0</v>
      </c>
      <c r="J216">
        <f>I216/VLOOKUP($D216,CPI!$P$16:$R$22,3,FALSE)</f>
        <v>0</v>
      </c>
      <c r="K216">
        <f t="shared" si="7"/>
        <v>0</v>
      </c>
      <c r="L216" s="3" cm="1">
        <f t="array" ref="L216">IF($C216=0,INDEX('24&amp;25'!$L:$L,MATCH($D216&amp;$B216&amp;$E216,'24&amp;25'!$B:$B&amp;'24&amp;25'!$A:$A&amp;'24&amp;25'!$C:$C,0)),INDEX('24&amp;25'!$M:$M,MATCH($D216&amp;$B216&amp;$E216,'24&amp;25'!$B:$B&amp;'24&amp;25'!$A:$A&amp;'24&amp;25'!$C:$C,0)))</f>
        <v>1500</v>
      </c>
      <c r="M216">
        <f>L216/VLOOKUP($D216,CPI!$P$16:$R$22,3,FALSE)</f>
        <v>1747.5731835322474</v>
      </c>
    </row>
    <row r="217" spans="1:13" ht="16" thickBot="1" x14ac:dyDescent="0.25">
      <c r="A217" s="7">
        <v>2</v>
      </c>
      <c r="B217">
        <f>IF(ISBLANK(G217),"",VLOOKUP(H217,code!B:C,2,FALSE))</f>
        <v>1</v>
      </c>
      <c r="C217">
        <f t="shared" si="6"/>
        <v>0</v>
      </c>
      <c r="D217">
        <v>2021</v>
      </c>
      <c r="E217">
        <v>110635</v>
      </c>
      <c r="F217" t="s">
        <v>72</v>
      </c>
      <c r="G217" t="s">
        <v>284</v>
      </c>
      <c r="H217" t="s">
        <v>9</v>
      </c>
      <c r="I217">
        <v>592518</v>
      </c>
      <c r="J217">
        <f>I217/VLOOKUP($D217,CPI!$P$16:$R$22,3,FALSE)</f>
        <v>674781.36309450318</v>
      </c>
      <c r="K217">
        <f t="shared" si="7"/>
        <v>1</v>
      </c>
      <c r="L217" s="3" cm="1">
        <f t="array" ref="L217">IF($C217=0,INDEX('24&amp;25'!$L:$L,MATCH($D217&amp;$B217&amp;$E217,'24&amp;25'!$B:$B&amp;'24&amp;25'!$A:$A&amp;'24&amp;25'!$C:$C,0)),INDEX('24&amp;25'!$M:$M,MATCH($D217&amp;$B217&amp;$E217,'24&amp;25'!$B:$B&amp;'24&amp;25'!$A:$A&amp;'24&amp;25'!$C:$C,0)))</f>
        <v>0</v>
      </c>
      <c r="M217">
        <f>L217/VLOOKUP($D217,CPI!$P$16:$R$22,3,FALSE)</f>
        <v>0</v>
      </c>
    </row>
    <row r="218" spans="1:13" ht="16" thickBot="1" x14ac:dyDescent="0.25">
      <c r="A218" s="7">
        <v>2</v>
      </c>
      <c r="B218">
        <f>IF(ISBLANK(G218),"",VLOOKUP(H218,code!B:C,2,FALSE))</f>
        <v>2</v>
      </c>
      <c r="C218">
        <f t="shared" si="6"/>
        <v>0</v>
      </c>
      <c r="D218">
        <v>2021</v>
      </c>
      <c r="E218">
        <v>110635</v>
      </c>
      <c r="F218" t="s">
        <v>72</v>
      </c>
      <c r="G218" t="s">
        <v>284</v>
      </c>
      <c r="H218" t="s">
        <v>10</v>
      </c>
      <c r="I218">
        <v>776597</v>
      </c>
      <c r="J218">
        <f>I218/VLOOKUP($D218,CPI!$P$16:$R$22,3,FALSE)</f>
        <v>884417.32105202181</v>
      </c>
      <c r="K218">
        <f t="shared" si="7"/>
        <v>1</v>
      </c>
      <c r="L218" s="3" cm="1">
        <f t="array" ref="L218">IF($C218=0,INDEX('24&amp;25'!$L:$L,MATCH($D218&amp;$B218&amp;$E218,'24&amp;25'!$B:$B&amp;'24&amp;25'!$A:$A&amp;'24&amp;25'!$C:$C,0)),INDEX('24&amp;25'!$M:$M,MATCH($D218&amp;$B218&amp;$E218,'24&amp;25'!$B:$B&amp;'24&amp;25'!$A:$A&amp;'24&amp;25'!$C:$C,0)))</f>
        <v>365585</v>
      </c>
      <c r="M218">
        <f>L218/VLOOKUP($D218,CPI!$P$16:$R$22,3,FALSE)</f>
        <v>416341.68856794888</v>
      </c>
    </row>
    <row r="219" spans="1:13" ht="16" thickBot="1" x14ac:dyDescent="0.25">
      <c r="A219" s="7">
        <v>2</v>
      </c>
      <c r="B219">
        <f>IF(ISBLANK(G219),"",VLOOKUP(H219,code!B:C,2,FALSE))</f>
        <v>8</v>
      </c>
      <c r="C219">
        <f t="shared" si="6"/>
        <v>0</v>
      </c>
      <c r="D219">
        <v>2021</v>
      </c>
      <c r="E219">
        <v>110635</v>
      </c>
      <c r="F219" t="s">
        <v>72</v>
      </c>
      <c r="G219" t="s">
        <v>284</v>
      </c>
      <c r="H219" t="s">
        <v>16</v>
      </c>
      <c r="I219">
        <v>1400513</v>
      </c>
      <c r="J219">
        <f>I219/VLOOKUP($D219,CPI!$P$16:$R$22,3,FALSE)</f>
        <v>1594955.885174074</v>
      </c>
      <c r="K219">
        <f t="shared" si="7"/>
        <v>1</v>
      </c>
      <c r="L219" s="3" cm="1">
        <f t="array" ref="L219">IF($C219=0,INDEX('24&amp;25'!$L:$L,MATCH($D219&amp;$B219&amp;$E219,'24&amp;25'!$B:$B&amp;'24&amp;25'!$A:$A&amp;'24&amp;25'!$C:$C,0)),INDEX('24&amp;25'!$M:$M,MATCH($D219&amp;$B219&amp;$E219,'24&amp;25'!$B:$B&amp;'24&amp;25'!$A:$A&amp;'24&amp;25'!$C:$C,0)))</f>
        <v>1964425</v>
      </c>
      <c r="M219">
        <f>L219/VLOOKUP($D219,CPI!$P$16:$R$22,3,FALSE)</f>
        <v>2237159.6798695051</v>
      </c>
    </row>
    <row r="220" spans="1:13" ht="16" thickBot="1" x14ac:dyDescent="0.25">
      <c r="A220" s="7">
        <v>2</v>
      </c>
      <c r="B220">
        <f>IF(ISBLANK(G220),"",VLOOKUP(H220,code!B:C,2,FALSE))</f>
        <v>9</v>
      </c>
      <c r="C220">
        <f t="shared" si="6"/>
        <v>0</v>
      </c>
      <c r="D220">
        <v>2021</v>
      </c>
      <c r="E220">
        <v>110635</v>
      </c>
      <c r="F220" t="s">
        <v>72</v>
      </c>
      <c r="G220" t="s">
        <v>284</v>
      </c>
      <c r="H220" t="s">
        <v>17</v>
      </c>
      <c r="I220">
        <v>533107</v>
      </c>
      <c r="J220">
        <f>I220/VLOOKUP($D220,CPI!$P$16:$R$22,3,FALSE)</f>
        <v>607121.92395036318</v>
      </c>
      <c r="K220">
        <f t="shared" si="7"/>
        <v>1</v>
      </c>
      <c r="L220" s="3" cm="1">
        <f t="array" ref="L220">IF($C220=0,INDEX('24&amp;25'!$L:$L,MATCH($D220&amp;$B220&amp;$E220,'24&amp;25'!$B:$B&amp;'24&amp;25'!$A:$A&amp;'24&amp;25'!$C:$C,0)),INDEX('24&amp;25'!$M:$M,MATCH($D220&amp;$B220&amp;$E220,'24&amp;25'!$B:$B&amp;'24&amp;25'!$A:$A&amp;'24&amp;25'!$C:$C,0)))</f>
        <v>0</v>
      </c>
      <c r="M220">
        <f>L220/VLOOKUP($D220,CPI!$P$16:$R$22,3,FALSE)</f>
        <v>0</v>
      </c>
    </row>
    <row r="221" spans="1:13" ht="16" thickBot="1" x14ac:dyDescent="0.25">
      <c r="A221" s="7">
        <v>2</v>
      </c>
      <c r="B221">
        <f>IF(ISBLANK(G221),"",VLOOKUP(H221,code!B:C,2,FALSE))</f>
        <v>10</v>
      </c>
      <c r="C221">
        <f t="shared" si="6"/>
        <v>0</v>
      </c>
      <c r="D221">
        <v>2021</v>
      </c>
      <c r="E221">
        <v>110635</v>
      </c>
      <c r="F221" t="s">
        <v>72</v>
      </c>
      <c r="G221" t="s">
        <v>284</v>
      </c>
      <c r="H221" t="s">
        <v>18</v>
      </c>
      <c r="I221">
        <v>214100</v>
      </c>
      <c r="J221">
        <f>I221/VLOOKUP($D221,CPI!$P$16:$R$22,3,FALSE)</f>
        <v>243824.98057195416</v>
      </c>
      <c r="K221">
        <f t="shared" si="7"/>
        <v>1</v>
      </c>
      <c r="L221" s="3" cm="1">
        <f t="array" ref="L221">IF($C221=0,INDEX('24&amp;25'!$L:$L,MATCH($D221&amp;$B221&amp;$E221,'24&amp;25'!$B:$B&amp;'24&amp;25'!$A:$A&amp;'24&amp;25'!$C:$C,0)),INDEX('24&amp;25'!$M:$M,MATCH($D221&amp;$B221&amp;$E221,'24&amp;25'!$B:$B&amp;'24&amp;25'!$A:$A&amp;'24&amp;25'!$C:$C,0)))</f>
        <v>0</v>
      </c>
      <c r="M221">
        <f>L221/VLOOKUP($D221,CPI!$P$16:$R$22,3,FALSE)</f>
        <v>0</v>
      </c>
    </row>
    <row r="222" spans="1:13" ht="16" thickBot="1" x14ac:dyDescent="0.25">
      <c r="A222" s="7">
        <v>2</v>
      </c>
      <c r="B222">
        <f>IF(ISBLANK(G222),"",VLOOKUP(H222,code!B:C,2,FALSE))</f>
        <v>17</v>
      </c>
      <c r="C222">
        <f t="shared" si="6"/>
        <v>0</v>
      </c>
      <c r="D222">
        <v>2021</v>
      </c>
      <c r="E222">
        <v>110635</v>
      </c>
      <c r="F222" t="s">
        <v>72</v>
      </c>
      <c r="G222" t="s">
        <v>284</v>
      </c>
      <c r="H222" t="s">
        <v>25</v>
      </c>
      <c r="I222">
        <v>219445</v>
      </c>
      <c r="J222">
        <f>I222/VLOOKUP($D222,CPI!$P$16:$R$22,3,FALSE)</f>
        <v>249912.06380949312</v>
      </c>
      <c r="K222">
        <f t="shared" si="7"/>
        <v>1</v>
      </c>
      <c r="L222" s="3" cm="1">
        <f t="array" ref="L222">IF($C222=0,INDEX('24&amp;25'!$L:$L,MATCH($D222&amp;$B222&amp;$E222,'24&amp;25'!$B:$B&amp;'24&amp;25'!$A:$A&amp;'24&amp;25'!$C:$C,0)),INDEX('24&amp;25'!$M:$M,MATCH($D222&amp;$B222&amp;$E222,'24&amp;25'!$B:$B&amp;'24&amp;25'!$A:$A&amp;'24&amp;25'!$C:$C,0)))</f>
        <v>0</v>
      </c>
      <c r="M222">
        <f>L222/VLOOKUP($D222,CPI!$P$16:$R$22,3,FALSE)</f>
        <v>0</v>
      </c>
    </row>
    <row r="223" spans="1:13" ht="16" thickBot="1" x14ac:dyDescent="0.25">
      <c r="A223" s="7">
        <v>2</v>
      </c>
      <c r="B223">
        <f>IF(ISBLANK(G223),"",VLOOKUP(H223,code!B:C,2,FALSE))</f>
        <v>19</v>
      </c>
      <c r="C223">
        <f t="shared" si="6"/>
        <v>0</v>
      </c>
      <c r="D223">
        <v>2021</v>
      </c>
      <c r="E223">
        <v>110635</v>
      </c>
      <c r="F223" t="s">
        <v>72</v>
      </c>
      <c r="G223" t="s">
        <v>284</v>
      </c>
      <c r="H223" t="s">
        <v>27</v>
      </c>
      <c r="I223">
        <v>158158</v>
      </c>
      <c r="J223">
        <f>I223/VLOOKUP($D223,CPI!$P$16:$R$22,3,FALSE)</f>
        <v>180116.16663848259</v>
      </c>
      <c r="K223">
        <f t="shared" si="7"/>
        <v>1</v>
      </c>
      <c r="L223" s="3" cm="1">
        <f t="array" ref="L223">IF($C223=0,INDEX('24&amp;25'!$L:$L,MATCH($D223&amp;$B223&amp;$E223,'24&amp;25'!$B:$B&amp;'24&amp;25'!$A:$A&amp;'24&amp;25'!$C:$C,0)),INDEX('24&amp;25'!$M:$M,MATCH($D223&amp;$B223&amp;$E223,'24&amp;25'!$B:$B&amp;'24&amp;25'!$A:$A&amp;'24&amp;25'!$C:$C,0)))</f>
        <v>0</v>
      </c>
      <c r="M223">
        <f>L223/VLOOKUP($D223,CPI!$P$16:$R$22,3,FALSE)</f>
        <v>0</v>
      </c>
    </row>
    <row r="224" spans="1:13" ht="16" thickBot="1" x14ac:dyDescent="0.25">
      <c r="A224" s="7">
        <v>2</v>
      </c>
      <c r="B224">
        <f>IF(ISBLANK(G224),"",VLOOKUP(H224,code!B:C,2,FALSE))</f>
        <v>20</v>
      </c>
      <c r="C224">
        <f t="shared" si="6"/>
        <v>0</v>
      </c>
      <c r="D224">
        <v>2021</v>
      </c>
      <c r="E224">
        <v>110635</v>
      </c>
      <c r="F224" t="s">
        <v>72</v>
      </c>
      <c r="G224" t="s">
        <v>284</v>
      </c>
      <c r="H224" t="s">
        <v>28</v>
      </c>
      <c r="I224">
        <v>140046</v>
      </c>
      <c r="J224">
        <f>I224/VLOOKUP($D224,CPI!$P$16:$R$22,3,FALSE)</f>
        <v>159489.55268183042</v>
      </c>
      <c r="K224">
        <f t="shared" si="7"/>
        <v>1</v>
      </c>
      <c r="L224" s="3" cm="1">
        <f t="array" ref="L224">IF($C224=0,INDEX('24&amp;25'!$L:$L,MATCH($D224&amp;$B224&amp;$E224,'24&amp;25'!$B:$B&amp;'24&amp;25'!$A:$A&amp;'24&amp;25'!$C:$C,0)),INDEX('24&amp;25'!$M:$M,MATCH($D224&amp;$B224&amp;$E224,'24&amp;25'!$B:$B&amp;'24&amp;25'!$A:$A&amp;'24&amp;25'!$C:$C,0)))</f>
        <v>2321</v>
      </c>
      <c r="M224">
        <f>L224/VLOOKUP($D224,CPI!$P$16:$R$22,3,FALSE)</f>
        <v>2643.2404479565885</v>
      </c>
    </row>
    <row r="225" spans="1:13" ht="16" thickBot="1" x14ac:dyDescent="0.25">
      <c r="A225" s="7">
        <v>2</v>
      </c>
      <c r="B225">
        <f>IF(ISBLANK(G225),"",VLOOKUP(H225,code!B:C,2,FALSE))</f>
        <v>21</v>
      </c>
      <c r="C225">
        <f t="shared" si="6"/>
        <v>0</v>
      </c>
      <c r="D225">
        <v>2021</v>
      </c>
      <c r="E225">
        <v>110635</v>
      </c>
      <c r="F225" t="s">
        <v>72</v>
      </c>
      <c r="G225" t="s">
        <v>284</v>
      </c>
      <c r="H225" t="s">
        <v>30</v>
      </c>
      <c r="I225">
        <v>127519</v>
      </c>
      <c r="J225">
        <f>I225/VLOOKUP($D225,CPI!$P$16:$R$22,3,FALSE)</f>
        <v>145223.34281903328</v>
      </c>
      <c r="K225">
        <f t="shared" si="7"/>
        <v>1</v>
      </c>
      <c r="L225" s="3" cm="1">
        <f t="array" ref="L225">IF($C225=0,INDEX('24&amp;25'!$L:$L,MATCH($D225&amp;$B225&amp;$E225,'24&amp;25'!$B:$B&amp;'24&amp;25'!$A:$A&amp;'24&amp;25'!$C:$C,0)),INDEX('24&amp;25'!$M:$M,MATCH($D225&amp;$B225&amp;$E225,'24&amp;25'!$B:$B&amp;'24&amp;25'!$A:$A&amp;'24&amp;25'!$C:$C,0)))</f>
        <v>0</v>
      </c>
      <c r="M225">
        <f>L225/VLOOKUP($D225,CPI!$P$16:$R$22,3,FALSE)</f>
        <v>0</v>
      </c>
    </row>
    <row r="226" spans="1:13" ht="16" thickBot="1" x14ac:dyDescent="0.25">
      <c r="A226" s="7">
        <v>2</v>
      </c>
      <c r="B226">
        <f>IF(ISBLANK(G226),"",VLOOKUP(H226,code!B:C,2,FALSE))</f>
        <v>24</v>
      </c>
      <c r="C226">
        <f t="shared" si="6"/>
        <v>0</v>
      </c>
      <c r="D226">
        <v>2021</v>
      </c>
      <c r="E226">
        <v>110635</v>
      </c>
      <c r="F226" t="s">
        <v>72</v>
      </c>
      <c r="G226" t="s">
        <v>284</v>
      </c>
      <c r="H226" t="s">
        <v>34</v>
      </c>
      <c r="I226">
        <v>106627</v>
      </c>
      <c r="J226">
        <f>I226/VLOOKUP($D226,CPI!$P$16:$R$22,3,FALSE)</f>
        <v>121430.76227672002</v>
      </c>
      <c r="K226">
        <f t="shared" si="7"/>
        <v>1</v>
      </c>
      <c r="L226" s="3" cm="1">
        <f t="array" ref="L226">IF($C226=0,INDEX('24&amp;25'!$L:$L,MATCH($D226&amp;$B226&amp;$E226,'24&amp;25'!$B:$B&amp;'24&amp;25'!$A:$A&amp;'24&amp;25'!$C:$C,0)),INDEX('24&amp;25'!$M:$M,MATCH($D226&amp;$B226&amp;$E226,'24&amp;25'!$B:$B&amp;'24&amp;25'!$A:$A&amp;'24&amp;25'!$C:$C,0)))</f>
        <v>0</v>
      </c>
      <c r="M226">
        <f>L226/VLOOKUP($D226,CPI!$P$16:$R$22,3,FALSE)</f>
        <v>0</v>
      </c>
    </row>
    <row r="227" spans="1:13" ht="16" thickBot="1" x14ac:dyDescent="0.25">
      <c r="A227" s="7">
        <v>2</v>
      </c>
      <c r="B227">
        <f>IF(ISBLANK(G227),"",VLOOKUP(H227,code!B:C,2,FALSE))</f>
        <v>2</v>
      </c>
      <c r="C227">
        <f t="shared" si="6"/>
        <v>1</v>
      </c>
      <c r="D227">
        <v>2021</v>
      </c>
      <c r="E227">
        <v>110635</v>
      </c>
      <c r="F227" t="s">
        <v>72</v>
      </c>
      <c r="G227" t="s">
        <v>285</v>
      </c>
      <c r="H227" t="s">
        <v>10</v>
      </c>
      <c r="I227">
        <v>198052</v>
      </c>
      <c r="J227">
        <f>I227/VLOOKUP($D227,CPI!$P$16:$R$22,3,FALSE)</f>
        <v>225548.92597962011</v>
      </c>
      <c r="K227">
        <f t="shared" si="7"/>
        <v>1</v>
      </c>
      <c r="L227" s="3" cm="1">
        <f t="array" ref="L227">IF($C227=0,INDEX('24&amp;25'!$L:$L,MATCH($D227&amp;$B227&amp;$E227,'24&amp;25'!$B:$B&amp;'24&amp;25'!$A:$A&amp;'24&amp;25'!$C:$C,0)),INDEX('24&amp;25'!$M:$M,MATCH($D227&amp;$B227&amp;$E227,'24&amp;25'!$B:$B&amp;'24&amp;25'!$A:$A&amp;'24&amp;25'!$C:$C,0)))</f>
        <v>305776</v>
      </c>
      <c r="M227">
        <f>L227/VLOOKUP($D227,CPI!$P$16:$R$22,3,FALSE)</f>
        <v>348228.99233708478</v>
      </c>
    </row>
    <row r="228" spans="1:13" ht="16" thickBot="1" x14ac:dyDescent="0.25">
      <c r="A228" s="7">
        <v>2</v>
      </c>
      <c r="B228">
        <f>IF(ISBLANK(G228),"",VLOOKUP(H228,code!B:C,2,FALSE))</f>
        <v>3</v>
      </c>
      <c r="C228">
        <f t="shared" si="6"/>
        <v>1</v>
      </c>
      <c r="D228">
        <v>2021</v>
      </c>
      <c r="E228">
        <v>110635</v>
      </c>
      <c r="F228" t="s">
        <v>72</v>
      </c>
      <c r="G228" t="s">
        <v>285</v>
      </c>
      <c r="H228" t="s">
        <v>11</v>
      </c>
      <c r="I228">
        <v>0</v>
      </c>
      <c r="J228">
        <f>I228/VLOOKUP($D228,CPI!$P$16:$R$22,3,FALSE)</f>
        <v>0</v>
      </c>
      <c r="K228">
        <f t="shared" si="7"/>
        <v>1</v>
      </c>
      <c r="L228" s="3" cm="1">
        <f t="array" ref="L228">IF($C228=0,INDEX('24&amp;25'!$L:$L,MATCH($D228&amp;$B228&amp;$E228,'24&amp;25'!$B:$B&amp;'24&amp;25'!$A:$A&amp;'24&amp;25'!$C:$C,0)),INDEX('24&amp;25'!$M:$M,MATCH($D228&amp;$B228&amp;$E228,'24&amp;25'!$B:$B&amp;'24&amp;25'!$A:$A&amp;'24&amp;25'!$C:$C,0)))</f>
        <v>0</v>
      </c>
      <c r="M228">
        <f>L228/VLOOKUP($D228,CPI!$P$16:$R$22,3,FALSE)</f>
        <v>0</v>
      </c>
    </row>
    <row r="229" spans="1:13" ht="16" thickBot="1" x14ac:dyDescent="0.25">
      <c r="A229" s="7">
        <v>2</v>
      </c>
      <c r="B229">
        <f>IF(ISBLANK(G229),"",VLOOKUP(H229,code!B:C,2,FALSE))</f>
        <v>7</v>
      </c>
      <c r="C229">
        <f t="shared" si="6"/>
        <v>1</v>
      </c>
      <c r="D229">
        <v>2021</v>
      </c>
      <c r="E229">
        <v>110635</v>
      </c>
      <c r="F229" t="s">
        <v>72</v>
      </c>
      <c r="G229" t="s">
        <v>285</v>
      </c>
      <c r="H229" t="s">
        <v>15</v>
      </c>
      <c r="I229">
        <v>85538</v>
      </c>
      <c r="J229">
        <f>I229/VLOOKUP($D229,CPI!$P$16:$R$22,3,FALSE)</f>
        <v>97413.830864847332</v>
      </c>
      <c r="K229">
        <f t="shared" si="7"/>
        <v>1</v>
      </c>
      <c r="L229" s="3" cm="1">
        <f t="array" ref="L229">IF($C229=0,INDEX('24&amp;25'!$L:$L,MATCH($D229&amp;$B229&amp;$E229,'24&amp;25'!$B:$B&amp;'24&amp;25'!$A:$A&amp;'24&amp;25'!$C:$C,0)),INDEX('24&amp;25'!$M:$M,MATCH($D229&amp;$B229&amp;$E229,'24&amp;25'!$B:$B&amp;'24&amp;25'!$A:$A&amp;'24&amp;25'!$C:$C,0)))</f>
        <v>0</v>
      </c>
      <c r="M229">
        <f>L229/VLOOKUP($D229,CPI!$P$16:$R$22,3,FALSE)</f>
        <v>0</v>
      </c>
    </row>
    <row r="230" spans="1:13" ht="16" thickBot="1" x14ac:dyDescent="0.25">
      <c r="A230" s="7">
        <v>2</v>
      </c>
      <c r="B230">
        <f>IF(ISBLANK(G230),"",VLOOKUP(H230,code!B:C,2,FALSE))</f>
        <v>9</v>
      </c>
      <c r="C230">
        <f t="shared" si="6"/>
        <v>1</v>
      </c>
      <c r="D230">
        <v>2021</v>
      </c>
      <c r="E230">
        <v>110635</v>
      </c>
      <c r="F230" t="s">
        <v>72</v>
      </c>
      <c r="G230" t="s">
        <v>285</v>
      </c>
      <c r="H230" t="s">
        <v>17</v>
      </c>
      <c r="I230">
        <v>80752</v>
      </c>
      <c r="J230">
        <f>I230/VLOOKUP($D230,CPI!$P$16:$R$22,3,FALSE)</f>
        <v>91963.35745514452</v>
      </c>
      <c r="K230">
        <f t="shared" si="7"/>
        <v>1</v>
      </c>
      <c r="L230" s="3" cm="1">
        <f t="array" ref="L230">IF($C230=0,INDEX('24&amp;25'!$L:$L,MATCH($D230&amp;$B230&amp;$E230,'24&amp;25'!$B:$B&amp;'24&amp;25'!$A:$A&amp;'24&amp;25'!$C:$C,0)),INDEX('24&amp;25'!$M:$M,MATCH($D230&amp;$B230&amp;$E230,'24&amp;25'!$B:$B&amp;'24&amp;25'!$A:$A&amp;'24&amp;25'!$C:$C,0)))</f>
        <v>0</v>
      </c>
      <c r="M230">
        <f>L230/VLOOKUP($D230,CPI!$P$16:$R$22,3,FALSE)</f>
        <v>0</v>
      </c>
    </row>
    <row r="231" spans="1:13" ht="16" thickBot="1" x14ac:dyDescent="0.25">
      <c r="A231" s="7">
        <v>2</v>
      </c>
      <c r="B231">
        <f>IF(ISBLANK(G231),"",VLOOKUP(H231,code!B:C,2,FALSE))</f>
        <v>10</v>
      </c>
      <c r="C231">
        <f t="shared" si="6"/>
        <v>1</v>
      </c>
      <c r="D231">
        <v>2021</v>
      </c>
      <c r="E231">
        <v>110635</v>
      </c>
      <c r="F231" t="s">
        <v>72</v>
      </c>
      <c r="G231" t="s">
        <v>285</v>
      </c>
      <c r="H231" t="s">
        <v>18</v>
      </c>
      <c r="I231">
        <v>151575</v>
      </c>
      <c r="J231">
        <f>I231/VLOOKUP($D231,CPI!$P$16:$R$22,3,FALSE)</f>
        <v>172619.20331711328</v>
      </c>
      <c r="K231">
        <f t="shared" si="7"/>
        <v>1</v>
      </c>
      <c r="L231" s="3" cm="1">
        <f t="array" ref="L231">IF($C231=0,INDEX('24&amp;25'!$L:$L,MATCH($D231&amp;$B231&amp;$E231,'24&amp;25'!$B:$B&amp;'24&amp;25'!$A:$A&amp;'24&amp;25'!$C:$C,0)),INDEX('24&amp;25'!$M:$M,MATCH($D231&amp;$B231&amp;$E231,'24&amp;25'!$B:$B&amp;'24&amp;25'!$A:$A&amp;'24&amp;25'!$C:$C,0)))</f>
        <v>0</v>
      </c>
      <c r="M231">
        <f>L231/VLOOKUP($D231,CPI!$P$16:$R$22,3,FALSE)</f>
        <v>0</v>
      </c>
    </row>
    <row r="232" spans="1:13" ht="16" thickBot="1" x14ac:dyDescent="0.25">
      <c r="A232" s="7">
        <v>2</v>
      </c>
      <c r="B232">
        <f>IF(ISBLANK(G232),"",VLOOKUP(H232,code!B:C,2,FALSE))</f>
        <v>12</v>
      </c>
      <c r="C232">
        <f t="shared" si="6"/>
        <v>1</v>
      </c>
      <c r="D232">
        <v>2021</v>
      </c>
      <c r="E232">
        <v>110635</v>
      </c>
      <c r="F232" t="s">
        <v>72</v>
      </c>
      <c r="G232" t="s">
        <v>285</v>
      </c>
      <c r="H232" t="s">
        <v>20</v>
      </c>
      <c r="I232">
        <v>100270</v>
      </c>
      <c r="J232">
        <f>I232/VLOOKUP($D232,CPI!$P$16:$R$22,3,FALSE)</f>
        <v>114191.17609504831</v>
      </c>
      <c r="K232">
        <f t="shared" si="7"/>
        <v>1</v>
      </c>
      <c r="L232" s="3" cm="1">
        <f t="array" ref="L232">IF($C232=0,INDEX('24&amp;25'!$L:$L,MATCH($D232&amp;$B232&amp;$E232,'24&amp;25'!$B:$B&amp;'24&amp;25'!$A:$A&amp;'24&amp;25'!$C:$C,0)),INDEX('24&amp;25'!$M:$M,MATCH($D232&amp;$B232&amp;$E232,'24&amp;25'!$B:$B&amp;'24&amp;25'!$A:$A&amp;'24&amp;25'!$C:$C,0)))</f>
        <v>0</v>
      </c>
      <c r="M232">
        <f>L232/VLOOKUP($D232,CPI!$P$16:$R$22,3,FALSE)</f>
        <v>0</v>
      </c>
    </row>
    <row r="233" spans="1:13" ht="16" thickBot="1" x14ac:dyDescent="0.25">
      <c r="A233" s="7">
        <v>2</v>
      </c>
      <c r="B233">
        <f>IF(ISBLANK(G233),"",VLOOKUP(H233,code!B:C,2,FALSE))</f>
        <v>14</v>
      </c>
      <c r="C233">
        <f t="shared" si="6"/>
        <v>1</v>
      </c>
      <c r="D233">
        <v>2021</v>
      </c>
      <c r="E233">
        <v>110635</v>
      </c>
      <c r="F233" t="s">
        <v>72</v>
      </c>
      <c r="G233" t="s">
        <v>285</v>
      </c>
      <c r="H233" t="s">
        <v>22</v>
      </c>
      <c r="I233">
        <v>72116</v>
      </c>
      <c r="J233">
        <f>I233/VLOOKUP($D233,CPI!$P$16:$R$22,3,FALSE)</f>
        <v>82128.361975371532</v>
      </c>
      <c r="K233">
        <f t="shared" si="7"/>
        <v>1</v>
      </c>
      <c r="L233" s="3" cm="1">
        <f t="array" ref="L233">IF($C233=0,INDEX('24&amp;25'!$L:$L,MATCH($D233&amp;$B233&amp;$E233,'24&amp;25'!$B:$B&amp;'24&amp;25'!$A:$A&amp;'24&amp;25'!$C:$C,0)),INDEX('24&amp;25'!$M:$M,MATCH($D233&amp;$B233&amp;$E233,'24&amp;25'!$B:$B&amp;'24&amp;25'!$A:$A&amp;'24&amp;25'!$C:$C,0)))</f>
        <v>17735</v>
      </c>
      <c r="M233">
        <f>L233/VLOOKUP($D233,CPI!$P$16:$R$22,3,FALSE)</f>
        <v>20197.272444855709</v>
      </c>
    </row>
    <row r="234" spans="1:13" ht="16" thickBot="1" x14ac:dyDescent="0.25">
      <c r="A234" s="7">
        <v>2</v>
      </c>
      <c r="B234">
        <f>IF(ISBLANK(G234),"",VLOOKUP(H234,code!B:C,2,FALSE))</f>
        <v>17</v>
      </c>
      <c r="C234">
        <f t="shared" si="6"/>
        <v>1</v>
      </c>
      <c r="D234">
        <v>2021</v>
      </c>
      <c r="E234">
        <v>110635</v>
      </c>
      <c r="F234" t="s">
        <v>72</v>
      </c>
      <c r="G234" t="s">
        <v>285</v>
      </c>
      <c r="H234" t="s">
        <v>25</v>
      </c>
      <c r="I234">
        <v>57778</v>
      </c>
      <c r="J234">
        <f>I234/VLOOKUP($D234,CPI!$P$16:$R$22,3,FALSE)</f>
        <v>65799.718484289435</v>
      </c>
      <c r="K234">
        <f t="shared" si="7"/>
        <v>1</v>
      </c>
      <c r="L234" s="3" cm="1">
        <f t="array" ref="L234">IF($C234=0,INDEX('24&amp;25'!$L:$L,MATCH($D234&amp;$B234&amp;$E234,'24&amp;25'!$B:$B&amp;'24&amp;25'!$A:$A&amp;'24&amp;25'!$C:$C,0)),INDEX('24&amp;25'!$M:$M,MATCH($D234&amp;$B234&amp;$E234,'24&amp;25'!$B:$B&amp;'24&amp;25'!$A:$A&amp;'24&amp;25'!$C:$C,0)))</f>
        <v>2810</v>
      </c>
      <c r="M234">
        <f>L234/VLOOKUP($D234,CPI!$P$16:$R$22,3,FALSE)</f>
        <v>3200.131692700566</v>
      </c>
    </row>
    <row r="235" spans="1:13" ht="16" thickBot="1" x14ac:dyDescent="0.25">
      <c r="A235" s="7">
        <v>2</v>
      </c>
      <c r="B235">
        <f>IF(ISBLANK(G235),"",VLOOKUP(H235,code!B:C,2,FALSE))</f>
        <v>18</v>
      </c>
      <c r="C235">
        <f t="shared" si="6"/>
        <v>1</v>
      </c>
      <c r="D235">
        <v>2021</v>
      </c>
      <c r="E235">
        <v>110635</v>
      </c>
      <c r="F235" t="s">
        <v>72</v>
      </c>
      <c r="G235" t="s">
        <v>285</v>
      </c>
      <c r="H235" t="s">
        <v>26</v>
      </c>
      <c r="I235">
        <v>79742</v>
      </c>
      <c r="J235">
        <f>I235/VLOOKUP($D235,CPI!$P$16:$R$22,3,FALSE)</f>
        <v>90813.132184814429</v>
      </c>
      <c r="K235">
        <f t="shared" si="7"/>
        <v>1</v>
      </c>
      <c r="L235" s="3" cm="1">
        <f t="array" ref="L235">IF($C235=0,INDEX('24&amp;25'!$L:$L,MATCH($D235&amp;$B235&amp;$E235,'24&amp;25'!$B:$B&amp;'24&amp;25'!$A:$A&amp;'24&amp;25'!$C:$C,0)),INDEX('24&amp;25'!$M:$M,MATCH($D235&amp;$B235&amp;$E235,'24&amp;25'!$B:$B&amp;'24&amp;25'!$A:$A&amp;'24&amp;25'!$C:$C,0)))</f>
        <v>0</v>
      </c>
      <c r="M235">
        <f>L235/VLOOKUP($D235,CPI!$P$16:$R$22,3,FALSE)</f>
        <v>0</v>
      </c>
    </row>
    <row r="236" spans="1:13" ht="16" thickBot="1" x14ac:dyDescent="0.25">
      <c r="A236" s="7">
        <v>2</v>
      </c>
      <c r="B236">
        <f>IF(ISBLANK(G236),"",VLOOKUP(H236,code!B:C,2,FALSE))</f>
        <v>19</v>
      </c>
      <c r="C236">
        <f t="shared" si="6"/>
        <v>1</v>
      </c>
      <c r="D236">
        <v>2021</v>
      </c>
      <c r="E236">
        <v>110635</v>
      </c>
      <c r="F236" t="s">
        <v>72</v>
      </c>
      <c r="G236" t="s">
        <v>285</v>
      </c>
      <c r="H236" t="s">
        <v>27</v>
      </c>
      <c r="I236">
        <v>105154</v>
      </c>
      <c r="J236">
        <f>I236/VLOOKUP($D236,CPI!$P$16:$R$22,3,FALSE)</f>
        <v>119753.25552108018</v>
      </c>
      <c r="K236">
        <f t="shared" si="7"/>
        <v>1</v>
      </c>
      <c r="L236" s="3" cm="1">
        <f t="array" ref="L236">IF($C236=0,INDEX('24&amp;25'!$L:$L,MATCH($D236&amp;$B236&amp;$E236,'24&amp;25'!$B:$B&amp;'24&amp;25'!$A:$A&amp;'24&amp;25'!$C:$C,0)),INDEX('24&amp;25'!$M:$M,MATCH($D236&amp;$B236&amp;$E236,'24&amp;25'!$B:$B&amp;'24&amp;25'!$A:$A&amp;'24&amp;25'!$C:$C,0)))</f>
        <v>0</v>
      </c>
      <c r="M236">
        <f>L236/VLOOKUP($D236,CPI!$P$16:$R$22,3,FALSE)</f>
        <v>0</v>
      </c>
    </row>
    <row r="237" spans="1:13" ht="16" thickBot="1" x14ac:dyDescent="0.25">
      <c r="A237" s="7">
        <v>2</v>
      </c>
      <c r="B237">
        <f>IF(ISBLANK(G237),"",VLOOKUP(H237,code!B:C,2,FALSE))</f>
        <v>20</v>
      </c>
      <c r="C237">
        <f t="shared" si="6"/>
        <v>1</v>
      </c>
      <c r="D237">
        <v>2021</v>
      </c>
      <c r="E237">
        <v>110635</v>
      </c>
      <c r="F237" t="s">
        <v>72</v>
      </c>
      <c r="G237" t="s">
        <v>285</v>
      </c>
      <c r="H237" t="s">
        <v>28</v>
      </c>
      <c r="I237">
        <v>103745</v>
      </c>
      <c r="J237">
        <f>I237/VLOOKUP($D237,CPI!$P$16:$R$22,3,FALSE)</f>
        <v>118148.63432712463</v>
      </c>
      <c r="K237">
        <f t="shared" si="7"/>
        <v>1</v>
      </c>
      <c r="L237" s="3" cm="1">
        <f t="array" ref="L237">IF($C237=0,INDEX('24&amp;25'!$L:$L,MATCH($D237&amp;$B237&amp;$E237,'24&amp;25'!$B:$B&amp;'24&amp;25'!$A:$A&amp;'24&amp;25'!$C:$C,0)),INDEX('24&amp;25'!$M:$M,MATCH($D237&amp;$B237&amp;$E237,'24&amp;25'!$B:$B&amp;'24&amp;25'!$A:$A&amp;'24&amp;25'!$C:$C,0)))</f>
        <v>1477</v>
      </c>
      <c r="M237">
        <f>L237/VLOOKUP($D237,CPI!$P$16:$R$22,3,FALSE)</f>
        <v>1682.0621032451018</v>
      </c>
    </row>
    <row r="238" spans="1:13" ht="16" thickBot="1" x14ac:dyDescent="0.25">
      <c r="A238" s="7">
        <v>2</v>
      </c>
      <c r="B238">
        <f>IF(ISBLANK(G238),"",VLOOKUP(H238,code!B:C,2,FALSE))</f>
        <v>21</v>
      </c>
      <c r="C238">
        <f t="shared" si="6"/>
        <v>1</v>
      </c>
      <c r="D238">
        <v>2021</v>
      </c>
      <c r="E238">
        <v>110635</v>
      </c>
      <c r="F238" t="s">
        <v>72</v>
      </c>
      <c r="G238" t="s">
        <v>285</v>
      </c>
      <c r="H238" t="s">
        <v>30</v>
      </c>
      <c r="I238">
        <v>141679</v>
      </c>
      <c r="J238">
        <f>I238/VLOOKUP($D238,CPI!$P$16:$R$22,3,FALSE)</f>
        <v>161349.27334168096</v>
      </c>
      <c r="K238">
        <f t="shared" si="7"/>
        <v>1</v>
      </c>
      <c r="L238" s="3" cm="1">
        <f t="array" ref="L238">IF($C238=0,INDEX('24&amp;25'!$L:$L,MATCH($D238&amp;$B238&amp;$E238,'24&amp;25'!$B:$B&amp;'24&amp;25'!$A:$A&amp;'24&amp;25'!$C:$C,0)),INDEX('24&amp;25'!$M:$M,MATCH($D238&amp;$B238&amp;$E238,'24&amp;25'!$B:$B&amp;'24&amp;25'!$A:$A&amp;'24&amp;25'!$C:$C,0)))</f>
        <v>0</v>
      </c>
      <c r="M238">
        <f>L238/VLOOKUP($D238,CPI!$P$16:$R$22,3,FALSE)</f>
        <v>0</v>
      </c>
    </row>
    <row r="239" spans="1:13" ht="16" thickBot="1" x14ac:dyDescent="0.25">
      <c r="A239" s="7">
        <v>2</v>
      </c>
      <c r="B239">
        <f>IF(ISBLANK(G239),"",VLOOKUP(H239,code!B:C,2,FALSE))</f>
        <v>23</v>
      </c>
      <c r="C239">
        <f t="shared" si="6"/>
        <v>1</v>
      </c>
      <c r="D239">
        <v>2021</v>
      </c>
      <c r="E239">
        <v>110635</v>
      </c>
      <c r="F239" t="s">
        <v>72</v>
      </c>
      <c r="G239" t="s">
        <v>285</v>
      </c>
      <c r="H239" t="s">
        <v>33</v>
      </c>
      <c r="I239">
        <v>95436</v>
      </c>
      <c r="J239">
        <f>I239/VLOOKUP($D239,CPI!$P$16:$R$22,3,FALSE)</f>
        <v>108686.03851408228</v>
      </c>
      <c r="K239">
        <f t="shared" si="7"/>
        <v>1</v>
      </c>
      <c r="L239" s="3" cm="1">
        <f t="array" ref="L239">IF($C239=0,INDEX('24&amp;25'!$L:$L,MATCH($D239&amp;$B239&amp;$E239,'24&amp;25'!$B:$B&amp;'24&amp;25'!$A:$A&amp;'24&amp;25'!$C:$C,0)),INDEX('24&amp;25'!$M:$M,MATCH($D239&amp;$B239&amp;$E239,'24&amp;25'!$B:$B&amp;'24&amp;25'!$A:$A&amp;'24&amp;25'!$C:$C,0)))</f>
        <v>75888</v>
      </c>
      <c r="M239">
        <f>L239/VLOOKUP($D239,CPI!$P$16:$R$22,3,FALSE)</f>
        <v>86424.05476713898</v>
      </c>
    </row>
    <row r="240" spans="1:13" ht="16" thickBot="1" x14ac:dyDescent="0.25">
      <c r="A240" s="7">
        <v>2</v>
      </c>
      <c r="B240">
        <f>IF(ISBLANK(G240),"",VLOOKUP(H240,code!B:C,2,FALSE))</f>
        <v>24</v>
      </c>
      <c r="C240">
        <f t="shared" si="6"/>
        <v>1</v>
      </c>
      <c r="D240">
        <v>2021</v>
      </c>
      <c r="E240">
        <v>110635</v>
      </c>
      <c r="F240" t="s">
        <v>72</v>
      </c>
      <c r="G240" t="s">
        <v>285</v>
      </c>
      <c r="H240" t="s">
        <v>34</v>
      </c>
      <c r="I240">
        <v>104536</v>
      </c>
      <c r="J240">
        <f>I240/VLOOKUP($D240,CPI!$P$16:$R$22,3,FALSE)</f>
        <v>119049.45431606632</v>
      </c>
      <c r="K240">
        <f t="shared" si="7"/>
        <v>1</v>
      </c>
      <c r="L240" s="3" cm="1">
        <f t="array" ref="L240">IF($C240=0,INDEX('24&amp;25'!$L:$L,MATCH($D240&amp;$B240&amp;$E240,'24&amp;25'!$B:$B&amp;'24&amp;25'!$A:$A&amp;'24&amp;25'!$C:$C,0)),INDEX('24&amp;25'!$M:$M,MATCH($D240&amp;$B240&amp;$E240,'24&amp;25'!$B:$B&amp;'24&amp;25'!$A:$A&amp;'24&amp;25'!$C:$C,0)))</f>
        <v>0</v>
      </c>
      <c r="M240">
        <f>L240/VLOOKUP($D240,CPI!$P$16:$R$22,3,FALSE)</f>
        <v>0</v>
      </c>
    </row>
    <row r="241" spans="1:13" ht="16" thickBot="1" x14ac:dyDescent="0.25">
      <c r="A241" s="7">
        <v>2</v>
      </c>
      <c r="B241">
        <f>IF(ISBLANK(G241),"",VLOOKUP(H241,code!B:C,2,FALSE))</f>
        <v>1</v>
      </c>
      <c r="C241">
        <f t="shared" si="6"/>
        <v>0</v>
      </c>
      <c r="D241">
        <v>2022</v>
      </c>
      <c r="E241">
        <v>110635</v>
      </c>
      <c r="F241" t="s">
        <v>72</v>
      </c>
      <c r="G241" t="s">
        <v>284</v>
      </c>
      <c r="H241" t="s">
        <v>9</v>
      </c>
      <c r="I241">
        <v>578876</v>
      </c>
      <c r="J241">
        <f>I241/VLOOKUP($D241,CPI!$P$16:$R$22,3,FALSE)</f>
        <v>615125.40908784699</v>
      </c>
      <c r="K241">
        <f t="shared" si="7"/>
        <v>0</v>
      </c>
      <c r="L241" s="3" cm="1">
        <f t="array" ref="L241">IF($C241=0,INDEX('24&amp;25'!$L:$L,MATCH($D241&amp;$B241&amp;$E241,'24&amp;25'!$B:$B&amp;'24&amp;25'!$A:$A&amp;'24&amp;25'!$C:$C,0)),INDEX('24&amp;25'!$M:$M,MATCH($D241&amp;$B241&amp;$E241,'24&amp;25'!$B:$B&amp;'24&amp;25'!$A:$A&amp;'24&amp;25'!$C:$C,0)))</f>
        <v>0</v>
      </c>
      <c r="M241">
        <f>L241/VLOOKUP($D241,CPI!$P$16:$R$22,3,FALSE)</f>
        <v>0</v>
      </c>
    </row>
    <row r="242" spans="1:13" ht="16" thickBot="1" x14ac:dyDescent="0.25">
      <c r="A242" s="7">
        <v>2</v>
      </c>
      <c r="B242">
        <f>IF(ISBLANK(G242),"",VLOOKUP(H242,code!B:C,2,FALSE))</f>
        <v>2</v>
      </c>
      <c r="C242">
        <f t="shared" si="6"/>
        <v>0</v>
      </c>
      <c r="D242">
        <v>2022</v>
      </c>
      <c r="E242">
        <v>110635</v>
      </c>
      <c r="F242" t="s">
        <v>72</v>
      </c>
      <c r="G242" t="s">
        <v>284</v>
      </c>
      <c r="H242" t="s">
        <v>10</v>
      </c>
      <c r="I242">
        <v>2000658</v>
      </c>
      <c r="J242">
        <f>I242/VLOOKUP($D242,CPI!$P$16:$R$22,3,FALSE)</f>
        <v>2125939.8743338361</v>
      </c>
      <c r="K242">
        <f t="shared" si="7"/>
        <v>0</v>
      </c>
      <c r="L242" s="3" cm="1">
        <f t="array" ref="L242">IF($C242=0,INDEX('24&amp;25'!$L:$L,MATCH($D242&amp;$B242&amp;$E242,'24&amp;25'!$B:$B&amp;'24&amp;25'!$A:$A&amp;'24&amp;25'!$C:$C,0)),INDEX('24&amp;25'!$M:$M,MATCH($D242&amp;$B242&amp;$E242,'24&amp;25'!$B:$B&amp;'24&amp;25'!$A:$A&amp;'24&amp;25'!$C:$C,0)))</f>
        <v>463891</v>
      </c>
      <c r="M242">
        <f>L242/VLOOKUP($D242,CPI!$P$16:$R$22,3,FALSE)</f>
        <v>492940.00985905516</v>
      </c>
    </row>
    <row r="243" spans="1:13" ht="16" thickBot="1" x14ac:dyDescent="0.25">
      <c r="A243" s="7">
        <v>2</v>
      </c>
      <c r="B243">
        <f>IF(ISBLANK(G243),"",VLOOKUP(H243,code!B:C,2,FALSE))</f>
        <v>8</v>
      </c>
      <c r="C243">
        <f t="shared" si="6"/>
        <v>0</v>
      </c>
      <c r="D243">
        <v>2022</v>
      </c>
      <c r="E243">
        <v>110635</v>
      </c>
      <c r="F243" t="s">
        <v>72</v>
      </c>
      <c r="G243" t="s">
        <v>284</v>
      </c>
      <c r="H243" t="s">
        <v>16</v>
      </c>
      <c r="I243">
        <v>10146890</v>
      </c>
      <c r="J243">
        <f>I243/VLOOKUP($D243,CPI!$P$16:$R$22,3,FALSE)</f>
        <v>10782291.651786191</v>
      </c>
      <c r="K243">
        <f t="shared" si="7"/>
        <v>0</v>
      </c>
      <c r="L243" s="3" cm="1">
        <f t="array" ref="L243">IF($C243=0,INDEX('24&amp;25'!$L:$L,MATCH($D243&amp;$B243&amp;$E243,'24&amp;25'!$B:$B&amp;'24&amp;25'!$A:$A&amp;'24&amp;25'!$C:$C,0)),INDEX('24&amp;25'!$M:$M,MATCH($D243&amp;$B243&amp;$E243,'24&amp;25'!$B:$B&amp;'24&amp;25'!$A:$A&amp;'24&amp;25'!$C:$C,0)))</f>
        <v>2270163</v>
      </c>
      <c r="M243">
        <f>L243/VLOOKUP($D243,CPI!$P$16:$R$22,3,FALSE)</f>
        <v>2412321.3677386763</v>
      </c>
    </row>
    <row r="244" spans="1:13" ht="16" thickBot="1" x14ac:dyDescent="0.25">
      <c r="A244" s="7">
        <v>2</v>
      </c>
      <c r="B244">
        <f>IF(ISBLANK(G244),"",VLOOKUP(H244,code!B:C,2,FALSE))</f>
        <v>9</v>
      </c>
      <c r="C244">
        <f t="shared" si="6"/>
        <v>0</v>
      </c>
      <c r="D244">
        <v>2022</v>
      </c>
      <c r="E244">
        <v>110635</v>
      </c>
      <c r="F244" t="s">
        <v>72</v>
      </c>
      <c r="G244" t="s">
        <v>284</v>
      </c>
      <c r="H244" t="s">
        <v>17</v>
      </c>
      <c r="I244">
        <v>576079</v>
      </c>
      <c r="J244">
        <f>I244/VLOOKUP($D244,CPI!$P$16:$R$22,3,FALSE)</f>
        <v>612153.26001063746</v>
      </c>
      <c r="K244">
        <f t="shared" si="7"/>
        <v>0</v>
      </c>
      <c r="L244" s="3" cm="1">
        <f t="array" ref="L244">IF($C244=0,INDEX('24&amp;25'!$L:$L,MATCH($D244&amp;$B244&amp;$E244,'24&amp;25'!$B:$B&amp;'24&amp;25'!$A:$A&amp;'24&amp;25'!$C:$C,0)),INDEX('24&amp;25'!$M:$M,MATCH($D244&amp;$B244&amp;$E244,'24&amp;25'!$B:$B&amp;'24&amp;25'!$A:$A&amp;'24&amp;25'!$C:$C,0)))</f>
        <v>0</v>
      </c>
      <c r="M244">
        <f>L244/VLOOKUP($D244,CPI!$P$16:$R$22,3,FALSE)</f>
        <v>0</v>
      </c>
    </row>
    <row r="245" spans="1:13" ht="16" thickBot="1" x14ac:dyDescent="0.25">
      <c r="A245" s="7">
        <v>2</v>
      </c>
      <c r="B245">
        <f>IF(ISBLANK(G245),"",VLOOKUP(H245,code!B:C,2,FALSE))</f>
        <v>10</v>
      </c>
      <c r="C245">
        <f t="shared" si="6"/>
        <v>0</v>
      </c>
      <c r="D245">
        <v>2022</v>
      </c>
      <c r="E245">
        <v>110635</v>
      </c>
      <c r="F245" t="s">
        <v>72</v>
      </c>
      <c r="G245" t="s">
        <v>284</v>
      </c>
      <c r="H245" t="s">
        <v>18</v>
      </c>
      <c r="I245">
        <v>181889</v>
      </c>
      <c r="J245">
        <f>I245/VLOOKUP($D245,CPI!$P$16:$R$22,3,FALSE)</f>
        <v>193278.95012676186</v>
      </c>
      <c r="K245">
        <f t="shared" si="7"/>
        <v>0</v>
      </c>
      <c r="L245" s="3" cm="1">
        <f t="array" ref="L245">IF($C245=0,INDEX('24&amp;25'!$L:$L,MATCH($D245&amp;$B245&amp;$E245,'24&amp;25'!$B:$B&amp;'24&amp;25'!$A:$A&amp;'24&amp;25'!$C:$C,0)),INDEX('24&amp;25'!$M:$M,MATCH($D245&amp;$B245&amp;$E245,'24&amp;25'!$B:$B&amp;'24&amp;25'!$A:$A&amp;'24&amp;25'!$C:$C,0)))</f>
        <v>0</v>
      </c>
      <c r="M245">
        <f>L245/VLOOKUP($D245,CPI!$P$16:$R$22,3,FALSE)</f>
        <v>0</v>
      </c>
    </row>
    <row r="246" spans="1:13" ht="16" thickBot="1" x14ac:dyDescent="0.25">
      <c r="A246" s="7">
        <v>2</v>
      </c>
      <c r="B246">
        <f>IF(ISBLANK(G246),"",VLOOKUP(H246,code!B:C,2,FALSE))</f>
        <v>17</v>
      </c>
      <c r="C246">
        <f t="shared" si="6"/>
        <v>0</v>
      </c>
      <c r="D246">
        <v>2022</v>
      </c>
      <c r="E246">
        <v>110635</v>
      </c>
      <c r="F246" t="s">
        <v>72</v>
      </c>
      <c r="G246" t="s">
        <v>284</v>
      </c>
      <c r="H246" t="s">
        <v>25</v>
      </c>
      <c r="I246">
        <v>88079</v>
      </c>
      <c r="J246">
        <f>I246/VLOOKUP($D246,CPI!$P$16:$R$22,3,FALSE)</f>
        <v>93594.536493218708</v>
      </c>
      <c r="K246">
        <f t="shared" si="7"/>
        <v>0</v>
      </c>
      <c r="L246" s="3" cm="1">
        <f t="array" ref="L246">IF($C246=0,INDEX('24&amp;25'!$L:$L,MATCH($D246&amp;$B246&amp;$E246,'24&amp;25'!$B:$B&amp;'24&amp;25'!$A:$A&amp;'24&amp;25'!$C:$C,0)),INDEX('24&amp;25'!$M:$M,MATCH($D246&amp;$B246&amp;$E246,'24&amp;25'!$B:$B&amp;'24&amp;25'!$A:$A&amp;'24&amp;25'!$C:$C,0)))</f>
        <v>420</v>
      </c>
      <c r="M246">
        <f>L246/VLOOKUP($D246,CPI!$P$16:$R$22,3,FALSE)</f>
        <v>446.30054073220469</v>
      </c>
    </row>
    <row r="247" spans="1:13" ht="16" thickBot="1" x14ac:dyDescent="0.25">
      <c r="A247" s="7">
        <v>2</v>
      </c>
      <c r="B247">
        <f>IF(ISBLANK(G247),"",VLOOKUP(H247,code!B:C,2,FALSE))</f>
        <v>19</v>
      </c>
      <c r="C247">
        <f t="shared" si="6"/>
        <v>0</v>
      </c>
      <c r="D247">
        <v>2022</v>
      </c>
      <c r="E247">
        <v>110635</v>
      </c>
      <c r="F247" t="s">
        <v>72</v>
      </c>
      <c r="G247" t="s">
        <v>284</v>
      </c>
      <c r="H247" t="s">
        <v>27</v>
      </c>
      <c r="I247">
        <v>342054</v>
      </c>
      <c r="J247">
        <f>I247/VLOOKUP($D247,CPI!$P$16:$R$22,3,FALSE)</f>
        <v>363473.53609431797</v>
      </c>
      <c r="K247">
        <f t="shared" si="7"/>
        <v>0</v>
      </c>
      <c r="L247" s="3" cm="1">
        <f t="array" ref="L247">IF($C247=0,INDEX('24&amp;25'!$L:$L,MATCH($D247&amp;$B247&amp;$E247,'24&amp;25'!$B:$B&amp;'24&amp;25'!$A:$A&amp;'24&amp;25'!$C:$C,0)),INDEX('24&amp;25'!$M:$M,MATCH($D247&amp;$B247&amp;$E247,'24&amp;25'!$B:$B&amp;'24&amp;25'!$A:$A&amp;'24&amp;25'!$C:$C,0)))</f>
        <v>7543</v>
      </c>
      <c r="M247">
        <f>L247/VLOOKUP($D247,CPI!$P$16:$R$22,3,FALSE)</f>
        <v>8015.3451874833809</v>
      </c>
    </row>
    <row r="248" spans="1:13" ht="16" thickBot="1" x14ac:dyDescent="0.25">
      <c r="A248" s="7">
        <v>2</v>
      </c>
      <c r="B248">
        <f>IF(ISBLANK(G248),"",VLOOKUP(H248,code!B:C,2,FALSE))</f>
        <v>20</v>
      </c>
      <c r="C248">
        <f t="shared" si="6"/>
        <v>0</v>
      </c>
      <c r="D248">
        <v>2022</v>
      </c>
      <c r="E248">
        <v>110635</v>
      </c>
      <c r="F248" t="s">
        <v>72</v>
      </c>
      <c r="G248" t="s">
        <v>284</v>
      </c>
      <c r="H248" t="s">
        <v>28</v>
      </c>
      <c r="I248">
        <v>93862</v>
      </c>
      <c r="J248">
        <f>I248/VLOOKUP($D248,CPI!$P$16:$R$22,3,FALSE)</f>
        <v>99739.66989096714</v>
      </c>
      <c r="K248">
        <f t="shared" si="7"/>
        <v>0</v>
      </c>
      <c r="L248" s="3" cm="1">
        <f t="array" ref="L248">IF($C248=0,INDEX('24&amp;25'!$L:$L,MATCH($D248&amp;$B248&amp;$E248,'24&amp;25'!$B:$B&amp;'24&amp;25'!$A:$A&amp;'24&amp;25'!$C:$C,0)),INDEX('24&amp;25'!$M:$M,MATCH($D248&amp;$B248&amp;$E248,'24&amp;25'!$B:$B&amp;'24&amp;25'!$A:$A&amp;'24&amp;25'!$C:$C,0)))</f>
        <v>2669</v>
      </c>
      <c r="M248">
        <f>L248/VLOOKUP($D248,CPI!$P$16:$R$22,3,FALSE)</f>
        <v>2836.133674319653</v>
      </c>
    </row>
    <row r="249" spans="1:13" ht="16" thickBot="1" x14ac:dyDescent="0.25">
      <c r="A249" s="7">
        <v>2</v>
      </c>
      <c r="B249">
        <f>IF(ISBLANK(G249),"",VLOOKUP(H249,code!B:C,2,FALSE))</f>
        <v>21</v>
      </c>
      <c r="C249">
        <f t="shared" si="6"/>
        <v>0</v>
      </c>
      <c r="D249">
        <v>2022</v>
      </c>
      <c r="E249">
        <v>110635</v>
      </c>
      <c r="F249" t="s">
        <v>72</v>
      </c>
      <c r="G249" t="s">
        <v>284</v>
      </c>
      <c r="H249" t="s">
        <v>30</v>
      </c>
      <c r="I249">
        <v>159997</v>
      </c>
      <c r="J249">
        <f>I249/VLOOKUP($D249,CPI!$P$16:$R$22,3,FALSE)</f>
        <v>170016.06575126323</v>
      </c>
      <c r="K249">
        <f t="shared" si="7"/>
        <v>0</v>
      </c>
      <c r="L249" s="3" cm="1">
        <f t="array" ref="L249">IF($C249=0,INDEX('24&amp;25'!$L:$L,MATCH($D249&amp;$B249&amp;$E249,'24&amp;25'!$B:$B&amp;'24&amp;25'!$A:$A&amp;'24&amp;25'!$C:$C,0)),INDEX('24&amp;25'!$M:$M,MATCH($D249&amp;$B249&amp;$E249,'24&amp;25'!$B:$B&amp;'24&amp;25'!$A:$A&amp;'24&amp;25'!$C:$C,0)))</f>
        <v>516</v>
      </c>
      <c r="M249">
        <f>L249/VLOOKUP($D249,CPI!$P$16:$R$22,3,FALSE)</f>
        <v>548.31209289956576</v>
      </c>
    </row>
    <row r="250" spans="1:13" ht="16" thickBot="1" x14ac:dyDescent="0.25">
      <c r="A250" s="7">
        <v>2</v>
      </c>
      <c r="B250">
        <f>IF(ISBLANK(G250),"",VLOOKUP(H250,code!B:C,2,FALSE))</f>
        <v>24</v>
      </c>
      <c r="C250">
        <f t="shared" si="6"/>
        <v>0</v>
      </c>
      <c r="D250">
        <v>2022</v>
      </c>
      <c r="E250">
        <v>110635</v>
      </c>
      <c r="F250" t="s">
        <v>72</v>
      </c>
      <c r="G250" t="s">
        <v>284</v>
      </c>
      <c r="H250" t="s">
        <v>34</v>
      </c>
      <c r="I250">
        <v>72708</v>
      </c>
      <c r="J250">
        <f>I250/VLOOKUP($D250,CPI!$P$16:$R$22,3,FALSE)</f>
        <v>77260.999322755088</v>
      </c>
      <c r="K250">
        <f t="shared" si="7"/>
        <v>0</v>
      </c>
      <c r="L250" s="3" cm="1">
        <f t="array" ref="L250">IF($C250=0,INDEX('24&amp;25'!$L:$L,MATCH($D250&amp;$B250&amp;$E250,'24&amp;25'!$B:$B&amp;'24&amp;25'!$A:$A&amp;'24&amp;25'!$C:$C,0)),INDEX('24&amp;25'!$M:$M,MATCH($D250&amp;$B250&amp;$E250,'24&amp;25'!$B:$B&amp;'24&amp;25'!$A:$A&amp;'24&amp;25'!$C:$C,0)))</f>
        <v>420</v>
      </c>
      <c r="M250">
        <f>L250/VLOOKUP($D250,CPI!$P$16:$R$22,3,FALSE)</f>
        <v>446.30054073220469</v>
      </c>
    </row>
    <row r="251" spans="1:13" ht="16" thickBot="1" x14ac:dyDescent="0.25">
      <c r="A251" s="7">
        <v>2</v>
      </c>
      <c r="B251">
        <f>IF(ISBLANK(G251),"",VLOOKUP(H251,code!B:C,2,FALSE))</f>
        <v>2</v>
      </c>
      <c r="C251">
        <f t="shared" si="6"/>
        <v>1</v>
      </c>
      <c r="D251">
        <v>2022</v>
      </c>
      <c r="E251">
        <v>110635</v>
      </c>
      <c r="F251" t="s">
        <v>72</v>
      </c>
      <c r="G251" t="s">
        <v>285</v>
      </c>
      <c r="H251" t="s">
        <v>10</v>
      </c>
      <c r="I251">
        <v>280384</v>
      </c>
      <c r="J251">
        <f>I251/VLOOKUP($D251,CPI!$P$16:$R$22,3,FALSE)</f>
        <v>297941.74003013922</v>
      </c>
      <c r="K251">
        <f t="shared" si="7"/>
        <v>0</v>
      </c>
      <c r="L251" s="3" cm="1">
        <f t="array" ref="L251">IF($C251=0,INDEX('24&amp;25'!$L:$L,MATCH($D251&amp;$B251&amp;$E251,'24&amp;25'!$B:$B&amp;'24&amp;25'!$A:$A&amp;'24&amp;25'!$C:$C,0)),INDEX('24&amp;25'!$M:$M,MATCH($D251&amp;$B251&amp;$E251,'24&amp;25'!$B:$B&amp;'24&amp;25'!$A:$A&amp;'24&amp;25'!$C:$C,0)))</f>
        <v>531477</v>
      </c>
      <c r="M251">
        <f>L251/VLOOKUP($D251,CPI!$P$16:$R$22,3,FALSE)</f>
        <v>564758.26782554749</v>
      </c>
    </row>
    <row r="252" spans="1:13" ht="16" thickBot="1" x14ac:dyDescent="0.25">
      <c r="A252" s="7">
        <v>2</v>
      </c>
      <c r="B252">
        <f>IF(ISBLANK(G252),"",VLOOKUP(H252,code!B:C,2,FALSE))</f>
        <v>3</v>
      </c>
      <c r="C252">
        <f t="shared" si="6"/>
        <v>1</v>
      </c>
      <c r="D252">
        <v>2022</v>
      </c>
      <c r="E252">
        <v>110635</v>
      </c>
      <c r="F252" t="s">
        <v>72</v>
      </c>
      <c r="G252" t="s">
        <v>285</v>
      </c>
      <c r="H252" t="s">
        <v>11</v>
      </c>
      <c r="I252">
        <v>72059</v>
      </c>
      <c r="J252">
        <f>I252/VLOOKUP($D252,CPI!$P$16:$R$22,3,FALSE)</f>
        <v>76571.358725290323</v>
      </c>
      <c r="K252">
        <f t="shared" si="7"/>
        <v>0</v>
      </c>
      <c r="L252" s="3" cm="1">
        <f t="array" ref="L252">IF($C252=0,INDEX('24&amp;25'!$L:$L,MATCH($D252&amp;$B252&amp;$E252,'24&amp;25'!$B:$B&amp;'24&amp;25'!$A:$A&amp;'24&amp;25'!$C:$C,0)),INDEX('24&amp;25'!$M:$M,MATCH($D252&amp;$B252&amp;$E252,'24&amp;25'!$B:$B&amp;'24&amp;25'!$A:$A&amp;'24&amp;25'!$C:$C,0)))</f>
        <v>0</v>
      </c>
      <c r="M252">
        <f>L252/VLOOKUP($D252,CPI!$P$16:$R$22,3,FALSE)</f>
        <v>0</v>
      </c>
    </row>
    <row r="253" spans="1:13" ht="16" thickBot="1" x14ac:dyDescent="0.25">
      <c r="A253" s="7">
        <v>2</v>
      </c>
      <c r="B253">
        <f>IF(ISBLANK(G253),"",VLOOKUP(H253,code!B:C,2,FALSE))</f>
        <v>7</v>
      </c>
      <c r="C253">
        <f t="shared" si="6"/>
        <v>1</v>
      </c>
      <c r="D253">
        <v>2022</v>
      </c>
      <c r="E253">
        <v>110635</v>
      </c>
      <c r="F253" t="s">
        <v>72</v>
      </c>
      <c r="G253" t="s">
        <v>285</v>
      </c>
      <c r="H253" t="s">
        <v>15</v>
      </c>
      <c r="I253">
        <v>85702</v>
      </c>
      <c r="J253">
        <f>I253/VLOOKUP($D253,CPI!$P$16:$R$22,3,FALSE)</f>
        <v>91068.687956741443</v>
      </c>
      <c r="K253">
        <f t="shared" si="7"/>
        <v>0</v>
      </c>
      <c r="L253" s="3" cm="1">
        <f t="array" ref="L253">IF($C253=0,INDEX('24&amp;25'!$L:$L,MATCH($D253&amp;$B253&amp;$E253,'24&amp;25'!$B:$B&amp;'24&amp;25'!$A:$A&amp;'24&amp;25'!$C:$C,0)),INDEX('24&amp;25'!$M:$M,MATCH($D253&amp;$B253&amp;$E253,'24&amp;25'!$B:$B&amp;'24&amp;25'!$A:$A&amp;'24&amp;25'!$C:$C,0)))</f>
        <v>0</v>
      </c>
      <c r="M253">
        <f>L253/VLOOKUP($D253,CPI!$P$16:$R$22,3,FALSE)</f>
        <v>0</v>
      </c>
    </row>
    <row r="254" spans="1:13" ht="16" thickBot="1" x14ac:dyDescent="0.25">
      <c r="A254" s="7">
        <v>2</v>
      </c>
      <c r="B254">
        <f>IF(ISBLANK(G254),"",VLOOKUP(H254,code!B:C,2,FALSE))</f>
        <v>9</v>
      </c>
      <c r="C254">
        <f t="shared" si="6"/>
        <v>1</v>
      </c>
      <c r="D254">
        <v>2022</v>
      </c>
      <c r="E254">
        <v>110635</v>
      </c>
      <c r="F254" t="s">
        <v>72</v>
      </c>
      <c r="G254" t="s">
        <v>285</v>
      </c>
      <c r="H254" t="s">
        <v>17</v>
      </c>
      <c r="I254">
        <v>191551</v>
      </c>
      <c r="J254">
        <f>I254/VLOOKUP($D254,CPI!$P$16:$R$22,3,FALSE)</f>
        <v>203545.98780427271</v>
      </c>
      <c r="K254">
        <f t="shared" si="7"/>
        <v>0</v>
      </c>
      <c r="L254" s="3" cm="1">
        <f t="array" ref="L254">IF($C254=0,INDEX('24&amp;25'!$L:$L,MATCH($D254&amp;$B254&amp;$E254,'24&amp;25'!$B:$B&amp;'24&amp;25'!$A:$A&amp;'24&amp;25'!$C:$C,0)),INDEX('24&amp;25'!$M:$M,MATCH($D254&amp;$B254&amp;$E254,'24&amp;25'!$B:$B&amp;'24&amp;25'!$A:$A&amp;'24&amp;25'!$C:$C,0)))</f>
        <v>0</v>
      </c>
      <c r="M254">
        <f>L254/VLOOKUP($D254,CPI!$P$16:$R$22,3,FALSE)</f>
        <v>0</v>
      </c>
    </row>
    <row r="255" spans="1:13" ht="16" thickBot="1" x14ac:dyDescent="0.25">
      <c r="A255" s="7">
        <v>2</v>
      </c>
      <c r="B255">
        <f>IF(ISBLANK(G255),"",VLOOKUP(H255,code!B:C,2,FALSE))</f>
        <v>10</v>
      </c>
      <c r="C255">
        <f t="shared" si="6"/>
        <v>1</v>
      </c>
      <c r="D255">
        <v>2022</v>
      </c>
      <c r="E255">
        <v>110635</v>
      </c>
      <c r="F255" t="s">
        <v>72</v>
      </c>
      <c r="G255" t="s">
        <v>285</v>
      </c>
      <c r="H255" t="s">
        <v>18</v>
      </c>
      <c r="I255">
        <v>160993</v>
      </c>
      <c r="J255">
        <f>I255/VLOOKUP($D255,CPI!$P$16:$R$22,3,FALSE)</f>
        <v>171074.4356049996</v>
      </c>
      <c r="K255">
        <f t="shared" si="7"/>
        <v>0</v>
      </c>
      <c r="L255" s="3" cm="1">
        <f t="array" ref="L255">IF($C255=0,INDEX('24&amp;25'!$L:$L,MATCH($D255&amp;$B255&amp;$E255,'24&amp;25'!$B:$B&amp;'24&amp;25'!$A:$A&amp;'24&amp;25'!$C:$C,0)),INDEX('24&amp;25'!$M:$M,MATCH($D255&amp;$B255&amp;$E255,'24&amp;25'!$B:$B&amp;'24&amp;25'!$A:$A&amp;'24&amp;25'!$C:$C,0)))</f>
        <v>4687</v>
      </c>
      <c r="M255">
        <f>L255/VLOOKUP($D255,CPI!$P$16:$R$22,3,FALSE)</f>
        <v>4980.5015105043885</v>
      </c>
    </row>
    <row r="256" spans="1:13" ht="16" thickBot="1" x14ac:dyDescent="0.25">
      <c r="A256" s="7">
        <v>2</v>
      </c>
      <c r="B256">
        <f>IF(ISBLANK(G256),"",VLOOKUP(H256,code!B:C,2,FALSE))</f>
        <v>12</v>
      </c>
      <c r="C256">
        <f t="shared" si="6"/>
        <v>1</v>
      </c>
      <c r="D256">
        <v>2022</v>
      </c>
      <c r="E256">
        <v>110635</v>
      </c>
      <c r="F256" t="s">
        <v>72</v>
      </c>
      <c r="G256" t="s">
        <v>285</v>
      </c>
      <c r="H256" t="s">
        <v>20</v>
      </c>
      <c r="I256">
        <v>122152</v>
      </c>
      <c r="J256">
        <f>I256/VLOOKUP($D256,CPI!$P$16:$R$22,3,FALSE)</f>
        <v>129801.19917028635</v>
      </c>
      <c r="K256">
        <f t="shared" si="7"/>
        <v>0</v>
      </c>
      <c r="L256" s="3" cm="1">
        <f t="array" ref="L256">IF($C256=0,INDEX('24&amp;25'!$L:$L,MATCH($D256&amp;$B256&amp;$E256,'24&amp;25'!$B:$B&amp;'24&amp;25'!$A:$A&amp;'24&amp;25'!$C:$C,0)),INDEX('24&amp;25'!$M:$M,MATCH($D256&amp;$B256&amp;$E256,'24&amp;25'!$B:$B&amp;'24&amp;25'!$A:$A&amp;'24&amp;25'!$C:$C,0)))</f>
        <v>1928</v>
      </c>
      <c r="M256">
        <f>L256/VLOOKUP($D256,CPI!$P$16:$R$22,3,FALSE)</f>
        <v>2048.7320060278348</v>
      </c>
    </row>
    <row r="257" spans="1:13" ht="16" thickBot="1" x14ac:dyDescent="0.25">
      <c r="A257" s="7">
        <v>2</v>
      </c>
      <c r="B257">
        <f>IF(ISBLANK(G257),"",VLOOKUP(H257,code!B:C,2,FALSE))</f>
        <v>14</v>
      </c>
      <c r="C257">
        <f t="shared" si="6"/>
        <v>1</v>
      </c>
      <c r="D257">
        <v>2022</v>
      </c>
      <c r="E257">
        <v>110635</v>
      </c>
      <c r="F257" t="s">
        <v>72</v>
      </c>
      <c r="G257" t="s">
        <v>285</v>
      </c>
      <c r="H257" t="s">
        <v>22</v>
      </c>
      <c r="I257">
        <v>173803</v>
      </c>
      <c r="J257">
        <f>I257/VLOOKUP($D257,CPI!$P$16:$R$22,3,FALSE)</f>
        <v>184686.60209733184</v>
      </c>
      <c r="K257">
        <f t="shared" si="7"/>
        <v>0</v>
      </c>
      <c r="L257" s="3" cm="1">
        <f t="array" ref="L257">IF($C257=0,INDEX('24&amp;25'!$L:$L,MATCH($D257&amp;$B257&amp;$E257,'24&amp;25'!$B:$B&amp;'24&amp;25'!$A:$A&amp;'24&amp;25'!$C:$C,0)),INDEX('24&amp;25'!$M:$M,MATCH($D257&amp;$B257&amp;$E257,'24&amp;25'!$B:$B&amp;'24&amp;25'!$A:$A&amp;'24&amp;25'!$C:$C,0)))</f>
        <v>19495</v>
      </c>
      <c r="M257">
        <f>L257/VLOOKUP($D257,CPI!$P$16:$R$22,3,FALSE)</f>
        <v>20715.783432319833</v>
      </c>
    </row>
    <row r="258" spans="1:13" ht="16" thickBot="1" x14ac:dyDescent="0.25">
      <c r="A258" s="7">
        <v>2</v>
      </c>
      <c r="B258">
        <f>IF(ISBLANK(G258),"",VLOOKUP(H258,code!B:C,2,FALSE))</f>
        <v>17</v>
      </c>
      <c r="C258">
        <f t="shared" si="6"/>
        <v>1</v>
      </c>
      <c r="D258">
        <v>2022</v>
      </c>
      <c r="E258">
        <v>110635</v>
      </c>
      <c r="F258" t="s">
        <v>72</v>
      </c>
      <c r="G258" t="s">
        <v>285</v>
      </c>
      <c r="H258" t="s">
        <v>25</v>
      </c>
      <c r="I258">
        <v>44074</v>
      </c>
      <c r="J258">
        <f>I258/VLOOKUP($D258,CPI!$P$16:$R$22,3,FALSE)</f>
        <v>46833.928648169502</v>
      </c>
      <c r="K258">
        <f t="shared" si="7"/>
        <v>0</v>
      </c>
      <c r="L258" s="3" cm="1">
        <f t="array" ref="L258">IF($C258=0,INDEX('24&amp;25'!$L:$L,MATCH($D258&amp;$B258&amp;$E258,'24&amp;25'!$B:$B&amp;'24&amp;25'!$A:$A&amp;'24&amp;25'!$C:$C,0)),INDEX('24&amp;25'!$M:$M,MATCH($D258&amp;$B258&amp;$E258,'24&amp;25'!$B:$B&amp;'24&amp;25'!$A:$A&amp;'24&amp;25'!$C:$C,0)))</f>
        <v>420</v>
      </c>
      <c r="M258">
        <f>L258/VLOOKUP($D258,CPI!$P$16:$R$22,3,FALSE)</f>
        <v>446.30054073220469</v>
      </c>
    </row>
    <row r="259" spans="1:13" ht="16" thickBot="1" x14ac:dyDescent="0.25">
      <c r="A259" s="7">
        <v>2</v>
      </c>
      <c r="B259">
        <f>IF(ISBLANK(G259),"",VLOOKUP(H259,code!B:C,2,FALSE))</f>
        <v>18</v>
      </c>
      <c r="C259">
        <f t="shared" ref="C259:C322" si="8">IF(ISBLANK(G259),"",IF(MID(G259,1,1)="M",0,1))</f>
        <v>1</v>
      </c>
      <c r="D259">
        <v>2022</v>
      </c>
      <c r="E259">
        <v>110635</v>
      </c>
      <c r="F259" t="s">
        <v>72</v>
      </c>
      <c r="G259" t="s">
        <v>285</v>
      </c>
      <c r="H259" t="s">
        <v>26</v>
      </c>
      <c r="I259">
        <v>150382</v>
      </c>
      <c r="J259">
        <f>I259/VLOOKUP($D259,CPI!$P$16:$R$22,3,FALSE)</f>
        <v>159798.97122950095</v>
      </c>
      <c r="K259">
        <f t="shared" ref="K259:K322" si="9">IF(ISBLANK(G259),"",IF(D259=2021,1,0))</f>
        <v>0</v>
      </c>
      <c r="L259" s="3" cm="1">
        <f t="array" ref="L259">IF($C259=0,INDEX('24&amp;25'!$L:$L,MATCH($D259&amp;$B259&amp;$E259,'24&amp;25'!$B:$B&amp;'24&amp;25'!$A:$A&amp;'24&amp;25'!$C:$C,0)),INDEX('24&amp;25'!$M:$M,MATCH($D259&amp;$B259&amp;$E259,'24&amp;25'!$B:$B&amp;'24&amp;25'!$A:$A&amp;'24&amp;25'!$C:$C,0)))</f>
        <v>0</v>
      </c>
      <c r="M259">
        <f>L259/VLOOKUP($D259,CPI!$P$16:$R$22,3,FALSE)</f>
        <v>0</v>
      </c>
    </row>
    <row r="260" spans="1:13" ht="16" thickBot="1" x14ac:dyDescent="0.25">
      <c r="A260" s="7">
        <v>2</v>
      </c>
      <c r="B260">
        <f>IF(ISBLANK(G260),"",VLOOKUP(H260,code!B:C,2,FALSE))</f>
        <v>19</v>
      </c>
      <c r="C260">
        <f t="shared" si="8"/>
        <v>1</v>
      </c>
      <c r="D260">
        <v>2022</v>
      </c>
      <c r="E260">
        <v>110635</v>
      </c>
      <c r="F260" t="s">
        <v>72</v>
      </c>
      <c r="G260" t="s">
        <v>285</v>
      </c>
      <c r="H260" t="s">
        <v>27</v>
      </c>
      <c r="I260">
        <v>23869</v>
      </c>
      <c r="J260">
        <f>I260/VLOOKUP($D260,CPI!$P$16:$R$22,3,FALSE)</f>
        <v>25363.684777945222</v>
      </c>
      <c r="K260">
        <f t="shared" si="9"/>
        <v>0</v>
      </c>
      <c r="L260" s="3" cm="1">
        <f t="array" ref="L260">IF($C260=0,INDEX('24&amp;25'!$L:$L,MATCH($D260&amp;$B260&amp;$E260,'24&amp;25'!$B:$B&amp;'24&amp;25'!$A:$A&amp;'24&amp;25'!$C:$C,0)),INDEX('24&amp;25'!$M:$M,MATCH($D260&amp;$B260&amp;$E260,'24&amp;25'!$B:$B&amp;'24&amp;25'!$A:$A&amp;'24&amp;25'!$C:$C,0)))</f>
        <v>3869</v>
      </c>
      <c r="M260">
        <f>L260/VLOOKUP($D260,CPI!$P$16:$R$22,3,FALSE)</f>
        <v>4111.2780764116669</v>
      </c>
    </row>
    <row r="261" spans="1:13" ht="16" thickBot="1" x14ac:dyDescent="0.25">
      <c r="A261" s="7">
        <v>2</v>
      </c>
      <c r="B261">
        <f>IF(ISBLANK(G261),"",VLOOKUP(H261,code!B:C,2,FALSE))</f>
        <v>20</v>
      </c>
      <c r="C261">
        <f t="shared" si="8"/>
        <v>1</v>
      </c>
      <c r="D261">
        <v>2022</v>
      </c>
      <c r="E261">
        <v>110635</v>
      </c>
      <c r="F261" t="s">
        <v>72</v>
      </c>
      <c r="G261" t="s">
        <v>285</v>
      </c>
      <c r="H261" t="s">
        <v>28</v>
      </c>
      <c r="I261">
        <v>12689</v>
      </c>
      <c r="J261">
        <f>I261/VLOOKUP($D261,CPI!$P$16:$R$22,3,FALSE)</f>
        <v>13483.589431787965</v>
      </c>
      <c r="K261">
        <f t="shared" si="9"/>
        <v>0</v>
      </c>
      <c r="L261" s="3" cm="1">
        <f t="array" ref="L261">IF($C261=0,INDEX('24&amp;25'!$L:$L,MATCH($D261&amp;$B261&amp;$E261,'24&amp;25'!$B:$B&amp;'24&amp;25'!$A:$A&amp;'24&amp;25'!$C:$C,0)),INDEX('24&amp;25'!$M:$M,MATCH($D261&amp;$B261&amp;$E261,'24&amp;25'!$B:$B&amp;'24&amp;25'!$A:$A&amp;'24&amp;25'!$C:$C,0)))</f>
        <v>7916</v>
      </c>
      <c r="M261">
        <f>L261/VLOOKUP($D261,CPI!$P$16:$R$22,3,FALSE)</f>
        <v>8411.702572466982</v>
      </c>
    </row>
    <row r="262" spans="1:13" ht="16" thickBot="1" x14ac:dyDescent="0.25">
      <c r="A262" s="7">
        <v>2</v>
      </c>
      <c r="B262">
        <f>IF(ISBLANK(G262),"",VLOOKUP(H262,code!B:C,2,FALSE))</f>
        <v>21</v>
      </c>
      <c r="C262">
        <f t="shared" si="8"/>
        <v>1</v>
      </c>
      <c r="D262">
        <v>2022</v>
      </c>
      <c r="E262">
        <v>110635</v>
      </c>
      <c r="F262" t="s">
        <v>72</v>
      </c>
      <c r="G262" t="s">
        <v>285</v>
      </c>
      <c r="H262" t="s">
        <v>30</v>
      </c>
      <c r="I262">
        <v>153723</v>
      </c>
      <c r="J262">
        <f>I262/VLOOKUP($D262,CPI!$P$16:$R$22,3,FALSE)</f>
        <v>163349.18576899215</v>
      </c>
      <c r="K262">
        <f t="shared" si="9"/>
        <v>0</v>
      </c>
      <c r="L262" s="3" cm="1">
        <f t="array" ref="L262">IF($C262=0,INDEX('24&amp;25'!$L:$L,MATCH($D262&amp;$B262&amp;$E262,'24&amp;25'!$B:$B&amp;'24&amp;25'!$A:$A&amp;'24&amp;25'!$C:$C,0)),INDEX('24&amp;25'!$M:$M,MATCH($D262&amp;$B262&amp;$E262,'24&amp;25'!$B:$B&amp;'24&amp;25'!$A:$A&amp;'24&amp;25'!$C:$C,0)))</f>
        <v>497</v>
      </c>
      <c r="M262">
        <f>L262/VLOOKUP($D262,CPI!$P$16:$R$22,3,FALSE)</f>
        <v>528.12230653310883</v>
      </c>
    </row>
    <row r="263" spans="1:13" ht="16" thickBot="1" x14ac:dyDescent="0.25">
      <c r="A263" s="7">
        <v>2</v>
      </c>
      <c r="B263">
        <f>IF(ISBLANK(G263),"",VLOOKUP(H263,code!B:C,2,FALSE))</f>
        <v>23</v>
      </c>
      <c r="C263">
        <f t="shared" si="8"/>
        <v>1</v>
      </c>
      <c r="D263">
        <v>2022</v>
      </c>
      <c r="E263">
        <v>110635</v>
      </c>
      <c r="F263" t="s">
        <v>72</v>
      </c>
      <c r="G263" t="s">
        <v>285</v>
      </c>
      <c r="H263" t="s">
        <v>33</v>
      </c>
      <c r="I263">
        <v>122639</v>
      </c>
      <c r="J263">
        <f>I263/VLOOKUP($D263,CPI!$P$16:$R$22,3,FALSE)</f>
        <v>130318.69527346869</v>
      </c>
      <c r="K263">
        <f t="shared" si="9"/>
        <v>0</v>
      </c>
      <c r="L263" s="3" cm="1">
        <f t="array" ref="L263">IF($C263=0,INDEX('24&amp;25'!$L:$L,MATCH($D263&amp;$B263&amp;$E263,'24&amp;25'!$B:$B&amp;'24&amp;25'!$A:$A&amp;'24&amp;25'!$C:$C,0)),INDEX('24&amp;25'!$M:$M,MATCH($D263&amp;$B263&amp;$E263,'24&amp;25'!$B:$B&amp;'24&amp;25'!$A:$A&amp;'24&amp;25'!$C:$C,0)))</f>
        <v>94864</v>
      </c>
      <c r="M263">
        <f>L263/VLOOKUP($D263,CPI!$P$16:$R$22,3,FALSE)</f>
        <v>100804.41546671397</v>
      </c>
    </row>
    <row r="264" spans="1:13" ht="16" thickBot="1" x14ac:dyDescent="0.25">
      <c r="A264" s="7">
        <v>2</v>
      </c>
      <c r="B264">
        <f>IF(ISBLANK(G264),"",VLOOKUP(H264,code!B:C,2,FALSE))</f>
        <v>24</v>
      </c>
      <c r="C264">
        <f t="shared" si="8"/>
        <v>1</v>
      </c>
      <c r="D264">
        <v>2022</v>
      </c>
      <c r="E264">
        <v>110635</v>
      </c>
      <c r="F264" t="s">
        <v>72</v>
      </c>
      <c r="G264" t="s">
        <v>285</v>
      </c>
      <c r="H264" t="s">
        <v>34</v>
      </c>
      <c r="I264">
        <v>0</v>
      </c>
      <c r="J264">
        <f>I264/VLOOKUP($D264,CPI!$P$16:$R$22,3,FALSE)</f>
        <v>0</v>
      </c>
      <c r="K264">
        <f t="shared" si="9"/>
        <v>0</v>
      </c>
      <c r="L264" s="3" cm="1">
        <f t="array" ref="L264">IF($C264=0,INDEX('24&amp;25'!$L:$L,MATCH($D264&amp;$B264&amp;$E264,'24&amp;25'!$B:$B&amp;'24&amp;25'!$A:$A&amp;'24&amp;25'!$C:$C,0)),INDEX('24&amp;25'!$M:$M,MATCH($D264&amp;$B264&amp;$E264,'24&amp;25'!$B:$B&amp;'24&amp;25'!$A:$A&amp;'24&amp;25'!$C:$C,0)))</f>
        <v>2183</v>
      </c>
      <c r="M264">
        <f>L264/VLOOKUP($D264,CPI!$P$16:$R$22,3,FALSE)</f>
        <v>2319.7001914723878</v>
      </c>
    </row>
    <row r="265" spans="1:13" ht="16" thickBot="1" x14ac:dyDescent="0.25">
      <c r="A265" s="7">
        <v>2</v>
      </c>
      <c r="B265">
        <f>IF(ISBLANK(G265),"",VLOOKUP(H265,code!B:C,2,FALSE))</f>
        <v>1</v>
      </c>
      <c r="C265">
        <f t="shared" si="8"/>
        <v>0</v>
      </c>
      <c r="D265">
        <v>2023</v>
      </c>
      <c r="E265">
        <v>110635</v>
      </c>
      <c r="F265" t="s">
        <v>72</v>
      </c>
      <c r="G265" t="s">
        <v>284</v>
      </c>
      <c r="H265" t="s">
        <v>9</v>
      </c>
      <c r="I265">
        <v>1460063</v>
      </c>
      <c r="J265">
        <f>I265/VLOOKUP($D265,CPI!$P$16:$R$22,3,FALSE)</f>
        <v>1460063</v>
      </c>
      <c r="K265">
        <f t="shared" si="9"/>
        <v>0</v>
      </c>
      <c r="L265" s="3" cm="1">
        <f t="array" ref="L265">IF($C265=0,INDEX('24&amp;25'!$L:$L,MATCH($D265&amp;$B265&amp;$E265,'24&amp;25'!$B:$B&amp;'24&amp;25'!$A:$A&amp;'24&amp;25'!$C:$C,0)),INDEX('24&amp;25'!$M:$M,MATCH($D265&amp;$B265&amp;$E265,'24&amp;25'!$B:$B&amp;'24&amp;25'!$A:$A&amp;'24&amp;25'!$C:$C,0)))</f>
        <v>0</v>
      </c>
      <c r="M265">
        <f>L265/VLOOKUP($D265,CPI!$P$16:$R$22,3,FALSE)</f>
        <v>0</v>
      </c>
    </row>
    <row r="266" spans="1:13" ht="16" thickBot="1" x14ac:dyDescent="0.25">
      <c r="A266" s="7">
        <v>2</v>
      </c>
      <c r="B266">
        <f>IF(ISBLANK(G266),"",VLOOKUP(H266,code!B:C,2,FALSE))</f>
        <v>2</v>
      </c>
      <c r="C266">
        <f t="shared" si="8"/>
        <v>0</v>
      </c>
      <c r="D266">
        <v>2023</v>
      </c>
      <c r="E266">
        <v>110635</v>
      </c>
      <c r="F266" t="s">
        <v>72</v>
      </c>
      <c r="G266" t="s">
        <v>284</v>
      </c>
      <c r="H266" t="s">
        <v>10</v>
      </c>
      <c r="I266">
        <v>1742926</v>
      </c>
      <c r="J266">
        <f>I266/VLOOKUP($D266,CPI!$P$16:$R$22,3,FALSE)</f>
        <v>1742926</v>
      </c>
      <c r="K266">
        <f t="shared" si="9"/>
        <v>0</v>
      </c>
      <c r="L266" s="3" cm="1">
        <f t="array" ref="L266">IF($C266=0,INDEX('24&amp;25'!$L:$L,MATCH($D266&amp;$B266&amp;$E266,'24&amp;25'!$B:$B&amp;'24&amp;25'!$A:$A&amp;'24&amp;25'!$C:$C,0)),INDEX('24&amp;25'!$M:$M,MATCH($D266&amp;$B266&amp;$E266,'24&amp;25'!$B:$B&amp;'24&amp;25'!$A:$A&amp;'24&amp;25'!$C:$C,0)))</f>
        <v>520740</v>
      </c>
      <c r="M266">
        <f>L266/VLOOKUP($D266,CPI!$P$16:$R$22,3,FALSE)</f>
        <v>520740</v>
      </c>
    </row>
    <row r="267" spans="1:13" ht="16" thickBot="1" x14ac:dyDescent="0.25">
      <c r="A267" s="7">
        <v>2</v>
      </c>
      <c r="B267">
        <f>IF(ISBLANK(G267),"",VLOOKUP(H267,code!B:C,2,FALSE))</f>
        <v>8</v>
      </c>
      <c r="C267">
        <f t="shared" si="8"/>
        <v>0</v>
      </c>
      <c r="D267">
        <v>2023</v>
      </c>
      <c r="E267">
        <v>110635</v>
      </c>
      <c r="F267" t="s">
        <v>72</v>
      </c>
      <c r="G267" t="s">
        <v>284</v>
      </c>
      <c r="H267" t="s">
        <v>16</v>
      </c>
      <c r="I267">
        <v>13377842</v>
      </c>
      <c r="J267">
        <f>I267/VLOOKUP($D267,CPI!$P$16:$R$22,3,FALSE)</f>
        <v>13377842</v>
      </c>
      <c r="K267">
        <f t="shared" si="9"/>
        <v>0</v>
      </c>
      <c r="L267" s="3" cm="1">
        <f t="array" ref="L267">IF($C267=0,INDEX('24&amp;25'!$L:$L,MATCH($D267&amp;$B267&amp;$E267,'24&amp;25'!$B:$B&amp;'24&amp;25'!$A:$A&amp;'24&amp;25'!$C:$C,0)),INDEX('24&amp;25'!$M:$M,MATCH($D267&amp;$B267&amp;$E267,'24&amp;25'!$B:$B&amp;'24&amp;25'!$A:$A&amp;'24&amp;25'!$C:$C,0)))</f>
        <v>2779357</v>
      </c>
      <c r="M267">
        <f>L267/VLOOKUP($D267,CPI!$P$16:$R$22,3,FALSE)</f>
        <v>2779357</v>
      </c>
    </row>
    <row r="268" spans="1:13" ht="16" thickBot="1" x14ac:dyDescent="0.25">
      <c r="A268" s="7">
        <v>2</v>
      </c>
      <c r="B268">
        <f>IF(ISBLANK(G268),"",VLOOKUP(H268,code!B:C,2,FALSE))</f>
        <v>9</v>
      </c>
      <c r="C268">
        <f t="shared" si="8"/>
        <v>0</v>
      </c>
      <c r="D268">
        <v>2023</v>
      </c>
      <c r="E268">
        <v>110635</v>
      </c>
      <c r="F268" t="s">
        <v>72</v>
      </c>
      <c r="G268" t="s">
        <v>284</v>
      </c>
      <c r="H268" t="s">
        <v>17</v>
      </c>
      <c r="I268">
        <v>271713</v>
      </c>
      <c r="J268">
        <f>I268/VLOOKUP($D268,CPI!$P$16:$R$22,3,FALSE)</f>
        <v>271713</v>
      </c>
      <c r="K268">
        <f t="shared" si="9"/>
        <v>0</v>
      </c>
      <c r="L268" s="3" cm="1">
        <f t="array" ref="L268">IF($C268=0,INDEX('24&amp;25'!$L:$L,MATCH($D268&amp;$B268&amp;$E268,'24&amp;25'!$B:$B&amp;'24&amp;25'!$A:$A&amp;'24&amp;25'!$C:$C,0)),INDEX('24&amp;25'!$M:$M,MATCH($D268&amp;$B268&amp;$E268,'24&amp;25'!$B:$B&amp;'24&amp;25'!$A:$A&amp;'24&amp;25'!$C:$C,0)))</f>
        <v>0</v>
      </c>
      <c r="M268">
        <f>L268/VLOOKUP($D268,CPI!$P$16:$R$22,3,FALSE)</f>
        <v>0</v>
      </c>
    </row>
    <row r="269" spans="1:13" ht="16" thickBot="1" x14ac:dyDescent="0.25">
      <c r="A269" s="7">
        <v>2</v>
      </c>
      <c r="B269">
        <f>IF(ISBLANK(G269),"",VLOOKUP(H269,code!B:C,2,FALSE))</f>
        <v>10</v>
      </c>
      <c r="C269">
        <f t="shared" si="8"/>
        <v>0</v>
      </c>
      <c r="D269">
        <v>2023</v>
      </c>
      <c r="E269">
        <v>110635</v>
      </c>
      <c r="F269" t="s">
        <v>72</v>
      </c>
      <c r="G269" t="s">
        <v>284</v>
      </c>
      <c r="H269" t="s">
        <v>18</v>
      </c>
      <c r="I269">
        <v>160891</v>
      </c>
      <c r="J269">
        <f>I269/VLOOKUP($D269,CPI!$P$16:$R$22,3,FALSE)</f>
        <v>160891</v>
      </c>
      <c r="K269">
        <f t="shared" si="9"/>
        <v>0</v>
      </c>
      <c r="L269" s="3" cm="1">
        <f t="array" ref="L269">IF($C269=0,INDEX('24&amp;25'!$L:$L,MATCH($D269&amp;$B269&amp;$E269,'24&amp;25'!$B:$B&amp;'24&amp;25'!$A:$A&amp;'24&amp;25'!$C:$C,0)),INDEX('24&amp;25'!$M:$M,MATCH($D269&amp;$B269&amp;$E269,'24&amp;25'!$B:$B&amp;'24&amp;25'!$A:$A&amp;'24&amp;25'!$C:$C,0)))</f>
        <v>0</v>
      </c>
      <c r="M269">
        <f>L269/VLOOKUP($D269,CPI!$P$16:$R$22,3,FALSE)</f>
        <v>0</v>
      </c>
    </row>
    <row r="270" spans="1:13" ht="16" thickBot="1" x14ac:dyDescent="0.25">
      <c r="A270" s="7">
        <v>2</v>
      </c>
      <c r="B270">
        <f>IF(ISBLANK(G270),"",VLOOKUP(H270,code!B:C,2,FALSE))</f>
        <v>17</v>
      </c>
      <c r="C270">
        <f t="shared" si="8"/>
        <v>0</v>
      </c>
      <c r="D270">
        <v>2023</v>
      </c>
      <c r="E270">
        <v>110635</v>
      </c>
      <c r="F270" t="s">
        <v>72</v>
      </c>
      <c r="G270" t="s">
        <v>284</v>
      </c>
      <c r="H270" t="s">
        <v>25</v>
      </c>
      <c r="I270">
        <v>101873</v>
      </c>
      <c r="J270">
        <f>I270/VLOOKUP($D270,CPI!$P$16:$R$22,3,FALSE)</f>
        <v>101873</v>
      </c>
      <c r="K270">
        <f t="shared" si="9"/>
        <v>0</v>
      </c>
      <c r="L270" s="3" cm="1">
        <f t="array" ref="L270">IF($C270=0,INDEX('24&amp;25'!$L:$L,MATCH($D270&amp;$B270&amp;$E270,'24&amp;25'!$B:$B&amp;'24&amp;25'!$A:$A&amp;'24&amp;25'!$C:$C,0)),INDEX('24&amp;25'!$M:$M,MATCH($D270&amp;$B270&amp;$E270,'24&amp;25'!$B:$B&amp;'24&amp;25'!$A:$A&amp;'24&amp;25'!$C:$C,0)))</f>
        <v>1648</v>
      </c>
      <c r="M270">
        <f>L270/VLOOKUP($D270,CPI!$P$16:$R$22,3,FALSE)</f>
        <v>1648</v>
      </c>
    </row>
    <row r="271" spans="1:13" ht="16" thickBot="1" x14ac:dyDescent="0.25">
      <c r="A271" s="7">
        <v>2</v>
      </c>
      <c r="B271">
        <f>IF(ISBLANK(G271),"",VLOOKUP(H271,code!B:C,2,FALSE))</f>
        <v>19</v>
      </c>
      <c r="C271">
        <f t="shared" si="8"/>
        <v>0</v>
      </c>
      <c r="D271">
        <v>2023</v>
      </c>
      <c r="E271">
        <v>110635</v>
      </c>
      <c r="F271" t="s">
        <v>72</v>
      </c>
      <c r="G271" t="s">
        <v>284</v>
      </c>
      <c r="H271" t="s">
        <v>27</v>
      </c>
      <c r="I271">
        <v>495721</v>
      </c>
      <c r="J271">
        <f>I271/VLOOKUP($D271,CPI!$P$16:$R$22,3,FALSE)</f>
        <v>495721</v>
      </c>
      <c r="K271">
        <f t="shared" si="9"/>
        <v>0</v>
      </c>
      <c r="L271" s="3" cm="1">
        <f t="array" ref="L271">IF($C271=0,INDEX('24&amp;25'!$L:$L,MATCH($D271&amp;$B271&amp;$E271,'24&amp;25'!$B:$B&amp;'24&amp;25'!$A:$A&amp;'24&amp;25'!$C:$C,0)),INDEX('24&amp;25'!$M:$M,MATCH($D271&amp;$B271&amp;$E271,'24&amp;25'!$B:$B&amp;'24&amp;25'!$A:$A&amp;'24&amp;25'!$C:$C,0)))</f>
        <v>44454</v>
      </c>
      <c r="M271">
        <f>L271/VLOOKUP($D271,CPI!$P$16:$R$22,3,FALSE)</f>
        <v>44454</v>
      </c>
    </row>
    <row r="272" spans="1:13" ht="16" thickBot="1" x14ac:dyDescent="0.25">
      <c r="A272" s="7">
        <v>2</v>
      </c>
      <c r="B272">
        <f>IF(ISBLANK(G272),"",VLOOKUP(H272,code!B:C,2,FALSE))</f>
        <v>20</v>
      </c>
      <c r="C272">
        <f t="shared" si="8"/>
        <v>0</v>
      </c>
      <c r="D272">
        <v>2023</v>
      </c>
      <c r="E272">
        <v>110635</v>
      </c>
      <c r="F272" t="s">
        <v>72</v>
      </c>
      <c r="G272" t="s">
        <v>284</v>
      </c>
      <c r="H272" t="s">
        <v>28</v>
      </c>
      <c r="I272">
        <v>139439</v>
      </c>
      <c r="J272">
        <f>I272/VLOOKUP($D272,CPI!$P$16:$R$22,3,FALSE)</f>
        <v>139439</v>
      </c>
      <c r="K272">
        <f t="shared" si="9"/>
        <v>0</v>
      </c>
      <c r="L272" s="3" cm="1">
        <f t="array" ref="L272">IF($C272=0,INDEX('24&amp;25'!$L:$L,MATCH($D272&amp;$B272&amp;$E272,'24&amp;25'!$B:$B&amp;'24&amp;25'!$A:$A&amp;'24&amp;25'!$C:$C,0)),INDEX('24&amp;25'!$M:$M,MATCH($D272&amp;$B272&amp;$E272,'24&amp;25'!$B:$B&amp;'24&amp;25'!$A:$A&amp;'24&amp;25'!$C:$C,0)))</f>
        <v>6385</v>
      </c>
      <c r="M272">
        <f>L272/VLOOKUP($D272,CPI!$P$16:$R$22,3,FALSE)</f>
        <v>6385</v>
      </c>
    </row>
    <row r="273" spans="1:13" ht="16" thickBot="1" x14ac:dyDescent="0.25">
      <c r="A273" s="7">
        <v>2</v>
      </c>
      <c r="B273">
        <f>IF(ISBLANK(G273),"",VLOOKUP(H273,code!B:C,2,FALSE))</f>
        <v>21</v>
      </c>
      <c r="C273">
        <f t="shared" si="8"/>
        <v>0</v>
      </c>
      <c r="D273">
        <v>2023</v>
      </c>
      <c r="E273">
        <v>110635</v>
      </c>
      <c r="F273" t="s">
        <v>72</v>
      </c>
      <c r="G273" t="s">
        <v>284</v>
      </c>
      <c r="H273" t="s">
        <v>31</v>
      </c>
      <c r="I273">
        <v>126995</v>
      </c>
      <c r="J273">
        <f>I273/VLOOKUP($D273,CPI!$P$16:$R$22,3,FALSE)</f>
        <v>126995</v>
      </c>
      <c r="K273">
        <f t="shared" si="9"/>
        <v>0</v>
      </c>
      <c r="L273" s="3" cm="1">
        <f t="array" ref="L273">IF($C273=0,INDEX('24&amp;25'!$L:$L,MATCH($D273&amp;$B273&amp;$E273,'24&amp;25'!$B:$B&amp;'24&amp;25'!$A:$A&amp;'24&amp;25'!$C:$C,0)),INDEX('24&amp;25'!$M:$M,MATCH($D273&amp;$B273&amp;$E273,'24&amp;25'!$B:$B&amp;'24&amp;25'!$A:$A&amp;'24&amp;25'!$C:$C,0)))</f>
        <v>1753</v>
      </c>
      <c r="M273">
        <f>L273/VLOOKUP($D273,CPI!$P$16:$R$22,3,FALSE)</f>
        <v>1753</v>
      </c>
    </row>
    <row r="274" spans="1:13" ht="16" thickBot="1" x14ac:dyDescent="0.25">
      <c r="A274" s="7">
        <v>2</v>
      </c>
      <c r="B274">
        <f>IF(ISBLANK(G274),"",VLOOKUP(H274,code!B:C,2,FALSE))</f>
        <v>24</v>
      </c>
      <c r="C274">
        <f t="shared" si="8"/>
        <v>0</v>
      </c>
      <c r="D274">
        <v>2023</v>
      </c>
      <c r="E274">
        <v>110635</v>
      </c>
      <c r="F274" t="s">
        <v>72</v>
      </c>
      <c r="G274" t="s">
        <v>284</v>
      </c>
      <c r="H274" t="s">
        <v>34</v>
      </c>
      <c r="I274">
        <v>170632</v>
      </c>
      <c r="J274">
        <f>I274/VLOOKUP($D274,CPI!$P$16:$R$22,3,FALSE)</f>
        <v>170632</v>
      </c>
      <c r="K274">
        <f t="shared" si="9"/>
        <v>0</v>
      </c>
      <c r="L274" s="3" cm="1">
        <f t="array" ref="L274">IF($C274=0,INDEX('24&amp;25'!$L:$L,MATCH($D274&amp;$B274&amp;$E274,'24&amp;25'!$B:$B&amp;'24&amp;25'!$A:$A&amp;'24&amp;25'!$C:$C,0)),INDEX('24&amp;25'!$M:$M,MATCH($D274&amp;$B274&amp;$E274,'24&amp;25'!$B:$B&amp;'24&amp;25'!$A:$A&amp;'24&amp;25'!$C:$C,0)))</f>
        <v>1423</v>
      </c>
      <c r="M274">
        <f>L274/VLOOKUP($D274,CPI!$P$16:$R$22,3,FALSE)</f>
        <v>1423</v>
      </c>
    </row>
    <row r="275" spans="1:13" ht="16" thickBot="1" x14ac:dyDescent="0.25">
      <c r="A275" s="7">
        <v>2</v>
      </c>
      <c r="B275">
        <f>IF(ISBLANK(G275),"",VLOOKUP(H275,code!B:C,2,FALSE))</f>
        <v>2</v>
      </c>
      <c r="C275">
        <f t="shared" si="8"/>
        <v>1</v>
      </c>
      <c r="D275">
        <v>2023</v>
      </c>
      <c r="E275">
        <v>110635</v>
      </c>
      <c r="F275" t="s">
        <v>72</v>
      </c>
      <c r="G275" t="s">
        <v>285</v>
      </c>
      <c r="H275" t="s">
        <v>10</v>
      </c>
      <c r="I275">
        <v>354058</v>
      </c>
      <c r="J275">
        <f>I275/VLOOKUP($D275,CPI!$P$16:$R$22,3,FALSE)</f>
        <v>354058</v>
      </c>
      <c r="K275">
        <f t="shared" si="9"/>
        <v>0</v>
      </c>
      <c r="L275" s="3" cm="1">
        <f t="array" ref="L275">IF($C275=0,INDEX('24&amp;25'!$L:$L,MATCH($D275&amp;$B275&amp;$E275,'24&amp;25'!$B:$B&amp;'24&amp;25'!$A:$A&amp;'24&amp;25'!$C:$C,0)),INDEX('24&amp;25'!$M:$M,MATCH($D275&amp;$B275&amp;$E275,'24&amp;25'!$B:$B&amp;'24&amp;25'!$A:$A&amp;'24&amp;25'!$C:$C,0)))</f>
        <v>647733</v>
      </c>
      <c r="M275">
        <f>L275/VLOOKUP($D275,CPI!$P$16:$R$22,3,FALSE)</f>
        <v>647733</v>
      </c>
    </row>
    <row r="276" spans="1:13" ht="16" thickBot="1" x14ac:dyDescent="0.25">
      <c r="A276" s="7">
        <v>2</v>
      </c>
      <c r="B276">
        <f>IF(ISBLANK(G276),"",VLOOKUP(H276,code!B:C,2,FALSE))</f>
        <v>3</v>
      </c>
      <c r="C276">
        <f t="shared" si="8"/>
        <v>1</v>
      </c>
      <c r="D276">
        <v>2023</v>
      </c>
      <c r="E276">
        <v>110635</v>
      </c>
      <c r="F276" t="s">
        <v>72</v>
      </c>
      <c r="G276" t="s">
        <v>285</v>
      </c>
      <c r="H276" t="s">
        <v>11</v>
      </c>
      <c r="I276">
        <v>55754</v>
      </c>
      <c r="J276">
        <f>I276/VLOOKUP($D276,CPI!$P$16:$R$22,3,FALSE)</f>
        <v>55754</v>
      </c>
      <c r="K276">
        <f t="shared" si="9"/>
        <v>0</v>
      </c>
      <c r="L276" s="3" cm="1">
        <f t="array" ref="L276">IF($C276=0,INDEX('24&amp;25'!$L:$L,MATCH($D276&amp;$B276&amp;$E276,'24&amp;25'!$B:$B&amp;'24&amp;25'!$A:$A&amp;'24&amp;25'!$C:$C,0)),INDEX('24&amp;25'!$M:$M,MATCH($D276&amp;$B276&amp;$E276,'24&amp;25'!$B:$B&amp;'24&amp;25'!$A:$A&amp;'24&amp;25'!$C:$C,0)))</f>
        <v>8534</v>
      </c>
      <c r="M276">
        <f>L276/VLOOKUP($D276,CPI!$P$16:$R$22,3,FALSE)</f>
        <v>8534</v>
      </c>
    </row>
    <row r="277" spans="1:13" ht="16" thickBot="1" x14ac:dyDescent="0.25">
      <c r="A277" s="7">
        <v>2</v>
      </c>
      <c r="B277">
        <f>IF(ISBLANK(G277),"",VLOOKUP(H277,code!B:C,2,FALSE))</f>
        <v>7</v>
      </c>
      <c r="C277">
        <f t="shared" si="8"/>
        <v>1</v>
      </c>
      <c r="D277">
        <v>2023</v>
      </c>
      <c r="E277">
        <v>110635</v>
      </c>
      <c r="F277" t="s">
        <v>72</v>
      </c>
      <c r="G277" t="s">
        <v>285</v>
      </c>
      <c r="H277" t="s">
        <v>15</v>
      </c>
      <c r="I277">
        <v>68769</v>
      </c>
      <c r="J277">
        <f>I277/VLOOKUP($D277,CPI!$P$16:$R$22,3,FALSE)</f>
        <v>68769</v>
      </c>
      <c r="K277">
        <f t="shared" si="9"/>
        <v>0</v>
      </c>
      <c r="L277" s="3" cm="1">
        <f t="array" ref="L277">IF($C277=0,INDEX('24&amp;25'!$L:$L,MATCH($D277&amp;$B277&amp;$E277,'24&amp;25'!$B:$B&amp;'24&amp;25'!$A:$A&amp;'24&amp;25'!$C:$C,0)),INDEX('24&amp;25'!$M:$M,MATCH($D277&amp;$B277&amp;$E277,'24&amp;25'!$B:$B&amp;'24&amp;25'!$A:$A&amp;'24&amp;25'!$C:$C,0)))</f>
        <v>0</v>
      </c>
      <c r="M277">
        <f>L277/VLOOKUP($D277,CPI!$P$16:$R$22,3,FALSE)</f>
        <v>0</v>
      </c>
    </row>
    <row r="278" spans="1:13" ht="16" thickBot="1" x14ac:dyDescent="0.25">
      <c r="A278" s="7">
        <v>2</v>
      </c>
      <c r="B278">
        <f>IF(ISBLANK(G278),"",VLOOKUP(H278,code!B:C,2,FALSE))</f>
        <v>9</v>
      </c>
      <c r="C278">
        <f t="shared" si="8"/>
        <v>1</v>
      </c>
      <c r="D278">
        <v>2023</v>
      </c>
      <c r="E278">
        <v>110635</v>
      </c>
      <c r="F278" t="s">
        <v>72</v>
      </c>
      <c r="G278" t="s">
        <v>285</v>
      </c>
      <c r="H278" t="s">
        <v>17</v>
      </c>
      <c r="I278">
        <v>68386</v>
      </c>
      <c r="J278">
        <f>I278/VLOOKUP($D278,CPI!$P$16:$R$22,3,FALSE)</f>
        <v>68386</v>
      </c>
      <c r="K278">
        <f t="shared" si="9"/>
        <v>0</v>
      </c>
      <c r="L278" s="3" cm="1">
        <f t="array" ref="L278">IF($C278=0,INDEX('24&amp;25'!$L:$L,MATCH($D278&amp;$B278&amp;$E278,'24&amp;25'!$B:$B&amp;'24&amp;25'!$A:$A&amp;'24&amp;25'!$C:$C,0)),INDEX('24&amp;25'!$M:$M,MATCH($D278&amp;$B278&amp;$E278,'24&amp;25'!$B:$B&amp;'24&amp;25'!$A:$A&amp;'24&amp;25'!$C:$C,0)))</f>
        <v>0</v>
      </c>
      <c r="M278">
        <f>L278/VLOOKUP($D278,CPI!$P$16:$R$22,3,FALSE)</f>
        <v>0</v>
      </c>
    </row>
    <row r="279" spans="1:13" ht="16" thickBot="1" x14ac:dyDescent="0.25">
      <c r="A279" s="7">
        <v>2</v>
      </c>
      <c r="B279">
        <f>IF(ISBLANK(G279),"",VLOOKUP(H279,code!B:C,2,FALSE))</f>
        <v>10</v>
      </c>
      <c r="C279">
        <f t="shared" si="8"/>
        <v>1</v>
      </c>
      <c r="D279">
        <v>2023</v>
      </c>
      <c r="E279">
        <v>110635</v>
      </c>
      <c r="F279" t="s">
        <v>72</v>
      </c>
      <c r="G279" t="s">
        <v>285</v>
      </c>
      <c r="H279" t="s">
        <v>18</v>
      </c>
      <c r="I279">
        <v>221717</v>
      </c>
      <c r="J279">
        <f>I279/VLOOKUP($D279,CPI!$P$16:$R$22,3,FALSE)</f>
        <v>221717</v>
      </c>
      <c r="K279">
        <f t="shared" si="9"/>
        <v>0</v>
      </c>
      <c r="L279" s="3" cm="1">
        <f t="array" ref="L279">IF($C279=0,INDEX('24&amp;25'!$L:$L,MATCH($D279&amp;$B279&amp;$E279,'24&amp;25'!$B:$B&amp;'24&amp;25'!$A:$A&amp;'24&amp;25'!$C:$C,0)),INDEX('24&amp;25'!$M:$M,MATCH($D279&amp;$B279&amp;$E279,'24&amp;25'!$B:$B&amp;'24&amp;25'!$A:$A&amp;'24&amp;25'!$C:$C,0)))</f>
        <v>1336</v>
      </c>
      <c r="M279">
        <f>L279/VLOOKUP($D279,CPI!$P$16:$R$22,3,FALSE)</f>
        <v>1336</v>
      </c>
    </row>
    <row r="280" spans="1:13" ht="16" thickBot="1" x14ac:dyDescent="0.25">
      <c r="A280" s="7">
        <v>2</v>
      </c>
      <c r="B280">
        <f>IF(ISBLANK(G280),"",VLOOKUP(H280,code!B:C,2,FALSE))</f>
        <v>12</v>
      </c>
      <c r="C280">
        <f t="shared" si="8"/>
        <v>1</v>
      </c>
      <c r="D280">
        <v>2023</v>
      </c>
      <c r="E280">
        <v>110635</v>
      </c>
      <c r="F280" t="s">
        <v>72</v>
      </c>
      <c r="G280" t="s">
        <v>285</v>
      </c>
      <c r="H280" t="s">
        <v>20</v>
      </c>
      <c r="I280">
        <v>123220</v>
      </c>
      <c r="J280">
        <f>I280/VLOOKUP($D280,CPI!$P$16:$R$22,3,FALSE)</f>
        <v>123220</v>
      </c>
      <c r="K280">
        <f t="shared" si="9"/>
        <v>0</v>
      </c>
      <c r="L280" s="3" cm="1">
        <f t="array" ref="L280">IF($C280=0,INDEX('24&amp;25'!$L:$L,MATCH($D280&amp;$B280&amp;$E280,'24&amp;25'!$B:$B&amp;'24&amp;25'!$A:$A&amp;'24&amp;25'!$C:$C,0)),INDEX('24&amp;25'!$M:$M,MATCH($D280&amp;$B280&amp;$E280,'24&amp;25'!$B:$B&amp;'24&amp;25'!$A:$A&amp;'24&amp;25'!$C:$C,0)))</f>
        <v>1798</v>
      </c>
      <c r="M280">
        <f>L280/VLOOKUP($D280,CPI!$P$16:$R$22,3,FALSE)</f>
        <v>1798</v>
      </c>
    </row>
    <row r="281" spans="1:13" ht="16" thickBot="1" x14ac:dyDescent="0.25">
      <c r="A281" s="7">
        <v>2</v>
      </c>
      <c r="B281">
        <f>IF(ISBLANK(G281),"",VLOOKUP(H281,code!B:C,2,FALSE))</f>
        <v>14</v>
      </c>
      <c r="C281">
        <f t="shared" si="8"/>
        <v>1</v>
      </c>
      <c r="D281">
        <v>2023</v>
      </c>
      <c r="E281">
        <v>110635</v>
      </c>
      <c r="F281" t="s">
        <v>72</v>
      </c>
      <c r="G281" t="s">
        <v>285</v>
      </c>
      <c r="H281" t="s">
        <v>22</v>
      </c>
      <c r="I281">
        <v>162428</v>
      </c>
      <c r="J281">
        <f>I281/VLOOKUP($D281,CPI!$P$16:$R$22,3,FALSE)</f>
        <v>162428</v>
      </c>
      <c r="K281">
        <f t="shared" si="9"/>
        <v>0</v>
      </c>
      <c r="L281" s="3" cm="1">
        <f t="array" ref="L281">IF($C281=0,INDEX('24&amp;25'!$L:$L,MATCH($D281&amp;$B281&amp;$E281,'24&amp;25'!$B:$B&amp;'24&amp;25'!$A:$A&amp;'24&amp;25'!$C:$C,0)),INDEX('24&amp;25'!$M:$M,MATCH($D281&amp;$B281&amp;$E281,'24&amp;25'!$B:$B&amp;'24&amp;25'!$A:$A&amp;'24&amp;25'!$C:$C,0)))</f>
        <v>20848</v>
      </c>
      <c r="M281">
        <f>L281/VLOOKUP($D281,CPI!$P$16:$R$22,3,FALSE)</f>
        <v>20848</v>
      </c>
    </row>
    <row r="282" spans="1:13" ht="16" thickBot="1" x14ac:dyDescent="0.25">
      <c r="A282" s="7">
        <v>2</v>
      </c>
      <c r="B282">
        <f>IF(ISBLANK(G282),"",VLOOKUP(H282,code!B:C,2,FALSE))</f>
        <v>17</v>
      </c>
      <c r="C282">
        <f t="shared" si="8"/>
        <v>1</v>
      </c>
      <c r="D282">
        <v>2023</v>
      </c>
      <c r="E282">
        <v>110635</v>
      </c>
      <c r="F282" t="s">
        <v>72</v>
      </c>
      <c r="G282" t="s">
        <v>285</v>
      </c>
      <c r="H282" t="s">
        <v>25</v>
      </c>
      <c r="I282">
        <v>64216</v>
      </c>
      <c r="J282">
        <f>I282/VLOOKUP($D282,CPI!$P$16:$R$22,3,FALSE)</f>
        <v>64216</v>
      </c>
      <c r="K282">
        <f t="shared" si="9"/>
        <v>0</v>
      </c>
      <c r="L282" s="3" cm="1">
        <f t="array" ref="L282">IF($C282=0,INDEX('24&amp;25'!$L:$L,MATCH($D282&amp;$B282&amp;$E282,'24&amp;25'!$B:$B&amp;'24&amp;25'!$A:$A&amp;'24&amp;25'!$C:$C,0)),INDEX('24&amp;25'!$M:$M,MATCH($D282&amp;$B282&amp;$E282,'24&amp;25'!$B:$B&amp;'24&amp;25'!$A:$A&amp;'24&amp;25'!$C:$C,0)))</f>
        <v>1722</v>
      </c>
      <c r="M282">
        <f>L282/VLOOKUP($D282,CPI!$P$16:$R$22,3,FALSE)</f>
        <v>1722</v>
      </c>
    </row>
    <row r="283" spans="1:13" ht="16" thickBot="1" x14ac:dyDescent="0.25">
      <c r="A283" s="7">
        <v>2</v>
      </c>
      <c r="B283">
        <f>IF(ISBLANK(G283),"",VLOOKUP(H283,code!B:C,2,FALSE))</f>
        <v>18</v>
      </c>
      <c r="C283">
        <f t="shared" si="8"/>
        <v>1</v>
      </c>
      <c r="D283">
        <v>2023</v>
      </c>
      <c r="E283">
        <v>110635</v>
      </c>
      <c r="F283" t="s">
        <v>72</v>
      </c>
      <c r="G283" t="s">
        <v>285</v>
      </c>
      <c r="H283" t="s">
        <v>26</v>
      </c>
      <c r="I283">
        <v>136953</v>
      </c>
      <c r="J283">
        <f>I283/VLOOKUP($D283,CPI!$P$16:$R$22,3,FALSE)</f>
        <v>136953</v>
      </c>
      <c r="K283">
        <f t="shared" si="9"/>
        <v>0</v>
      </c>
      <c r="L283" s="3" cm="1">
        <f t="array" ref="L283">IF($C283=0,INDEX('24&amp;25'!$L:$L,MATCH($D283&amp;$B283&amp;$E283,'24&amp;25'!$B:$B&amp;'24&amp;25'!$A:$A&amp;'24&amp;25'!$C:$C,0)),INDEX('24&amp;25'!$M:$M,MATCH($D283&amp;$B283&amp;$E283,'24&amp;25'!$B:$B&amp;'24&amp;25'!$A:$A&amp;'24&amp;25'!$C:$C,0)))</f>
        <v>2795</v>
      </c>
      <c r="M283">
        <f>L283/VLOOKUP($D283,CPI!$P$16:$R$22,3,FALSE)</f>
        <v>2795</v>
      </c>
    </row>
    <row r="284" spans="1:13" ht="16" thickBot="1" x14ac:dyDescent="0.25">
      <c r="A284" s="7">
        <v>2</v>
      </c>
      <c r="B284">
        <f>IF(ISBLANK(G284),"",VLOOKUP(H284,code!B:C,2,FALSE))</f>
        <v>19</v>
      </c>
      <c r="C284">
        <f t="shared" si="8"/>
        <v>1</v>
      </c>
      <c r="D284">
        <v>2023</v>
      </c>
      <c r="E284">
        <v>110635</v>
      </c>
      <c r="F284" t="s">
        <v>72</v>
      </c>
      <c r="G284" t="s">
        <v>285</v>
      </c>
      <c r="H284" t="s">
        <v>27</v>
      </c>
      <c r="I284">
        <v>7220</v>
      </c>
      <c r="J284">
        <f>I284/VLOOKUP($D284,CPI!$P$16:$R$22,3,FALSE)</f>
        <v>7220</v>
      </c>
      <c r="K284">
        <f t="shared" si="9"/>
        <v>0</v>
      </c>
      <c r="L284" s="3" cm="1">
        <f t="array" ref="L284">IF($C284=0,INDEX('24&amp;25'!$L:$L,MATCH($D284&amp;$B284&amp;$E284,'24&amp;25'!$B:$B&amp;'24&amp;25'!$A:$A&amp;'24&amp;25'!$C:$C,0)),INDEX('24&amp;25'!$M:$M,MATCH($D284&amp;$B284&amp;$E284,'24&amp;25'!$B:$B&amp;'24&amp;25'!$A:$A&amp;'24&amp;25'!$C:$C,0)))</f>
        <v>2172</v>
      </c>
      <c r="M284">
        <f>L284/VLOOKUP($D284,CPI!$P$16:$R$22,3,FALSE)</f>
        <v>2172</v>
      </c>
    </row>
    <row r="285" spans="1:13" ht="16" thickBot="1" x14ac:dyDescent="0.25">
      <c r="A285" s="7">
        <v>2</v>
      </c>
      <c r="B285">
        <f>IF(ISBLANK(G285),"",VLOOKUP(H285,code!B:C,2,FALSE))</f>
        <v>20</v>
      </c>
      <c r="C285">
        <f t="shared" si="8"/>
        <v>1</v>
      </c>
      <c r="D285">
        <v>2023</v>
      </c>
      <c r="E285">
        <v>110635</v>
      </c>
      <c r="F285" t="s">
        <v>72</v>
      </c>
      <c r="G285" t="s">
        <v>285</v>
      </c>
      <c r="H285" t="s">
        <v>28</v>
      </c>
      <c r="I285">
        <v>13447</v>
      </c>
      <c r="J285">
        <f>I285/VLOOKUP($D285,CPI!$P$16:$R$22,3,FALSE)</f>
        <v>13447</v>
      </c>
      <c r="K285">
        <f t="shared" si="9"/>
        <v>0</v>
      </c>
      <c r="L285" s="3" cm="1">
        <f t="array" ref="L285">IF($C285=0,INDEX('24&amp;25'!$L:$L,MATCH($D285&amp;$B285&amp;$E285,'24&amp;25'!$B:$B&amp;'24&amp;25'!$A:$A&amp;'24&amp;25'!$C:$C,0)),INDEX('24&amp;25'!$M:$M,MATCH($D285&amp;$B285&amp;$E285,'24&amp;25'!$B:$B&amp;'24&amp;25'!$A:$A&amp;'24&amp;25'!$C:$C,0)))</f>
        <v>6566</v>
      </c>
      <c r="M285">
        <f>L285/VLOOKUP($D285,CPI!$P$16:$R$22,3,FALSE)</f>
        <v>6566</v>
      </c>
    </row>
    <row r="286" spans="1:13" ht="16" thickBot="1" x14ac:dyDescent="0.25">
      <c r="A286" s="7">
        <v>2</v>
      </c>
      <c r="B286">
        <f>IF(ISBLANK(G286),"",VLOOKUP(H286,code!B:C,2,FALSE))</f>
        <v>21</v>
      </c>
      <c r="C286">
        <f t="shared" si="8"/>
        <v>1</v>
      </c>
      <c r="D286">
        <v>2023</v>
      </c>
      <c r="E286">
        <v>110635</v>
      </c>
      <c r="F286" t="s">
        <v>72</v>
      </c>
      <c r="G286" t="s">
        <v>285</v>
      </c>
      <c r="H286" t="s">
        <v>31</v>
      </c>
      <c r="I286">
        <v>117226</v>
      </c>
      <c r="J286">
        <f>I286/VLOOKUP($D286,CPI!$P$16:$R$22,3,FALSE)</f>
        <v>117226</v>
      </c>
      <c r="K286">
        <f t="shared" si="9"/>
        <v>0</v>
      </c>
      <c r="L286" s="3" cm="1">
        <f t="array" ref="L286">IF($C286=0,INDEX('24&amp;25'!$L:$L,MATCH($D286&amp;$B286&amp;$E286,'24&amp;25'!$B:$B&amp;'24&amp;25'!$A:$A&amp;'24&amp;25'!$C:$C,0)),INDEX('24&amp;25'!$M:$M,MATCH($D286&amp;$B286&amp;$E286,'24&amp;25'!$B:$B&amp;'24&amp;25'!$A:$A&amp;'24&amp;25'!$C:$C,0)))</f>
        <v>1618</v>
      </c>
      <c r="M286">
        <f>L286/VLOOKUP($D286,CPI!$P$16:$R$22,3,FALSE)</f>
        <v>1618</v>
      </c>
    </row>
    <row r="287" spans="1:13" ht="16" thickBot="1" x14ac:dyDescent="0.25">
      <c r="A287" s="7">
        <v>2</v>
      </c>
      <c r="B287">
        <f>IF(ISBLANK(G287),"",VLOOKUP(H287,code!B:C,2,FALSE))</f>
        <v>23</v>
      </c>
      <c r="C287">
        <f t="shared" si="8"/>
        <v>1</v>
      </c>
      <c r="D287">
        <v>2023</v>
      </c>
      <c r="E287">
        <v>110635</v>
      </c>
      <c r="F287" t="s">
        <v>72</v>
      </c>
      <c r="G287" t="s">
        <v>285</v>
      </c>
      <c r="H287" t="s">
        <v>33</v>
      </c>
      <c r="I287">
        <v>90454</v>
      </c>
      <c r="J287">
        <f>I287/VLOOKUP($D287,CPI!$P$16:$R$22,3,FALSE)</f>
        <v>90454</v>
      </c>
      <c r="K287">
        <f t="shared" si="9"/>
        <v>0</v>
      </c>
      <c r="L287" s="3" cm="1">
        <f t="array" ref="L287">IF($C287=0,INDEX('24&amp;25'!$L:$L,MATCH($D287&amp;$B287&amp;$E287,'24&amp;25'!$B:$B&amp;'24&amp;25'!$A:$A&amp;'24&amp;25'!$C:$C,0)),INDEX('24&amp;25'!$M:$M,MATCH($D287&amp;$B287&amp;$E287,'24&amp;25'!$B:$B&amp;'24&amp;25'!$A:$A&amp;'24&amp;25'!$C:$C,0)))</f>
        <v>79728</v>
      </c>
      <c r="M287">
        <f>L287/VLOOKUP($D287,CPI!$P$16:$R$22,3,FALSE)</f>
        <v>79728</v>
      </c>
    </row>
    <row r="288" spans="1:13" ht="16" thickBot="1" x14ac:dyDescent="0.25">
      <c r="A288" s="7">
        <v>2</v>
      </c>
      <c r="B288">
        <f>IF(ISBLANK(G288),"",VLOOKUP(H288,code!B:C,2,FALSE))</f>
        <v>24</v>
      </c>
      <c r="C288">
        <f t="shared" si="8"/>
        <v>1</v>
      </c>
      <c r="D288">
        <v>2023</v>
      </c>
      <c r="E288">
        <v>110635</v>
      </c>
      <c r="F288" t="s">
        <v>72</v>
      </c>
      <c r="G288" t="s">
        <v>285</v>
      </c>
      <c r="H288" t="s">
        <v>34</v>
      </c>
      <c r="I288">
        <v>52115</v>
      </c>
      <c r="J288">
        <f>I288/VLOOKUP($D288,CPI!$P$16:$R$22,3,FALSE)</f>
        <v>52115</v>
      </c>
      <c r="K288">
        <f t="shared" si="9"/>
        <v>0</v>
      </c>
      <c r="L288" s="3" cm="1">
        <f t="array" ref="L288">IF($C288=0,INDEX('24&amp;25'!$L:$L,MATCH($D288&amp;$B288&amp;$E288,'24&amp;25'!$B:$B&amp;'24&amp;25'!$A:$A&amp;'24&amp;25'!$C:$C,0)),INDEX('24&amp;25'!$M:$M,MATCH($D288&amp;$B288&amp;$E288,'24&amp;25'!$B:$B&amp;'24&amp;25'!$A:$A&amp;'24&amp;25'!$C:$C,0)))</f>
        <v>2547</v>
      </c>
      <c r="M288">
        <f>L288/VLOOKUP($D288,CPI!$P$16:$R$22,3,FALSE)</f>
        <v>2547</v>
      </c>
    </row>
    <row r="289" spans="1:13" ht="16" thickBot="1" x14ac:dyDescent="0.25">
      <c r="A289" s="7">
        <v>2</v>
      </c>
      <c r="B289">
        <f>IF(ISBLANK(G289),"",VLOOKUP(H289,code!B:C,2,FALSE))</f>
        <v>2</v>
      </c>
      <c r="C289">
        <f t="shared" si="8"/>
        <v>0</v>
      </c>
      <c r="D289">
        <v>2017</v>
      </c>
      <c r="E289">
        <v>126614</v>
      </c>
      <c r="F289" t="s">
        <v>84</v>
      </c>
      <c r="G289" t="s">
        <v>284</v>
      </c>
      <c r="H289" t="s">
        <v>10</v>
      </c>
      <c r="I289">
        <v>3120058</v>
      </c>
      <c r="J289">
        <f>I289/VLOOKUP($D289,CPI!$P$16:$R$22,3,FALSE)</f>
        <v>3853332.3515298381</v>
      </c>
      <c r="K289">
        <f t="shared" si="9"/>
        <v>0</v>
      </c>
      <c r="L289" s="3" cm="1">
        <f t="array" ref="L289">IF($C289=0,INDEX('24&amp;25'!$L:$L,MATCH($D289&amp;$B289&amp;$E289,'24&amp;25'!$B:$B&amp;'24&amp;25'!$A:$A&amp;'24&amp;25'!$C:$C,0)),INDEX('24&amp;25'!$M:$M,MATCH($D289&amp;$B289&amp;$E289,'24&amp;25'!$B:$B&amp;'24&amp;25'!$A:$A&amp;'24&amp;25'!$C:$C,0)))</f>
        <v>415388</v>
      </c>
      <c r="M289">
        <f>L289/VLOOKUP($D289,CPI!$P$16:$R$22,3,FALSE)</f>
        <v>513012.26414293464</v>
      </c>
    </row>
    <row r="290" spans="1:13" ht="16" thickBot="1" x14ac:dyDescent="0.25">
      <c r="A290" s="7">
        <v>2</v>
      </c>
      <c r="B290">
        <f>IF(ISBLANK(G290),"",VLOOKUP(H290,code!B:C,2,FALSE))</f>
        <v>8</v>
      </c>
      <c r="C290">
        <f t="shared" si="8"/>
        <v>0</v>
      </c>
      <c r="D290">
        <v>2017</v>
      </c>
      <c r="E290">
        <v>126614</v>
      </c>
      <c r="F290" t="s">
        <v>84</v>
      </c>
      <c r="G290" t="s">
        <v>284</v>
      </c>
      <c r="H290" t="s">
        <v>16</v>
      </c>
      <c r="I290">
        <v>18159220</v>
      </c>
      <c r="J290">
        <f>I290/VLOOKUP($D290,CPI!$P$16:$R$22,3,FALSE)</f>
        <v>22426990.108692743</v>
      </c>
      <c r="K290">
        <f t="shared" si="9"/>
        <v>0</v>
      </c>
      <c r="L290" s="3" cm="1">
        <f t="array" ref="L290">IF($C290=0,INDEX('24&amp;25'!$L:$L,MATCH($D290&amp;$B290&amp;$E290,'24&amp;25'!$B:$B&amp;'24&amp;25'!$A:$A&amp;'24&amp;25'!$C:$C,0)),INDEX('24&amp;25'!$M:$M,MATCH($D290&amp;$B290&amp;$E290,'24&amp;25'!$B:$B&amp;'24&amp;25'!$A:$A&amp;'24&amp;25'!$C:$C,0)))</f>
        <v>1709964</v>
      </c>
      <c r="M290">
        <f>L290/VLOOKUP($D290,CPI!$P$16:$R$22,3,FALSE)</f>
        <v>2111838.8187499614</v>
      </c>
    </row>
    <row r="291" spans="1:13" ht="16" thickBot="1" x14ac:dyDescent="0.25">
      <c r="A291" s="7">
        <v>2</v>
      </c>
      <c r="B291">
        <f>IF(ISBLANK(G291),"",VLOOKUP(H291,code!B:C,2,FALSE))</f>
        <v>9</v>
      </c>
      <c r="C291">
        <f t="shared" si="8"/>
        <v>0</v>
      </c>
      <c r="D291">
        <v>2017</v>
      </c>
      <c r="E291">
        <v>126614</v>
      </c>
      <c r="F291" t="s">
        <v>84</v>
      </c>
      <c r="G291" t="s">
        <v>284</v>
      </c>
      <c r="H291" t="s">
        <v>17</v>
      </c>
      <c r="I291">
        <v>358064</v>
      </c>
      <c r="J291">
        <f>I291/VLOOKUP($D291,CPI!$P$16:$R$22,3,FALSE)</f>
        <v>442216.00852233515</v>
      </c>
      <c r="K291">
        <f t="shared" si="9"/>
        <v>0</v>
      </c>
      <c r="L291" s="3" cm="1">
        <f t="array" ref="L291">IF($C291=0,INDEX('24&amp;25'!$L:$L,MATCH($D291&amp;$B291&amp;$E291,'24&amp;25'!$B:$B&amp;'24&amp;25'!$A:$A&amp;'24&amp;25'!$C:$C,0)),INDEX('24&amp;25'!$M:$M,MATCH($D291&amp;$B291&amp;$E291,'24&amp;25'!$B:$B&amp;'24&amp;25'!$A:$A&amp;'24&amp;25'!$C:$C,0)))</f>
        <v>2365</v>
      </c>
      <c r="M291">
        <f>L291/VLOOKUP($D291,CPI!$P$16:$R$22,3,FALSE)</f>
        <v>2920.8210268424709</v>
      </c>
    </row>
    <row r="292" spans="1:13" ht="16" thickBot="1" x14ac:dyDescent="0.25">
      <c r="A292" s="7">
        <v>2</v>
      </c>
      <c r="B292">
        <f>IF(ISBLANK(G292),"",VLOOKUP(H292,code!B:C,2,FALSE))</f>
        <v>16</v>
      </c>
      <c r="C292">
        <f t="shared" si="8"/>
        <v>0</v>
      </c>
      <c r="D292">
        <v>2017</v>
      </c>
      <c r="E292">
        <v>126614</v>
      </c>
      <c r="F292" t="s">
        <v>84</v>
      </c>
      <c r="G292" t="s">
        <v>284</v>
      </c>
      <c r="H292" t="s">
        <v>24</v>
      </c>
      <c r="I292">
        <v>51761</v>
      </c>
      <c r="J292">
        <f>I292/VLOOKUP($D292,CPI!$P$16:$R$22,3,FALSE)</f>
        <v>63925.842355345936</v>
      </c>
      <c r="K292">
        <f t="shared" si="9"/>
        <v>0</v>
      </c>
      <c r="L292" s="3" cm="1">
        <f t="array" ref="L292">IF($C292=0,INDEX('24&amp;25'!$L:$L,MATCH($D292&amp;$B292&amp;$E292,'24&amp;25'!$B:$B&amp;'24&amp;25'!$A:$A&amp;'24&amp;25'!$C:$C,0)),INDEX('24&amp;25'!$M:$M,MATCH($D292&amp;$B292&amp;$E292,'24&amp;25'!$B:$B&amp;'24&amp;25'!$A:$A&amp;'24&amp;25'!$C:$C,0)))</f>
        <v>19723</v>
      </c>
      <c r="M292">
        <f>L292/VLOOKUP($D292,CPI!$P$16:$R$22,3,FALSE)</f>
        <v>24358.288842458376</v>
      </c>
    </row>
    <row r="293" spans="1:13" ht="16" thickBot="1" x14ac:dyDescent="0.25">
      <c r="A293" s="7">
        <v>2</v>
      </c>
      <c r="B293">
        <f>IF(ISBLANK(G293),"",VLOOKUP(H293,code!B:C,2,FALSE))</f>
        <v>21</v>
      </c>
      <c r="C293">
        <f t="shared" si="8"/>
        <v>0</v>
      </c>
      <c r="D293">
        <v>2017</v>
      </c>
      <c r="E293">
        <v>126614</v>
      </c>
      <c r="F293" t="s">
        <v>84</v>
      </c>
      <c r="G293" t="s">
        <v>284</v>
      </c>
      <c r="H293" t="s">
        <v>30</v>
      </c>
      <c r="I293">
        <v>8384</v>
      </c>
      <c r="J293">
        <f>I293/VLOOKUP($D293,CPI!$P$16:$R$22,3,FALSE)</f>
        <v>10354.403166616185</v>
      </c>
      <c r="K293">
        <f t="shared" si="9"/>
        <v>0</v>
      </c>
      <c r="L293" s="3" cm="1">
        <f t="array" ref="L293">IF($C293=0,INDEX('24&amp;25'!$L:$L,MATCH($D293&amp;$B293&amp;$E293,'24&amp;25'!$B:$B&amp;'24&amp;25'!$A:$A&amp;'24&amp;25'!$C:$C,0)),INDEX('24&amp;25'!$M:$M,MATCH($D293&amp;$B293&amp;$E293,'24&amp;25'!$B:$B&amp;'24&amp;25'!$A:$A&amp;'24&amp;25'!$C:$C,0)))</f>
        <v>39235</v>
      </c>
      <c r="M293">
        <f>L293/VLOOKUP($D293,CPI!$P$16:$R$22,3,FALSE)</f>
        <v>48455.988578505014</v>
      </c>
    </row>
    <row r="294" spans="1:13" ht="16" thickBot="1" x14ac:dyDescent="0.25">
      <c r="A294" s="7">
        <v>2</v>
      </c>
      <c r="B294">
        <f>IF(ISBLANK(G294),"",VLOOKUP(H294,code!B:C,2,FALSE))</f>
        <v>2</v>
      </c>
      <c r="C294">
        <f t="shared" si="8"/>
        <v>1</v>
      </c>
      <c r="D294">
        <v>2017</v>
      </c>
      <c r="E294">
        <v>126614</v>
      </c>
      <c r="F294" t="s">
        <v>84</v>
      </c>
      <c r="G294" t="s">
        <v>285</v>
      </c>
      <c r="H294" t="s">
        <v>10</v>
      </c>
      <c r="I294">
        <v>201218</v>
      </c>
      <c r="J294">
        <f>I294/VLOOKUP($D294,CPI!$P$16:$R$22,3,FALSE)</f>
        <v>248508.14603771176</v>
      </c>
      <c r="K294">
        <f t="shared" si="9"/>
        <v>0</v>
      </c>
      <c r="L294" s="3" cm="1">
        <f t="array" ref="L294">IF($C294=0,INDEX('24&amp;25'!$L:$L,MATCH($D294&amp;$B294&amp;$E294,'24&amp;25'!$B:$B&amp;'24&amp;25'!$A:$A&amp;'24&amp;25'!$C:$C,0)),INDEX('24&amp;25'!$M:$M,MATCH($D294&amp;$B294&amp;$E294,'24&amp;25'!$B:$B&amp;'24&amp;25'!$A:$A&amp;'24&amp;25'!$C:$C,0)))</f>
        <v>315800</v>
      </c>
      <c r="M294">
        <f>L294/VLOOKUP($D294,CPI!$P$16:$R$22,3,FALSE)</f>
        <v>390019.14599444077</v>
      </c>
    </row>
    <row r="295" spans="1:13" ht="16" thickBot="1" x14ac:dyDescent="0.25">
      <c r="A295" s="7">
        <v>2</v>
      </c>
      <c r="B295">
        <f>IF(ISBLANK(G295),"",VLOOKUP(H295,code!B:C,2,FALSE))</f>
        <v>9</v>
      </c>
      <c r="C295">
        <f t="shared" si="8"/>
        <v>1</v>
      </c>
      <c r="D295">
        <v>2017</v>
      </c>
      <c r="E295">
        <v>126614</v>
      </c>
      <c r="F295" t="s">
        <v>84</v>
      </c>
      <c r="G295" t="s">
        <v>285</v>
      </c>
      <c r="H295" t="s">
        <v>17</v>
      </c>
      <c r="I295">
        <v>55593</v>
      </c>
      <c r="J295">
        <f>I295/VLOOKUP($D295,CPI!$P$16:$R$22,3,FALSE)</f>
        <v>68658.436932453915</v>
      </c>
      <c r="K295">
        <f t="shared" si="9"/>
        <v>0</v>
      </c>
      <c r="L295" s="3" cm="1">
        <f t="array" ref="L295">IF($C295=0,INDEX('24&amp;25'!$L:$L,MATCH($D295&amp;$B295&amp;$E295,'24&amp;25'!$B:$B&amp;'24&amp;25'!$A:$A&amp;'24&amp;25'!$C:$C,0)),INDEX('24&amp;25'!$M:$M,MATCH($D295&amp;$B295&amp;$E295,'24&amp;25'!$B:$B&amp;'24&amp;25'!$A:$A&amp;'24&amp;25'!$C:$C,0)))</f>
        <v>12385</v>
      </c>
      <c r="M295">
        <f>L295/VLOOKUP($D295,CPI!$P$16:$R$22,3,FALSE)</f>
        <v>15295.716032745879</v>
      </c>
    </row>
    <row r="296" spans="1:13" ht="16" thickBot="1" x14ac:dyDescent="0.25">
      <c r="A296" s="7">
        <v>2</v>
      </c>
      <c r="B296">
        <f>IF(ISBLANK(G296),"",VLOOKUP(H296,code!B:C,2,FALSE))</f>
        <v>12</v>
      </c>
      <c r="C296">
        <f t="shared" si="8"/>
        <v>1</v>
      </c>
      <c r="D296">
        <v>2017</v>
      </c>
      <c r="E296">
        <v>126614</v>
      </c>
      <c r="F296" t="s">
        <v>84</v>
      </c>
      <c r="G296" t="s">
        <v>285</v>
      </c>
      <c r="H296" t="s">
        <v>20</v>
      </c>
      <c r="I296">
        <v>240690</v>
      </c>
      <c r="J296">
        <f>I296/VLOOKUP($D296,CPI!$P$16:$R$22,3,FALSE)</f>
        <v>297256.83422863187</v>
      </c>
      <c r="K296">
        <f t="shared" si="9"/>
        <v>0</v>
      </c>
      <c r="L296" s="3" cm="1">
        <f t="array" ref="L296">IF($C296=0,INDEX('24&amp;25'!$L:$L,MATCH($D296&amp;$B296&amp;$E296,'24&amp;25'!$B:$B&amp;'24&amp;25'!$A:$A&amp;'24&amp;25'!$C:$C,0)),INDEX('24&amp;25'!$M:$M,MATCH($D296&amp;$B296&amp;$E296,'24&amp;25'!$B:$B&amp;'24&amp;25'!$A:$A&amp;'24&amp;25'!$C:$C,0)))</f>
        <v>23656</v>
      </c>
      <c r="M296">
        <f>L296/VLOOKUP($D296,CPI!$P$16:$R$22,3,FALSE)</f>
        <v>29215.620385194714</v>
      </c>
    </row>
    <row r="297" spans="1:13" ht="16" thickBot="1" x14ac:dyDescent="0.25">
      <c r="A297" s="7">
        <v>2</v>
      </c>
      <c r="B297">
        <f>IF(ISBLANK(G297),"",VLOOKUP(H297,code!B:C,2,FALSE))</f>
        <v>16</v>
      </c>
      <c r="C297">
        <f t="shared" si="8"/>
        <v>1</v>
      </c>
      <c r="D297">
        <v>2017</v>
      </c>
      <c r="E297">
        <v>126614</v>
      </c>
      <c r="F297" t="s">
        <v>84</v>
      </c>
      <c r="G297" t="s">
        <v>285</v>
      </c>
      <c r="H297" t="s">
        <v>24</v>
      </c>
      <c r="I297">
        <v>51761</v>
      </c>
      <c r="J297">
        <f>I297/VLOOKUP($D297,CPI!$P$16:$R$22,3,FALSE)</f>
        <v>63925.842355345936</v>
      </c>
      <c r="K297">
        <f t="shared" si="9"/>
        <v>0</v>
      </c>
      <c r="L297" s="3" cm="1">
        <f t="array" ref="L297">IF($C297=0,INDEX('24&amp;25'!$L:$L,MATCH($D297&amp;$B297&amp;$E297,'24&amp;25'!$B:$B&amp;'24&amp;25'!$A:$A&amp;'24&amp;25'!$C:$C,0)),INDEX('24&amp;25'!$M:$M,MATCH($D297&amp;$B297&amp;$E297,'24&amp;25'!$B:$B&amp;'24&amp;25'!$A:$A&amp;'24&amp;25'!$C:$C,0)))</f>
        <v>19723</v>
      </c>
      <c r="M297">
        <f>L297/VLOOKUP($D297,CPI!$P$16:$R$22,3,FALSE)</f>
        <v>24358.288842458376</v>
      </c>
    </row>
    <row r="298" spans="1:13" ht="16" thickBot="1" x14ac:dyDescent="0.25">
      <c r="A298" s="7">
        <v>2</v>
      </c>
      <c r="B298">
        <f>IF(ISBLANK(G298),"",VLOOKUP(H298,code!B:C,2,FALSE))</f>
        <v>17</v>
      </c>
      <c r="C298">
        <f t="shared" si="8"/>
        <v>1</v>
      </c>
      <c r="D298">
        <v>2017</v>
      </c>
      <c r="E298">
        <v>126614</v>
      </c>
      <c r="F298" t="s">
        <v>84</v>
      </c>
      <c r="G298" t="s">
        <v>285</v>
      </c>
      <c r="H298" t="s">
        <v>25</v>
      </c>
      <c r="I298">
        <v>42857</v>
      </c>
      <c r="J298">
        <f>I298/VLOOKUP($D298,CPI!$P$16:$R$22,3,FALSE)</f>
        <v>52929.229068662913</v>
      </c>
      <c r="K298">
        <f t="shared" si="9"/>
        <v>0</v>
      </c>
      <c r="L298" s="3" cm="1">
        <f t="array" ref="L298">IF($C298=0,INDEX('24&amp;25'!$L:$L,MATCH($D298&amp;$B298&amp;$E298,'24&amp;25'!$B:$B&amp;'24&amp;25'!$A:$A&amp;'24&amp;25'!$C:$C,0)),INDEX('24&amp;25'!$M:$M,MATCH($D298&amp;$B298&amp;$E298,'24&amp;25'!$B:$B&amp;'24&amp;25'!$A:$A&amp;'24&amp;25'!$C:$C,0)))</f>
        <v>0</v>
      </c>
      <c r="M298">
        <f>L298/VLOOKUP($D298,CPI!$P$16:$R$22,3,FALSE)</f>
        <v>0</v>
      </c>
    </row>
    <row r="299" spans="1:13" ht="16" thickBot="1" x14ac:dyDescent="0.25">
      <c r="A299" s="7">
        <v>2</v>
      </c>
      <c r="B299">
        <f>IF(ISBLANK(G299),"",VLOOKUP(H299,code!B:C,2,FALSE))</f>
        <v>20</v>
      </c>
      <c r="C299">
        <f t="shared" si="8"/>
        <v>1</v>
      </c>
      <c r="D299">
        <v>2017</v>
      </c>
      <c r="E299">
        <v>126614</v>
      </c>
      <c r="F299" t="s">
        <v>84</v>
      </c>
      <c r="G299" t="s">
        <v>285</v>
      </c>
      <c r="H299" t="s">
        <v>28</v>
      </c>
      <c r="I299">
        <v>17875</v>
      </c>
      <c r="J299">
        <f>I299/VLOOKUP($D299,CPI!$P$16:$R$22,3,FALSE)</f>
        <v>22075.972877297747</v>
      </c>
      <c r="K299">
        <f t="shared" si="9"/>
        <v>0</v>
      </c>
      <c r="L299" s="3" cm="1">
        <f t="array" ref="L299">IF($C299=0,INDEX('24&amp;25'!$L:$L,MATCH($D299&amp;$B299&amp;$E299,'24&amp;25'!$B:$B&amp;'24&amp;25'!$A:$A&amp;'24&amp;25'!$C:$C,0)),INDEX('24&amp;25'!$M:$M,MATCH($D299&amp;$B299&amp;$E299,'24&amp;25'!$B:$B&amp;'24&amp;25'!$A:$A&amp;'24&amp;25'!$C:$C,0)))</f>
        <v>0</v>
      </c>
      <c r="M299">
        <f>L299/VLOOKUP($D299,CPI!$P$16:$R$22,3,FALSE)</f>
        <v>0</v>
      </c>
    </row>
    <row r="300" spans="1:13" ht="16" thickBot="1" x14ac:dyDescent="0.25">
      <c r="A300" s="7">
        <v>2</v>
      </c>
      <c r="B300">
        <f>IF(ISBLANK(G300),"",VLOOKUP(H300,code!B:C,2,FALSE))</f>
        <v>21</v>
      </c>
      <c r="C300">
        <f t="shared" si="8"/>
        <v>1</v>
      </c>
      <c r="D300">
        <v>2017</v>
      </c>
      <c r="E300">
        <v>126614</v>
      </c>
      <c r="F300" t="s">
        <v>84</v>
      </c>
      <c r="G300" t="s">
        <v>285</v>
      </c>
      <c r="H300" t="s">
        <v>30</v>
      </c>
      <c r="I300">
        <v>8384</v>
      </c>
      <c r="J300">
        <f>I300/VLOOKUP($D300,CPI!$P$16:$R$22,3,FALSE)</f>
        <v>10354.403166616185</v>
      </c>
      <c r="K300">
        <f t="shared" si="9"/>
        <v>0</v>
      </c>
      <c r="L300" s="3" cm="1">
        <f t="array" ref="L300">IF($C300=0,INDEX('24&amp;25'!$L:$L,MATCH($D300&amp;$B300&amp;$E300,'24&amp;25'!$B:$B&amp;'24&amp;25'!$A:$A&amp;'24&amp;25'!$C:$C,0)),INDEX('24&amp;25'!$M:$M,MATCH($D300&amp;$B300&amp;$E300,'24&amp;25'!$B:$B&amp;'24&amp;25'!$A:$A&amp;'24&amp;25'!$C:$C,0)))</f>
        <v>39235</v>
      </c>
      <c r="M300">
        <f>L300/VLOOKUP($D300,CPI!$P$16:$R$22,3,FALSE)</f>
        <v>48455.988578505014</v>
      </c>
    </row>
    <row r="301" spans="1:13" ht="16" thickBot="1" x14ac:dyDescent="0.25">
      <c r="A301" s="7">
        <v>2</v>
      </c>
      <c r="B301">
        <f>IF(ISBLANK(G301),"",VLOOKUP(H301,code!B:C,2,FALSE))</f>
        <v>23</v>
      </c>
      <c r="C301">
        <f t="shared" si="8"/>
        <v>1</v>
      </c>
      <c r="D301">
        <v>2017</v>
      </c>
      <c r="E301">
        <v>126614</v>
      </c>
      <c r="F301" t="s">
        <v>84</v>
      </c>
      <c r="G301" t="s">
        <v>285</v>
      </c>
      <c r="H301" t="s">
        <v>33</v>
      </c>
      <c r="I301">
        <v>76526</v>
      </c>
      <c r="J301">
        <f>I301/VLOOKUP($D301,CPI!$P$16:$R$22,3,FALSE)</f>
        <v>94511.099323529357</v>
      </c>
      <c r="K301">
        <f t="shared" si="9"/>
        <v>0</v>
      </c>
      <c r="L301" s="3" cm="1">
        <f t="array" ref="L301">IF($C301=0,INDEX('24&amp;25'!$L:$L,MATCH($D301&amp;$B301&amp;$E301,'24&amp;25'!$B:$B&amp;'24&amp;25'!$A:$A&amp;'24&amp;25'!$C:$C,0)),INDEX('24&amp;25'!$M:$M,MATCH($D301&amp;$B301&amp;$E301,'24&amp;25'!$B:$B&amp;'24&amp;25'!$A:$A&amp;'24&amp;25'!$C:$C,0)))</f>
        <v>136897</v>
      </c>
      <c r="M301">
        <f>L301/VLOOKUP($D301,CPI!$P$16:$R$22,3,FALSE)</f>
        <v>169070.45924382823</v>
      </c>
    </row>
    <row r="302" spans="1:13" ht="16" thickBot="1" x14ac:dyDescent="0.25">
      <c r="A302" s="7">
        <v>2</v>
      </c>
      <c r="B302">
        <f>IF(ISBLANK(G302),"",VLOOKUP(H302,code!B:C,2,FALSE))</f>
        <v>2</v>
      </c>
      <c r="C302">
        <f t="shared" si="8"/>
        <v>0</v>
      </c>
      <c r="D302">
        <v>2018</v>
      </c>
      <c r="E302">
        <v>126614</v>
      </c>
      <c r="F302" t="s">
        <v>84</v>
      </c>
      <c r="G302" t="s">
        <v>284</v>
      </c>
      <c r="H302" t="s">
        <v>10</v>
      </c>
      <c r="I302">
        <v>3544329</v>
      </c>
      <c r="J302">
        <f>I302/VLOOKUP($D302,CPI!$P$16:$R$22,3,FALSE)</f>
        <v>4280825.0990605587</v>
      </c>
      <c r="K302">
        <f t="shared" si="9"/>
        <v>0</v>
      </c>
      <c r="L302" s="3" cm="1">
        <f t="array" ref="L302">IF($C302=0,INDEX('24&amp;25'!$L:$L,MATCH($D302&amp;$B302&amp;$E302,'24&amp;25'!$B:$B&amp;'24&amp;25'!$A:$A&amp;'24&amp;25'!$C:$C,0)),INDEX('24&amp;25'!$M:$M,MATCH($D302&amp;$B302&amp;$E302,'24&amp;25'!$B:$B&amp;'24&amp;25'!$A:$A&amp;'24&amp;25'!$C:$C,0)))</f>
        <v>423156</v>
      </c>
      <c r="M302">
        <f>L302/VLOOKUP($D302,CPI!$P$16:$R$22,3,FALSE)</f>
        <v>511085.97018450312</v>
      </c>
    </row>
    <row r="303" spans="1:13" ht="16" thickBot="1" x14ac:dyDescent="0.25">
      <c r="A303" s="7">
        <v>2</v>
      </c>
      <c r="B303">
        <f>IF(ISBLANK(G303),"",VLOOKUP(H303,code!B:C,2,FALSE))</f>
        <v>8</v>
      </c>
      <c r="C303">
        <f t="shared" si="8"/>
        <v>0</v>
      </c>
      <c r="D303">
        <v>2018</v>
      </c>
      <c r="E303">
        <v>126614</v>
      </c>
      <c r="F303" t="s">
        <v>84</v>
      </c>
      <c r="G303" t="s">
        <v>284</v>
      </c>
      <c r="H303" t="s">
        <v>16</v>
      </c>
      <c r="I303">
        <v>18605109</v>
      </c>
      <c r="J303">
        <f>I303/VLOOKUP($D303,CPI!$P$16:$R$22,3,FALSE)</f>
        <v>22471169.459143747</v>
      </c>
      <c r="K303">
        <f t="shared" si="9"/>
        <v>0</v>
      </c>
      <c r="L303" s="3" cm="1">
        <f t="array" ref="L303">IF($C303=0,INDEX('24&amp;25'!$L:$L,MATCH($D303&amp;$B303&amp;$E303,'24&amp;25'!$B:$B&amp;'24&amp;25'!$A:$A&amp;'24&amp;25'!$C:$C,0)),INDEX('24&amp;25'!$M:$M,MATCH($D303&amp;$B303&amp;$E303,'24&amp;25'!$B:$B&amp;'24&amp;25'!$A:$A&amp;'24&amp;25'!$C:$C,0)))</f>
        <v>1375378</v>
      </c>
      <c r="M303">
        <f>L303/VLOOKUP($D303,CPI!$P$16:$R$22,3,FALSE)</f>
        <v>1661175.5463716018</v>
      </c>
    </row>
    <row r="304" spans="1:13" ht="16" thickBot="1" x14ac:dyDescent="0.25">
      <c r="A304" s="7">
        <v>2</v>
      </c>
      <c r="B304">
        <f>IF(ISBLANK(G304),"",VLOOKUP(H304,code!B:C,2,FALSE))</f>
        <v>9</v>
      </c>
      <c r="C304">
        <f t="shared" si="8"/>
        <v>0</v>
      </c>
      <c r="D304">
        <v>2018</v>
      </c>
      <c r="E304">
        <v>126614</v>
      </c>
      <c r="F304" t="s">
        <v>84</v>
      </c>
      <c r="G304" t="s">
        <v>284</v>
      </c>
      <c r="H304" t="s">
        <v>17</v>
      </c>
      <c r="I304">
        <v>32547</v>
      </c>
      <c r="J304">
        <f>I304/VLOOKUP($D304,CPI!$P$16:$R$22,3,FALSE)</f>
        <v>39310.124567759936</v>
      </c>
      <c r="K304">
        <f t="shared" si="9"/>
        <v>0</v>
      </c>
      <c r="L304" s="3" cm="1">
        <f t="array" ref="L304">IF($C304=0,INDEX('24&amp;25'!$L:$L,MATCH($D304&amp;$B304&amp;$E304,'24&amp;25'!$B:$B&amp;'24&amp;25'!$A:$A&amp;'24&amp;25'!$C:$C,0)),INDEX('24&amp;25'!$M:$M,MATCH($D304&amp;$B304&amp;$E304,'24&amp;25'!$B:$B&amp;'24&amp;25'!$A:$A&amp;'24&amp;25'!$C:$C,0)))</f>
        <v>22132</v>
      </c>
      <c r="M304">
        <f>L304/VLOOKUP($D304,CPI!$P$16:$R$22,3,FALSE)</f>
        <v>26730.9330179022</v>
      </c>
    </row>
    <row r="305" spans="1:13" ht="16" thickBot="1" x14ac:dyDescent="0.25">
      <c r="A305" s="7">
        <v>2</v>
      </c>
      <c r="B305">
        <f>IF(ISBLANK(G305),"",VLOOKUP(H305,code!B:C,2,FALSE))</f>
        <v>16</v>
      </c>
      <c r="C305">
        <f t="shared" si="8"/>
        <v>0</v>
      </c>
      <c r="D305">
        <v>2018</v>
      </c>
      <c r="E305">
        <v>126614</v>
      </c>
      <c r="F305" t="s">
        <v>84</v>
      </c>
      <c r="G305" t="s">
        <v>284</v>
      </c>
      <c r="H305" t="s">
        <v>24</v>
      </c>
      <c r="I305">
        <v>36283</v>
      </c>
      <c r="J305">
        <f>I305/VLOOKUP($D305,CPI!$P$16:$R$22,3,FALSE)</f>
        <v>43822.449064185137</v>
      </c>
      <c r="K305">
        <f t="shared" si="9"/>
        <v>0</v>
      </c>
      <c r="L305" s="3" cm="1">
        <f t="array" ref="L305">IF($C305=0,INDEX('24&amp;25'!$L:$L,MATCH($D305&amp;$B305&amp;$E305,'24&amp;25'!$B:$B&amp;'24&amp;25'!$A:$A&amp;'24&amp;25'!$C:$C,0)),INDEX('24&amp;25'!$M:$M,MATCH($D305&amp;$B305&amp;$E305,'24&amp;25'!$B:$B&amp;'24&amp;25'!$A:$A&amp;'24&amp;25'!$C:$C,0)))</f>
        <v>21625</v>
      </c>
      <c r="M305">
        <f>L305/VLOOKUP($D305,CPI!$P$16:$R$22,3,FALSE)</f>
        <v>26118.580630405526</v>
      </c>
    </row>
    <row r="306" spans="1:13" ht="16" thickBot="1" x14ac:dyDescent="0.25">
      <c r="A306" s="7">
        <v>2</v>
      </c>
      <c r="B306">
        <f>IF(ISBLANK(G306),"",VLOOKUP(H306,code!B:C,2,FALSE))</f>
        <v>21</v>
      </c>
      <c r="C306">
        <f t="shared" si="8"/>
        <v>0</v>
      </c>
      <c r="D306">
        <v>2018</v>
      </c>
      <c r="E306">
        <v>126614</v>
      </c>
      <c r="F306" t="s">
        <v>84</v>
      </c>
      <c r="G306" t="s">
        <v>284</v>
      </c>
      <c r="H306" t="s">
        <v>30</v>
      </c>
      <c r="I306">
        <v>42439</v>
      </c>
      <c r="J306">
        <f>I306/VLOOKUP($D306,CPI!$P$16:$R$22,3,FALSE)</f>
        <v>51257.638999943585</v>
      </c>
      <c r="K306">
        <f t="shared" si="9"/>
        <v>0</v>
      </c>
      <c r="L306" s="3" cm="1">
        <f t="array" ref="L306">IF($C306=0,INDEX('24&amp;25'!$L:$L,MATCH($D306&amp;$B306&amp;$E306,'24&amp;25'!$B:$B&amp;'24&amp;25'!$A:$A&amp;'24&amp;25'!$C:$C,0)),INDEX('24&amp;25'!$M:$M,MATCH($D306&amp;$B306&amp;$E306,'24&amp;25'!$B:$B&amp;'24&amp;25'!$A:$A&amp;'24&amp;25'!$C:$C,0)))</f>
        <v>39739</v>
      </c>
      <c r="M306">
        <f>L306/VLOOKUP($D306,CPI!$P$16:$R$22,3,FALSE)</f>
        <v>47996.590782505671</v>
      </c>
    </row>
    <row r="307" spans="1:13" ht="16" thickBot="1" x14ac:dyDescent="0.25">
      <c r="A307" s="7">
        <v>2</v>
      </c>
      <c r="B307">
        <f>IF(ISBLANK(G307),"",VLOOKUP(H307,code!B:C,2,FALSE))</f>
        <v>2</v>
      </c>
      <c r="C307">
        <f t="shared" si="8"/>
        <v>1</v>
      </c>
      <c r="D307">
        <v>2018</v>
      </c>
      <c r="E307">
        <v>126614</v>
      </c>
      <c r="F307" t="s">
        <v>84</v>
      </c>
      <c r="G307" t="s">
        <v>285</v>
      </c>
      <c r="H307" t="s">
        <v>10</v>
      </c>
      <c r="I307">
        <v>175764</v>
      </c>
      <c r="J307">
        <f>I307/VLOOKUP($D307,CPI!$P$16:$R$22,3,FALSE)</f>
        <v>212286.99218139175</v>
      </c>
      <c r="K307">
        <f t="shared" si="9"/>
        <v>0</v>
      </c>
      <c r="L307" s="3" cm="1">
        <f t="array" ref="L307">IF($C307=0,INDEX('24&amp;25'!$L:$L,MATCH($D307&amp;$B307&amp;$E307,'24&amp;25'!$B:$B&amp;'24&amp;25'!$A:$A&amp;'24&amp;25'!$C:$C,0)),INDEX('24&amp;25'!$M:$M,MATCH($D307&amp;$B307&amp;$E307,'24&amp;25'!$B:$B&amp;'24&amp;25'!$A:$A&amp;'24&amp;25'!$C:$C,0)))</f>
        <v>328470</v>
      </c>
      <c r="M307">
        <f>L307/VLOOKUP($D307,CPI!$P$16:$R$22,3,FALSE)</f>
        <v>396724.6325858637</v>
      </c>
    </row>
    <row r="308" spans="1:13" ht="16" thickBot="1" x14ac:dyDescent="0.25">
      <c r="A308" s="7">
        <v>2</v>
      </c>
      <c r="B308">
        <f>IF(ISBLANK(G308),"",VLOOKUP(H308,code!B:C,2,FALSE))</f>
        <v>9</v>
      </c>
      <c r="C308">
        <f t="shared" si="8"/>
        <v>1</v>
      </c>
      <c r="D308">
        <v>2018</v>
      </c>
      <c r="E308">
        <v>126614</v>
      </c>
      <c r="F308" t="s">
        <v>84</v>
      </c>
      <c r="G308" t="s">
        <v>285</v>
      </c>
      <c r="H308" t="s">
        <v>17</v>
      </c>
      <c r="I308">
        <v>11107</v>
      </c>
      <c r="J308">
        <f>I308/VLOOKUP($D308,CPI!$P$16:$R$22,3,FALSE)</f>
        <v>13414.986130030713</v>
      </c>
      <c r="K308">
        <f t="shared" si="9"/>
        <v>0</v>
      </c>
      <c r="L308" s="3" cm="1">
        <f t="array" ref="L308">IF($C308=0,INDEX('24&amp;25'!$L:$L,MATCH($D308&amp;$B308&amp;$E308,'24&amp;25'!$B:$B&amp;'24&amp;25'!$A:$A&amp;'24&amp;25'!$C:$C,0)),INDEX('24&amp;25'!$M:$M,MATCH($D308&amp;$B308&amp;$E308,'24&amp;25'!$B:$B&amp;'24&amp;25'!$A:$A&amp;'24&amp;25'!$C:$C,0)))</f>
        <v>20245</v>
      </c>
      <c r="M308">
        <f>L308/VLOOKUP($D308,CPI!$P$16:$R$22,3,FALSE)</f>
        <v>24451.822652603922</v>
      </c>
    </row>
    <row r="309" spans="1:13" ht="16" thickBot="1" x14ac:dyDescent="0.25">
      <c r="A309" s="7">
        <v>2</v>
      </c>
      <c r="B309">
        <f>IF(ISBLANK(G309),"",VLOOKUP(H309,code!B:C,2,FALSE))</f>
        <v>12</v>
      </c>
      <c r="C309">
        <f t="shared" si="8"/>
        <v>1</v>
      </c>
      <c r="D309">
        <v>2018</v>
      </c>
      <c r="E309">
        <v>126614</v>
      </c>
      <c r="F309" t="s">
        <v>84</v>
      </c>
      <c r="G309" t="s">
        <v>285</v>
      </c>
      <c r="H309" t="s">
        <v>20</v>
      </c>
      <c r="I309">
        <v>16369</v>
      </c>
      <c r="J309">
        <f>I309/VLOOKUP($D309,CPI!$P$16:$R$22,3,FALSE)</f>
        <v>19770.406767126384</v>
      </c>
      <c r="K309">
        <f t="shared" si="9"/>
        <v>0</v>
      </c>
      <c r="L309" s="3" cm="1">
        <f t="array" ref="L309">IF($C309=0,INDEX('24&amp;25'!$L:$L,MATCH($D309&amp;$B309&amp;$E309,'24&amp;25'!$B:$B&amp;'24&amp;25'!$A:$A&amp;'24&amp;25'!$C:$C,0)),INDEX('24&amp;25'!$M:$M,MATCH($D309&amp;$B309&amp;$E309,'24&amp;25'!$B:$B&amp;'24&amp;25'!$A:$A&amp;'24&amp;25'!$C:$C,0)))</f>
        <v>41009</v>
      </c>
      <c r="M309">
        <f>L309/VLOOKUP($D309,CPI!$P$16:$R$22,3,FALSE)</f>
        <v>49530.491240337578</v>
      </c>
    </row>
    <row r="310" spans="1:13" ht="16" thickBot="1" x14ac:dyDescent="0.25">
      <c r="A310" s="7">
        <v>2</v>
      </c>
      <c r="B310">
        <f>IF(ISBLANK(G310),"",VLOOKUP(H310,code!B:C,2,FALSE))</f>
        <v>16</v>
      </c>
      <c r="C310">
        <f t="shared" si="8"/>
        <v>1</v>
      </c>
      <c r="D310">
        <v>2018</v>
      </c>
      <c r="E310">
        <v>126614</v>
      </c>
      <c r="F310" t="s">
        <v>84</v>
      </c>
      <c r="G310" t="s">
        <v>285</v>
      </c>
      <c r="H310" t="s">
        <v>24</v>
      </c>
      <c r="I310">
        <v>36283</v>
      </c>
      <c r="J310">
        <f>I310/VLOOKUP($D310,CPI!$P$16:$R$22,3,FALSE)</f>
        <v>43822.449064185137</v>
      </c>
      <c r="K310">
        <f t="shared" si="9"/>
        <v>0</v>
      </c>
      <c r="L310" s="3" cm="1">
        <f t="array" ref="L310">IF($C310=0,INDEX('24&amp;25'!$L:$L,MATCH($D310&amp;$B310&amp;$E310,'24&amp;25'!$B:$B&amp;'24&amp;25'!$A:$A&amp;'24&amp;25'!$C:$C,0)),INDEX('24&amp;25'!$M:$M,MATCH($D310&amp;$B310&amp;$E310,'24&amp;25'!$B:$B&amp;'24&amp;25'!$A:$A&amp;'24&amp;25'!$C:$C,0)))</f>
        <v>21625</v>
      </c>
      <c r="M310">
        <f>L310/VLOOKUP($D310,CPI!$P$16:$R$22,3,FALSE)</f>
        <v>26118.580630405526</v>
      </c>
    </row>
    <row r="311" spans="1:13" ht="16" thickBot="1" x14ac:dyDescent="0.25">
      <c r="A311" s="7">
        <v>2</v>
      </c>
      <c r="B311">
        <f>IF(ISBLANK(G311),"",VLOOKUP(H311,code!B:C,2,FALSE))</f>
        <v>17</v>
      </c>
      <c r="C311">
        <f t="shared" si="8"/>
        <v>1</v>
      </c>
      <c r="D311">
        <v>2018</v>
      </c>
      <c r="E311">
        <v>126614</v>
      </c>
      <c r="F311" t="s">
        <v>84</v>
      </c>
      <c r="G311" t="s">
        <v>285</v>
      </c>
      <c r="H311" t="s">
        <v>25</v>
      </c>
      <c r="I311">
        <v>43150</v>
      </c>
      <c r="J311">
        <f>I311/VLOOKUP($D311,CPI!$P$16:$R$22,3,FALSE)</f>
        <v>52116.38169720224</v>
      </c>
      <c r="K311">
        <f t="shared" si="9"/>
        <v>0</v>
      </c>
      <c r="L311" s="3" cm="1">
        <f t="array" ref="L311">IF($C311=0,INDEX('24&amp;25'!$L:$L,MATCH($D311&amp;$B311&amp;$E311,'24&amp;25'!$B:$B&amp;'24&amp;25'!$A:$A&amp;'24&amp;25'!$C:$C,0)),INDEX('24&amp;25'!$M:$M,MATCH($D311&amp;$B311&amp;$E311,'24&amp;25'!$B:$B&amp;'24&amp;25'!$A:$A&amp;'24&amp;25'!$C:$C,0)))</f>
        <v>109840</v>
      </c>
      <c r="M311">
        <f>L311/VLOOKUP($D311,CPI!$P$16:$R$22,3,FALSE)</f>
        <v>132664.27266791873</v>
      </c>
    </row>
    <row r="312" spans="1:13" ht="16" thickBot="1" x14ac:dyDescent="0.25">
      <c r="A312" s="7">
        <v>2</v>
      </c>
      <c r="B312">
        <f>IF(ISBLANK(G312),"",VLOOKUP(H312,code!B:C,2,FALSE))</f>
        <v>20</v>
      </c>
      <c r="C312">
        <f t="shared" si="8"/>
        <v>1</v>
      </c>
      <c r="D312">
        <v>2018</v>
      </c>
      <c r="E312">
        <v>126614</v>
      </c>
      <c r="F312" t="s">
        <v>84</v>
      </c>
      <c r="G312" t="s">
        <v>285</v>
      </c>
      <c r="H312" t="s">
        <v>28</v>
      </c>
      <c r="I312">
        <v>0</v>
      </c>
      <c r="J312">
        <f>I312/VLOOKUP($D312,CPI!$P$16:$R$22,3,FALSE)</f>
        <v>0</v>
      </c>
      <c r="K312">
        <f t="shared" si="9"/>
        <v>0</v>
      </c>
      <c r="L312" s="3" cm="1">
        <f t="array" ref="L312">IF($C312=0,INDEX('24&amp;25'!$L:$L,MATCH($D312&amp;$B312&amp;$E312,'24&amp;25'!$B:$B&amp;'24&amp;25'!$A:$A&amp;'24&amp;25'!$C:$C,0)),INDEX('24&amp;25'!$M:$M,MATCH($D312&amp;$B312&amp;$E312,'24&amp;25'!$B:$B&amp;'24&amp;25'!$A:$A&amp;'24&amp;25'!$C:$C,0)))</f>
        <v>15272</v>
      </c>
      <c r="M312">
        <f>L312/VLOOKUP($D312,CPI!$P$16:$R$22,3,FALSE)</f>
        <v>18445.454954337718</v>
      </c>
    </row>
    <row r="313" spans="1:13" ht="16" thickBot="1" x14ac:dyDescent="0.25">
      <c r="A313" s="7">
        <v>2</v>
      </c>
      <c r="B313">
        <f>IF(ISBLANK(G313),"",VLOOKUP(H313,code!B:C,2,FALSE))</f>
        <v>21</v>
      </c>
      <c r="C313">
        <f t="shared" si="8"/>
        <v>1</v>
      </c>
      <c r="D313">
        <v>2018</v>
      </c>
      <c r="E313">
        <v>126614</v>
      </c>
      <c r="F313" t="s">
        <v>84</v>
      </c>
      <c r="G313" t="s">
        <v>285</v>
      </c>
      <c r="H313" t="s">
        <v>30</v>
      </c>
      <c r="I313">
        <v>42439</v>
      </c>
      <c r="J313">
        <f>I313/VLOOKUP($D313,CPI!$P$16:$R$22,3,FALSE)</f>
        <v>51257.638999943585</v>
      </c>
      <c r="K313">
        <f t="shared" si="9"/>
        <v>0</v>
      </c>
      <c r="L313" s="3" cm="1">
        <f t="array" ref="L313">IF($C313=0,INDEX('24&amp;25'!$L:$L,MATCH($D313&amp;$B313&amp;$E313,'24&amp;25'!$B:$B&amp;'24&amp;25'!$A:$A&amp;'24&amp;25'!$C:$C,0)),INDEX('24&amp;25'!$M:$M,MATCH($D313&amp;$B313&amp;$E313,'24&amp;25'!$B:$B&amp;'24&amp;25'!$A:$A&amp;'24&amp;25'!$C:$C,0)))</f>
        <v>39739</v>
      </c>
      <c r="M313">
        <f>L313/VLOOKUP($D313,CPI!$P$16:$R$22,3,FALSE)</f>
        <v>47996.590782505671</v>
      </c>
    </row>
    <row r="314" spans="1:13" ht="16" thickBot="1" x14ac:dyDescent="0.25">
      <c r="A314" s="7">
        <v>2</v>
      </c>
      <c r="B314">
        <f>IF(ISBLANK(G314),"",VLOOKUP(H314,code!B:C,2,FALSE))</f>
        <v>23</v>
      </c>
      <c r="C314">
        <f t="shared" si="8"/>
        <v>1</v>
      </c>
      <c r="D314">
        <v>2018</v>
      </c>
      <c r="E314">
        <v>126614</v>
      </c>
      <c r="F314" t="s">
        <v>84</v>
      </c>
      <c r="G314" t="s">
        <v>285</v>
      </c>
      <c r="H314" t="s">
        <v>33</v>
      </c>
      <c r="I314">
        <v>54207</v>
      </c>
      <c r="J314">
        <f>I314/VLOOKUP($D314,CPI!$P$16:$R$22,3,FALSE)</f>
        <v>65470.978045428543</v>
      </c>
      <c r="K314">
        <f t="shared" si="9"/>
        <v>0</v>
      </c>
      <c r="L314" s="3" cm="1">
        <f t="array" ref="L314">IF($C314=0,INDEX('24&amp;25'!$L:$L,MATCH($D314&amp;$B314&amp;$E314,'24&amp;25'!$B:$B&amp;'24&amp;25'!$A:$A&amp;'24&amp;25'!$C:$C,0)),INDEX('24&amp;25'!$M:$M,MATCH($D314&amp;$B314&amp;$E314,'24&amp;25'!$B:$B&amp;'24&amp;25'!$A:$A&amp;'24&amp;25'!$C:$C,0)))</f>
        <v>187692</v>
      </c>
      <c r="M314">
        <f>L314/VLOOKUP($D314,CPI!$P$16:$R$22,3,FALSE)</f>
        <v>226693.5785286508</v>
      </c>
    </row>
    <row r="315" spans="1:13" ht="16" thickBot="1" x14ac:dyDescent="0.25">
      <c r="A315" s="7">
        <v>2</v>
      </c>
      <c r="B315">
        <f>IF(ISBLANK(G315),"",VLOOKUP(H315,code!B:C,2,FALSE))</f>
        <v>2</v>
      </c>
      <c r="C315">
        <f t="shared" si="8"/>
        <v>0</v>
      </c>
      <c r="D315">
        <v>2019</v>
      </c>
      <c r="E315">
        <v>126614</v>
      </c>
      <c r="F315" t="s">
        <v>84</v>
      </c>
      <c r="G315" t="s">
        <v>284</v>
      </c>
      <c r="H315" t="s">
        <v>10</v>
      </c>
      <c r="I315">
        <v>3217744</v>
      </c>
      <c r="J315">
        <f>I315/VLOOKUP($D315,CPI!$P$16:$R$22,3,FALSE)</f>
        <v>3807466.0666920678</v>
      </c>
      <c r="K315">
        <f t="shared" si="9"/>
        <v>0</v>
      </c>
      <c r="L315" s="3" cm="1">
        <f t="array" ref="L315">IF($C315=0,INDEX('24&amp;25'!$L:$L,MATCH($D315&amp;$B315&amp;$E315,'24&amp;25'!$B:$B&amp;'24&amp;25'!$A:$A&amp;'24&amp;25'!$C:$C,0)),INDEX('24&amp;25'!$M:$M,MATCH($D315&amp;$B315&amp;$E315,'24&amp;25'!$B:$B&amp;'24&amp;25'!$A:$A&amp;'24&amp;25'!$C:$C,0)))</f>
        <v>464437</v>
      </c>
      <c r="M315">
        <f>L315/VLOOKUP($D315,CPI!$P$16:$R$22,3,FALSE)</f>
        <v>549555.25287787465</v>
      </c>
    </row>
    <row r="316" spans="1:13" ht="16" thickBot="1" x14ac:dyDescent="0.25">
      <c r="A316" s="7">
        <v>2</v>
      </c>
      <c r="B316">
        <f>IF(ISBLANK(G316),"",VLOOKUP(H316,code!B:C,2,FALSE))</f>
        <v>8</v>
      </c>
      <c r="C316">
        <f t="shared" si="8"/>
        <v>0</v>
      </c>
      <c r="D316">
        <v>2019</v>
      </c>
      <c r="E316">
        <v>126614</v>
      </c>
      <c r="F316" t="s">
        <v>84</v>
      </c>
      <c r="G316" t="s">
        <v>284</v>
      </c>
      <c r="H316" t="s">
        <v>16</v>
      </c>
      <c r="I316">
        <v>17758363</v>
      </c>
      <c r="J316">
        <f>I316/VLOOKUP($D316,CPI!$P$16:$R$22,3,FALSE)</f>
        <v>21012971.983631995</v>
      </c>
      <c r="K316">
        <f t="shared" si="9"/>
        <v>0</v>
      </c>
      <c r="L316" s="3" cm="1">
        <f t="array" ref="L316">IF($C316=0,INDEX('24&amp;25'!$L:$L,MATCH($D316&amp;$B316&amp;$E316,'24&amp;25'!$B:$B&amp;'24&amp;25'!$A:$A&amp;'24&amp;25'!$C:$C,0)),INDEX('24&amp;25'!$M:$M,MATCH($D316&amp;$B316&amp;$E316,'24&amp;25'!$B:$B&amp;'24&amp;25'!$A:$A&amp;'24&amp;25'!$C:$C,0)))</f>
        <v>1256592</v>
      </c>
      <c r="M316">
        <f>L316/VLOOKUP($D316,CPI!$P$16:$R$22,3,FALSE)</f>
        <v>1486890.0073084494</v>
      </c>
    </row>
    <row r="317" spans="1:13" ht="16" thickBot="1" x14ac:dyDescent="0.25">
      <c r="A317" s="7">
        <v>2</v>
      </c>
      <c r="B317">
        <f>IF(ISBLANK(G317),"",VLOOKUP(H317,code!B:C,2,FALSE))</f>
        <v>9</v>
      </c>
      <c r="C317">
        <f t="shared" si="8"/>
        <v>0</v>
      </c>
      <c r="D317">
        <v>2019</v>
      </c>
      <c r="E317">
        <v>126614</v>
      </c>
      <c r="F317" t="s">
        <v>84</v>
      </c>
      <c r="G317" t="s">
        <v>284</v>
      </c>
      <c r="H317" t="s">
        <v>17</v>
      </c>
      <c r="I317">
        <v>59720</v>
      </c>
      <c r="J317">
        <f>I317/VLOOKUP($D317,CPI!$P$16:$R$22,3,FALSE)</f>
        <v>70664.998055423392</v>
      </c>
      <c r="K317">
        <f t="shared" si="9"/>
        <v>0</v>
      </c>
      <c r="L317" s="3" cm="1">
        <f t="array" ref="L317">IF($C317=0,INDEX('24&amp;25'!$L:$L,MATCH($D317&amp;$B317&amp;$E317,'24&amp;25'!$B:$B&amp;'24&amp;25'!$A:$A&amp;'24&amp;25'!$C:$C,0)),INDEX('24&amp;25'!$M:$M,MATCH($D317&amp;$B317&amp;$E317,'24&amp;25'!$B:$B&amp;'24&amp;25'!$A:$A&amp;'24&amp;25'!$C:$C,0)))</f>
        <v>18369</v>
      </c>
      <c r="M317">
        <f>L317/VLOOKUP($D317,CPI!$P$16:$R$22,3,FALSE)</f>
        <v>21735.521588748699</v>
      </c>
    </row>
    <row r="318" spans="1:13" ht="16" thickBot="1" x14ac:dyDescent="0.25">
      <c r="A318" s="7">
        <v>2</v>
      </c>
      <c r="B318">
        <f>IF(ISBLANK(G318),"",VLOOKUP(H318,code!B:C,2,FALSE))</f>
        <v>16</v>
      </c>
      <c r="C318">
        <f t="shared" si="8"/>
        <v>0</v>
      </c>
      <c r="D318">
        <v>2019</v>
      </c>
      <c r="E318">
        <v>126614</v>
      </c>
      <c r="F318" t="s">
        <v>84</v>
      </c>
      <c r="G318" t="s">
        <v>284</v>
      </c>
      <c r="H318" t="s">
        <v>24</v>
      </c>
      <c r="I318">
        <v>73933</v>
      </c>
      <c r="J318">
        <f>I318/VLOOKUP($D318,CPI!$P$16:$R$22,3,FALSE)</f>
        <v>87482.841614729041</v>
      </c>
      <c r="K318">
        <f t="shared" si="9"/>
        <v>0</v>
      </c>
      <c r="L318" s="3" cm="1">
        <f t="array" ref="L318">IF($C318=0,INDEX('24&amp;25'!$L:$L,MATCH($D318&amp;$B318&amp;$E318,'24&amp;25'!$B:$B&amp;'24&amp;25'!$A:$A&amp;'24&amp;25'!$C:$C,0)),INDEX('24&amp;25'!$M:$M,MATCH($D318&amp;$B318&amp;$E318,'24&amp;25'!$B:$B&amp;'24&amp;25'!$A:$A&amp;'24&amp;25'!$C:$C,0)))</f>
        <v>18805</v>
      </c>
      <c r="M318">
        <f>L318/VLOOKUP($D318,CPI!$P$16:$R$22,3,FALSE)</f>
        <v>22251.428138517029</v>
      </c>
    </row>
    <row r="319" spans="1:13" ht="16" thickBot="1" x14ac:dyDescent="0.25">
      <c r="A319" s="7">
        <v>2</v>
      </c>
      <c r="B319">
        <f>IF(ISBLANK(G319),"",VLOOKUP(H319,code!B:C,2,FALSE))</f>
        <v>21</v>
      </c>
      <c r="C319">
        <f t="shared" si="8"/>
        <v>0</v>
      </c>
      <c r="D319">
        <v>2019</v>
      </c>
      <c r="E319">
        <v>126614</v>
      </c>
      <c r="F319" t="s">
        <v>84</v>
      </c>
      <c r="G319" t="s">
        <v>284</v>
      </c>
      <c r="H319" t="s">
        <v>30</v>
      </c>
      <c r="I319">
        <v>18941</v>
      </c>
      <c r="J319">
        <f>I319/VLOOKUP($D319,CPI!$P$16:$R$22,3,FALSE)</f>
        <v>22412.353117343846</v>
      </c>
      <c r="K319">
        <f t="shared" si="9"/>
        <v>0</v>
      </c>
      <c r="L319" s="3" cm="1">
        <f t="array" ref="L319">IF($C319=0,INDEX('24&amp;25'!$L:$L,MATCH($D319&amp;$B319&amp;$E319,'24&amp;25'!$B:$B&amp;'24&amp;25'!$A:$A&amp;'24&amp;25'!$C:$C,0)),INDEX('24&amp;25'!$M:$M,MATCH($D319&amp;$B319&amp;$E319,'24&amp;25'!$B:$B&amp;'24&amp;25'!$A:$A&amp;'24&amp;25'!$C:$C,0)))</f>
        <v>49947</v>
      </c>
      <c r="M319">
        <f>L319/VLOOKUP($D319,CPI!$P$16:$R$22,3,FALSE)</f>
        <v>59100.881746052117</v>
      </c>
    </row>
    <row r="320" spans="1:13" ht="16" thickBot="1" x14ac:dyDescent="0.25">
      <c r="A320" s="7">
        <v>2</v>
      </c>
      <c r="B320">
        <f>IF(ISBLANK(G320),"",VLOOKUP(H320,code!B:C,2,FALSE))</f>
        <v>2</v>
      </c>
      <c r="C320">
        <f t="shared" si="8"/>
        <v>1</v>
      </c>
      <c r="D320">
        <v>2019</v>
      </c>
      <c r="E320">
        <v>126614</v>
      </c>
      <c r="F320" t="s">
        <v>84</v>
      </c>
      <c r="G320" t="s">
        <v>285</v>
      </c>
      <c r="H320" t="s">
        <v>10</v>
      </c>
      <c r="I320">
        <v>333834</v>
      </c>
      <c r="J320">
        <f>I320/VLOOKUP($D320,CPI!$P$16:$R$22,3,FALSE)</f>
        <v>395016.39251229429</v>
      </c>
      <c r="K320">
        <f t="shared" si="9"/>
        <v>0</v>
      </c>
      <c r="L320" s="3" cm="1">
        <f t="array" ref="L320">IF($C320=0,INDEX('24&amp;25'!$L:$L,MATCH($D320&amp;$B320&amp;$E320,'24&amp;25'!$B:$B&amp;'24&amp;25'!$A:$A&amp;'24&amp;25'!$C:$C,0)),INDEX('24&amp;25'!$M:$M,MATCH($D320&amp;$B320&amp;$E320,'24&amp;25'!$B:$B&amp;'24&amp;25'!$A:$A&amp;'24&amp;25'!$C:$C,0)))</f>
        <v>269073</v>
      </c>
      <c r="M320">
        <f>L320/VLOOKUP($D320,CPI!$P$16:$R$22,3,FALSE)</f>
        <v>318386.52079315035</v>
      </c>
    </row>
    <row r="321" spans="1:13" ht="16" thickBot="1" x14ac:dyDescent="0.25">
      <c r="A321" s="7">
        <v>2</v>
      </c>
      <c r="B321">
        <f>IF(ISBLANK(G321),"",VLOOKUP(H321,code!B:C,2,FALSE))</f>
        <v>9</v>
      </c>
      <c r="C321">
        <f t="shared" si="8"/>
        <v>1</v>
      </c>
      <c r="D321">
        <v>2019</v>
      </c>
      <c r="E321">
        <v>126614</v>
      </c>
      <c r="F321" t="s">
        <v>84</v>
      </c>
      <c r="G321" t="s">
        <v>285</v>
      </c>
      <c r="H321" t="s">
        <v>17</v>
      </c>
      <c r="I321">
        <v>18099</v>
      </c>
      <c r="J321">
        <f>I321/VLOOKUP($D321,CPI!$P$16:$R$22,3,FALSE)</f>
        <v>21416.03817490134</v>
      </c>
      <c r="K321">
        <f t="shared" si="9"/>
        <v>0</v>
      </c>
      <c r="L321" s="3" cm="1">
        <f t="array" ref="L321">IF($C321=0,INDEX('24&amp;25'!$L:$L,MATCH($D321&amp;$B321&amp;$E321,'24&amp;25'!$B:$B&amp;'24&amp;25'!$A:$A&amp;'24&amp;25'!$C:$C,0)),INDEX('24&amp;25'!$M:$M,MATCH($D321&amp;$B321&amp;$E321,'24&amp;25'!$B:$B&amp;'24&amp;25'!$A:$A&amp;'24&amp;25'!$C:$C,0)))</f>
        <v>15465</v>
      </c>
      <c r="M321">
        <f>L321/VLOOKUP($D321,CPI!$P$16:$R$22,3,FALSE)</f>
        <v>18299.299982034878</v>
      </c>
    </row>
    <row r="322" spans="1:13" ht="16" thickBot="1" x14ac:dyDescent="0.25">
      <c r="A322" s="7">
        <v>2</v>
      </c>
      <c r="B322">
        <f>IF(ISBLANK(G322),"",VLOOKUP(H322,code!B:C,2,FALSE))</f>
        <v>12</v>
      </c>
      <c r="C322">
        <f t="shared" si="8"/>
        <v>1</v>
      </c>
      <c r="D322">
        <v>2019</v>
      </c>
      <c r="E322">
        <v>126614</v>
      </c>
      <c r="F322" t="s">
        <v>84</v>
      </c>
      <c r="G322" t="s">
        <v>285</v>
      </c>
      <c r="H322" t="s">
        <v>20</v>
      </c>
      <c r="I322">
        <v>2019</v>
      </c>
      <c r="J322">
        <f>I322/VLOOKUP($D322,CPI!$P$16:$R$22,3,FALSE)</f>
        <v>2389.0259724363668</v>
      </c>
      <c r="K322">
        <f t="shared" si="9"/>
        <v>0</v>
      </c>
      <c r="L322" s="3" cm="1">
        <f t="array" ref="L322">IF($C322=0,INDEX('24&amp;25'!$L:$L,MATCH($D322&amp;$B322&amp;$E322,'24&amp;25'!$B:$B&amp;'24&amp;25'!$A:$A&amp;'24&amp;25'!$C:$C,0)),INDEX('24&amp;25'!$M:$M,MATCH($D322&amp;$B322&amp;$E322,'24&amp;25'!$B:$B&amp;'24&amp;25'!$A:$A&amp;'24&amp;25'!$C:$C,0)))</f>
        <v>0</v>
      </c>
      <c r="M322">
        <f>L322/VLOOKUP($D322,CPI!$P$16:$R$22,3,FALSE)</f>
        <v>0</v>
      </c>
    </row>
    <row r="323" spans="1:13" ht="16" thickBot="1" x14ac:dyDescent="0.25">
      <c r="A323" s="7">
        <v>2</v>
      </c>
      <c r="B323">
        <f>IF(ISBLANK(G323),"",VLOOKUP(H323,code!B:C,2,FALSE))</f>
        <v>16</v>
      </c>
      <c r="C323">
        <f t="shared" ref="C323:C386" si="10">IF(ISBLANK(G323),"",IF(MID(G323,1,1)="M",0,1))</f>
        <v>1</v>
      </c>
      <c r="D323">
        <v>2019</v>
      </c>
      <c r="E323">
        <v>126614</v>
      </c>
      <c r="F323" t="s">
        <v>84</v>
      </c>
      <c r="G323" t="s">
        <v>285</v>
      </c>
      <c r="H323" t="s">
        <v>24</v>
      </c>
      <c r="I323">
        <v>73933</v>
      </c>
      <c r="J323">
        <f>I323/VLOOKUP($D323,CPI!$P$16:$R$22,3,FALSE)</f>
        <v>87482.841614729041</v>
      </c>
      <c r="K323">
        <f t="shared" ref="K323:K386" si="11">IF(ISBLANK(G323),"",IF(D323=2021,1,0))</f>
        <v>0</v>
      </c>
      <c r="L323" s="3" cm="1">
        <f t="array" ref="L323">IF($C323=0,INDEX('24&amp;25'!$L:$L,MATCH($D323&amp;$B323&amp;$E323,'24&amp;25'!$B:$B&amp;'24&amp;25'!$A:$A&amp;'24&amp;25'!$C:$C,0)),INDEX('24&amp;25'!$M:$M,MATCH($D323&amp;$B323&amp;$E323,'24&amp;25'!$B:$B&amp;'24&amp;25'!$A:$A&amp;'24&amp;25'!$C:$C,0)))</f>
        <v>18805</v>
      </c>
      <c r="M323">
        <f>L323/VLOOKUP($D323,CPI!$P$16:$R$22,3,FALSE)</f>
        <v>22251.428138517029</v>
      </c>
    </row>
    <row r="324" spans="1:13" ht="16" thickBot="1" x14ac:dyDescent="0.25">
      <c r="A324" s="7">
        <v>2</v>
      </c>
      <c r="B324">
        <f>IF(ISBLANK(G324),"",VLOOKUP(H324,code!B:C,2,FALSE))</f>
        <v>17</v>
      </c>
      <c r="C324">
        <f t="shared" si="10"/>
        <v>1</v>
      </c>
      <c r="D324">
        <v>2019</v>
      </c>
      <c r="E324">
        <v>126614</v>
      </c>
      <c r="F324" t="s">
        <v>84</v>
      </c>
      <c r="G324" t="s">
        <v>285</v>
      </c>
      <c r="H324" t="s">
        <v>25</v>
      </c>
      <c r="I324">
        <v>168587</v>
      </c>
      <c r="J324">
        <f>I324/VLOOKUP($D324,CPI!$P$16:$R$22,3,FALSE)</f>
        <v>199484.26033438821</v>
      </c>
      <c r="K324">
        <f t="shared" si="11"/>
        <v>0</v>
      </c>
      <c r="L324" s="3" cm="1">
        <f t="array" ref="L324">IF($C324=0,INDEX('24&amp;25'!$L:$L,MATCH($D324&amp;$B324&amp;$E324,'24&amp;25'!$B:$B&amp;'24&amp;25'!$A:$A&amp;'24&amp;25'!$C:$C,0)),INDEX('24&amp;25'!$M:$M,MATCH($D324&amp;$B324&amp;$E324,'24&amp;25'!$B:$B&amp;'24&amp;25'!$A:$A&amp;'24&amp;25'!$C:$C,0)))</f>
        <v>0</v>
      </c>
      <c r="M324">
        <f>L324/VLOOKUP($D324,CPI!$P$16:$R$22,3,FALSE)</f>
        <v>0</v>
      </c>
    </row>
    <row r="325" spans="1:13" ht="16" thickBot="1" x14ac:dyDescent="0.25">
      <c r="A325" s="7">
        <v>2</v>
      </c>
      <c r="B325">
        <f>IF(ISBLANK(G325),"",VLOOKUP(H325,code!B:C,2,FALSE))</f>
        <v>20</v>
      </c>
      <c r="C325">
        <f t="shared" si="10"/>
        <v>1</v>
      </c>
      <c r="D325">
        <v>2019</v>
      </c>
      <c r="E325">
        <v>126614</v>
      </c>
      <c r="F325" t="s">
        <v>84</v>
      </c>
      <c r="G325" t="s">
        <v>285</v>
      </c>
      <c r="H325" t="s">
        <v>28</v>
      </c>
      <c r="I325">
        <v>29022</v>
      </c>
      <c r="J325">
        <f>I325/VLOOKUP($D325,CPI!$P$16:$R$22,3,FALSE)</f>
        <v>34340.917172881746</v>
      </c>
      <c r="K325">
        <f t="shared" si="11"/>
        <v>0</v>
      </c>
      <c r="L325" s="3" cm="1">
        <f t="array" ref="L325">IF($C325=0,INDEX('24&amp;25'!$L:$L,MATCH($D325&amp;$B325&amp;$E325,'24&amp;25'!$B:$B&amp;'24&amp;25'!$A:$A&amp;'24&amp;25'!$C:$C,0)),INDEX('24&amp;25'!$M:$M,MATCH($D325&amp;$B325&amp;$E325,'24&amp;25'!$B:$B&amp;'24&amp;25'!$A:$A&amp;'24&amp;25'!$C:$C,0)))</f>
        <v>17574</v>
      </c>
      <c r="M325">
        <f>L325/VLOOKUP($D325,CPI!$P$16:$R$22,3,FALSE)</f>
        <v>20794.820425753696</v>
      </c>
    </row>
    <row r="326" spans="1:13" ht="16" thickBot="1" x14ac:dyDescent="0.25">
      <c r="A326" s="7">
        <v>2</v>
      </c>
      <c r="B326">
        <f>IF(ISBLANK(G326),"",VLOOKUP(H326,code!B:C,2,FALSE))</f>
        <v>21</v>
      </c>
      <c r="C326">
        <f t="shared" si="10"/>
        <v>1</v>
      </c>
      <c r="D326">
        <v>2019</v>
      </c>
      <c r="E326">
        <v>126614</v>
      </c>
      <c r="F326" t="s">
        <v>84</v>
      </c>
      <c r="G326" t="s">
        <v>285</v>
      </c>
      <c r="H326" t="s">
        <v>30</v>
      </c>
      <c r="I326">
        <v>18941</v>
      </c>
      <c r="J326">
        <f>I326/VLOOKUP($D326,CPI!$P$16:$R$22,3,FALSE)</f>
        <v>22412.353117343846</v>
      </c>
      <c r="K326">
        <f t="shared" si="11"/>
        <v>0</v>
      </c>
      <c r="L326" s="3" cm="1">
        <f t="array" ref="L326">IF($C326=0,INDEX('24&amp;25'!$L:$L,MATCH($D326&amp;$B326&amp;$E326,'24&amp;25'!$B:$B&amp;'24&amp;25'!$A:$A&amp;'24&amp;25'!$C:$C,0)),INDEX('24&amp;25'!$M:$M,MATCH($D326&amp;$B326&amp;$E326,'24&amp;25'!$B:$B&amp;'24&amp;25'!$A:$A&amp;'24&amp;25'!$C:$C,0)))</f>
        <v>49947</v>
      </c>
      <c r="M326">
        <f>L326/VLOOKUP($D326,CPI!$P$16:$R$22,3,FALSE)</f>
        <v>59100.881746052117</v>
      </c>
    </row>
    <row r="327" spans="1:13" ht="16" thickBot="1" x14ac:dyDescent="0.25">
      <c r="A327" s="7">
        <v>2</v>
      </c>
      <c r="B327">
        <f>IF(ISBLANK(G327),"",VLOOKUP(H327,code!B:C,2,FALSE))</f>
        <v>23</v>
      </c>
      <c r="C327">
        <f t="shared" si="10"/>
        <v>1</v>
      </c>
      <c r="D327">
        <v>2019</v>
      </c>
      <c r="E327">
        <v>126614</v>
      </c>
      <c r="F327" t="s">
        <v>84</v>
      </c>
      <c r="G327" t="s">
        <v>285</v>
      </c>
      <c r="H327" t="s">
        <v>33</v>
      </c>
      <c r="I327">
        <v>82853</v>
      </c>
      <c r="J327">
        <f>I327/VLOOKUP($D327,CPI!$P$16:$R$22,3,FALSE)</f>
        <v>98037.626990723293</v>
      </c>
      <c r="K327">
        <f t="shared" si="11"/>
        <v>0</v>
      </c>
      <c r="L327" s="3" cm="1">
        <f t="array" ref="L327">IF($C327=0,INDEX('24&amp;25'!$L:$L,MATCH($D327&amp;$B327&amp;$E327,'24&amp;25'!$B:$B&amp;'24&amp;25'!$A:$A&amp;'24&amp;25'!$C:$C,0)),INDEX('24&amp;25'!$M:$M,MATCH($D327&amp;$B327&amp;$E327,'24&amp;25'!$B:$B&amp;'24&amp;25'!$A:$A&amp;'24&amp;25'!$C:$C,0)))</f>
        <v>180598</v>
      </c>
      <c r="M327">
        <f>L327/VLOOKUP($D327,CPI!$P$16:$R$22,3,FALSE)</f>
        <v>213696.53916298316</v>
      </c>
    </row>
    <row r="328" spans="1:13" ht="16" thickBot="1" x14ac:dyDescent="0.25">
      <c r="A328" s="7">
        <v>2</v>
      </c>
      <c r="B328">
        <f>IF(ISBLANK(G328),"",VLOOKUP(H328,code!B:C,2,FALSE))</f>
        <v>2</v>
      </c>
      <c r="C328">
        <f t="shared" si="10"/>
        <v>0</v>
      </c>
      <c r="D328">
        <v>2020</v>
      </c>
      <c r="E328">
        <v>126614</v>
      </c>
      <c r="F328" t="s">
        <v>84</v>
      </c>
      <c r="G328" t="s">
        <v>284</v>
      </c>
      <c r="H328" t="s">
        <v>10</v>
      </c>
      <c r="I328">
        <v>3389503</v>
      </c>
      <c r="J328">
        <f>I328/VLOOKUP($D328,CPI!$P$16:$R$22,3,FALSE)</f>
        <v>3948936.3655347358</v>
      </c>
      <c r="K328">
        <f t="shared" si="11"/>
        <v>0</v>
      </c>
      <c r="L328" s="3" cm="1">
        <f t="array" ref="L328">IF($C328=0,INDEX('24&amp;25'!$L:$L,MATCH($D328&amp;$B328&amp;$E328,'24&amp;25'!$B:$B&amp;'24&amp;25'!$A:$A&amp;'24&amp;25'!$C:$C,0)),INDEX('24&amp;25'!$M:$M,MATCH($D328&amp;$B328&amp;$E328,'24&amp;25'!$B:$B&amp;'24&amp;25'!$A:$A&amp;'24&amp;25'!$C:$C,0)))</f>
        <v>371948</v>
      </c>
      <c r="M328">
        <f>L328/VLOOKUP($D328,CPI!$P$16:$R$22,3,FALSE)</f>
        <v>433337.56697896827</v>
      </c>
    </row>
    <row r="329" spans="1:13" ht="16" thickBot="1" x14ac:dyDescent="0.25">
      <c r="A329" s="7">
        <v>2</v>
      </c>
      <c r="B329">
        <f>IF(ISBLANK(G329),"",VLOOKUP(H329,code!B:C,2,FALSE))</f>
        <v>8</v>
      </c>
      <c r="C329">
        <f t="shared" si="10"/>
        <v>0</v>
      </c>
      <c r="D329">
        <v>2020</v>
      </c>
      <c r="E329">
        <v>126614</v>
      </c>
      <c r="F329" t="s">
        <v>84</v>
      </c>
      <c r="G329" t="s">
        <v>284</v>
      </c>
      <c r="H329" t="s">
        <v>16</v>
      </c>
      <c r="I329">
        <v>22809488</v>
      </c>
      <c r="J329">
        <f>I329/VLOOKUP($D329,CPI!$P$16:$R$22,3,FALSE)</f>
        <v>26574166.372600399</v>
      </c>
      <c r="K329">
        <f t="shared" si="11"/>
        <v>0</v>
      </c>
      <c r="L329" s="3" cm="1">
        <f t="array" ref="L329">IF($C329=0,INDEX('24&amp;25'!$L:$L,MATCH($D329&amp;$B329&amp;$E329,'24&amp;25'!$B:$B&amp;'24&amp;25'!$A:$A&amp;'24&amp;25'!$C:$C,0)),INDEX('24&amp;25'!$M:$M,MATCH($D329&amp;$B329&amp;$E329,'24&amp;25'!$B:$B&amp;'24&amp;25'!$A:$A&amp;'24&amp;25'!$C:$C,0)))</f>
        <v>1329496</v>
      </c>
      <c r="M329">
        <f>L329/VLOOKUP($D329,CPI!$P$16:$R$22,3,FALSE)</f>
        <v>1548927.704808926</v>
      </c>
    </row>
    <row r="330" spans="1:13" ht="16" thickBot="1" x14ac:dyDescent="0.25">
      <c r="A330" s="7">
        <v>2</v>
      </c>
      <c r="B330">
        <f>IF(ISBLANK(G330),"",VLOOKUP(H330,code!B:C,2,FALSE))</f>
        <v>9</v>
      </c>
      <c r="C330">
        <f t="shared" si="10"/>
        <v>0</v>
      </c>
      <c r="D330">
        <v>2020</v>
      </c>
      <c r="E330">
        <v>126614</v>
      </c>
      <c r="F330" t="s">
        <v>84</v>
      </c>
      <c r="G330" t="s">
        <v>284</v>
      </c>
      <c r="H330" t="s">
        <v>17</v>
      </c>
      <c r="I330">
        <v>60069</v>
      </c>
      <c r="J330">
        <f>I330/VLOOKUP($D330,CPI!$P$16:$R$22,3,FALSE)</f>
        <v>69983.315707732385</v>
      </c>
      <c r="K330">
        <f t="shared" si="11"/>
        <v>0</v>
      </c>
      <c r="L330" s="3" cm="1">
        <f t="array" ref="L330">IF($C330=0,INDEX('24&amp;25'!$L:$L,MATCH($D330&amp;$B330&amp;$E330,'24&amp;25'!$B:$B&amp;'24&amp;25'!$A:$A&amp;'24&amp;25'!$C:$C,0)),INDEX('24&amp;25'!$M:$M,MATCH($D330&amp;$B330&amp;$E330,'24&amp;25'!$B:$B&amp;'24&amp;25'!$A:$A&amp;'24&amp;25'!$C:$C,0)))</f>
        <v>46224</v>
      </c>
      <c r="M330">
        <f>L330/VLOOKUP($D330,CPI!$P$16:$R$22,3,FALSE)</f>
        <v>53853.215223729741</v>
      </c>
    </row>
    <row r="331" spans="1:13" ht="16" thickBot="1" x14ac:dyDescent="0.25">
      <c r="A331" s="7">
        <v>2</v>
      </c>
      <c r="B331">
        <f>IF(ISBLANK(G331),"",VLOOKUP(H331,code!B:C,2,FALSE))</f>
        <v>16</v>
      </c>
      <c r="C331">
        <f t="shared" si="10"/>
        <v>0</v>
      </c>
      <c r="D331">
        <v>2020</v>
      </c>
      <c r="E331">
        <v>126614</v>
      </c>
      <c r="F331" t="s">
        <v>84</v>
      </c>
      <c r="G331" t="s">
        <v>284</v>
      </c>
      <c r="H331" t="s">
        <v>24</v>
      </c>
      <c r="I331">
        <v>44812</v>
      </c>
      <c r="J331">
        <f>I331/VLOOKUP($D331,CPI!$P$16:$R$22,3,FALSE)</f>
        <v>52208.166333631387</v>
      </c>
      <c r="K331">
        <f t="shared" si="11"/>
        <v>0</v>
      </c>
      <c r="L331" s="3" cm="1">
        <f t="array" ref="L331">IF($C331=0,INDEX('24&amp;25'!$L:$L,MATCH($D331&amp;$B331&amp;$E331,'24&amp;25'!$B:$B&amp;'24&amp;25'!$A:$A&amp;'24&amp;25'!$C:$C,0)),INDEX('24&amp;25'!$M:$M,MATCH($D331&amp;$B331&amp;$E331,'24&amp;25'!$B:$B&amp;'24&amp;25'!$A:$A&amp;'24&amp;25'!$C:$C,0)))</f>
        <v>28787</v>
      </c>
      <c r="M331">
        <f>L331/VLOOKUP($D331,CPI!$P$16:$R$22,3,FALSE)</f>
        <v>33538.259489561875</v>
      </c>
    </row>
    <row r="332" spans="1:13" ht="16" thickBot="1" x14ac:dyDescent="0.25">
      <c r="A332" s="7">
        <v>2</v>
      </c>
      <c r="B332">
        <f>IF(ISBLANK(G332),"",VLOOKUP(H332,code!B:C,2,FALSE))</f>
        <v>21</v>
      </c>
      <c r="C332">
        <f t="shared" si="10"/>
        <v>0</v>
      </c>
      <c r="D332">
        <v>2020</v>
      </c>
      <c r="E332">
        <v>126614</v>
      </c>
      <c r="F332" t="s">
        <v>84</v>
      </c>
      <c r="G332" t="s">
        <v>284</v>
      </c>
      <c r="H332" t="s">
        <v>30</v>
      </c>
      <c r="I332">
        <v>24387</v>
      </c>
      <c r="J332">
        <f>I332/VLOOKUP($D332,CPI!$P$16:$R$22,3,FALSE)</f>
        <v>28412.044817867281</v>
      </c>
      <c r="K332">
        <f t="shared" si="11"/>
        <v>0</v>
      </c>
      <c r="L332" s="3" cm="1">
        <f t="array" ref="L332">IF($C332=0,INDEX('24&amp;25'!$L:$L,MATCH($D332&amp;$B332&amp;$E332,'24&amp;25'!$B:$B&amp;'24&amp;25'!$A:$A&amp;'24&amp;25'!$C:$C,0)),INDEX('24&amp;25'!$M:$M,MATCH($D332&amp;$B332&amp;$E332,'24&amp;25'!$B:$B&amp;'24&amp;25'!$A:$A&amp;'24&amp;25'!$C:$C,0)))</f>
        <v>47417</v>
      </c>
      <c r="M332">
        <f>L332/VLOOKUP($D332,CPI!$P$16:$R$22,3,FALSE)</f>
        <v>55243.118429032387</v>
      </c>
    </row>
    <row r="333" spans="1:13" ht="16" thickBot="1" x14ac:dyDescent="0.25">
      <c r="A333" s="7">
        <v>2</v>
      </c>
      <c r="B333">
        <f>IF(ISBLANK(G333),"",VLOOKUP(H333,code!B:C,2,FALSE))</f>
        <v>2</v>
      </c>
      <c r="C333">
        <f t="shared" si="10"/>
        <v>1</v>
      </c>
      <c r="D333">
        <v>2020</v>
      </c>
      <c r="E333">
        <v>126614</v>
      </c>
      <c r="F333" t="s">
        <v>84</v>
      </c>
      <c r="G333" t="s">
        <v>285</v>
      </c>
      <c r="H333" t="s">
        <v>10</v>
      </c>
      <c r="I333">
        <v>214937</v>
      </c>
      <c r="J333">
        <f>I333/VLOOKUP($D333,CPI!$P$16:$R$22,3,FALSE)</f>
        <v>250412.09156591378</v>
      </c>
      <c r="K333">
        <f t="shared" si="11"/>
        <v>0</v>
      </c>
      <c r="L333" s="3" cm="1">
        <f t="array" ref="L333">IF($C333=0,INDEX('24&amp;25'!$L:$L,MATCH($D333&amp;$B333&amp;$E333,'24&amp;25'!$B:$B&amp;'24&amp;25'!$A:$A&amp;'24&amp;25'!$C:$C,0)),INDEX('24&amp;25'!$M:$M,MATCH($D333&amp;$B333&amp;$E333,'24&amp;25'!$B:$B&amp;'24&amp;25'!$A:$A&amp;'24&amp;25'!$C:$C,0)))</f>
        <v>297968</v>
      </c>
      <c r="M333">
        <f>L333/VLOOKUP($D333,CPI!$P$16:$R$22,3,FALSE)</f>
        <v>347147.25756715779</v>
      </c>
    </row>
    <row r="334" spans="1:13" ht="16" thickBot="1" x14ac:dyDescent="0.25">
      <c r="A334" s="7">
        <v>2</v>
      </c>
      <c r="B334">
        <f>IF(ISBLANK(G334),"",VLOOKUP(H334,code!B:C,2,FALSE))</f>
        <v>9</v>
      </c>
      <c r="C334">
        <f t="shared" si="10"/>
        <v>1</v>
      </c>
      <c r="D334">
        <v>2020</v>
      </c>
      <c r="E334">
        <v>126614</v>
      </c>
      <c r="F334" t="s">
        <v>84</v>
      </c>
      <c r="G334" t="s">
        <v>285</v>
      </c>
      <c r="H334" t="s">
        <v>17</v>
      </c>
      <c r="I334">
        <v>3557</v>
      </c>
      <c r="J334">
        <f>I334/VLOOKUP($D334,CPI!$P$16:$R$22,3,FALSE)</f>
        <v>4144.0785425494696</v>
      </c>
      <c r="K334">
        <f t="shared" si="11"/>
        <v>0</v>
      </c>
      <c r="L334" s="3" cm="1">
        <f t="array" ref="L334">IF($C334=0,INDEX('24&amp;25'!$L:$L,MATCH($D334&amp;$B334&amp;$E334,'24&amp;25'!$B:$B&amp;'24&amp;25'!$A:$A&amp;'24&amp;25'!$C:$C,0)),INDEX('24&amp;25'!$M:$M,MATCH($D334&amp;$B334&amp;$E334,'24&amp;25'!$B:$B&amp;'24&amp;25'!$A:$A&amp;'24&amp;25'!$C:$C,0)))</f>
        <v>16236</v>
      </c>
      <c r="M334">
        <f>L334/VLOOKUP($D334,CPI!$P$16:$R$22,3,FALSE)</f>
        <v>18915.732138553049</v>
      </c>
    </row>
    <row r="335" spans="1:13" ht="16" thickBot="1" x14ac:dyDescent="0.25">
      <c r="A335" s="7">
        <v>2</v>
      </c>
      <c r="B335">
        <f>IF(ISBLANK(G335),"",VLOOKUP(H335,code!B:C,2,FALSE))</f>
        <v>12</v>
      </c>
      <c r="C335">
        <f t="shared" si="10"/>
        <v>1</v>
      </c>
      <c r="D335">
        <v>2020</v>
      </c>
      <c r="E335">
        <v>126614</v>
      </c>
      <c r="F335" t="s">
        <v>84</v>
      </c>
      <c r="G335" t="s">
        <v>285</v>
      </c>
      <c r="H335" t="s">
        <v>20</v>
      </c>
      <c r="I335">
        <v>27174</v>
      </c>
      <c r="J335">
        <f>I335/VLOOKUP($D335,CPI!$P$16:$R$22,3,FALSE)</f>
        <v>31659.035792870196</v>
      </c>
      <c r="K335">
        <f t="shared" si="11"/>
        <v>0</v>
      </c>
      <c r="L335" s="3" cm="1">
        <f t="array" ref="L335">IF($C335=0,INDEX('24&amp;25'!$L:$L,MATCH($D335&amp;$B335&amp;$E335,'24&amp;25'!$B:$B&amp;'24&amp;25'!$A:$A&amp;'24&amp;25'!$C:$C,0)),INDEX('24&amp;25'!$M:$M,MATCH($D335&amp;$B335&amp;$E335,'24&amp;25'!$B:$B&amp;'24&amp;25'!$A:$A&amp;'24&amp;25'!$C:$C,0)))</f>
        <v>77548</v>
      </c>
      <c r="M335">
        <f>L335/VLOOKUP($D335,CPI!$P$16:$R$22,3,FALSE)</f>
        <v>90347.203491039152</v>
      </c>
    </row>
    <row r="336" spans="1:13" ht="16" thickBot="1" x14ac:dyDescent="0.25">
      <c r="A336" s="7">
        <v>2</v>
      </c>
      <c r="B336">
        <f>IF(ISBLANK(G336),"",VLOOKUP(H336,code!B:C,2,FALSE))</f>
        <v>16</v>
      </c>
      <c r="C336">
        <f t="shared" si="10"/>
        <v>1</v>
      </c>
      <c r="D336">
        <v>2020</v>
      </c>
      <c r="E336">
        <v>126614</v>
      </c>
      <c r="F336" t="s">
        <v>84</v>
      </c>
      <c r="G336" t="s">
        <v>285</v>
      </c>
      <c r="H336" t="s">
        <v>24</v>
      </c>
      <c r="I336">
        <v>44812</v>
      </c>
      <c r="J336">
        <f>I336/VLOOKUP($D336,CPI!$P$16:$R$22,3,FALSE)</f>
        <v>52208.166333631387</v>
      </c>
      <c r="K336">
        <f t="shared" si="11"/>
        <v>0</v>
      </c>
      <c r="L336" s="3" cm="1">
        <f t="array" ref="L336">IF($C336=0,INDEX('24&amp;25'!$L:$L,MATCH($D336&amp;$B336&amp;$E336,'24&amp;25'!$B:$B&amp;'24&amp;25'!$A:$A&amp;'24&amp;25'!$C:$C,0)),INDEX('24&amp;25'!$M:$M,MATCH($D336&amp;$B336&amp;$E336,'24&amp;25'!$B:$B&amp;'24&amp;25'!$A:$A&amp;'24&amp;25'!$C:$C,0)))</f>
        <v>28787</v>
      </c>
      <c r="M336">
        <f>L336/VLOOKUP($D336,CPI!$P$16:$R$22,3,FALSE)</f>
        <v>33538.259489561875</v>
      </c>
    </row>
    <row r="337" spans="1:13" ht="16" thickBot="1" x14ac:dyDescent="0.25">
      <c r="A337" s="7">
        <v>2</v>
      </c>
      <c r="B337">
        <f>IF(ISBLANK(G337),"",VLOOKUP(H337,code!B:C,2,FALSE))</f>
        <v>17</v>
      </c>
      <c r="C337">
        <f t="shared" si="10"/>
        <v>1</v>
      </c>
      <c r="D337">
        <v>2020</v>
      </c>
      <c r="E337">
        <v>126614</v>
      </c>
      <c r="F337" t="s">
        <v>84</v>
      </c>
      <c r="G337" t="s">
        <v>285</v>
      </c>
      <c r="H337" t="s">
        <v>25</v>
      </c>
      <c r="I337">
        <v>52836</v>
      </c>
      <c r="J337">
        <f>I337/VLOOKUP($D337,CPI!$P$16:$R$22,3,FALSE)</f>
        <v>61556.517816739884</v>
      </c>
      <c r="K337">
        <f t="shared" si="11"/>
        <v>0</v>
      </c>
      <c r="L337" s="3" cm="1">
        <f t="array" ref="L337">IF($C337=0,INDEX('24&amp;25'!$L:$L,MATCH($D337&amp;$B337&amp;$E337,'24&amp;25'!$B:$B&amp;'24&amp;25'!$A:$A&amp;'24&amp;25'!$C:$C,0)),INDEX('24&amp;25'!$M:$M,MATCH($D337&amp;$B337&amp;$E337,'24&amp;25'!$B:$B&amp;'24&amp;25'!$A:$A&amp;'24&amp;25'!$C:$C,0)))</f>
        <v>114762</v>
      </c>
      <c r="M337">
        <f>L337/VLOOKUP($D337,CPI!$P$16:$R$22,3,FALSE)</f>
        <v>133703.32912568518</v>
      </c>
    </row>
    <row r="338" spans="1:13" ht="16" thickBot="1" x14ac:dyDescent="0.25">
      <c r="A338" s="7">
        <v>2</v>
      </c>
      <c r="B338">
        <f>IF(ISBLANK(G338),"",VLOOKUP(H338,code!B:C,2,FALSE))</f>
        <v>20</v>
      </c>
      <c r="C338">
        <f t="shared" si="10"/>
        <v>1</v>
      </c>
      <c r="D338">
        <v>2020</v>
      </c>
      <c r="E338">
        <v>126614</v>
      </c>
      <c r="F338" t="s">
        <v>84</v>
      </c>
      <c r="G338" t="s">
        <v>285</v>
      </c>
      <c r="H338" t="s">
        <v>28</v>
      </c>
      <c r="I338">
        <v>39339</v>
      </c>
      <c r="J338">
        <f>I338/VLOOKUP($D338,CPI!$P$16:$R$22,3,FALSE)</f>
        <v>45831.854311316725</v>
      </c>
      <c r="K338">
        <f t="shared" si="11"/>
        <v>0</v>
      </c>
      <c r="L338" s="3" cm="1">
        <f t="array" ref="L338">IF($C338=0,INDEX('24&amp;25'!$L:$L,MATCH($D338&amp;$B338&amp;$E338,'24&amp;25'!$B:$B&amp;'24&amp;25'!$A:$A&amp;'24&amp;25'!$C:$C,0)),INDEX('24&amp;25'!$M:$M,MATCH($D338&amp;$B338&amp;$E338,'24&amp;25'!$B:$B&amp;'24&amp;25'!$A:$A&amp;'24&amp;25'!$C:$C,0)))</f>
        <v>19901</v>
      </c>
      <c r="M338">
        <f>L338/VLOOKUP($D338,CPI!$P$16:$R$22,3,FALSE)</f>
        <v>23185.635950316839</v>
      </c>
    </row>
    <row r="339" spans="1:13" ht="16" thickBot="1" x14ac:dyDescent="0.25">
      <c r="A339" s="7">
        <v>2</v>
      </c>
      <c r="B339">
        <f>IF(ISBLANK(G339),"",VLOOKUP(H339,code!B:C,2,FALSE))</f>
        <v>21</v>
      </c>
      <c r="C339">
        <f t="shared" si="10"/>
        <v>1</v>
      </c>
      <c r="D339">
        <v>2020</v>
      </c>
      <c r="E339">
        <v>126614</v>
      </c>
      <c r="F339" t="s">
        <v>84</v>
      </c>
      <c r="G339" t="s">
        <v>285</v>
      </c>
      <c r="H339" t="s">
        <v>30</v>
      </c>
      <c r="I339">
        <v>24387</v>
      </c>
      <c r="J339">
        <f>I339/VLOOKUP($D339,CPI!$P$16:$R$22,3,FALSE)</f>
        <v>28412.044817867281</v>
      </c>
      <c r="K339">
        <f t="shared" si="11"/>
        <v>0</v>
      </c>
      <c r="L339" s="3" cm="1">
        <f t="array" ref="L339">IF($C339=0,INDEX('24&amp;25'!$L:$L,MATCH($D339&amp;$B339&amp;$E339,'24&amp;25'!$B:$B&amp;'24&amp;25'!$A:$A&amp;'24&amp;25'!$C:$C,0)),INDEX('24&amp;25'!$M:$M,MATCH($D339&amp;$B339&amp;$E339,'24&amp;25'!$B:$B&amp;'24&amp;25'!$A:$A&amp;'24&amp;25'!$C:$C,0)))</f>
        <v>47417</v>
      </c>
      <c r="M339">
        <f>L339/VLOOKUP($D339,CPI!$P$16:$R$22,3,FALSE)</f>
        <v>55243.118429032387</v>
      </c>
    </row>
    <row r="340" spans="1:13" ht="16" thickBot="1" x14ac:dyDescent="0.25">
      <c r="A340" s="7">
        <v>2</v>
      </c>
      <c r="B340">
        <f>IF(ISBLANK(G340),"",VLOOKUP(H340,code!B:C,2,FALSE))</f>
        <v>23</v>
      </c>
      <c r="C340">
        <f t="shared" si="10"/>
        <v>1</v>
      </c>
      <c r="D340">
        <v>2020</v>
      </c>
      <c r="E340">
        <v>126614</v>
      </c>
      <c r="F340" t="s">
        <v>84</v>
      </c>
      <c r="G340" t="s">
        <v>285</v>
      </c>
      <c r="H340" t="s">
        <v>33</v>
      </c>
      <c r="I340">
        <v>76760</v>
      </c>
      <c r="J340">
        <f>I340/VLOOKUP($D340,CPI!$P$16:$R$22,3,FALSE)</f>
        <v>89429.145045290206</v>
      </c>
      <c r="K340">
        <f t="shared" si="11"/>
        <v>0</v>
      </c>
      <c r="L340" s="3" cm="1">
        <f t="array" ref="L340">IF($C340=0,INDEX('24&amp;25'!$L:$L,MATCH($D340&amp;$B340&amp;$E340,'24&amp;25'!$B:$B&amp;'24&amp;25'!$A:$A&amp;'24&amp;25'!$C:$C,0)),INDEX('24&amp;25'!$M:$M,MATCH($D340&amp;$B340&amp;$E340,'24&amp;25'!$B:$B&amp;'24&amp;25'!$A:$A&amp;'24&amp;25'!$C:$C,0)))</f>
        <v>156138</v>
      </c>
      <c r="M340">
        <f>L340/VLOOKUP($D340,CPI!$P$16:$R$22,3,FALSE)</f>
        <v>181908.38782023871</v>
      </c>
    </row>
    <row r="341" spans="1:13" ht="16" thickBot="1" x14ac:dyDescent="0.25">
      <c r="A341" s="7">
        <v>2</v>
      </c>
      <c r="B341">
        <f>IF(ISBLANK(G341),"",VLOOKUP(H341,code!B:C,2,FALSE))</f>
        <v>2</v>
      </c>
      <c r="C341">
        <f t="shared" si="10"/>
        <v>0</v>
      </c>
      <c r="D341">
        <v>2021</v>
      </c>
      <c r="E341">
        <v>126614</v>
      </c>
      <c r="F341" t="s">
        <v>84</v>
      </c>
      <c r="G341" t="s">
        <v>284</v>
      </c>
      <c r="H341" t="s">
        <v>10</v>
      </c>
      <c r="I341">
        <v>85307</v>
      </c>
      <c r="J341">
        <f>I341/VLOOKUP($D341,CPI!$P$16:$R$22,3,FALSE)</f>
        <v>97150.759540643121</v>
      </c>
      <c r="K341">
        <f t="shared" si="11"/>
        <v>1</v>
      </c>
      <c r="L341" s="3" cm="1">
        <f t="array" ref="L341">IF($C341=0,INDEX('24&amp;25'!$L:$L,MATCH($D341&amp;$B341&amp;$E341,'24&amp;25'!$B:$B&amp;'24&amp;25'!$A:$A&amp;'24&amp;25'!$C:$C,0)),INDEX('24&amp;25'!$M:$M,MATCH($D341&amp;$B341&amp;$E341,'24&amp;25'!$B:$B&amp;'24&amp;25'!$A:$A&amp;'24&amp;25'!$C:$C,0)))</f>
        <v>306376</v>
      </c>
      <c r="M341">
        <f>L341/VLOOKUP($D341,CPI!$P$16:$R$22,3,FALSE)</f>
        <v>348912.29447787494</v>
      </c>
    </row>
    <row r="342" spans="1:13" ht="16" thickBot="1" x14ac:dyDescent="0.25">
      <c r="A342" s="7">
        <v>2</v>
      </c>
      <c r="B342">
        <f>IF(ISBLANK(G342),"",VLOOKUP(H342,code!B:C,2,FALSE))</f>
        <v>8</v>
      </c>
      <c r="C342">
        <f t="shared" si="10"/>
        <v>0</v>
      </c>
      <c r="D342">
        <v>2021</v>
      </c>
      <c r="E342">
        <v>126614</v>
      </c>
      <c r="F342" t="s">
        <v>84</v>
      </c>
      <c r="G342" t="s">
        <v>284</v>
      </c>
      <c r="H342" t="s">
        <v>16</v>
      </c>
      <c r="I342">
        <v>284784</v>
      </c>
      <c r="J342">
        <f>I342/VLOOKUP($D342,CPI!$P$16:$R$22,3,FALSE)</f>
        <v>324322.52810463984</v>
      </c>
      <c r="K342">
        <f t="shared" si="11"/>
        <v>1</v>
      </c>
      <c r="L342" s="3" cm="1">
        <f t="array" ref="L342">IF($C342=0,INDEX('24&amp;25'!$L:$L,MATCH($D342&amp;$B342&amp;$E342,'24&amp;25'!$B:$B&amp;'24&amp;25'!$A:$A&amp;'24&amp;25'!$C:$C,0)),INDEX('24&amp;25'!$M:$M,MATCH($D342&amp;$B342&amp;$E342,'24&amp;25'!$B:$B&amp;'24&amp;25'!$A:$A&amp;'24&amp;25'!$C:$C,0)))</f>
        <v>1365894</v>
      </c>
      <c r="M342">
        <f>L342/VLOOKUP($D342,CPI!$P$16:$R$22,3,FALSE)</f>
        <v>1555530.4904873832</v>
      </c>
    </row>
    <row r="343" spans="1:13" ht="16" thickBot="1" x14ac:dyDescent="0.25">
      <c r="A343" s="7">
        <v>2</v>
      </c>
      <c r="B343">
        <f>IF(ISBLANK(G343),"",VLOOKUP(H343,code!B:C,2,FALSE))</f>
        <v>9</v>
      </c>
      <c r="C343">
        <f t="shared" si="10"/>
        <v>0</v>
      </c>
      <c r="D343">
        <v>2021</v>
      </c>
      <c r="E343">
        <v>126614</v>
      </c>
      <c r="F343" t="s">
        <v>84</v>
      </c>
      <c r="G343" t="s">
        <v>284</v>
      </c>
      <c r="H343" t="s">
        <v>17</v>
      </c>
      <c r="I343">
        <v>22336</v>
      </c>
      <c r="J343">
        <f>I343/VLOOKUP($D343,CPI!$P$16:$R$22,3,FALSE)</f>
        <v>25437.061027814889</v>
      </c>
      <c r="K343">
        <f t="shared" si="11"/>
        <v>1</v>
      </c>
      <c r="L343" s="3" cm="1">
        <f t="array" ref="L343">IF($C343=0,INDEX('24&amp;25'!$L:$L,MATCH($D343&amp;$B343&amp;$E343,'24&amp;25'!$B:$B&amp;'24&amp;25'!$A:$A&amp;'24&amp;25'!$C:$C,0)),INDEX('24&amp;25'!$M:$M,MATCH($D343&amp;$B343&amp;$E343,'24&amp;25'!$B:$B&amp;'24&amp;25'!$A:$A&amp;'24&amp;25'!$C:$C,0)))</f>
        <v>33723</v>
      </c>
      <c r="M343">
        <f>L343/VLOOKUP($D343,CPI!$P$16:$R$22,3,FALSE)</f>
        <v>38404.996823110741</v>
      </c>
    </row>
    <row r="344" spans="1:13" ht="16" thickBot="1" x14ac:dyDescent="0.25">
      <c r="A344" s="7">
        <v>2</v>
      </c>
      <c r="B344">
        <f>IF(ISBLANK(G344),"",VLOOKUP(H344,code!B:C,2,FALSE))</f>
        <v>16</v>
      </c>
      <c r="C344">
        <f t="shared" si="10"/>
        <v>0</v>
      </c>
      <c r="D344">
        <v>2021</v>
      </c>
      <c r="E344">
        <v>126614</v>
      </c>
      <c r="F344" t="s">
        <v>84</v>
      </c>
      <c r="G344" t="s">
        <v>284</v>
      </c>
      <c r="H344" t="s">
        <v>24</v>
      </c>
      <c r="I344">
        <v>0</v>
      </c>
      <c r="J344">
        <f>I344/VLOOKUP($D344,CPI!$P$16:$R$22,3,FALSE)</f>
        <v>0</v>
      </c>
      <c r="K344">
        <f t="shared" si="11"/>
        <v>1</v>
      </c>
      <c r="L344" s="3" cm="1">
        <f t="array" ref="L344">IF($C344=0,INDEX('24&amp;25'!$L:$L,MATCH($D344&amp;$B344&amp;$E344,'24&amp;25'!$B:$B&amp;'24&amp;25'!$A:$A&amp;'24&amp;25'!$C:$C,0)),INDEX('24&amp;25'!$M:$M,MATCH($D344&amp;$B344&amp;$E344,'24&amp;25'!$B:$B&amp;'24&amp;25'!$A:$A&amp;'24&amp;25'!$C:$C,0)))</f>
        <v>68172</v>
      </c>
      <c r="M344">
        <f>L344/VLOOKUP($D344,CPI!$P$16:$R$22,3,FALSE)</f>
        <v>77636.789236577577</v>
      </c>
    </row>
    <row r="345" spans="1:13" ht="16" thickBot="1" x14ac:dyDescent="0.25">
      <c r="A345" s="7">
        <v>2</v>
      </c>
      <c r="B345">
        <f>IF(ISBLANK(G345),"",VLOOKUP(H345,code!B:C,2,FALSE))</f>
        <v>21</v>
      </c>
      <c r="C345">
        <f t="shared" si="10"/>
        <v>0</v>
      </c>
      <c r="D345">
        <v>2021</v>
      </c>
      <c r="E345">
        <v>126614</v>
      </c>
      <c r="F345" t="s">
        <v>84</v>
      </c>
      <c r="G345" t="s">
        <v>284</v>
      </c>
      <c r="H345" t="s">
        <v>30</v>
      </c>
      <c r="I345">
        <v>0</v>
      </c>
      <c r="J345">
        <f>I345/VLOOKUP($D345,CPI!$P$16:$R$22,3,FALSE)</f>
        <v>0</v>
      </c>
      <c r="K345">
        <f t="shared" si="11"/>
        <v>1</v>
      </c>
      <c r="L345" s="3" cm="1">
        <f t="array" ref="L345">IF($C345=0,INDEX('24&amp;25'!$L:$L,MATCH($D345&amp;$B345&amp;$E345,'24&amp;25'!$B:$B&amp;'24&amp;25'!$A:$A&amp;'24&amp;25'!$C:$C,0)),INDEX('24&amp;25'!$M:$M,MATCH($D345&amp;$B345&amp;$E345,'24&amp;25'!$B:$B&amp;'24&amp;25'!$A:$A&amp;'24&amp;25'!$C:$C,0)))</f>
        <v>34314</v>
      </c>
      <c r="M345">
        <f>L345/VLOOKUP($D345,CPI!$P$16:$R$22,3,FALSE)</f>
        <v>39078.049431789048</v>
      </c>
    </row>
    <row r="346" spans="1:13" ht="16" thickBot="1" x14ac:dyDescent="0.25">
      <c r="A346" s="7">
        <v>2</v>
      </c>
      <c r="B346">
        <f>IF(ISBLANK(G346),"",VLOOKUP(H346,code!B:C,2,FALSE))</f>
        <v>2</v>
      </c>
      <c r="C346">
        <f t="shared" si="10"/>
        <v>1</v>
      </c>
      <c r="D346">
        <v>2021</v>
      </c>
      <c r="E346">
        <v>126614</v>
      </c>
      <c r="F346" t="s">
        <v>84</v>
      </c>
      <c r="G346" t="s">
        <v>285</v>
      </c>
      <c r="H346" t="s">
        <v>10</v>
      </c>
      <c r="I346">
        <v>31408</v>
      </c>
      <c r="J346">
        <f>I346/VLOOKUP($D346,CPI!$P$16:$R$22,3,FALSE)</f>
        <v>35768.589396562056</v>
      </c>
      <c r="K346">
        <f t="shared" si="11"/>
        <v>1</v>
      </c>
      <c r="L346" s="3" cm="1">
        <f t="array" ref="L346">IF($C346=0,INDEX('24&amp;25'!$L:$L,MATCH($D346&amp;$B346&amp;$E346,'24&amp;25'!$B:$B&amp;'24&amp;25'!$A:$A&amp;'24&amp;25'!$C:$C,0)),INDEX('24&amp;25'!$M:$M,MATCH($D346&amp;$B346&amp;$E346,'24&amp;25'!$B:$B&amp;'24&amp;25'!$A:$A&amp;'24&amp;25'!$C:$C,0)))</f>
        <v>201143</v>
      </c>
      <c r="M346">
        <f>L346/VLOOKUP($D346,CPI!$P$16:$R$22,3,FALSE)</f>
        <v>229069.07084159073</v>
      </c>
    </row>
    <row r="347" spans="1:13" ht="16" thickBot="1" x14ac:dyDescent="0.25">
      <c r="A347" s="7">
        <v>2</v>
      </c>
      <c r="B347">
        <f>IF(ISBLANK(G347),"",VLOOKUP(H347,code!B:C,2,FALSE))</f>
        <v>9</v>
      </c>
      <c r="C347">
        <f t="shared" si="10"/>
        <v>1</v>
      </c>
      <c r="D347">
        <v>2021</v>
      </c>
      <c r="E347">
        <v>126614</v>
      </c>
      <c r="F347" t="s">
        <v>84</v>
      </c>
      <c r="G347" t="s">
        <v>285</v>
      </c>
      <c r="H347" t="s">
        <v>17</v>
      </c>
      <c r="I347">
        <v>1347</v>
      </c>
      <c r="J347">
        <f>I347/VLOOKUP($D347,CPI!$P$16:$R$22,3,FALSE)</f>
        <v>1534.0133060739013</v>
      </c>
      <c r="K347">
        <f t="shared" si="11"/>
        <v>1</v>
      </c>
      <c r="L347" s="3" cm="1">
        <f t="array" ref="L347">IF($C347=0,INDEX('24&amp;25'!$L:$L,MATCH($D347&amp;$B347&amp;$E347,'24&amp;25'!$B:$B&amp;'24&amp;25'!$A:$A&amp;'24&amp;25'!$C:$C,0)),INDEX('24&amp;25'!$M:$M,MATCH($D347&amp;$B347&amp;$E347,'24&amp;25'!$B:$B&amp;'24&amp;25'!$A:$A&amp;'24&amp;25'!$C:$C,0)))</f>
        <v>15899</v>
      </c>
      <c r="M347">
        <f>L347/VLOOKUP($D347,CPI!$P$16:$R$22,3,FALSE)</f>
        <v>18106.36789403783</v>
      </c>
    </row>
    <row r="348" spans="1:13" ht="16" thickBot="1" x14ac:dyDescent="0.25">
      <c r="A348" s="7">
        <v>2</v>
      </c>
      <c r="B348">
        <f>IF(ISBLANK(G348),"",VLOOKUP(H348,code!B:C,2,FALSE))</f>
        <v>12</v>
      </c>
      <c r="C348">
        <f t="shared" si="10"/>
        <v>1</v>
      </c>
      <c r="D348">
        <v>2021</v>
      </c>
      <c r="E348">
        <v>126614</v>
      </c>
      <c r="F348" t="s">
        <v>84</v>
      </c>
      <c r="G348" t="s">
        <v>285</v>
      </c>
      <c r="H348" t="s">
        <v>20</v>
      </c>
      <c r="I348">
        <v>3257</v>
      </c>
      <c r="J348">
        <f>I348/VLOOKUP($D348,CPI!$P$16:$R$22,3,FALSE)</f>
        <v>3709.1917875892327</v>
      </c>
      <c r="K348">
        <f t="shared" si="11"/>
        <v>1</v>
      </c>
      <c r="L348" s="3" cm="1">
        <f t="array" ref="L348">IF($C348=0,INDEX('24&amp;25'!$L:$L,MATCH($D348&amp;$B348&amp;$E348,'24&amp;25'!$B:$B&amp;'24&amp;25'!$A:$A&amp;'24&amp;25'!$C:$C,0)),INDEX('24&amp;25'!$M:$M,MATCH($D348&amp;$B348&amp;$E348,'24&amp;25'!$B:$B&amp;'24&amp;25'!$A:$A&amp;'24&amp;25'!$C:$C,0)))</f>
        <v>88103</v>
      </c>
      <c r="M348">
        <f>L348/VLOOKUP($D348,CPI!$P$16:$R$22,3,FALSE)</f>
        <v>100334.94751672525</v>
      </c>
    </row>
    <row r="349" spans="1:13" ht="16" thickBot="1" x14ac:dyDescent="0.25">
      <c r="A349" s="7">
        <v>2</v>
      </c>
      <c r="B349">
        <f>IF(ISBLANK(G349),"",VLOOKUP(H349,code!B:C,2,FALSE))</f>
        <v>16</v>
      </c>
      <c r="C349">
        <f t="shared" si="10"/>
        <v>1</v>
      </c>
      <c r="D349">
        <v>2021</v>
      </c>
      <c r="E349">
        <v>126614</v>
      </c>
      <c r="F349" t="s">
        <v>84</v>
      </c>
      <c r="G349" t="s">
        <v>285</v>
      </c>
      <c r="H349" t="s">
        <v>24</v>
      </c>
      <c r="I349">
        <v>0</v>
      </c>
      <c r="J349">
        <f>I349/VLOOKUP($D349,CPI!$P$16:$R$22,3,FALSE)</f>
        <v>0</v>
      </c>
      <c r="K349">
        <f t="shared" si="11"/>
        <v>1</v>
      </c>
      <c r="L349" s="3" cm="1">
        <f t="array" ref="L349">IF($C349=0,INDEX('24&amp;25'!$L:$L,MATCH($D349&amp;$B349&amp;$E349,'24&amp;25'!$B:$B&amp;'24&amp;25'!$A:$A&amp;'24&amp;25'!$C:$C,0)),INDEX('24&amp;25'!$M:$M,MATCH($D349&amp;$B349&amp;$E349,'24&amp;25'!$B:$B&amp;'24&amp;25'!$A:$A&amp;'24&amp;25'!$C:$C,0)))</f>
        <v>68172</v>
      </c>
      <c r="M349">
        <f>L349/VLOOKUP($D349,CPI!$P$16:$R$22,3,FALSE)</f>
        <v>77636.789236577577</v>
      </c>
    </row>
    <row r="350" spans="1:13" ht="16" thickBot="1" x14ac:dyDescent="0.25">
      <c r="A350" s="7">
        <v>2</v>
      </c>
      <c r="B350">
        <f>IF(ISBLANK(G350),"",VLOOKUP(H350,code!B:C,2,FALSE))</f>
        <v>17</v>
      </c>
      <c r="C350">
        <f t="shared" si="10"/>
        <v>1</v>
      </c>
      <c r="D350">
        <v>2021</v>
      </c>
      <c r="E350">
        <v>126614</v>
      </c>
      <c r="F350" t="s">
        <v>84</v>
      </c>
      <c r="G350" t="s">
        <v>285</v>
      </c>
      <c r="H350" t="s">
        <v>25</v>
      </c>
      <c r="I350">
        <v>395</v>
      </c>
      <c r="J350">
        <f>I350/VLOOKUP($D350,CPI!$P$16:$R$22,3,FALSE)</f>
        <v>449.84057602018635</v>
      </c>
      <c r="K350">
        <f t="shared" si="11"/>
        <v>1</v>
      </c>
      <c r="L350" s="3" cm="1">
        <f t="array" ref="L350">IF($C350=0,INDEX('24&amp;25'!$L:$L,MATCH($D350&amp;$B350&amp;$E350,'24&amp;25'!$B:$B&amp;'24&amp;25'!$A:$A&amp;'24&amp;25'!$C:$C,0)),INDEX('24&amp;25'!$M:$M,MATCH($D350&amp;$B350&amp;$E350,'24&amp;25'!$B:$B&amp;'24&amp;25'!$A:$A&amp;'24&amp;25'!$C:$C,0)))</f>
        <v>52839</v>
      </c>
      <c r="M350">
        <f>L350/VLOOKUP($D350,CPI!$P$16:$R$22,3,FALSE)</f>
        <v>60175.003028685125</v>
      </c>
    </row>
    <row r="351" spans="1:13" ht="16" thickBot="1" x14ac:dyDescent="0.25">
      <c r="A351" s="7">
        <v>2</v>
      </c>
      <c r="B351">
        <f>IF(ISBLANK(G351),"",VLOOKUP(H351,code!B:C,2,FALSE))</f>
        <v>20</v>
      </c>
      <c r="C351">
        <f t="shared" si="10"/>
        <v>1</v>
      </c>
      <c r="D351">
        <v>2021</v>
      </c>
      <c r="E351">
        <v>126614</v>
      </c>
      <c r="F351" t="s">
        <v>84</v>
      </c>
      <c r="G351" t="s">
        <v>285</v>
      </c>
      <c r="H351" t="s">
        <v>28</v>
      </c>
      <c r="I351">
        <v>0</v>
      </c>
      <c r="J351">
        <f>I351/VLOOKUP($D351,CPI!$P$16:$R$22,3,FALSE)</f>
        <v>0</v>
      </c>
      <c r="K351">
        <f t="shared" si="11"/>
        <v>1</v>
      </c>
      <c r="L351" s="3" cm="1">
        <f t="array" ref="L351">IF($C351=0,INDEX('24&amp;25'!$L:$L,MATCH($D351&amp;$B351&amp;$E351,'24&amp;25'!$B:$B&amp;'24&amp;25'!$A:$A&amp;'24&amp;25'!$C:$C,0)),INDEX('24&amp;25'!$M:$M,MATCH($D351&amp;$B351&amp;$E351,'24&amp;25'!$B:$B&amp;'24&amp;25'!$A:$A&amp;'24&amp;25'!$C:$C,0)))</f>
        <v>41619</v>
      </c>
      <c r="M351">
        <f>L351/VLOOKUP($D351,CPI!$P$16:$R$22,3,FALSE)</f>
        <v>47397.252995909199</v>
      </c>
    </row>
    <row r="352" spans="1:13" ht="16" thickBot="1" x14ac:dyDescent="0.25">
      <c r="A352" s="7">
        <v>2</v>
      </c>
      <c r="B352">
        <f>IF(ISBLANK(G352),"",VLOOKUP(H352,code!B:C,2,FALSE))</f>
        <v>21</v>
      </c>
      <c r="C352">
        <f t="shared" si="10"/>
        <v>1</v>
      </c>
      <c r="D352">
        <v>2021</v>
      </c>
      <c r="E352">
        <v>126614</v>
      </c>
      <c r="F352" t="s">
        <v>84</v>
      </c>
      <c r="G352" t="s">
        <v>285</v>
      </c>
      <c r="H352" t="s">
        <v>30</v>
      </c>
      <c r="I352">
        <v>0</v>
      </c>
      <c r="J352">
        <f>I352/VLOOKUP($D352,CPI!$P$16:$R$22,3,FALSE)</f>
        <v>0</v>
      </c>
      <c r="K352">
        <f t="shared" si="11"/>
        <v>1</v>
      </c>
      <c r="L352" s="3" cm="1">
        <f t="array" ref="L352">IF($C352=0,INDEX('24&amp;25'!$L:$L,MATCH($D352&amp;$B352&amp;$E352,'24&amp;25'!$B:$B&amp;'24&amp;25'!$A:$A&amp;'24&amp;25'!$C:$C,0)),INDEX('24&amp;25'!$M:$M,MATCH($D352&amp;$B352&amp;$E352,'24&amp;25'!$B:$B&amp;'24&amp;25'!$A:$A&amp;'24&amp;25'!$C:$C,0)))</f>
        <v>34314</v>
      </c>
      <c r="M352">
        <f>L352/VLOOKUP($D352,CPI!$P$16:$R$22,3,FALSE)</f>
        <v>39078.049431789048</v>
      </c>
    </row>
    <row r="353" spans="1:13" ht="16" thickBot="1" x14ac:dyDescent="0.25">
      <c r="A353" s="7">
        <v>2</v>
      </c>
      <c r="B353">
        <f>IF(ISBLANK(G353),"",VLOOKUP(H353,code!B:C,2,FALSE))</f>
        <v>23</v>
      </c>
      <c r="C353">
        <f t="shared" si="10"/>
        <v>1</v>
      </c>
      <c r="D353">
        <v>2021</v>
      </c>
      <c r="E353">
        <v>126614</v>
      </c>
      <c r="F353" t="s">
        <v>84</v>
      </c>
      <c r="G353" t="s">
        <v>285</v>
      </c>
      <c r="H353" t="s">
        <v>33</v>
      </c>
      <c r="I353">
        <v>780</v>
      </c>
      <c r="J353">
        <f>I353/VLOOKUP($D353,CPI!$P$16:$R$22,3,FALSE)</f>
        <v>888.29278302720343</v>
      </c>
      <c r="K353">
        <f t="shared" si="11"/>
        <v>1</v>
      </c>
      <c r="L353" s="3" cm="1">
        <f t="array" ref="L353">IF($C353=0,INDEX('24&amp;25'!$L:$L,MATCH($D353&amp;$B353&amp;$E353,'24&amp;25'!$B:$B&amp;'24&amp;25'!$A:$A&amp;'24&amp;25'!$C:$C,0)),INDEX('24&amp;25'!$M:$M,MATCH($D353&amp;$B353&amp;$E353,'24&amp;25'!$B:$B&amp;'24&amp;25'!$A:$A&amp;'24&amp;25'!$C:$C,0)))</f>
        <v>134149</v>
      </c>
      <c r="M353">
        <f>L353/VLOOKUP($D353,CPI!$P$16:$R$22,3,FALSE)</f>
        <v>152773.83147476451</v>
      </c>
    </row>
    <row r="354" spans="1:13" ht="16" thickBot="1" x14ac:dyDescent="0.25">
      <c r="A354" s="7">
        <v>2</v>
      </c>
      <c r="B354">
        <f>IF(ISBLANK(G354),"",VLOOKUP(H354,code!B:C,2,FALSE))</f>
        <v>2</v>
      </c>
      <c r="C354">
        <f t="shared" si="10"/>
        <v>0</v>
      </c>
      <c r="D354">
        <v>2022</v>
      </c>
      <c r="E354">
        <v>126614</v>
      </c>
      <c r="F354" t="s">
        <v>84</v>
      </c>
      <c r="G354" t="s">
        <v>284</v>
      </c>
      <c r="H354" t="s">
        <v>10</v>
      </c>
      <c r="I354">
        <v>3543385</v>
      </c>
      <c r="J354">
        <f>I354/VLOOKUP($D354,CPI!$P$16:$R$22,3,FALSE)</f>
        <v>3765272.9560056739</v>
      </c>
      <c r="K354">
        <f t="shared" si="11"/>
        <v>0</v>
      </c>
      <c r="L354" s="3" cm="1">
        <f t="array" ref="L354">IF($C354=0,INDEX('24&amp;25'!$L:$L,MATCH($D354&amp;$B354&amp;$E354,'24&amp;25'!$B:$B&amp;'24&amp;25'!$A:$A&amp;'24&amp;25'!$C:$C,0)),INDEX('24&amp;25'!$M:$M,MATCH($D354&amp;$B354&amp;$E354,'24&amp;25'!$B:$B&amp;'24&amp;25'!$A:$A&amp;'24&amp;25'!$C:$C,0)))</f>
        <v>585205</v>
      </c>
      <c r="M354">
        <f>L354/VLOOKUP($D354,CPI!$P$16:$R$22,3,FALSE)</f>
        <v>621850.73318854719</v>
      </c>
    </row>
    <row r="355" spans="1:13" ht="16" thickBot="1" x14ac:dyDescent="0.25">
      <c r="A355" s="7">
        <v>2</v>
      </c>
      <c r="B355">
        <f>IF(ISBLANK(G355),"",VLOOKUP(H355,code!B:C,2,FALSE))</f>
        <v>8</v>
      </c>
      <c r="C355">
        <f t="shared" si="10"/>
        <v>0</v>
      </c>
      <c r="D355">
        <v>2022</v>
      </c>
      <c r="E355">
        <v>126614</v>
      </c>
      <c r="F355" t="s">
        <v>84</v>
      </c>
      <c r="G355" t="s">
        <v>284</v>
      </c>
      <c r="H355" t="s">
        <v>16</v>
      </c>
      <c r="I355">
        <v>23906395</v>
      </c>
      <c r="J355">
        <f>I355/VLOOKUP($D355,CPI!$P$16:$R$22,3,FALSE)</f>
        <v>25403421.465375416</v>
      </c>
      <c r="K355">
        <f t="shared" si="11"/>
        <v>0</v>
      </c>
      <c r="L355" s="3" cm="1">
        <f t="array" ref="L355">IF($C355=0,INDEX('24&amp;25'!$L:$L,MATCH($D355&amp;$B355&amp;$E355,'24&amp;25'!$B:$B&amp;'24&amp;25'!$A:$A&amp;'24&amp;25'!$C:$C,0)),INDEX('24&amp;25'!$M:$M,MATCH($D355&amp;$B355&amp;$E355,'24&amp;25'!$B:$B&amp;'24&amp;25'!$A:$A&amp;'24&amp;25'!$C:$C,0)))</f>
        <v>2076165</v>
      </c>
      <c r="M355">
        <f>L355/VLOOKUP($D355,CPI!$P$16:$R$22,3,FALSE)</f>
        <v>2206175.1479744706</v>
      </c>
    </row>
    <row r="356" spans="1:13" ht="16" thickBot="1" x14ac:dyDescent="0.25">
      <c r="A356" s="7">
        <v>2</v>
      </c>
      <c r="B356">
        <f>IF(ISBLANK(G356),"",VLOOKUP(H356,code!B:C,2,FALSE))</f>
        <v>9</v>
      </c>
      <c r="C356">
        <f t="shared" si="10"/>
        <v>0</v>
      </c>
      <c r="D356">
        <v>2022</v>
      </c>
      <c r="E356">
        <v>126614</v>
      </c>
      <c r="F356" t="s">
        <v>84</v>
      </c>
      <c r="G356" t="s">
        <v>284</v>
      </c>
      <c r="H356" t="s">
        <v>17</v>
      </c>
      <c r="I356">
        <v>271922</v>
      </c>
      <c r="J356">
        <f>I356/VLOOKUP($D356,CPI!$P$16:$R$22,3,FALSE)</f>
        <v>288949.84675472038</v>
      </c>
      <c r="K356">
        <f t="shared" si="11"/>
        <v>0</v>
      </c>
      <c r="L356" s="3" cm="1">
        <f t="array" ref="L356">IF($C356=0,INDEX('24&amp;25'!$L:$L,MATCH($D356&amp;$B356&amp;$E356,'24&amp;25'!$B:$B&amp;'24&amp;25'!$A:$A&amp;'24&amp;25'!$C:$C,0)),INDEX('24&amp;25'!$M:$M,MATCH($D356&amp;$B356&amp;$E356,'24&amp;25'!$B:$B&amp;'24&amp;25'!$A:$A&amp;'24&amp;25'!$C:$C,0)))</f>
        <v>17482</v>
      </c>
      <c r="M356">
        <f>L356/VLOOKUP($D356,CPI!$P$16:$R$22,3,FALSE)</f>
        <v>18576.728697810482</v>
      </c>
    </row>
    <row r="357" spans="1:13" ht="16" thickBot="1" x14ac:dyDescent="0.25">
      <c r="A357" s="7">
        <v>2</v>
      </c>
      <c r="B357">
        <f>IF(ISBLANK(G357),"",VLOOKUP(H357,code!B:C,2,FALSE))</f>
        <v>16</v>
      </c>
      <c r="C357">
        <f t="shared" si="10"/>
        <v>0</v>
      </c>
      <c r="D357">
        <v>2022</v>
      </c>
      <c r="E357">
        <v>126614</v>
      </c>
      <c r="F357" t="s">
        <v>84</v>
      </c>
      <c r="G357" t="s">
        <v>284</v>
      </c>
      <c r="H357" t="s">
        <v>24</v>
      </c>
      <c r="I357">
        <v>71738</v>
      </c>
      <c r="J357">
        <f>I357/VLOOKUP($D357,CPI!$P$16:$R$22,3,FALSE)</f>
        <v>76230.257597730713</v>
      </c>
      <c r="K357">
        <f t="shared" si="11"/>
        <v>0</v>
      </c>
      <c r="L357" s="3" cm="1">
        <f t="array" ref="L357">IF($C357=0,INDEX('24&amp;25'!$L:$L,MATCH($D357&amp;$B357&amp;$E357,'24&amp;25'!$B:$B&amp;'24&amp;25'!$A:$A&amp;'24&amp;25'!$C:$C,0)),INDEX('24&amp;25'!$M:$M,MATCH($D357&amp;$B357&amp;$E357,'24&amp;25'!$B:$B&amp;'24&amp;25'!$A:$A&amp;'24&amp;25'!$C:$C,0)))</f>
        <v>578</v>
      </c>
      <c r="M357">
        <f>L357/VLOOKUP($D357,CPI!$P$16:$R$22,3,FALSE)</f>
        <v>614.19455367431976</v>
      </c>
    </row>
    <row r="358" spans="1:13" ht="16" thickBot="1" x14ac:dyDescent="0.25">
      <c r="A358" s="7">
        <v>2</v>
      </c>
      <c r="B358">
        <f>IF(ISBLANK(G358),"",VLOOKUP(H358,code!B:C,2,FALSE))</f>
        <v>21</v>
      </c>
      <c r="C358">
        <f t="shared" si="10"/>
        <v>0</v>
      </c>
      <c r="D358">
        <v>2022</v>
      </c>
      <c r="E358">
        <v>126614</v>
      </c>
      <c r="F358" t="s">
        <v>84</v>
      </c>
      <c r="G358" t="s">
        <v>284</v>
      </c>
      <c r="H358" t="s">
        <v>30</v>
      </c>
      <c r="I358">
        <v>16544</v>
      </c>
      <c r="J358">
        <f>I358/VLOOKUP($D358,CPI!$P$16:$R$22,3,FALSE)</f>
        <v>17579.990823508557</v>
      </c>
      <c r="K358">
        <f t="shared" si="11"/>
        <v>0</v>
      </c>
      <c r="L358" s="3" cm="1">
        <f t="array" ref="L358">IF($C358=0,INDEX('24&amp;25'!$L:$L,MATCH($D358&amp;$B358&amp;$E358,'24&amp;25'!$B:$B&amp;'24&amp;25'!$A:$A&amp;'24&amp;25'!$C:$C,0)),INDEX('24&amp;25'!$M:$M,MATCH($D358&amp;$B358&amp;$E358,'24&amp;25'!$B:$B&amp;'24&amp;25'!$A:$A&amp;'24&amp;25'!$C:$C,0)))</f>
        <v>49903</v>
      </c>
      <c r="M358">
        <f>L358/VLOOKUP($D358,CPI!$P$16:$R$22,3,FALSE)</f>
        <v>53027.942581331452</v>
      </c>
    </row>
    <row r="359" spans="1:13" ht="16" thickBot="1" x14ac:dyDescent="0.25">
      <c r="A359" s="7">
        <v>2</v>
      </c>
      <c r="B359">
        <f>IF(ISBLANK(G359),"",VLOOKUP(H359,code!B:C,2,FALSE))</f>
        <v>2</v>
      </c>
      <c r="C359">
        <f t="shared" si="10"/>
        <v>1</v>
      </c>
      <c r="D359">
        <v>2022</v>
      </c>
      <c r="E359">
        <v>126614</v>
      </c>
      <c r="F359" t="s">
        <v>84</v>
      </c>
      <c r="G359" t="s">
        <v>285</v>
      </c>
      <c r="H359" t="s">
        <v>10</v>
      </c>
      <c r="I359">
        <v>284786</v>
      </c>
      <c r="J359">
        <f>I359/VLOOKUP($D359,CPI!$P$16:$R$22,3,FALSE)</f>
        <v>302619.3947451468</v>
      </c>
      <c r="K359">
        <f t="shared" si="11"/>
        <v>0</v>
      </c>
      <c r="L359" s="3" cm="1">
        <f t="array" ref="L359">IF($C359=0,INDEX('24&amp;25'!$L:$L,MATCH($D359&amp;$B359&amp;$E359,'24&amp;25'!$B:$B&amp;'24&amp;25'!$A:$A&amp;'24&amp;25'!$C:$C,0)),INDEX('24&amp;25'!$M:$M,MATCH($D359&amp;$B359&amp;$E359,'24&amp;25'!$B:$B&amp;'24&amp;25'!$A:$A&amp;'24&amp;25'!$C:$C,0)))</f>
        <v>317347</v>
      </c>
      <c r="M359">
        <f>L359/VLOOKUP($D359,CPI!$P$16:$R$22,3,FALSE)</f>
        <v>337219.37547557848</v>
      </c>
    </row>
    <row r="360" spans="1:13" ht="16" thickBot="1" x14ac:dyDescent="0.25">
      <c r="A360" s="7">
        <v>2</v>
      </c>
      <c r="B360">
        <f>IF(ISBLANK(G360),"",VLOOKUP(H360,code!B:C,2,FALSE))</f>
        <v>9</v>
      </c>
      <c r="C360">
        <f t="shared" si="10"/>
        <v>1</v>
      </c>
      <c r="D360">
        <v>2022</v>
      </c>
      <c r="E360">
        <v>126614</v>
      </c>
      <c r="F360" t="s">
        <v>84</v>
      </c>
      <c r="G360" t="s">
        <v>285</v>
      </c>
      <c r="H360" t="s">
        <v>17</v>
      </c>
      <c r="I360">
        <v>74512</v>
      </c>
      <c r="J360">
        <f>I360/VLOOKUP($D360,CPI!$P$16:$R$22,3,FALSE)</f>
        <v>79177.966407233413</v>
      </c>
      <c r="K360">
        <f t="shared" si="11"/>
        <v>0</v>
      </c>
      <c r="L360" s="3" cm="1">
        <f t="array" ref="L360">IF($C360=0,INDEX('24&amp;25'!$L:$L,MATCH($D360&amp;$B360&amp;$E360,'24&amp;25'!$B:$B&amp;'24&amp;25'!$A:$A&amp;'24&amp;25'!$C:$C,0)),INDEX('24&amp;25'!$M:$M,MATCH($D360&amp;$B360&amp;$E360,'24&amp;25'!$B:$B&amp;'24&amp;25'!$A:$A&amp;'24&amp;25'!$C:$C,0)))</f>
        <v>17560</v>
      </c>
      <c r="M360">
        <f>L360/VLOOKUP($D360,CPI!$P$16:$R$22,3,FALSE)</f>
        <v>18659.613083946464</v>
      </c>
    </row>
    <row r="361" spans="1:13" ht="16" thickBot="1" x14ac:dyDescent="0.25">
      <c r="A361" s="7">
        <v>2</v>
      </c>
      <c r="B361">
        <f>IF(ISBLANK(G361),"",VLOOKUP(H361,code!B:C,2,FALSE))</f>
        <v>12</v>
      </c>
      <c r="C361">
        <f t="shared" si="10"/>
        <v>1</v>
      </c>
      <c r="D361">
        <v>2022</v>
      </c>
      <c r="E361">
        <v>126614</v>
      </c>
      <c r="F361" t="s">
        <v>84</v>
      </c>
      <c r="G361" t="s">
        <v>285</v>
      </c>
      <c r="H361" t="s">
        <v>20</v>
      </c>
      <c r="I361">
        <v>14379</v>
      </c>
      <c r="J361">
        <f>I361/VLOOKUP($D361,CPI!$P$16:$R$22,3,FALSE)</f>
        <v>15279.41779806755</v>
      </c>
      <c r="K361">
        <f t="shared" si="11"/>
        <v>0</v>
      </c>
      <c r="L361" s="3" cm="1">
        <f t="array" ref="L361">IF($C361=0,INDEX('24&amp;25'!$L:$L,MATCH($D361&amp;$B361&amp;$E361,'24&amp;25'!$B:$B&amp;'24&amp;25'!$A:$A&amp;'24&amp;25'!$C:$C,0)),INDEX('24&amp;25'!$M:$M,MATCH($D361&amp;$B361&amp;$E361,'24&amp;25'!$B:$B&amp;'24&amp;25'!$A:$A&amp;'24&amp;25'!$C:$C,0)))</f>
        <v>89283</v>
      </c>
      <c r="M361">
        <f>L361/VLOOKUP($D361,CPI!$P$16:$R$22,3,FALSE)</f>
        <v>94873.931376651031</v>
      </c>
    </row>
    <row r="362" spans="1:13" ht="16" thickBot="1" x14ac:dyDescent="0.25">
      <c r="A362" s="7">
        <v>2</v>
      </c>
      <c r="B362">
        <f>IF(ISBLANK(G362),"",VLOOKUP(H362,code!B:C,2,FALSE))</f>
        <v>16</v>
      </c>
      <c r="C362">
        <f t="shared" si="10"/>
        <v>1</v>
      </c>
      <c r="D362">
        <v>2022</v>
      </c>
      <c r="E362">
        <v>126614</v>
      </c>
      <c r="F362" t="s">
        <v>84</v>
      </c>
      <c r="G362" t="s">
        <v>285</v>
      </c>
      <c r="H362" t="s">
        <v>24</v>
      </c>
      <c r="I362">
        <v>71738</v>
      </c>
      <c r="J362">
        <f>I362/VLOOKUP($D362,CPI!$P$16:$R$22,3,FALSE)</f>
        <v>76230.257597730713</v>
      </c>
      <c r="K362">
        <f t="shared" si="11"/>
        <v>0</v>
      </c>
      <c r="L362" s="3" cm="1">
        <f t="array" ref="L362">IF($C362=0,INDEX('24&amp;25'!$L:$L,MATCH($D362&amp;$B362&amp;$E362,'24&amp;25'!$B:$B&amp;'24&amp;25'!$A:$A&amp;'24&amp;25'!$C:$C,0)),INDEX('24&amp;25'!$M:$M,MATCH($D362&amp;$B362&amp;$E362,'24&amp;25'!$B:$B&amp;'24&amp;25'!$A:$A&amp;'24&amp;25'!$C:$C,0)))</f>
        <v>578</v>
      </c>
      <c r="M362">
        <f>L362/VLOOKUP($D362,CPI!$P$16:$R$22,3,FALSE)</f>
        <v>614.19455367431976</v>
      </c>
    </row>
    <row r="363" spans="1:13" ht="16" thickBot="1" x14ac:dyDescent="0.25">
      <c r="A363" s="7">
        <v>2</v>
      </c>
      <c r="B363">
        <f>IF(ISBLANK(G363),"",VLOOKUP(H363,code!B:C,2,FALSE))</f>
        <v>17</v>
      </c>
      <c r="C363">
        <f t="shared" si="10"/>
        <v>1</v>
      </c>
      <c r="D363">
        <v>2022</v>
      </c>
      <c r="E363">
        <v>126614</v>
      </c>
      <c r="F363" t="s">
        <v>84</v>
      </c>
      <c r="G363" t="s">
        <v>285</v>
      </c>
      <c r="H363" t="s">
        <v>25</v>
      </c>
      <c r="I363">
        <v>64199</v>
      </c>
      <c r="J363">
        <f>I363/VLOOKUP($D363,CPI!$P$16:$R$22,3,FALSE)</f>
        <v>68219.162891587635</v>
      </c>
      <c r="K363">
        <f t="shared" si="11"/>
        <v>0</v>
      </c>
      <c r="L363" s="3" cm="1">
        <f t="array" ref="L363">IF($C363=0,INDEX('24&amp;25'!$L:$L,MATCH($D363&amp;$B363&amp;$E363,'24&amp;25'!$B:$B&amp;'24&amp;25'!$A:$A&amp;'24&amp;25'!$C:$C,0)),INDEX('24&amp;25'!$M:$M,MATCH($D363&amp;$B363&amp;$E363,'24&amp;25'!$B:$B&amp;'24&amp;25'!$A:$A&amp;'24&amp;25'!$C:$C,0)))</f>
        <v>138234</v>
      </c>
      <c r="M363">
        <f>L363/VLOOKUP($D363,CPI!$P$16:$R$22,3,FALSE)</f>
        <v>146890.2593989895</v>
      </c>
    </row>
    <row r="364" spans="1:13" ht="16" thickBot="1" x14ac:dyDescent="0.25">
      <c r="A364" s="7">
        <v>2</v>
      </c>
      <c r="B364">
        <f>IF(ISBLANK(G364),"",VLOOKUP(H364,code!B:C,2,FALSE))</f>
        <v>20</v>
      </c>
      <c r="C364">
        <f t="shared" si="10"/>
        <v>1</v>
      </c>
      <c r="D364">
        <v>2022</v>
      </c>
      <c r="E364">
        <v>126614</v>
      </c>
      <c r="F364" t="s">
        <v>84</v>
      </c>
      <c r="G364" t="s">
        <v>285</v>
      </c>
      <c r="H364" t="s">
        <v>28</v>
      </c>
      <c r="I364">
        <v>0</v>
      </c>
      <c r="J364">
        <f>I364/VLOOKUP($D364,CPI!$P$16:$R$22,3,FALSE)</f>
        <v>0</v>
      </c>
      <c r="K364">
        <f t="shared" si="11"/>
        <v>0</v>
      </c>
      <c r="L364" s="3" cm="1">
        <f t="array" ref="L364">IF($C364=0,INDEX('24&amp;25'!$L:$L,MATCH($D364&amp;$B364&amp;$E364,'24&amp;25'!$B:$B&amp;'24&amp;25'!$A:$A&amp;'24&amp;25'!$C:$C,0)),INDEX('24&amp;25'!$M:$M,MATCH($D364&amp;$B364&amp;$E364,'24&amp;25'!$B:$B&amp;'24&amp;25'!$A:$A&amp;'24&amp;25'!$C:$C,0)))</f>
        <v>42763</v>
      </c>
      <c r="M364">
        <f>L364/VLOOKUP($D364,CPI!$P$16:$R$22,3,FALSE)</f>
        <v>45440.833388883977</v>
      </c>
    </row>
    <row r="365" spans="1:13" ht="16" thickBot="1" x14ac:dyDescent="0.25">
      <c r="A365" s="7">
        <v>2</v>
      </c>
      <c r="B365">
        <f>IF(ISBLANK(G365),"",VLOOKUP(H365,code!B:C,2,FALSE))</f>
        <v>21</v>
      </c>
      <c r="C365">
        <f t="shared" si="10"/>
        <v>1</v>
      </c>
      <c r="D365">
        <v>2022</v>
      </c>
      <c r="E365">
        <v>126614</v>
      </c>
      <c r="F365" t="s">
        <v>84</v>
      </c>
      <c r="G365" t="s">
        <v>285</v>
      </c>
      <c r="H365" t="s">
        <v>30</v>
      </c>
      <c r="I365">
        <v>16544</v>
      </c>
      <c r="J365">
        <f>I365/VLOOKUP($D365,CPI!$P$16:$R$22,3,FALSE)</f>
        <v>17579.990823508557</v>
      </c>
      <c r="K365">
        <f t="shared" si="11"/>
        <v>0</v>
      </c>
      <c r="L365" s="3" cm="1">
        <f t="array" ref="L365">IF($C365=0,INDEX('24&amp;25'!$L:$L,MATCH($D365&amp;$B365&amp;$E365,'24&amp;25'!$B:$B&amp;'24&amp;25'!$A:$A&amp;'24&amp;25'!$C:$C,0)),INDEX('24&amp;25'!$M:$M,MATCH($D365&amp;$B365&amp;$E365,'24&amp;25'!$B:$B&amp;'24&amp;25'!$A:$A&amp;'24&amp;25'!$C:$C,0)))</f>
        <v>49903</v>
      </c>
      <c r="M365">
        <f>L365/VLOOKUP($D365,CPI!$P$16:$R$22,3,FALSE)</f>
        <v>53027.942581331452</v>
      </c>
    </row>
    <row r="366" spans="1:13" ht="16" thickBot="1" x14ac:dyDescent="0.25">
      <c r="A366" s="7">
        <v>2</v>
      </c>
      <c r="B366">
        <f>IF(ISBLANK(G366),"",VLOOKUP(H366,code!B:C,2,FALSE))</f>
        <v>23</v>
      </c>
      <c r="C366">
        <f t="shared" si="10"/>
        <v>1</v>
      </c>
      <c r="D366">
        <v>2022</v>
      </c>
      <c r="E366">
        <v>126614</v>
      </c>
      <c r="F366" t="s">
        <v>84</v>
      </c>
      <c r="G366" t="s">
        <v>285</v>
      </c>
      <c r="H366" t="s">
        <v>33</v>
      </c>
      <c r="I366">
        <v>79401</v>
      </c>
      <c r="J366">
        <f>I366/VLOOKUP($D366,CPI!$P$16:$R$22,3,FALSE)</f>
        <v>84373.117225423295</v>
      </c>
      <c r="K366">
        <f t="shared" si="11"/>
        <v>0</v>
      </c>
      <c r="L366" s="3" cm="1">
        <f t="array" ref="L366">IF($C366=0,INDEX('24&amp;25'!$L:$L,MATCH($D366&amp;$B366&amp;$E366,'24&amp;25'!$B:$B&amp;'24&amp;25'!$A:$A&amp;'24&amp;25'!$C:$C,0)),INDEX('24&amp;25'!$M:$M,MATCH($D366&amp;$B366&amp;$E366,'24&amp;25'!$B:$B&amp;'24&amp;25'!$A:$A&amp;'24&amp;25'!$C:$C,0)))</f>
        <v>178921</v>
      </c>
      <c r="M366">
        <f>L366/VLOOKUP($D366,CPI!$P$16:$R$22,3,FALSE)</f>
        <v>190125.09297225426</v>
      </c>
    </row>
    <row r="367" spans="1:13" ht="16" thickBot="1" x14ac:dyDescent="0.25">
      <c r="A367" s="7">
        <v>2</v>
      </c>
      <c r="B367">
        <f>IF(ISBLANK(G367),"",VLOOKUP(H367,code!B:C,2,FALSE))</f>
        <v>2</v>
      </c>
      <c r="C367">
        <f t="shared" si="10"/>
        <v>0</v>
      </c>
      <c r="D367">
        <v>2023</v>
      </c>
      <c r="E367">
        <v>126614</v>
      </c>
      <c r="F367" t="s">
        <v>84</v>
      </c>
      <c r="G367" t="s">
        <v>284</v>
      </c>
      <c r="H367" t="s">
        <v>10</v>
      </c>
      <c r="I367">
        <v>3687660</v>
      </c>
      <c r="J367">
        <f>I367/VLOOKUP($D367,CPI!$P$16:$R$22,3,FALSE)</f>
        <v>3687660</v>
      </c>
      <c r="K367">
        <f t="shared" si="11"/>
        <v>0</v>
      </c>
      <c r="L367" s="3" cm="1">
        <f t="array" ref="L367">IF($C367=0,INDEX('24&amp;25'!$L:$L,MATCH($D367&amp;$B367&amp;$E367,'24&amp;25'!$B:$B&amp;'24&amp;25'!$A:$A&amp;'24&amp;25'!$C:$C,0)),INDEX('24&amp;25'!$M:$M,MATCH($D367&amp;$B367&amp;$E367,'24&amp;25'!$B:$B&amp;'24&amp;25'!$A:$A&amp;'24&amp;25'!$C:$C,0)))</f>
        <v>774845</v>
      </c>
      <c r="M367">
        <f>L367/VLOOKUP($D367,CPI!$P$16:$R$22,3,FALSE)</f>
        <v>774845</v>
      </c>
    </row>
    <row r="368" spans="1:13" ht="16" thickBot="1" x14ac:dyDescent="0.25">
      <c r="A368" s="7">
        <v>2</v>
      </c>
      <c r="B368">
        <f>IF(ISBLANK(G368),"",VLOOKUP(H368,code!B:C,2,FALSE))</f>
        <v>8</v>
      </c>
      <c r="C368">
        <f t="shared" si="10"/>
        <v>0</v>
      </c>
      <c r="D368">
        <v>2023</v>
      </c>
      <c r="E368">
        <v>126614</v>
      </c>
      <c r="F368" t="s">
        <v>84</v>
      </c>
      <c r="G368" t="s">
        <v>284</v>
      </c>
      <c r="H368" t="s">
        <v>16</v>
      </c>
      <c r="I368">
        <v>21117255</v>
      </c>
      <c r="J368">
        <f>I368/VLOOKUP($D368,CPI!$P$16:$R$22,3,FALSE)</f>
        <v>21117255</v>
      </c>
      <c r="K368">
        <f t="shared" si="11"/>
        <v>0</v>
      </c>
      <c r="L368" s="3" cm="1">
        <f t="array" ref="L368">IF($C368=0,INDEX('24&amp;25'!$L:$L,MATCH($D368&amp;$B368&amp;$E368,'24&amp;25'!$B:$B&amp;'24&amp;25'!$A:$A&amp;'24&amp;25'!$C:$C,0)),INDEX('24&amp;25'!$M:$M,MATCH($D368&amp;$B368&amp;$E368,'24&amp;25'!$B:$B&amp;'24&amp;25'!$A:$A&amp;'24&amp;25'!$C:$C,0)))</f>
        <v>3365876</v>
      </c>
      <c r="M368">
        <f>L368/VLOOKUP($D368,CPI!$P$16:$R$22,3,FALSE)</f>
        <v>3365876</v>
      </c>
    </row>
    <row r="369" spans="1:13" ht="16" thickBot="1" x14ac:dyDescent="0.25">
      <c r="A369" s="7">
        <v>2</v>
      </c>
      <c r="B369">
        <f>IF(ISBLANK(G369),"",VLOOKUP(H369,code!B:C,2,FALSE))</f>
        <v>9</v>
      </c>
      <c r="C369">
        <f t="shared" si="10"/>
        <v>0</v>
      </c>
      <c r="D369">
        <v>2023</v>
      </c>
      <c r="E369">
        <v>126614</v>
      </c>
      <c r="F369" t="s">
        <v>84</v>
      </c>
      <c r="G369" t="s">
        <v>284</v>
      </c>
      <c r="H369" t="s">
        <v>17</v>
      </c>
      <c r="I369">
        <v>64499</v>
      </c>
      <c r="J369">
        <f>I369/VLOOKUP($D369,CPI!$P$16:$R$22,3,FALSE)</f>
        <v>64499</v>
      </c>
      <c r="K369">
        <f t="shared" si="11"/>
        <v>0</v>
      </c>
      <c r="L369" s="3" cm="1">
        <f t="array" ref="L369">IF($C369=0,INDEX('24&amp;25'!$L:$L,MATCH($D369&amp;$B369&amp;$E369,'24&amp;25'!$B:$B&amp;'24&amp;25'!$A:$A&amp;'24&amp;25'!$C:$C,0)),INDEX('24&amp;25'!$M:$M,MATCH($D369&amp;$B369&amp;$E369,'24&amp;25'!$B:$B&amp;'24&amp;25'!$A:$A&amp;'24&amp;25'!$C:$C,0)))</f>
        <v>9795</v>
      </c>
      <c r="M369">
        <f>L369/VLOOKUP($D369,CPI!$P$16:$R$22,3,FALSE)</f>
        <v>9795</v>
      </c>
    </row>
    <row r="370" spans="1:13" ht="16" thickBot="1" x14ac:dyDescent="0.25">
      <c r="A370" s="7">
        <v>2</v>
      </c>
      <c r="B370">
        <f>IF(ISBLANK(G370),"",VLOOKUP(H370,code!B:C,2,FALSE))</f>
        <v>16</v>
      </c>
      <c r="C370">
        <f t="shared" si="10"/>
        <v>0</v>
      </c>
      <c r="D370">
        <v>2023</v>
      </c>
      <c r="E370">
        <v>126614</v>
      </c>
      <c r="F370" t="s">
        <v>84</v>
      </c>
      <c r="G370" t="s">
        <v>284</v>
      </c>
      <c r="H370" t="s">
        <v>24</v>
      </c>
      <c r="I370">
        <v>129256</v>
      </c>
      <c r="J370">
        <f>I370/VLOOKUP($D370,CPI!$P$16:$R$22,3,FALSE)</f>
        <v>129256</v>
      </c>
      <c r="K370">
        <f t="shared" si="11"/>
        <v>0</v>
      </c>
      <c r="L370" s="3" cm="1">
        <f t="array" ref="L370">IF($C370=0,INDEX('24&amp;25'!$L:$L,MATCH($D370&amp;$B370&amp;$E370,'24&amp;25'!$B:$B&amp;'24&amp;25'!$A:$A&amp;'24&amp;25'!$C:$C,0)),INDEX('24&amp;25'!$M:$M,MATCH($D370&amp;$B370&amp;$E370,'24&amp;25'!$B:$B&amp;'24&amp;25'!$A:$A&amp;'24&amp;25'!$C:$C,0)))</f>
        <v>11529</v>
      </c>
      <c r="M370">
        <f>L370/VLOOKUP($D370,CPI!$P$16:$R$22,3,FALSE)</f>
        <v>11529</v>
      </c>
    </row>
    <row r="371" spans="1:13" ht="16" thickBot="1" x14ac:dyDescent="0.25">
      <c r="A371" s="7">
        <v>2</v>
      </c>
      <c r="B371">
        <f>IF(ISBLANK(G371),"",VLOOKUP(H371,code!B:C,2,FALSE))</f>
        <v>21</v>
      </c>
      <c r="C371">
        <f t="shared" si="10"/>
        <v>0</v>
      </c>
      <c r="D371">
        <v>2023</v>
      </c>
      <c r="E371">
        <v>126614</v>
      </c>
      <c r="F371" t="s">
        <v>84</v>
      </c>
      <c r="G371" t="s">
        <v>284</v>
      </c>
      <c r="H371" t="s">
        <v>31</v>
      </c>
      <c r="I371">
        <v>21958</v>
      </c>
      <c r="J371">
        <f>I371/VLOOKUP($D371,CPI!$P$16:$R$22,3,FALSE)</f>
        <v>21958</v>
      </c>
      <c r="K371">
        <f t="shared" si="11"/>
        <v>0</v>
      </c>
      <c r="L371" s="3" cm="1">
        <f t="array" ref="L371">IF($C371=0,INDEX('24&amp;25'!$L:$L,MATCH($D371&amp;$B371&amp;$E371,'24&amp;25'!$B:$B&amp;'24&amp;25'!$A:$A&amp;'24&amp;25'!$C:$C,0)),INDEX('24&amp;25'!$M:$M,MATCH($D371&amp;$B371&amp;$E371,'24&amp;25'!$B:$B&amp;'24&amp;25'!$A:$A&amp;'24&amp;25'!$C:$C,0)))</f>
        <v>46749</v>
      </c>
      <c r="M371">
        <f>L371/VLOOKUP($D371,CPI!$P$16:$R$22,3,FALSE)</f>
        <v>46749</v>
      </c>
    </row>
    <row r="372" spans="1:13" ht="16" thickBot="1" x14ac:dyDescent="0.25">
      <c r="A372" s="7">
        <v>2</v>
      </c>
      <c r="B372">
        <f>IF(ISBLANK(G372),"",VLOOKUP(H372,code!B:C,2,FALSE))</f>
        <v>2</v>
      </c>
      <c r="C372">
        <f t="shared" si="10"/>
        <v>1</v>
      </c>
      <c r="D372">
        <v>2023</v>
      </c>
      <c r="E372">
        <v>126614</v>
      </c>
      <c r="F372" t="s">
        <v>84</v>
      </c>
      <c r="G372" t="s">
        <v>285</v>
      </c>
      <c r="H372" t="s">
        <v>10</v>
      </c>
      <c r="I372">
        <v>451918</v>
      </c>
      <c r="J372">
        <f>I372/VLOOKUP($D372,CPI!$P$16:$R$22,3,FALSE)</f>
        <v>451918</v>
      </c>
      <c r="K372">
        <f t="shared" si="11"/>
        <v>0</v>
      </c>
      <c r="L372" s="3" cm="1">
        <f t="array" ref="L372">IF($C372=0,INDEX('24&amp;25'!$L:$L,MATCH($D372&amp;$B372&amp;$E372,'24&amp;25'!$B:$B&amp;'24&amp;25'!$A:$A&amp;'24&amp;25'!$C:$C,0)),INDEX('24&amp;25'!$M:$M,MATCH($D372&amp;$B372&amp;$E372,'24&amp;25'!$B:$B&amp;'24&amp;25'!$A:$A&amp;'24&amp;25'!$C:$C,0)))</f>
        <v>446249</v>
      </c>
      <c r="M372">
        <f>L372/VLOOKUP($D372,CPI!$P$16:$R$22,3,FALSE)</f>
        <v>446249</v>
      </c>
    </row>
    <row r="373" spans="1:13" ht="16" thickBot="1" x14ac:dyDescent="0.25">
      <c r="A373" s="7">
        <v>2</v>
      </c>
      <c r="B373">
        <f>IF(ISBLANK(G373),"",VLOOKUP(H373,code!B:C,2,FALSE))</f>
        <v>9</v>
      </c>
      <c r="C373">
        <f t="shared" si="10"/>
        <v>1</v>
      </c>
      <c r="D373">
        <v>2023</v>
      </c>
      <c r="E373">
        <v>126614</v>
      </c>
      <c r="F373" t="s">
        <v>84</v>
      </c>
      <c r="G373" t="s">
        <v>285</v>
      </c>
      <c r="H373" t="s">
        <v>17</v>
      </c>
      <c r="I373">
        <v>25981</v>
      </c>
      <c r="J373">
        <f>I373/VLOOKUP($D373,CPI!$P$16:$R$22,3,FALSE)</f>
        <v>25981</v>
      </c>
      <c r="K373">
        <f t="shared" si="11"/>
        <v>0</v>
      </c>
      <c r="L373" s="3" cm="1">
        <f t="array" ref="L373">IF($C373=0,INDEX('24&amp;25'!$L:$L,MATCH($D373&amp;$B373&amp;$E373,'24&amp;25'!$B:$B&amp;'24&amp;25'!$A:$A&amp;'24&amp;25'!$C:$C,0)),INDEX('24&amp;25'!$M:$M,MATCH($D373&amp;$B373&amp;$E373,'24&amp;25'!$B:$B&amp;'24&amp;25'!$A:$A&amp;'24&amp;25'!$C:$C,0)))</f>
        <v>10760</v>
      </c>
      <c r="M373">
        <f>L373/VLOOKUP($D373,CPI!$P$16:$R$22,3,FALSE)</f>
        <v>10760</v>
      </c>
    </row>
    <row r="374" spans="1:13" ht="16" thickBot="1" x14ac:dyDescent="0.25">
      <c r="A374" s="7">
        <v>2</v>
      </c>
      <c r="B374">
        <f>IF(ISBLANK(G374),"",VLOOKUP(H374,code!B:C,2,FALSE))</f>
        <v>12</v>
      </c>
      <c r="C374">
        <f t="shared" si="10"/>
        <v>1</v>
      </c>
      <c r="D374">
        <v>2023</v>
      </c>
      <c r="E374">
        <v>126614</v>
      </c>
      <c r="F374" t="s">
        <v>84</v>
      </c>
      <c r="G374" t="s">
        <v>285</v>
      </c>
      <c r="H374" t="s">
        <v>20</v>
      </c>
      <c r="I374">
        <v>101176</v>
      </c>
      <c r="J374">
        <f>I374/VLOOKUP($D374,CPI!$P$16:$R$22,3,FALSE)</f>
        <v>101176</v>
      </c>
      <c r="K374">
        <f t="shared" si="11"/>
        <v>0</v>
      </c>
      <c r="L374" s="3" cm="1">
        <f t="array" ref="L374">IF($C374=0,INDEX('24&amp;25'!$L:$L,MATCH($D374&amp;$B374&amp;$E374,'24&amp;25'!$B:$B&amp;'24&amp;25'!$A:$A&amp;'24&amp;25'!$C:$C,0)),INDEX('24&amp;25'!$M:$M,MATCH($D374&amp;$B374&amp;$E374,'24&amp;25'!$B:$B&amp;'24&amp;25'!$A:$A&amp;'24&amp;25'!$C:$C,0)))</f>
        <v>86332</v>
      </c>
      <c r="M374">
        <f>L374/VLOOKUP($D374,CPI!$P$16:$R$22,3,FALSE)</f>
        <v>86332</v>
      </c>
    </row>
    <row r="375" spans="1:13" ht="16" thickBot="1" x14ac:dyDescent="0.25">
      <c r="A375" s="7">
        <v>2</v>
      </c>
      <c r="B375">
        <f>IF(ISBLANK(G375),"",VLOOKUP(H375,code!B:C,2,FALSE))</f>
        <v>16</v>
      </c>
      <c r="C375">
        <f t="shared" si="10"/>
        <v>1</v>
      </c>
      <c r="D375">
        <v>2023</v>
      </c>
      <c r="E375">
        <v>126614</v>
      </c>
      <c r="F375" t="s">
        <v>84</v>
      </c>
      <c r="G375" t="s">
        <v>285</v>
      </c>
      <c r="H375" t="s">
        <v>24</v>
      </c>
      <c r="I375">
        <v>129256</v>
      </c>
      <c r="J375">
        <f>I375/VLOOKUP($D375,CPI!$P$16:$R$22,3,FALSE)</f>
        <v>129256</v>
      </c>
      <c r="K375">
        <f t="shared" si="11"/>
        <v>0</v>
      </c>
      <c r="L375" s="3" cm="1">
        <f t="array" ref="L375">IF($C375=0,INDEX('24&amp;25'!$L:$L,MATCH($D375&amp;$B375&amp;$E375,'24&amp;25'!$B:$B&amp;'24&amp;25'!$A:$A&amp;'24&amp;25'!$C:$C,0)),INDEX('24&amp;25'!$M:$M,MATCH($D375&amp;$B375&amp;$E375,'24&amp;25'!$B:$B&amp;'24&amp;25'!$A:$A&amp;'24&amp;25'!$C:$C,0)))</f>
        <v>11529</v>
      </c>
      <c r="M375">
        <f>L375/VLOOKUP($D375,CPI!$P$16:$R$22,3,FALSE)</f>
        <v>11529</v>
      </c>
    </row>
    <row r="376" spans="1:13" ht="16" thickBot="1" x14ac:dyDescent="0.25">
      <c r="A376" s="7">
        <v>2</v>
      </c>
      <c r="B376">
        <f>IF(ISBLANK(G376),"",VLOOKUP(H376,code!B:C,2,FALSE))</f>
        <v>17</v>
      </c>
      <c r="C376">
        <f t="shared" si="10"/>
        <v>1</v>
      </c>
      <c r="D376">
        <v>2023</v>
      </c>
      <c r="E376">
        <v>126614</v>
      </c>
      <c r="F376" t="s">
        <v>84</v>
      </c>
      <c r="G376" t="s">
        <v>285</v>
      </c>
      <c r="H376" t="s">
        <v>25</v>
      </c>
      <c r="I376">
        <v>153318</v>
      </c>
      <c r="J376">
        <f>I376/VLOOKUP($D376,CPI!$P$16:$R$22,3,FALSE)</f>
        <v>153318</v>
      </c>
      <c r="K376">
        <f t="shared" si="11"/>
        <v>0</v>
      </c>
      <c r="L376" s="3" cm="1">
        <f t="array" ref="L376">IF($C376=0,INDEX('24&amp;25'!$L:$L,MATCH($D376&amp;$B376&amp;$E376,'24&amp;25'!$B:$B&amp;'24&amp;25'!$A:$A&amp;'24&amp;25'!$C:$C,0)),INDEX('24&amp;25'!$M:$M,MATCH($D376&amp;$B376&amp;$E376,'24&amp;25'!$B:$B&amp;'24&amp;25'!$A:$A&amp;'24&amp;25'!$C:$C,0)))</f>
        <v>161355</v>
      </c>
      <c r="M376">
        <f>L376/VLOOKUP($D376,CPI!$P$16:$R$22,3,FALSE)</f>
        <v>161355</v>
      </c>
    </row>
    <row r="377" spans="1:13" ht="16" thickBot="1" x14ac:dyDescent="0.25">
      <c r="A377" s="7">
        <v>2</v>
      </c>
      <c r="B377">
        <f>IF(ISBLANK(G377),"",VLOOKUP(H377,code!B:C,2,FALSE))</f>
        <v>20</v>
      </c>
      <c r="C377">
        <f t="shared" si="10"/>
        <v>1</v>
      </c>
      <c r="D377">
        <v>2023</v>
      </c>
      <c r="E377">
        <v>126614</v>
      </c>
      <c r="F377" t="s">
        <v>84</v>
      </c>
      <c r="G377" t="s">
        <v>285</v>
      </c>
      <c r="H377" t="s">
        <v>28</v>
      </c>
      <c r="I377">
        <v>19318</v>
      </c>
      <c r="J377">
        <f>I377/VLOOKUP($D377,CPI!$P$16:$R$22,3,FALSE)</f>
        <v>19318</v>
      </c>
      <c r="K377">
        <f t="shared" si="11"/>
        <v>0</v>
      </c>
      <c r="L377" s="3" cm="1">
        <f t="array" ref="L377">IF($C377=0,INDEX('24&amp;25'!$L:$L,MATCH($D377&amp;$B377&amp;$E377,'24&amp;25'!$B:$B&amp;'24&amp;25'!$A:$A&amp;'24&amp;25'!$C:$C,0)),INDEX('24&amp;25'!$M:$M,MATCH($D377&amp;$B377&amp;$E377,'24&amp;25'!$B:$B&amp;'24&amp;25'!$A:$A&amp;'24&amp;25'!$C:$C,0)))</f>
        <v>28187</v>
      </c>
      <c r="M377">
        <f>L377/VLOOKUP($D377,CPI!$P$16:$R$22,3,FALSE)</f>
        <v>28187</v>
      </c>
    </row>
    <row r="378" spans="1:13" ht="16" thickBot="1" x14ac:dyDescent="0.25">
      <c r="A378" s="7">
        <v>2</v>
      </c>
      <c r="B378">
        <f>IF(ISBLANK(G378),"",VLOOKUP(H378,code!B:C,2,FALSE))</f>
        <v>21</v>
      </c>
      <c r="C378">
        <f t="shared" si="10"/>
        <v>1</v>
      </c>
      <c r="D378">
        <v>2023</v>
      </c>
      <c r="E378">
        <v>126614</v>
      </c>
      <c r="F378" t="s">
        <v>84</v>
      </c>
      <c r="G378" t="s">
        <v>285</v>
      </c>
      <c r="H378" t="s">
        <v>31</v>
      </c>
      <c r="I378">
        <v>21959</v>
      </c>
      <c r="J378">
        <f>I378/VLOOKUP($D378,CPI!$P$16:$R$22,3,FALSE)</f>
        <v>21959</v>
      </c>
      <c r="K378">
        <f t="shared" si="11"/>
        <v>0</v>
      </c>
      <c r="L378" s="3" cm="1">
        <f t="array" ref="L378">IF($C378=0,INDEX('24&amp;25'!$L:$L,MATCH($D378&amp;$B378&amp;$E378,'24&amp;25'!$B:$B&amp;'24&amp;25'!$A:$A&amp;'24&amp;25'!$C:$C,0)),INDEX('24&amp;25'!$M:$M,MATCH($D378&amp;$B378&amp;$E378,'24&amp;25'!$B:$B&amp;'24&amp;25'!$A:$A&amp;'24&amp;25'!$C:$C,0)))</f>
        <v>46749</v>
      </c>
      <c r="M378">
        <f>L378/VLOOKUP($D378,CPI!$P$16:$R$22,3,FALSE)</f>
        <v>46749</v>
      </c>
    </row>
    <row r="379" spans="1:13" ht="16" thickBot="1" x14ac:dyDescent="0.25">
      <c r="A379" s="7">
        <v>2</v>
      </c>
      <c r="B379">
        <f>IF(ISBLANK(G379),"",VLOOKUP(H379,code!B:C,2,FALSE))</f>
        <v>23</v>
      </c>
      <c r="C379">
        <f t="shared" si="10"/>
        <v>1</v>
      </c>
      <c r="D379">
        <v>2023</v>
      </c>
      <c r="E379">
        <v>126614</v>
      </c>
      <c r="F379" t="s">
        <v>84</v>
      </c>
      <c r="G379" t="s">
        <v>285</v>
      </c>
      <c r="H379" t="s">
        <v>33</v>
      </c>
      <c r="I379">
        <v>214509</v>
      </c>
      <c r="J379">
        <f>I379/VLOOKUP($D379,CPI!$P$16:$R$22,3,FALSE)</f>
        <v>214509</v>
      </c>
      <c r="K379">
        <f t="shared" si="11"/>
        <v>0</v>
      </c>
      <c r="L379" s="3" cm="1">
        <f t="array" ref="L379">IF($C379=0,INDEX('24&amp;25'!$L:$L,MATCH($D379&amp;$B379&amp;$E379,'24&amp;25'!$B:$B&amp;'24&amp;25'!$A:$A&amp;'24&amp;25'!$C:$C,0)),INDEX('24&amp;25'!$M:$M,MATCH($D379&amp;$B379&amp;$E379,'24&amp;25'!$B:$B&amp;'24&amp;25'!$A:$A&amp;'24&amp;25'!$C:$C,0)))</f>
        <v>204570</v>
      </c>
      <c r="M379">
        <f>L379/VLOOKUP($D379,CPI!$P$16:$R$22,3,FALSE)</f>
        <v>204570</v>
      </c>
    </row>
    <row r="380" spans="1:13" ht="16" thickBot="1" x14ac:dyDescent="0.25">
      <c r="A380" s="7">
        <v>2</v>
      </c>
      <c r="B380">
        <f>IF(ISBLANK(G380),"",VLOOKUP(H380,code!B:C,2,FALSE))</f>
        <v>1</v>
      </c>
      <c r="C380">
        <f t="shared" si="10"/>
        <v>0</v>
      </c>
      <c r="D380">
        <v>2017</v>
      </c>
      <c r="E380">
        <v>163268</v>
      </c>
      <c r="F380" t="s">
        <v>136</v>
      </c>
      <c r="G380" t="s">
        <v>284</v>
      </c>
      <c r="H380" t="s">
        <v>9</v>
      </c>
      <c r="I380">
        <v>15020</v>
      </c>
      <c r="J380">
        <f>I380/VLOOKUP($D380,CPI!$P$16:$R$22,3,FALSE)</f>
        <v>18549.992314238443</v>
      </c>
      <c r="K380">
        <f t="shared" si="11"/>
        <v>0</v>
      </c>
      <c r="L380" s="3" cm="1">
        <f t="array" ref="L380">IF($C380=0,INDEX('24&amp;25'!$L:$L,MATCH($D380&amp;$B380&amp;$E380,'24&amp;25'!$B:$B&amp;'24&amp;25'!$A:$A&amp;'24&amp;25'!$C:$C,0)),INDEX('24&amp;25'!$M:$M,MATCH($D380&amp;$B380&amp;$E380,'24&amp;25'!$B:$B&amp;'24&amp;25'!$A:$A&amp;'24&amp;25'!$C:$C,0)))</f>
        <v>0</v>
      </c>
      <c r="M380">
        <f>L380/VLOOKUP($D380,CPI!$P$16:$R$22,3,FALSE)</f>
        <v>0</v>
      </c>
    </row>
    <row r="381" spans="1:13" ht="16" thickBot="1" x14ac:dyDescent="0.25">
      <c r="A381" s="7">
        <v>2</v>
      </c>
      <c r="B381">
        <f>IF(ISBLANK(G381),"",VLOOKUP(H381,code!B:C,2,FALSE))</f>
        <v>2</v>
      </c>
      <c r="C381">
        <f t="shared" si="10"/>
        <v>0</v>
      </c>
      <c r="D381">
        <v>2017</v>
      </c>
      <c r="E381">
        <v>163268</v>
      </c>
      <c r="F381" t="s">
        <v>136</v>
      </c>
      <c r="G381" t="s">
        <v>284</v>
      </c>
      <c r="H381" t="s">
        <v>10</v>
      </c>
      <c r="I381">
        <v>353822</v>
      </c>
      <c r="J381">
        <f>I381/VLOOKUP($D381,CPI!$P$16:$R$22,3,FALSE)</f>
        <v>436977.05596594367</v>
      </c>
      <c r="K381">
        <f t="shared" si="11"/>
        <v>0</v>
      </c>
      <c r="L381" s="3" cm="1">
        <f t="array" ref="L381">IF($C381=0,INDEX('24&amp;25'!$L:$L,MATCH($D381&amp;$B381&amp;$E381,'24&amp;25'!$B:$B&amp;'24&amp;25'!$A:$A&amp;'24&amp;25'!$C:$C,0)),INDEX('24&amp;25'!$M:$M,MATCH($D381&amp;$B381&amp;$E381,'24&amp;25'!$B:$B&amp;'24&amp;25'!$A:$A&amp;'24&amp;25'!$C:$C,0)))</f>
        <v>76353</v>
      </c>
      <c r="M381">
        <f>L381/VLOOKUP($D381,CPI!$P$16:$R$22,3,FALSE)</f>
        <v>94297.440956660968</v>
      </c>
    </row>
    <row r="382" spans="1:13" ht="16" thickBot="1" x14ac:dyDescent="0.25">
      <c r="A382" s="7">
        <v>2</v>
      </c>
      <c r="B382">
        <f>IF(ISBLANK(G382),"",VLOOKUP(H382,code!B:C,2,FALSE))</f>
        <v>12</v>
      </c>
      <c r="C382">
        <f t="shared" si="10"/>
        <v>0</v>
      </c>
      <c r="D382">
        <v>2017</v>
      </c>
      <c r="E382">
        <v>163268</v>
      </c>
      <c r="F382" t="s">
        <v>136</v>
      </c>
      <c r="G382" t="s">
        <v>284</v>
      </c>
      <c r="H382" t="s">
        <v>20</v>
      </c>
      <c r="I382">
        <v>16265</v>
      </c>
      <c r="J382">
        <f>I382/VLOOKUP($D382,CPI!$P$16:$R$22,3,FALSE)</f>
        <v>20087.591544013867</v>
      </c>
      <c r="K382">
        <f t="shared" si="11"/>
        <v>0</v>
      </c>
      <c r="L382" s="3" cm="1">
        <f t="array" ref="L382">IF($C382=0,INDEX('24&amp;25'!$L:$L,MATCH($D382&amp;$B382&amp;$E382,'24&amp;25'!$B:$B&amp;'24&amp;25'!$A:$A&amp;'24&amp;25'!$C:$C,0)),INDEX('24&amp;25'!$M:$M,MATCH($D382&amp;$B382&amp;$E382,'24&amp;25'!$B:$B&amp;'24&amp;25'!$A:$A&amp;'24&amp;25'!$C:$C,0)))</f>
        <v>0</v>
      </c>
      <c r="M382">
        <f>L382/VLOOKUP($D382,CPI!$P$16:$R$22,3,FALSE)</f>
        <v>0</v>
      </c>
    </row>
    <row r="383" spans="1:13" ht="16" thickBot="1" x14ac:dyDescent="0.25">
      <c r="A383" s="7">
        <v>2</v>
      </c>
      <c r="B383">
        <f>IF(ISBLANK(G383),"",VLOOKUP(H383,code!B:C,2,FALSE))</f>
        <v>17</v>
      </c>
      <c r="C383">
        <f t="shared" si="10"/>
        <v>0</v>
      </c>
      <c r="D383">
        <v>2017</v>
      </c>
      <c r="E383">
        <v>163268</v>
      </c>
      <c r="F383" t="s">
        <v>136</v>
      </c>
      <c r="G383" t="s">
        <v>284</v>
      </c>
      <c r="H383" t="s">
        <v>25</v>
      </c>
      <c r="I383">
        <v>8473</v>
      </c>
      <c r="J383">
        <f>I383/VLOOKUP($D383,CPI!$P$16:$R$22,3,FALSE)</f>
        <v>10464.319898704549</v>
      </c>
      <c r="K383">
        <f t="shared" si="11"/>
        <v>0</v>
      </c>
      <c r="L383" s="3" cm="1">
        <f t="array" ref="L383">IF($C383=0,INDEX('24&amp;25'!$L:$L,MATCH($D383&amp;$B383&amp;$E383,'24&amp;25'!$B:$B&amp;'24&amp;25'!$A:$A&amp;'24&amp;25'!$C:$C,0)),INDEX('24&amp;25'!$M:$M,MATCH($D383&amp;$B383&amp;$E383,'24&amp;25'!$B:$B&amp;'24&amp;25'!$A:$A&amp;'24&amp;25'!$C:$C,0)))</f>
        <v>0</v>
      </c>
      <c r="M383">
        <f>L383/VLOOKUP($D383,CPI!$P$16:$R$22,3,FALSE)</f>
        <v>0</v>
      </c>
    </row>
    <row r="384" spans="1:13" ht="16" thickBot="1" x14ac:dyDescent="0.25">
      <c r="A384" s="7">
        <v>2</v>
      </c>
      <c r="B384">
        <f>IF(ISBLANK(G384),"",VLOOKUP(H384,code!B:C,2,FALSE))</f>
        <v>19</v>
      </c>
      <c r="C384">
        <f t="shared" si="10"/>
        <v>0</v>
      </c>
      <c r="D384">
        <v>2017</v>
      </c>
      <c r="E384">
        <v>163268</v>
      </c>
      <c r="F384" t="s">
        <v>136</v>
      </c>
      <c r="G384" t="s">
        <v>284</v>
      </c>
      <c r="H384" t="s">
        <v>27</v>
      </c>
      <c r="I384">
        <v>8140</v>
      </c>
      <c r="J384">
        <f>I384/VLOOKUP($D384,CPI!$P$16:$R$22,3,FALSE)</f>
        <v>10053.058417969436</v>
      </c>
      <c r="K384">
        <f t="shared" si="11"/>
        <v>0</v>
      </c>
      <c r="L384" s="3" cm="1">
        <f t="array" ref="L384">IF($C384=0,INDEX('24&amp;25'!$L:$L,MATCH($D384&amp;$B384&amp;$E384,'24&amp;25'!$B:$B&amp;'24&amp;25'!$A:$A&amp;'24&amp;25'!$C:$C,0)),INDEX('24&amp;25'!$M:$M,MATCH($D384&amp;$B384&amp;$E384,'24&amp;25'!$B:$B&amp;'24&amp;25'!$A:$A&amp;'24&amp;25'!$C:$C,0)))</f>
        <v>0</v>
      </c>
      <c r="M384">
        <f>L384/VLOOKUP($D384,CPI!$P$16:$R$22,3,FALSE)</f>
        <v>0</v>
      </c>
    </row>
    <row r="385" spans="1:13" ht="16" thickBot="1" x14ac:dyDescent="0.25">
      <c r="A385" s="7">
        <v>2</v>
      </c>
      <c r="B385">
        <f>IF(ISBLANK(G385),"",VLOOKUP(H385,code!B:C,2,FALSE))</f>
        <v>21</v>
      </c>
      <c r="C385">
        <f t="shared" si="10"/>
        <v>0</v>
      </c>
      <c r="D385">
        <v>2017</v>
      </c>
      <c r="E385">
        <v>163268</v>
      </c>
      <c r="F385" t="s">
        <v>136</v>
      </c>
      <c r="G385" t="s">
        <v>284</v>
      </c>
      <c r="H385" t="s">
        <v>30</v>
      </c>
      <c r="I385">
        <v>2850</v>
      </c>
      <c r="J385">
        <f>I385/VLOOKUP($D385,CPI!$P$16:$R$22,3,FALSE)</f>
        <v>3519.8054657509692</v>
      </c>
      <c r="K385">
        <f t="shared" si="11"/>
        <v>0</v>
      </c>
      <c r="L385" s="3">
        <v>0</v>
      </c>
      <c r="M385">
        <f>L385/VLOOKUP($D385,CPI!$P$16:$R$22,3,FALSE)</f>
        <v>0</v>
      </c>
    </row>
    <row r="386" spans="1:13" ht="16" thickBot="1" x14ac:dyDescent="0.25">
      <c r="A386" s="7">
        <v>2</v>
      </c>
      <c r="B386">
        <f>IF(ISBLANK(G386),"",VLOOKUP(H386,code!B:C,2,FALSE))</f>
        <v>2</v>
      </c>
      <c r="C386">
        <f t="shared" si="10"/>
        <v>1</v>
      </c>
      <c r="D386">
        <v>2017</v>
      </c>
      <c r="E386">
        <v>163268</v>
      </c>
      <c r="F386" t="s">
        <v>136</v>
      </c>
      <c r="G386" t="s">
        <v>285</v>
      </c>
      <c r="H386" t="s">
        <v>10</v>
      </c>
      <c r="I386">
        <v>37461</v>
      </c>
      <c r="J386">
        <f>I386/VLOOKUP($D386,CPI!$P$16:$R$22,3,FALSE)</f>
        <v>46265.06405350774</v>
      </c>
      <c r="K386">
        <f t="shared" si="11"/>
        <v>0</v>
      </c>
      <c r="L386" s="3" cm="1">
        <f t="array" ref="L386">IF($C386=0,INDEX('24&amp;25'!$L:$L,MATCH($D386&amp;$B386&amp;$E386,'24&amp;25'!$B:$B&amp;'24&amp;25'!$A:$A&amp;'24&amp;25'!$C:$C,0)),INDEX('24&amp;25'!$M:$M,MATCH($D386&amp;$B386&amp;$E386,'24&amp;25'!$B:$B&amp;'24&amp;25'!$A:$A&amp;'24&amp;25'!$C:$C,0)))</f>
        <v>41710</v>
      </c>
      <c r="M386">
        <f>L386/VLOOKUP($D386,CPI!$P$16:$R$22,3,FALSE)</f>
        <v>51512.661746130856</v>
      </c>
    </row>
    <row r="387" spans="1:13" ht="16" thickBot="1" x14ac:dyDescent="0.25">
      <c r="A387" s="7">
        <v>2</v>
      </c>
      <c r="B387">
        <f>IF(ISBLANK(G387),"",VLOOKUP(H387,code!B:C,2,FALSE))</f>
        <v>12</v>
      </c>
      <c r="C387">
        <f t="shared" ref="C387:C450" si="12">IF(ISBLANK(G387),"",IF(MID(G387,1,1)="M",0,1))</f>
        <v>1</v>
      </c>
      <c r="D387">
        <v>2017</v>
      </c>
      <c r="E387">
        <v>163268</v>
      </c>
      <c r="F387" t="s">
        <v>136</v>
      </c>
      <c r="G387" t="s">
        <v>285</v>
      </c>
      <c r="H387" t="s">
        <v>20</v>
      </c>
      <c r="I387">
        <v>2056</v>
      </c>
      <c r="J387">
        <f>I387/VLOOKUP($D387,CPI!$P$16:$R$22,3,FALSE)</f>
        <v>2539.200013187366</v>
      </c>
      <c r="K387">
        <f t="shared" ref="K387:K450" si="13">IF(ISBLANK(G387),"",IF(D387=2021,1,0))</f>
        <v>0</v>
      </c>
      <c r="L387" s="3" cm="1">
        <f t="array" ref="L387">IF($C387=0,INDEX('24&amp;25'!$L:$L,MATCH($D387&amp;$B387&amp;$E387,'24&amp;25'!$B:$B&amp;'24&amp;25'!$A:$A&amp;'24&amp;25'!$C:$C,0)),INDEX('24&amp;25'!$M:$M,MATCH($D387&amp;$B387&amp;$E387,'24&amp;25'!$B:$B&amp;'24&amp;25'!$A:$A&amp;'24&amp;25'!$C:$C,0)))</f>
        <v>0</v>
      </c>
      <c r="M387">
        <f>L387/VLOOKUP($D387,CPI!$P$16:$R$22,3,FALSE)</f>
        <v>0</v>
      </c>
    </row>
    <row r="388" spans="1:13" ht="16" thickBot="1" x14ac:dyDescent="0.25">
      <c r="A388" s="7">
        <v>2</v>
      </c>
      <c r="B388">
        <f>IF(ISBLANK(G388),"",VLOOKUP(H388,code!B:C,2,FALSE))</f>
        <v>17</v>
      </c>
      <c r="C388">
        <f t="shared" si="12"/>
        <v>1</v>
      </c>
      <c r="D388">
        <v>2017</v>
      </c>
      <c r="E388">
        <v>163268</v>
      </c>
      <c r="F388" t="s">
        <v>136</v>
      </c>
      <c r="G388" t="s">
        <v>285</v>
      </c>
      <c r="H388" t="s">
        <v>25</v>
      </c>
      <c r="I388">
        <v>2687</v>
      </c>
      <c r="J388">
        <f>I388/VLOOKUP($D388,CPI!$P$16:$R$22,3,FALSE)</f>
        <v>3318.4972934992475</v>
      </c>
      <c r="K388">
        <f t="shared" si="13"/>
        <v>0</v>
      </c>
      <c r="L388" s="3" cm="1">
        <f t="array" ref="L388">IF($C388=0,INDEX('24&amp;25'!$L:$L,MATCH($D388&amp;$B388&amp;$E388,'24&amp;25'!$B:$B&amp;'24&amp;25'!$A:$A&amp;'24&amp;25'!$C:$C,0)),INDEX('24&amp;25'!$M:$M,MATCH($D388&amp;$B388&amp;$E388,'24&amp;25'!$B:$B&amp;'24&amp;25'!$A:$A&amp;'24&amp;25'!$C:$C,0)))</f>
        <v>0</v>
      </c>
      <c r="M388">
        <f>L388/VLOOKUP($D388,CPI!$P$16:$R$22,3,FALSE)</f>
        <v>0</v>
      </c>
    </row>
    <row r="389" spans="1:13" ht="16" thickBot="1" x14ac:dyDescent="0.25">
      <c r="A389" s="7">
        <v>2</v>
      </c>
      <c r="B389">
        <f>IF(ISBLANK(G389),"",VLOOKUP(H389,code!B:C,2,FALSE))</f>
        <v>18</v>
      </c>
      <c r="C389">
        <f t="shared" si="12"/>
        <v>1</v>
      </c>
      <c r="D389">
        <v>2017</v>
      </c>
      <c r="E389">
        <v>163268</v>
      </c>
      <c r="F389" t="s">
        <v>136</v>
      </c>
      <c r="G389" t="s">
        <v>285</v>
      </c>
      <c r="H389" t="s">
        <v>26</v>
      </c>
      <c r="I389">
        <v>8500</v>
      </c>
      <c r="J389">
        <f>I389/VLOOKUP($D389,CPI!$P$16:$R$22,3,FALSE)</f>
        <v>10497.665424169558</v>
      </c>
      <c r="K389">
        <f t="shared" si="13"/>
        <v>0</v>
      </c>
      <c r="L389" s="3" cm="1">
        <f t="array" ref="L389">IF($C389=0,INDEX('24&amp;25'!$L:$L,MATCH($D389&amp;$B389&amp;$E389,'24&amp;25'!$B:$B&amp;'24&amp;25'!$A:$A&amp;'24&amp;25'!$C:$C,0)),INDEX('24&amp;25'!$M:$M,MATCH($D389&amp;$B389&amp;$E389,'24&amp;25'!$B:$B&amp;'24&amp;25'!$A:$A&amp;'24&amp;25'!$C:$C,0)))</f>
        <v>0</v>
      </c>
      <c r="M389">
        <f>L389/VLOOKUP($D389,CPI!$P$16:$R$22,3,FALSE)</f>
        <v>0</v>
      </c>
    </row>
    <row r="390" spans="1:13" ht="16" thickBot="1" x14ac:dyDescent="0.25">
      <c r="A390" s="7">
        <v>2</v>
      </c>
      <c r="B390">
        <f>IF(ISBLANK(G390),"",VLOOKUP(H390,code!B:C,2,FALSE))</f>
        <v>19</v>
      </c>
      <c r="C390">
        <f t="shared" si="12"/>
        <v>1</v>
      </c>
      <c r="D390">
        <v>2017</v>
      </c>
      <c r="E390">
        <v>163268</v>
      </c>
      <c r="F390" t="s">
        <v>136</v>
      </c>
      <c r="G390" t="s">
        <v>285</v>
      </c>
      <c r="H390" t="s">
        <v>27</v>
      </c>
      <c r="I390">
        <v>22853</v>
      </c>
      <c r="J390">
        <f>I390/VLOOKUP($D390,CPI!$P$16:$R$22,3,FALSE)</f>
        <v>28223.899757476105</v>
      </c>
      <c r="K390">
        <f t="shared" si="13"/>
        <v>0</v>
      </c>
      <c r="L390" s="3" cm="1">
        <f t="array" ref="L390">IF($C390=0,INDEX('24&amp;25'!$L:$L,MATCH($D390&amp;$B390&amp;$E390,'24&amp;25'!$B:$B&amp;'24&amp;25'!$A:$A&amp;'24&amp;25'!$C:$C,0)),INDEX('24&amp;25'!$M:$M,MATCH($D390&amp;$B390&amp;$E390,'24&amp;25'!$B:$B&amp;'24&amp;25'!$A:$A&amp;'24&amp;25'!$C:$C,0)))</f>
        <v>0</v>
      </c>
      <c r="M390">
        <f>L390/VLOOKUP($D390,CPI!$P$16:$R$22,3,FALSE)</f>
        <v>0</v>
      </c>
    </row>
    <row r="391" spans="1:13" ht="16" thickBot="1" x14ac:dyDescent="0.25">
      <c r="A391" s="7">
        <v>2</v>
      </c>
      <c r="B391">
        <f>IF(ISBLANK(G391),"",VLOOKUP(H391,code!B:C,2,FALSE))</f>
        <v>21</v>
      </c>
      <c r="C391">
        <f t="shared" si="12"/>
        <v>1</v>
      </c>
      <c r="D391">
        <v>2017</v>
      </c>
      <c r="E391">
        <v>163268</v>
      </c>
      <c r="F391" t="s">
        <v>136</v>
      </c>
      <c r="G391" t="s">
        <v>285</v>
      </c>
      <c r="H391" t="s">
        <v>30</v>
      </c>
      <c r="I391">
        <v>2850</v>
      </c>
      <c r="J391">
        <f>I391/VLOOKUP($D391,CPI!$P$16:$R$22,3,FALSE)</f>
        <v>3519.8054657509692</v>
      </c>
      <c r="K391">
        <f t="shared" si="13"/>
        <v>0</v>
      </c>
      <c r="L391" s="3">
        <v>0</v>
      </c>
      <c r="M391">
        <f>L391/VLOOKUP($D391,CPI!$P$16:$R$22,3,FALSE)</f>
        <v>0</v>
      </c>
    </row>
    <row r="392" spans="1:13" ht="16" thickBot="1" x14ac:dyDescent="0.25">
      <c r="A392" s="7">
        <v>2</v>
      </c>
      <c r="B392">
        <f>IF(ISBLANK(G392),"",VLOOKUP(H392,code!B:C,2,FALSE))</f>
        <v>23</v>
      </c>
      <c r="C392">
        <f t="shared" si="12"/>
        <v>1</v>
      </c>
      <c r="D392">
        <v>2017</v>
      </c>
      <c r="E392">
        <v>163268</v>
      </c>
      <c r="F392" t="s">
        <v>136</v>
      </c>
      <c r="G392" t="s">
        <v>285</v>
      </c>
      <c r="H392" t="s">
        <v>33</v>
      </c>
      <c r="I392">
        <v>3000</v>
      </c>
      <c r="J392">
        <f>I392/VLOOKUP($D392,CPI!$P$16:$R$22,3,FALSE)</f>
        <v>3705.0583850010203</v>
      </c>
      <c r="K392">
        <f t="shared" si="13"/>
        <v>0</v>
      </c>
      <c r="L392" s="3" cm="1">
        <f t="array" ref="L392">IF($C392=0,INDEX('24&amp;25'!$L:$L,MATCH($D392&amp;$B392&amp;$E392,'24&amp;25'!$B:$B&amp;'24&amp;25'!$A:$A&amp;'24&amp;25'!$C:$C,0)),INDEX('24&amp;25'!$M:$M,MATCH($D392&amp;$B392&amp;$E392,'24&amp;25'!$B:$B&amp;'24&amp;25'!$A:$A&amp;'24&amp;25'!$C:$C,0)))</f>
        <v>0</v>
      </c>
      <c r="M392">
        <f>L392/VLOOKUP($D392,CPI!$P$16:$R$22,3,FALSE)</f>
        <v>0</v>
      </c>
    </row>
    <row r="393" spans="1:13" ht="16" thickBot="1" x14ac:dyDescent="0.25">
      <c r="A393" s="7">
        <v>2</v>
      </c>
      <c r="B393">
        <f>IF(ISBLANK(G393),"",VLOOKUP(H393,code!B:C,2,FALSE))</f>
        <v>1</v>
      </c>
      <c r="C393">
        <f t="shared" si="12"/>
        <v>0</v>
      </c>
      <c r="D393">
        <v>2018</v>
      </c>
      <c r="E393">
        <v>163268</v>
      </c>
      <c r="F393" t="s">
        <v>136</v>
      </c>
      <c r="G393" t="s">
        <v>284</v>
      </c>
      <c r="H393" t="s">
        <v>9</v>
      </c>
      <c r="I393">
        <v>27192</v>
      </c>
      <c r="J393">
        <f>I393/VLOOKUP($D393,CPI!$P$16:$R$22,3,FALSE)</f>
        <v>32842.378936508074</v>
      </c>
      <c r="K393">
        <f t="shared" si="13"/>
        <v>0</v>
      </c>
      <c r="L393" s="3" cm="1">
        <f t="array" ref="L393">IF($C393=0,INDEX('24&amp;25'!$L:$L,MATCH($D393&amp;$B393&amp;$E393,'24&amp;25'!$B:$B&amp;'24&amp;25'!$A:$A&amp;'24&amp;25'!$C:$C,0)),INDEX('24&amp;25'!$M:$M,MATCH($D393&amp;$B393&amp;$E393,'24&amp;25'!$B:$B&amp;'24&amp;25'!$A:$A&amp;'24&amp;25'!$C:$C,0)))</f>
        <v>0</v>
      </c>
      <c r="M393">
        <f>L393/VLOOKUP($D393,CPI!$P$16:$R$22,3,FALSE)</f>
        <v>0</v>
      </c>
    </row>
    <row r="394" spans="1:13" ht="16" thickBot="1" x14ac:dyDescent="0.25">
      <c r="A394" s="7">
        <v>2</v>
      </c>
      <c r="B394">
        <f>IF(ISBLANK(G394),"",VLOOKUP(H394,code!B:C,2,FALSE))</f>
        <v>2</v>
      </c>
      <c r="C394">
        <f t="shared" si="12"/>
        <v>0</v>
      </c>
      <c r="D394">
        <v>2018</v>
      </c>
      <c r="E394">
        <v>163268</v>
      </c>
      <c r="F394" t="s">
        <v>136</v>
      </c>
      <c r="G394" t="s">
        <v>284</v>
      </c>
      <c r="H394" t="s">
        <v>10</v>
      </c>
      <c r="I394">
        <v>208231</v>
      </c>
      <c r="J394">
        <f>I394/VLOOKUP($D394,CPI!$P$16:$R$22,3,FALSE)</f>
        <v>251500.49309826465</v>
      </c>
      <c r="K394">
        <f t="shared" si="13"/>
        <v>0</v>
      </c>
      <c r="L394" s="3" cm="1">
        <f t="array" ref="L394">IF($C394=0,INDEX('24&amp;25'!$L:$L,MATCH($D394&amp;$B394&amp;$E394,'24&amp;25'!$B:$B&amp;'24&amp;25'!$A:$A&amp;'24&amp;25'!$C:$C,0)),INDEX('24&amp;25'!$M:$M,MATCH($D394&amp;$B394&amp;$E394,'24&amp;25'!$B:$B&amp;'24&amp;25'!$A:$A&amp;'24&amp;25'!$C:$C,0)))</f>
        <v>43655</v>
      </c>
      <c r="M394">
        <f>L394/VLOOKUP($D394,CPI!$P$16:$R$22,3,FALSE)</f>
        <v>52726.318493426734</v>
      </c>
    </row>
    <row r="395" spans="1:13" ht="16" thickBot="1" x14ac:dyDescent="0.25">
      <c r="A395" s="7">
        <v>2</v>
      </c>
      <c r="B395">
        <f>IF(ISBLANK(G395),"",VLOOKUP(H395,code!B:C,2,FALSE))</f>
        <v>12</v>
      </c>
      <c r="C395">
        <f t="shared" si="12"/>
        <v>0</v>
      </c>
      <c r="D395">
        <v>2018</v>
      </c>
      <c r="E395">
        <v>163268</v>
      </c>
      <c r="F395" t="s">
        <v>136</v>
      </c>
      <c r="G395" t="s">
        <v>284</v>
      </c>
      <c r="H395" t="s">
        <v>20</v>
      </c>
      <c r="I395">
        <v>6981</v>
      </c>
      <c r="J395">
        <f>I395/VLOOKUP($D395,CPI!$P$16:$R$22,3,FALSE)</f>
        <v>8431.6213355311429</v>
      </c>
      <c r="K395">
        <f t="shared" si="13"/>
        <v>0</v>
      </c>
      <c r="L395" s="3" cm="1">
        <f t="array" ref="L395">IF($C395=0,INDEX('24&amp;25'!$L:$L,MATCH($D395&amp;$B395&amp;$E395,'24&amp;25'!$B:$B&amp;'24&amp;25'!$A:$A&amp;'24&amp;25'!$C:$C,0)),INDEX('24&amp;25'!$M:$M,MATCH($D395&amp;$B395&amp;$E395,'24&amp;25'!$B:$B&amp;'24&amp;25'!$A:$A&amp;'24&amp;25'!$C:$C,0)))</f>
        <v>0</v>
      </c>
      <c r="M395">
        <f>L395/VLOOKUP($D395,CPI!$P$16:$R$22,3,FALSE)</f>
        <v>0</v>
      </c>
    </row>
    <row r="396" spans="1:13" ht="16" thickBot="1" x14ac:dyDescent="0.25">
      <c r="A396" s="7">
        <v>2</v>
      </c>
      <c r="B396">
        <f>IF(ISBLANK(G396),"",VLOOKUP(H396,code!B:C,2,FALSE))</f>
        <v>17</v>
      </c>
      <c r="C396">
        <f t="shared" si="12"/>
        <v>0</v>
      </c>
      <c r="D396">
        <v>2018</v>
      </c>
      <c r="E396">
        <v>163268</v>
      </c>
      <c r="F396" t="s">
        <v>136</v>
      </c>
      <c r="G396" t="s">
        <v>284</v>
      </c>
      <c r="H396" t="s">
        <v>25</v>
      </c>
      <c r="I396">
        <v>26474</v>
      </c>
      <c r="J396">
        <f>I396/VLOOKUP($D396,CPI!$P$16:$R$22,3,FALSE)</f>
        <v>31975.181669796802</v>
      </c>
      <c r="K396">
        <f t="shared" si="13"/>
        <v>0</v>
      </c>
      <c r="L396" s="3" cm="1">
        <f t="array" ref="L396">IF($C396=0,INDEX('24&amp;25'!$L:$L,MATCH($D396&amp;$B396&amp;$E396,'24&amp;25'!$B:$B&amp;'24&amp;25'!$A:$A&amp;'24&amp;25'!$C:$C,0)),INDEX('24&amp;25'!$M:$M,MATCH($D396&amp;$B396&amp;$E396,'24&amp;25'!$B:$B&amp;'24&amp;25'!$A:$A&amp;'24&amp;25'!$C:$C,0)))</f>
        <v>0</v>
      </c>
      <c r="M396">
        <f>L396/VLOOKUP($D396,CPI!$P$16:$R$22,3,FALSE)</f>
        <v>0</v>
      </c>
    </row>
    <row r="397" spans="1:13" ht="16" thickBot="1" x14ac:dyDescent="0.25">
      <c r="A397" s="7">
        <v>2</v>
      </c>
      <c r="B397">
        <f>IF(ISBLANK(G397),"",VLOOKUP(H397,code!B:C,2,FALSE))</f>
        <v>19</v>
      </c>
      <c r="C397">
        <f t="shared" si="12"/>
        <v>0</v>
      </c>
      <c r="D397">
        <v>2018</v>
      </c>
      <c r="E397">
        <v>163268</v>
      </c>
      <c r="F397" t="s">
        <v>136</v>
      </c>
      <c r="G397" t="s">
        <v>284</v>
      </c>
      <c r="H397" t="s">
        <v>27</v>
      </c>
      <c r="I397">
        <v>18050</v>
      </c>
      <c r="J397">
        <f>I397/VLOOKUP($D397,CPI!$P$16:$R$22,3,FALSE)</f>
        <v>21800.711231390505</v>
      </c>
      <c r="K397">
        <f t="shared" si="13"/>
        <v>0</v>
      </c>
      <c r="L397" s="3" cm="1">
        <f t="array" ref="L397">IF($C397=0,INDEX('24&amp;25'!$L:$L,MATCH($D397&amp;$B397&amp;$E397,'24&amp;25'!$B:$B&amp;'24&amp;25'!$A:$A&amp;'24&amp;25'!$C:$C,0)),INDEX('24&amp;25'!$M:$M,MATCH($D397&amp;$B397&amp;$E397,'24&amp;25'!$B:$B&amp;'24&amp;25'!$A:$A&amp;'24&amp;25'!$C:$C,0)))</f>
        <v>0</v>
      </c>
      <c r="M397">
        <f>L397/VLOOKUP($D397,CPI!$P$16:$R$22,3,FALSE)</f>
        <v>0</v>
      </c>
    </row>
    <row r="398" spans="1:13" ht="16" thickBot="1" x14ac:dyDescent="0.25">
      <c r="A398" s="7">
        <v>2</v>
      </c>
      <c r="B398">
        <f>IF(ISBLANK(G398),"",VLOOKUP(H398,code!B:C,2,FALSE))</f>
        <v>21</v>
      </c>
      <c r="C398">
        <f t="shared" si="12"/>
        <v>0</v>
      </c>
      <c r="D398">
        <v>2018</v>
      </c>
      <c r="E398">
        <v>163268</v>
      </c>
      <c r="F398" t="s">
        <v>136</v>
      </c>
      <c r="G398" t="s">
        <v>284</v>
      </c>
      <c r="H398" t="s">
        <v>30</v>
      </c>
      <c r="I398">
        <v>2385</v>
      </c>
      <c r="J398">
        <f>I398/VLOOKUP($D398,CPI!$P$16:$R$22,3,FALSE)</f>
        <v>2880.5925920701584</v>
      </c>
      <c r="K398">
        <f t="shared" si="13"/>
        <v>0</v>
      </c>
      <c r="L398" s="3" cm="1">
        <f t="array" ref="L398">IF($C398=0,INDEX('24&amp;25'!$L:$L,MATCH($D398&amp;$B398&amp;$E398,'24&amp;25'!$B:$B&amp;'24&amp;25'!$A:$A&amp;'24&amp;25'!$C:$C,0)),INDEX('24&amp;25'!$M:$M,MATCH($D398&amp;$B398&amp;$E398,'24&amp;25'!$B:$B&amp;'24&amp;25'!$A:$A&amp;'24&amp;25'!$C:$C,0)))</f>
        <v>0</v>
      </c>
      <c r="M398">
        <f>L398/VLOOKUP($D398,CPI!$P$16:$R$22,3,FALSE)</f>
        <v>0</v>
      </c>
    </row>
    <row r="399" spans="1:13" ht="16" thickBot="1" x14ac:dyDescent="0.25">
      <c r="A399" s="7">
        <v>2</v>
      </c>
      <c r="B399">
        <f>IF(ISBLANK(G399),"",VLOOKUP(H399,code!B:C,2,FALSE))</f>
        <v>2</v>
      </c>
      <c r="C399">
        <f t="shared" si="12"/>
        <v>1</v>
      </c>
      <c r="D399">
        <v>2018</v>
      </c>
      <c r="E399">
        <v>163268</v>
      </c>
      <c r="F399" t="s">
        <v>136</v>
      </c>
      <c r="G399" t="s">
        <v>285</v>
      </c>
      <c r="H399" t="s">
        <v>10</v>
      </c>
      <c r="I399">
        <v>28250</v>
      </c>
      <c r="J399">
        <f>I399/VLOOKUP($D399,CPI!$P$16:$R$22,3,FALSE)</f>
        <v>34120.226719489299</v>
      </c>
      <c r="K399">
        <f t="shared" si="13"/>
        <v>0</v>
      </c>
      <c r="L399" s="3" cm="1">
        <f t="array" ref="L399">IF($C399=0,INDEX('24&amp;25'!$L:$L,MATCH($D399&amp;$B399&amp;$E399,'24&amp;25'!$B:$B&amp;'24&amp;25'!$A:$A&amp;'24&amp;25'!$C:$C,0)),INDEX('24&amp;25'!$M:$M,MATCH($D399&amp;$B399&amp;$E399,'24&amp;25'!$B:$B&amp;'24&amp;25'!$A:$A&amp;'24&amp;25'!$C:$C,0)))</f>
        <v>49294</v>
      </c>
      <c r="M399">
        <f>L399/VLOOKUP($D399,CPI!$P$16:$R$22,3,FALSE)</f>
        <v>59537.07808532763</v>
      </c>
    </row>
    <row r="400" spans="1:13" ht="16" thickBot="1" x14ac:dyDescent="0.25">
      <c r="A400" s="7">
        <v>2</v>
      </c>
      <c r="B400">
        <f>IF(ISBLANK(G400),"",VLOOKUP(H400,code!B:C,2,FALSE))</f>
        <v>12</v>
      </c>
      <c r="C400">
        <f t="shared" si="12"/>
        <v>1</v>
      </c>
      <c r="D400">
        <v>2018</v>
      </c>
      <c r="E400">
        <v>163268</v>
      </c>
      <c r="F400" t="s">
        <v>136</v>
      </c>
      <c r="G400" t="s">
        <v>285</v>
      </c>
      <c r="H400" t="s">
        <v>20</v>
      </c>
      <c r="I400">
        <v>3780</v>
      </c>
      <c r="J400">
        <f>I400/VLOOKUP($D400,CPI!$P$16:$R$22,3,FALSE)</f>
        <v>4565.4675044130809</v>
      </c>
      <c r="K400">
        <f t="shared" si="13"/>
        <v>0</v>
      </c>
      <c r="L400" s="3" cm="1">
        <f t="array" ref="L400">IF($C400=0,INDEX('24&amp;25'!$L:$L,MATCH($D400&amp;$B400&amp;$E400,'24&amp;25'!$B:$B&amp;'24&amp;25'!$A:$A&amp;'24&amp;25'!$C:$C,0)),INDEX('24&amp;25'!$M:$M,MATCH($D400&amp;$B400&amp;$E400,'24&amp;25'!$B:$B&amp;'24&amp;25'!$A:$A&amp;'24&amp;25'!$C:$C,0)))</f>
        <v>0</v>
      </c>
      <c r="M400">
        <f>L400/VLOOKUP($D400,CPI!$P$16:$R$22,3,FALSE)</f>
        <v>0</v>
      </c>
    </row>
    <row r="401" spans="1:13" ht="16" thickBot="1" x14ac:dyDescent="0.25">
      <c r="A401" s="7">
        <v>2</v>
      </c>
      <c r="B401">
        <f>IF(ISBLANK(G401),"",VLOOKUP(H401,code!B:C,2,FALSE))</f>
        <v>17</v>
      </c>
      <c r="C401">
        <f t="shared" si="12"/>
        <v>1</v>
      </c>
      <c r="D401">
        <v>2018</v>
      </c>
      <c r="E401">
        <v>163268</v>
      </c>
      <c r="F401" t="s">
        <v>136</v>
      </c>
      <c r="G401" t="s">
        <v>285</v>
      </c>
      <c r="H401" t="s">
        <v>25</v>
      </c>
      <c r="I401">
        <v>3409</v>
      </c>
      <c r="J401">
        <f>I401/VLOOKUP($D401,CPI!$P$16:$R$22,3,FALSE)</f>
        <v>4117.3753234243895</v>
      </c>
      <c r="K401">
        <f t="shared" si="13"/>
        <v>0</v>
      </c>
      <c r="L401" s="3" cm="1">
        <f t="array" ref="L401">IF($C401=0,INDEX('24&amp;25'!$L:$L,MATCH($D401&amp;$B401&amp;$E401,'24&amp;25'!$B:$B&amp;'24&amp;25'!$A:$A&amp;'24&amp;25'!$C:$C,0)),INDEX('24&amp;25'!$M:$M,MATCH($D401&amp;$B401&amp;$E401,'24&amp;25'!$B:$B&amp;'24&amp;25'!$A:$A&amp;'24&amp;25'!$C:$C,0)))</f>
        <v>0</v>
      </c>
      <c r="M401">
        <f>L401/VLOOKUP($D401,CPI!$P$16:$R$22,3,FALSE)</f>
        <v>0</v>
      </c>
    </row>
    <row r="402" spans="1:13" ht="16" thickBot="1" x14ac:dyDescent="0.25">
      <c r="A402" s="7">
        <v>2</v>
      </c>
      <c r="B402">
        <f>IF(ISBLANK(G402),"",VLOOKUP(H402,code!B:C,2,FALSE))</f>
        <v>18</v>
      </c>
      <c r="C402">
        <f t="shared" si="12"/>
        <v>1</v>
      </c>
      <c r="D402">
        <v>2018</v>
      </c>
      <c r="E402">
        <v>163268</v>
      </c>
      <c r="F402" t="s">
        <v>136</v>
      </c>
      <c r="G402" t="s">
        <v>285</v>
      </c>
      <c r="H402" t="s">
        <v>26</v>
      </c>
      <c r="I402">
        <v>7291</v>
      </c>
      <c r="J402">
        <f>I402/VLOOKUP($D402,CPI!$P$16:$R$22,3,FALSE)</f>
        <v>8806.0379827184588</v>
      </c>
      <c r="K402">
        <f t="shared" si="13"/>
        <v>0</v>
      </c>
      <c r="L402" s="3" cm="1">
        <f t="array" ref="L402">IF($C402=0,INDEX('24&amp;25'!$L:$L,MATCH($D402&amp;$B402&amp;$E402,'24&amp;25'!$B:$B&amp;'24&amp;25'!$A:$A&amp;'24&amp;25'!$C:$C,0)),INDEX('24&amp;25'!$M:$M,MATCH($D402&amp;$B402&amp;$E402,'24&amp;25'!$B:$B&amp;'24&amp;25'!$A:$A&amp;'24&amp;25'!$C:$C,0)))</f>
        <v>0</v>
      </c>
      <c r="M402">
        <f>L402/VLOOKUP($D402,CPI!$P$16:$R$22,3,FALSE)</f>
        <v>0</v>
      </c>
    </row>
    <row r="403" spans="1:13" ht="16" thickBot="1" x14ac:dyDescent="0.25">
      <c r="A403" s="7">
        <v>2</v>
      </c>
      <c r="B403">
        <f>IF(ISBLANK(G403),"",VLOOKUP(H403,code!B:C,2,FALSE))</f>
        <v>19</v>
      </c>
      <c r="C403">
        <f t="shared" si="12"/>
        <v>1</v>
      </c>
      <c r="D403">
        <v>2018</v>
      </c>
      <c r="E403">
        <v>163268</v>
      </c>
      <c r="F403" t="s">
        <v>136</v>
      </c>
      <c r="G403" t="s">
        <v>285</v>
      </c>
      <c r="H403" t="s">
        <v>27</v>
      </c>
      <c r="I403">
        <v>18050</v>
      </c>
      <c r="J403">
        <f>I403/VLOOKUP($D403,CPI!$P$16:$R$22,3,FALSE)</f>
        <v>21800.711231390505</v>
      </c>
      <c r="K403">
        <f t="shared" si="13"/>
        <v>0</v>
      </c>
      <c r="L403" s="3" cm="1">
        <f t="array" ref="L403">IF($C403=0,INDEX('24&amp;25'!$L:$L,MATCH($D403&amp;$B403&amp;$E403,'24&amp;25'!$B:$B&amp;'24&amp;25'!$A:$A&amp;'24&amp;25'!$C:$C,0)),INDEX('24&amp;25'!$M:$M,MATCH($D403&amp;$B403&amp;$E403,'24&amp;25'!$B:$B&amp;'24&amp;25'!$A:$A&amp;'24&amp;25'!$C:$C,0)))</f>
        <v>0</v>
      </c>
      <c r="M403">
        <f>L403/VLOOKUP($D403,CPI!$P$16:$R$22,3,FALSE)</f>
        <v>0</v>
      </c>
    </row>
    <row r="404" spans="1:13" ht="16" thickBot="1" x14ac:dyDescent="0.25">
      <c r="A404" s="7">
        <v>2</v>
      </c>
      <c r="B404">
        <f>IF(ISBLANK(G404),"",VLOOKUP(H404,code!B:C,2,FALSE))</f>
        <v>21</v>
      </c>
      <c r="C404">
        <f t="shared" si="12"/>
        <v>1</v>
      </c>
      <c r="D404">
        <v>2018</v>
      </c>
      <c r="E404">
        <v>163268</v>
      </c>
      <c r="F404" t="s">
        <v>136</v>
      </c>
      <c r="G404" t="s">
        <v>285</v>
      </c>
      <c r="H404" t="s">
        <v>30</v>
      </c>
      <c r="I404">
        <v>150</v>
      </c>
      <c r="J404">
        <f>I404/VLOOKUP($D404,CPI!$P$16:$R$22,3,FALSE)</f>
        <v>181.16934541321751</v>
      </c>
      <c r="K404">
        <f t="shared" si="13"/>
        <v>0</v>
      </c>
      <c r="L404" s="3" cm="1">
        <f t="array" ref="L404">IF($C404=0,INDEX('24&amp;25'!$L:$L,MATCH($D404&amp;$B404&amp;$E404,'24&amp;25'!$B:$B&amp;'24&amp;25'!$A:$A&amp;'24&amp;25'!$C:$C,0)),INDEX('24&amp;25'!$M:$M,MATCH($D404&amp;$B404&amp;$E404,'24&amp;25'!$B:$B&amp;'24&amp;25'!$A:$A&amp;'24&amp;25'!$C:$C,0)))</f>
        <v>0</v>
      </c>
      <c r="M404">
        <f>L404/VLOOKUP($D404,CPI!$P$16:$R$22,3,FALSE)</f>
        <v>0</v>
      </c>
    </row>
    <row r="405" spans="1:13" ht="16" thickBot="1" x14ac:dyDescent="0.25">
      <c r="A405" s="7">
        <v>2</v>
      </c>
      <c r="B405">
        <f>IF(ISBLANK(G405),"",VLOOKUP(H405,code!B:C,2,FALSE))</f>
        <v>23</v>
      </c>
      <c r="C405">
        <f t="shared" si="12"/>
        <v>1</v>
      </c>
      <c r="D405">
        <v>2018</v>
      </c>
      <c r="E405">
        <v>163268</v>
      </c>
      <c r="F405" t="s">
        <v>136</v>
      </c>
      <c r="G405" t="s">
        <v>285</v>
      </c>
      <c r="H405" t="s">
        <v>33</v>
      </c>
      <c r="I405">
        <v>12630</v>
      </c>
      <c r="J405">
        <f>I405/VLOOKUP($D405,CPI!$P$16:$R$22,3,FALSE)</f>
        <v>15254.458883792915</v>
      </c>
      <c r="K405">
        <f t="shared" si="13"/>
        <v>0</v>
      </c>
      <c r="L405" s="3" cm="1">
        <f t="array" ref="L405">IF($C405=0,INDEX('24&amp;25'!$L:$L,MATCH($D405&amp;$B405&amp;$E405,'24&amp;25'!$B:$B&amp;'24&amp;25'!$A:$A&amp;'24&amp;25'!$C:$C,0)),INDEX('24&amp;25'!$M:$M,MATCH($D405&amp;$B405&amp;$E405,'24&amp;25'!$B:$B&amp;'24&amp;25'!$A:$A&amp;'24&amp;25'!$C:$C,0)))</f>
        <v>0</v>
      </c>
      <c r="M405">
        <f>L405/VLOOKUP($D405,CPI!$P$16:$R$22,3,FALSE)</f>
        <v>0</v>
      </c>
    </row>
    <row r="406" spans="1:13" ht="16" thickBot="1" x14ac:dyDescent="0.25">
      <c r="A406" s="7">
        <v>2</v>
      </c>
      <c r="B406">
        <f>IF(ISBLANK(G406),"",VLOOKUP(H406,code!B:C,2,FALSE))</f>
        <v>1</v>
      </c>
      <c r="C406">
        <f t="shared" si="12"/>
        <v>0</v>
      </c>
      <c r="D406">
        <v>2019</v>
      </c>
      <c r="E406">
        <v>163268</v>
      </c>
      <c r="F406" t="s">
        <v>136</v>
      </c>
      <c r="G406" t="s">
        <v>284</v>
      </c>
      <c r="H406" t="s">
        <v>9</v>
      </c>
      <c r="I406">
        <v>17400</v>
      </c>
      <c r="J406">
        <f>I406/VLOOKUP($D406,CPI!$P$16:$R$22,3,FALSE)</f>
        <v>20588.931114607622</v>
      </c>
      <c r="K406">
        <f t="shared" si="13"/>
        <v>0</v>
      </c>
      <c r="L406" s="3" cm="1">
        <f t="array" ref="L406">IF($C406=0,INDEX('24&amp;25'!$L:$L,MATCH($D406&amp;$B406&amp;$E406,'24&amp;25'!$B:$B&amp;'24&amp;25'!$A:$A&amp;'24&amp;25'!$C:$C,0)),INDEX('24&amp;25'!$M:$M,MATCH($D406&amp;$B406&amp;$E406,'24&amp;25'!$B:$B&amp;'24&amp;25'!$A:$A&amp;'24&amp;25'!$C:$C,0)))</f>
        <v>0</v>
      </c>
      <c r="M406">
        <f>L406/VLOOKUP($D406,CPI!$P$16:$R$22,3,FALSE)</f>
        <v>0</v>
      </c>
    </row>
    <row r="407" spans="1:13" ht="16" thickBot="1" x14ac:dyDescent="0.25">
      <c r="A407" s="7">
        <v>2</v>
      </c>
      <c r="B407">
        <f>IF(ISBLANK(G407),"",VLOOKUP(H407,code!B:C,2,FALSE))</f>
        <v>2</v>
      </c>
      <c r="C407">
        <f t="shared" si="12"/>
        <v>0</v>
      </c>
      <c r="D407">
        <v>2019</v>
      </c>
      <c r="E407">
        <v>163268</v>
      </c>
      <c r="F407" t="s">
        <v>136</v>
      </c>
      <c r="G407" t="s">
        <v>284</v>
      </c>
      <c r="H407" t="s">
        <v>10</v>
      </c>
      <c r="I407">
        <v>296222</v>
      </c>
      <c r="J407">
        <f>I407/VLOOKUP($D407,CPI!$P$16:$R$22,3,FALSE)</f>
        <v>350511.16969145392</v>
      </c>
      <c r="K407">
        <f t="shared" si="13"/>
        <v>0</v>
      </c>
      <c r="L407" s="3" cm="1">
        <f t="array" ref="L407">IF($C407=0,INDEX('24&amp;25'!$L:$L,MATCH($D407&amp;$B407&amp;$E407,'24&amp;25'!$B:$B&amp;'24&amp;25'!$A:$A&amp;'24&amp;25'!$C:$C,0)),INDEX('24&amp;25'!$M:$M,MATCH($D407&amp;$B407&amp;$E407,'24&amp;25'!$B:$B&amp;'24&amp;25'!$A:$A&amp;'24&amp;25'!$C:$C,0)))</f>
        <v>64576</v>
      </c>
      <c r="M407">
        <f>L407/VLOOKUP($D407,CPI!$P$16:$R$22,3,FALSE)</f>
        <v>76410.966417063319</v>
      </c>
    </row>
    <row r="408" spans="1:13" ht="16" thickBot="1" x14ac:dyDescent="0.25">
      <c r="A408" s="7">
        <v>2</v>
      </c>
      <c r="B408">
        <f>IF(ISBLANK(G408),"",VLOOKUP(H408,code!B:C,2,FALSE))</f>
        <v>12</v>
      </c>
      <c r="C408">
        <f t="shared" si="12"/>
        <v>0</v>
      </c>
      <c r="D408">
        <v>2019</v>
      </c>
      <c r="E408">
        <v>163268</v>
      </c>
      <c r="F408" t="s">
        <v>136</v>
      </c>
      <c r="G408" t="s">
        <v>284</v>
      </c>
      <c r="H408" t="s">
        <v>20</v>
      </c>
      <c r="I408">
        <v>10230</v>
      </c>
      <c r="J408">
        <f>I408/VLOOKUP($D408,CPI!$P$16:$R$22,3,FALSE)</f>
        <v>12104.871569105515</v>
      </c>
      <c r="K408">
        <f t="shared" si="13"/>
        <v>0</v>
      </c>
      <c r="L408" s="3" cm="1">
        <f t="array" ref="L408">IF($C408=0,INDEX('24&amp;25'!$L:$L,MATCH($D408&amp;$B408&amp;$E408,'24&amp;25'!$B:$B&amp;'24&amp;25'!$A:$A&amp;'24&amp;25'!$C:$C,0)),INDEX('24&amp;25'!$M:$M,MATCH($D408&amp;$B408&amp;$E408,'24&amp;25'!$B:$B&amp;'24&amp;25'!$A:$A&amp;'24&amp;25'!$C:$C,0)))</f>
        <v>0</v>
      </c>
      <c r="M408">
        <f>L408/VLOOKUP($D408,CPI!$P$16:$R$22,3,FALSE)</f>
        <v>0</v>
      </c>
    </row>
    <row r="409" spans="1:13" ht="16" thickBot="1" x14ac:dyDescent="0.25">
      <c r="A409" s="7">
        <v>2</v>
      </c>
      <c r="B409">
        <f>IF(ISBLANK(G409),"",VLOOKUP(H409,code!B:C,2,FALSE))</f>
        <v>17</v>
      </c>
      <c r="C409">
        <f t="shared" si="12"/>
        <v>0</v>
      </c>
      <c r="D409">
        <v>2019</v>
      </c>
      <c r="E409">
        <v>163268</v>
      </c>
      <c r="F409" t="s">
        <v>136</v>
      </c>
      <c r="G409" t="s">
        <v>284</v>
      </c>
      <c r="H409" t="s">
        <v>25</v>
      </c>
      <c r="I409">
        <v>8300</v>
      </c>
      <c r="J409">
        <f>I409/VLOOKUP($D409,CPI!$P$16:$R$22,3,FALSE)</f>
        <v>9821.1567960484626</v>
      </c>
      <c r="K409">
        <f t="shared" si="13"/>
        <v>0</v>
      </c>
      <c r="L409" s="3" cm="1">
        <f t="array" ref="L409">IF($C409=0,INDEX('24&amp;25'!$L:$L,MATCH($D409&amp;$B409&amp;$E409,'24&amp;25'!$B:$B&amp;'24&amp;25'!$A:$A&amp;'24&amp;25'!$C:$C,0)),INDEX('24&amp;25'!$M:$M,MATCH($D409&amp;$B409&amp;$E409,'24&amp;25'!$B:$B&amp;'24&amp;25'!$A:$A&amp;'24&amp;25'!$C:$C,0)))</f>
        <v>0</v>
      </c>
      <c r="M409">
        <f>L409/VLOOKUP($D409,CPI!$P$16:$R$22,3,FALSE)</f>
        <v>0</v>
      </c>
    </row>
    <row r="410" spans="1:13" ht="16" thickBot="1" x14ac:dyDescent="0.25">
      <c r="A410" s="7">
        <v>2</v>
      </c>
      <c r="B410">
        <f>IF(ISBLANK(G410),"",VLOOKUP(H410,code!B:C,2,FALSE))</f>
        <v>19</v>
      </c>
      <c r="C410">
        <f t="shared" si="12"/>
        <v>0</v>
      </c>
      <c r="D410">
        <v>2019</v>
      </c>
      <c r="E410">
        <v>163268</v>
      </c>
      <c r="F410" t="s">
        <v>136</v>
      </c>
      <c r="G410" t="s">
        <v>284</v>
      </c>
      <c r="H410" t="s">
        <v>27</v>
      </c>
      <c r="I410">
        <v>17157</v>
      </c>
      <c r="J410">
        <f>I410/VLOOKUP($D410,CPI!$P$16:$R$22,3,FALSE)</f>
        <v>20301.396042144996</v>
      </c>
      <c r="K410">
        <f t="shared" si="13"/>
        <v>0</v>
      </c>
      <c r="L410" s="3" cm="1">
        <f t="array" ref="L410">IF($C410=0,INDEX('24&amp;25'!$L:$L,MATCH($D410&amp;$B410&amp;$E410,'24&amp;25'!$B:$B&amp;'24&amp;25'!$A:$A&amp;'24&amp;25'!$C:$C,0)),INDEX('24&amp;25'!$M:$M,MATCH($D410&amp;$B410&amp;$E410,'24&amp;25'!$B:$B&amp;'24&amp;25'!$A:$A&amp;'24&amp;25'!$C:$C,0)))</f>
        <v>0</v>
      </c>
      <c r="M410">
        <f>L410/VLOOKUP($D410,CPI!$P$16:$R$22,3,FALSE)</f>
        <v>0</v>
      </c>
    </row>
    <row r="411" spans="1:13" ht="16" thickBot="1" x14ac:dyDescent="0.25">
      <c r="A411" s="7">
        <v>2</v>
      </c>
      <c r="B411">
        <f>IF(ISBLANK(G411),"",VLOOKUP(H411,code!B:C,2,FALSE))</f>
        <v>21</v>
      </c>
      <c r="C411">
        <f t="shared" si="12"/>
        <v>0</v>
      </c>
      <c r="D411">
        <v>2019</v>
      </c>
      <c r="E411">
        <v>163268</v>
      </c>
      <c r="F411" t="s">
        <v>136</v>
      </c>
      <c r="G411" t="s">
        <v>284</v>
      </c>
      <c r="H411" t="s">
        <v>30</v>
      </c>
      <c r="I411">
        <v>250</v>
      </c>
      <c r="J411">
        <f>I411/VLOOKUP($D411,CPI!$P$16:$R$22,3,FALSE)</f>
        <v>295.81797578459225</v>
      </c>
      <c r="K411">
        <f t="shared" si="13"/>
        <v>0</v>
      </c>
      <c r="L411" s="3" cm="1">
        <f t="array" ref="L411">IF($C411=0,INDEX('24&amp;25'!$L:$L,MATCH($D411&amp;$B411&amp;$E411,'24&amp;25'!$B:$B&amp;'24&amp;25'!$A:$A&amp;'24&amp;25'!$C:$C,0)),INDEX('24&amp;25'!$M:$M,MATCH($D411&amp;$B411&amp;$E411,'24&amp;25'!$B:$B&amp;'24&amp;25'!$A:$A&amp;'24&amp;25'!$C:$C,0)))</f>
        <v>0</v>
      </c>
      <c r="M411">
        <f>L411/VLOOKUP($D411,CPI!$P$16:$R$22,3,FALSE)</f>
        <v>0</v>
      </c>
    </row>
    <row r="412" spans="1:13" ht="16" thickBot="1" x14ac:dyDescent="0.25">
      <c r="A412" s="7">
        <v>2</v>
      </c>
      <c r="B412">
        <f>IF(ISBLANK(G412),"",VLOOKUP(H412,code!B:C,2,FALSE))</f>
        <v>2</v>
      </c>
      <c r="C412">
        <f t="shared" si="12"/>
        <v>1</v>
      </c>
      <c r="D412">
        <v>2019</v>
      </c>
      <c r="E412">
        <v>163268</v>
      </c>
      <c r="F412" t="s">
        <v>136</v>
      </c>
      <c r="G412" t="s">
        <v>285</v>
      </c>
      <c r="H412" t="s">
        <v>10</v>
      </c>
      <c r="I412">
        <v>37000</v>
      </c>
      <c r="J412">
        <f>I412/VLOOKUP($D412,CPI!$P$16:$R$22,3,FALSE)</f>
        <v>43781.060416119653</v>
      </c>
      <c r="K412">
        <f t="shared" si="13"/>
        <v>0</v>
      </c>
      <c r="L412" s="3" cm="1">
        <f t="array" ref="L412">IF($C412=0,INDEX('24&amp;25'!$L:$L,MATCH($D412&amp;$B412&amp;$E412,'24&amp;25'!$B:$B&amp;'24&amp;25'!$A:$A&amp;'24&amp;25'!$C:$C,0)),INDEX('24&amp;25'!$M:$M,MATCH($D412&amp;$B412&amp;$E412,'24&amp;25'!$B:$B&amp;'24&amp;25'!$A:$A&amp;'24&amp;25'!$C:$C,0)))</f>
        <v>0</v>
      </c>
      <c r="M412">
        <f>L412/VLOOKUP($D412,CPI!$P$16:$R$22,3,FALSE)</f>
        <v>0</v>
      </c>
    </row>
    <row r="413" spans="1:13" ht="16" thickBot="1" x14ac:dyDescent="0.25">
      <c r="A413" s="7">
        <v>2</v>
      </c>
      <c r="B413">
        <f>IF(ISBLANK(G413),"",VLOOKUP(H413,code!B:C,2,FALSE))</f>
        <v>12</v>
      </c>
      <c r="C413">
        <f t="shared" si="12"/>
        <v>1</v>
      </c>
      <c r="D413">
        <v>2019</v>
      </c>
      <c r="E413">
        <v>163268</v>
      </c>
      <c r="F413" t="s">
        <v>136</v>
      </c>
      <c r="G413" t="s">
        <v>285</v>
      </c>
      <c r="H413" t="s">
        <v>20</v>
      </c>
      <c r="I413">
        <v>17900</v>
      </c>
      <c r="J413">
        <f>I413/VLOOKUP($D413,CPI!$P$16:$R$22,3,FALSE)</f>
        <v>21180.567066176805</v>
      </c>
      <c r="K413">
        <f t="shared" si="13"/>
        <v>0</v>
      </c>
      <c r="L413" s="3" cm="1">
        <f t="array" ref="L413">IF($C413=0,INDEX('24&amp;25'!$L:$L,MATCH($D413&amp;$B413&amp;$E413,'24&amp;25'!$B:$B&amp;'24&amp;25'!$A:$A&amp;'24&amp;25'!$C:$C,0)),INDEX('24&amp;25'!$M:$M,MATCH($D413&amp;$B413&amp;$E413,'24&amp;25'!$B:$B&amp;'24&amp;25'!$A:$A&amp;'24&amp;25'!$C:$C,0)))</f>
        <v>0</v>
      </c>
      <c r="M413">
        <f>L413/VLOOKUP($D413,CPI!$P$16:$R$22,3,FALSE)</f>
        <v>0</v>
      </c>
    </row>
    <row r="414" spans="1:13" ht="16" thickBot="1" x14ac:dyDescent="0.25">
      <c r="A414" s="7">
        <v>2</v>
      </c>
      <c r="B414">
        <f>IF(ISBLANK(G414),"",VLOOKUP(H414,code!B:C,2,FALSE))</f>
        <v>17</v>
      </c>
      <c r="C414">
        <f t="shared" si="12"/>
        <v>1</v>
      </c>
      <c r="D414">
        <v>2019</v>
      </c>
      <c r="E414">
        <v>163268</v>
      </c>
      <c r="F414" t="s">
        <v>136</v>
      </c>
      <c r="G414" t="s">
        <v>285</v>
      </c>
      <c r="H414" t="s">
        <v>25</v>
      </c>
      <c r="I414">
        <v>0</v>
      </c>
      <c r="J414">
        <f>I414/VLOOKUP($D414,CPI!$P$16:$R$22,3,FALSE)</f>
        <v>0</v>
      </c>
      <c r="K414">
        <f t="shared" si="13"/>
        <v>0</v>
      </c>
      <c r="L414" s="3" cm="1">
        <f t="array" ref="L414">IF($C414=0,INDEX('24&amp;25'!$L:$L,MATCH($D414&amp;$B414&amp;$E414,'24&amp;25'!$B:$B&amp;'24&amp;25'!$A:$A&amp;'24&amp;25'!$C:$C,0)),INDEX('24&amp;25'!$M:$M,MATCH($D414&amp;$B414&amp;$E414,'24&amp;25'!$B:$B&amp;'24&amp;25'!$A:$A&amp;'24&amp;25'!$C:$C,0)))</f>
        <v>0</v>
      </c>
      <c r="M414">
        <f>L414/VLOOKUP($D414,CPI!$P$16:$R$22,3,FALSE)</f>
        <v>0</v>
      </c>
    </row>
    <row r="415" spans="1:13" ht="16" thickBot="1" x14ac:dyDescent="0.25">
      <c r="A415" s="7">
        <v>2</v>
      </c>
      <c r="B415">
        <f>IF(ISBLANK(G415),"",VLOOKUP(H415,code!B:C,2,FALSE))</f>
        <v>18</v>
      </c>
      <c r="C415">
        <f t="shared" si="12"/>
        <v>1</v>
      </c>
      <c r="D415">
        <v>2019</v>
      </c>
      <c r="E415">
        <v>163268</v>
      </c>
      <c r="F415" t="s">
        <v>136</v>
      </c>
      <c r="G415" t="s">
        <v>285</v>
      </c>
      <c r="H415" t="s">
        <v>26</v>
      </c>
      <c r="I415">
        <v>4267</v>
      </c>
      <c r="J415">
        <f>I415/VLOOKUP($D415,CPI!$P$16:$R$22,3,FALSE)</f>
        <v>5049.0212106914205</v>
      </c>
      <c r="K415">
        <f t="shared" si="13"/>
        <v>0</v>
      </c>
      <c r="L415" s="3" cm="1">
        <f t="array" ref="L415">IF($C415=0,INDEX('24&amp;25'!$L:$L,MATCH($D415&amp;$B415&amp;$E415,'24&amp;25'!$B:$B&amp;'24&amp;25'!$A:$A&amp;'24&amp;25'!$C:$C,0)),INDEX('24&amp;25'!$M:$M,MATCH($D415&amp;$B415&amp;$E415,'24&amp;25'!$B:$B&amp;'24&amp;25'!$A:$A&amp;'24&amp;25'!$C:$C,0)))</f>
        <v>0</v>
      </c>
      <c r="M415">
        <f>L415/VLOOKUP($D415,CPI!$P$16:$R$22,3,FALSE)</f>
        <v>0</v>
      </c>
    </row>
    <row r="416" spans="1:13" ht="16" thickBot="1" x14ac:dyDescent="0.25">
      <c r="A416" s="7">
        <v>2</v>
      </c>
      <c r="B416">
        <f>IF(ISBLANK(G416),"",VLOOKUP(H416,code!B:C,2,FALSE))</f>
        <v>19</v>
      </c>
      <c r="C416">
        <f t="shared" si="12"/>
        <v>1</v>
      </c>
      <c r="D416">
        <v>2019</v>
      </c>
      <c r="E416">
        <v>163268</v>
      </c>
      <c r="F416" t="s">
        <v>136</v>
      </c>
      <c r="G416" t="s">
        <v>285</v>
      </c>
      <c r="H416" t="s">
        <v>27</v>
      </c>
      <c r="I416">
        <v>17157</v>
      </c>
      <c r="J416">
        <f>I416/VLOOKUP($D416,CPI!$P$16:$R$22,3,FALSE)</f>
        <v>20301.396042144996</v>
      </c>
      <c r="K416">
        <f t="shared" si="13"/>
        <v>0</v>
      </c>
      <c r="L416" s="3" cm="1">
        <f t="array" ref="L416">IF($C416=0,INDEX('24&amp;25'!$L:$L,MATCH($D416&amp;$B416&amp;$E416,'24&amp;25'!$B:$B&amp;'24&amp;25'!$A:$A&amp;'24&amp;25'!$C:$C,0)),INDEX('24&amp;25'!$M:$M,MATCH($D416&amp;$B416&amp;$E416,'24&amp;25'!$B:$B&amp;'24&amp;25'!$A:$A&amp;'24&amp;25'!$C:$C,0)))</f>
        <v>0</v>
      </c>
      <c r="M416">
        <f>L416/VLOOKUP($D416,CPI!$P$16:$R$22,3,FALSE)</f>
        <v>0</v>
      </c>
    </row>
    <row r="417" spans="1:13" ht="16" thickBot="1" x14ac:dyDescent="0.25">
      <c r="A417" s="7">
        <v>2</v>
      </c>
      <c r="B417">
        <f>IF(ISBLANK(G417),"",VLOOKUP(H417,code!B:C,2,FALSE))</f>
        <v>21</v>
      </c>
      <c r="C417">
        <f t="shared" si="12"/>
        <v>1</v>
      </c>
      <c r="D417">
        <v>2019</v>
      </c>
      <c r="E417">
        <v>163268</v>
      </c>
      <c r="F417" t="s">
        <v>136</v>
      </c>
      <c r="G417" t="s">
        <v>285</v>
      </c>
      <c r="H417" t="s">
        <v>30</v>
      </c>
      <c r="I417">
        <v>250</v>
      </c>
      <c r="J417">
        <f>I417/VLOOKUP($D417,CPI!$P$16:$R$22,3,FALSE)</f>
        <v>295.81797578459225</v>
      </c>
      <c r="K417">
        <f t="shared" si="13"/>
        <v>0</v>
      </c>
      <c r="L417" s="3" cm="1">
        <f t="array" ref="L417">IF($C417=0,INDEX('24&amp;25'!$L:$L,MATCH($D417&amp;$B417&amp;$E417,'24&amp;25'!$B:$B&amp;'24&amp;25'!$A:$A&amp;'24&amp;25'!$C:$C,0)),INDEX('24&amp;25'!$M:$M,MATCH($D417&amp;$B417&amp;$E417,'24&amp;25'!$B:$B&amp;'24&amp;25'!$A:$A&amp;'24&amp;25'!$C:$C,0)))</f>
        <v>0</v>
      </c>
      <c r="M417">
        <f>L417/VLOOKUP($D417,CPI!$P$16:$R$22,3,FALSE)</f>
        <v>0</v>
      </c>
    </row>
    <row r="418" spans="1:13" ht="16" thickBot="1" x14ac:dyDescent="0.25">
      <c r="A418" s="7">
        <v>2</v>
      </c>
      <c r="B418">
        <f>IF(ISBLANK(G418),"",VLOOKUP(H418,code!B:C,2,FALSE))</f>
        <v>23</v>
      </c>
      <c r="C418">
        <f t="shared" si="12"/>
        <v>1</v>
      </c>
      <c r="D418">
        <v>2019</v>
      </c>
      <c r="E418">
        <v>163268</v>
      </c>
      <c r="F418" t="s">
        <v>136</v>
      </c>
      <c r="G418" t="s">
        <v>285</v>
      </c>
      <c r="H418" t="s">
        <v>33</v>
      </c>
      <c r="I418">
        <v>0</v>
      </c>
      <c r="J418">
        <f>I418/VLOOKUP($D418,CPI!$P$16:$R$22,3,FALSE)</f>
        <v>0</v>
      </c>
      <c r="K418">
        <f t="shared" si="13"/>
        <v>0</v>
      </c>
      <c r="L418" s="3" cm="1">
        <f t="array" ref="L418">IF($C418=0,INDEX('24&amp;25'!$L:$L,MATCH($D418&amp;$B418&amp;$E418,'24&amp;25'!$B:$B&amp;'24&amp;25'!$A:$A&amp;'24&amp;25'!$C:$C,0)),INDEX('24&amp;25'!$M:$M,MATCH($D418&amp;$B418&amp;$E418,'24&amp;25'!$B:$B&amp;'24&amp;25'!$A:$A&amp;'24&amp;25'!$C:$C,0)))</f>
        <v>0</v>
      </c>
      <c r="M418">
        <f>L418/VLOOKUP($D418,CPI!$P$16:$R$22,3,FALSE)</f>
        <v>0</v>
      </c>
    </row>
    <row r="419" spans="1:13" ht="16" thickBot="1" x14ac:dyDescent="0.25">
      <c r="A419" s="7">
        <v>2</v>
      </c>
      <c r="B419">
        <f>IF(ISBLANK(G419),"",VLOOKUP(H419,code!B:C,2,FALSE))</f>
        <v>1</v>
      </c>
      <c r="C419">
        <f t="shared" si="12"/>
        <v>0</v>
      </c>
      <c r="D419">
        <v>2020</v>
      </c>
      <c r="E419">
        <v>163268</v>
      </c>
      <c r="F419" t="s">
        <v>136</v>
      </c>
      <c r="G419" t="s">
        <v>284</v>
      </c>
      <c r="H419" t="s">
        <v>9</v>
      </c>
      <c r="I419">
        <v>7500</v>
      </c>
      <c r="J419">
        <f>I419/VLOOKUP($D419,CPI!$P$16:$R$22,3,FALSE)</f>
        <v>8737.8659176612382</v>
      </c>
      <c r="K419">
        <f t="shared" si="13"/>
        <v>0</v>
      </c>
      <c r="L419" s="3" cm="1">
        <f t="array" ref="L419">IF($C419=0,INDEX('24&amp;25'!$L:$L,MATCH($D419&amp;$B419&amp;$E419,'24&amp;25'!$B:$B&amp;'24&amp;25'!$A:$A&amp;'24&amp;25'!$C:$C,0)),INDEX('24&amp;25'!$M:$M,MATCH($D419&amp;$B419&amp;$E419,'24&amp;25'!$B:$B&amp;'24&amp;25'!$A:$A&amp;'24&amp;25'!$C:$C,0)))</f>
        <v>0</v>
      </c>
      <c r="M419">
        <f>L419/VLOOKUP($D419,CPI!$P$16:$R$22,3,FALSE)</f>
        <v>0</v>
      </c>
    </row>
    <row r="420" spans="1:13" ht="16" thickBot="1" x14ac:dyDescent="0.25">
      <c r="A420" s="7">
        <v>2</v>
      </c>
      <c r="B420">
        <f>IF(ISBLANK(G420),"",VLOOKUP(H420,code!B:C,2,FALSE))</f>
        <v>2</v>
      </c>
      <c r="C420">
        <f t="shared" si="12"/>
        <v>0</v>
      </c>
      <c r="D420">
        <v>2020</v>
      </c>
      <c r="E420">
        <v>163268</v>
      </c>
      <c r="F420" t="s">
        <v>136</v>
      </c>
      <c r="G420" t="s">
        <v>284</v>
      </c>
      <c r="H420" t="s">
        <v>10</v>
      </c>
      <c r="I420">
        <v>331818</v>
      </c>
      <c r="J420">
        <f>I420/VLOOKUP($D420,CPI!$P$16:$R$22,3,FALSE)</f>
        <v>386584.15907553554</v>
      </c>
      <c r="K420">
        <f t="shared" si="13"/>
        <v>0</v>
      </c>
      <c r="L420" s="3" cm="1">
        <f t="array" ref="L420">IF($C420=0,INDEX('24&amp;25'!$L:$L,MATCH($D420&amp;$B420&amp;$E420,'24&amp;25'!$B:$B&amp;'24&amp;25'!$A:$A&amp;'24&amp;25'!$C:$C,0)),INDEX('24&amp;25'!$M:$M,MATCH($D420&amp;$B420&amp;$E420,'24&amp;25'!$B:$B&amp;'24&amp;25'!$A:$A&amp;'24&amp;25'!$C:$C,0)))</f>
        <v>71246</v>
      </c>
      <c r="M420">
        <f>L420/VLOOKUP($D420,CPI!$P$16:$R$22,3,FALSE)</f>
        <v>83005.066022625673</v>
      </c>
    </row>
    <row r="421" spans="1:13" ht="16" thickBot="1" x14ac:dyDescent="0.25">
      <c r="A421" s="7">
        <v>2</v>
      </c>
      <c r="B421">
        <f>IF(ISBLANK(G421),"",VLOOKUP(H421,code!B:C,2,FALSE))</f>
        <v>12</v>
      </c>
      <c r="C421">
        <f t="shared" si="12"/>
        <v>0</v>
      </c>
      <c r="D421">
        <v>2020</v>
      </c>
      <c r="E421">
        <v>163268</v>
      </c>
      <c r="F421" t="s">
        <v>136</v>
      </c>
      <c r="G421" t="s">
        <v>284</v>
      </c>
      <c r="H421" t="s">
        <v>20</v>
      </c>
      <c r="I421">
        <v>17896</v>
      </c>
      <c r="J421">
        <f>I421/VLOOKUP($D421,CPI!$P$16:$R$22,3,FALSE)</f>
        <v>20849.713128328734</v>
      </c>
      <c r="K421">
        <f t="shared" si="13"/>
        <v>0</v>
      </c>
      <c r="L421" s="3" cm="1">
        <f t="array" ref="L421">IF($C421=0,INDEX('24&amp;25'!$L:$L,MATCH($D421&amp;$B421&amp;$E421,'24&amp;25'!$B:$B&amp;'24&amp;25'!$A:$A&amp;'24&amp;25'!$C:$C,0)),INDEX('24&amp;25'!$M:$M,MATCH($D421&amp;$B421&amp;$E421,'24&amp;25'!$B:$B&amp;'24&amp;25'!$A:$A&amp;'24&amp;25'!$C:$C,0)))</f>
        <v>0</v>
      </c>
      <c r="M421">
        <f>L421/VLOOKUP($D421,CPI!$P$16:$R$22,3,FALSE)</f>
        <v>0</v>
      </c>
    </row>
    <row r="422" spans="1:13" ht="16" thickBot="1" x14ac:dyDescent="0.25">
      <c r="A422" s="7">
        <v>2</v>
      </c>
      <c r="B422">
        <f>IF(ISBLANK(G422),"",VLOOKUP(H422,code!B:C,2,FALSE))</f>
        <v>17</v>
      </c>
      <c r="C422">
        <f t="shared" si="12"/>
        <v>0</v>
      </c>
      <c r="D422">
        <v>2020</v>
      </c>
      <c r="E422">
        <v>163268</v>
      </c>
      <c r="F422" t="s">
        <v>136</v>
      </c>
      <c r="G422" t="s">
        <v>284</v>
      </c>
      <c r="H422" t="s">
        <v>25</v>
      </c>
      <c r="I422">
        <v>37184</v>
      </c>
      <c r="J422">
        <f>I422/VLOOKUP($D422,CPI!$P$16:$R$22,3,FALSE)</f>
        <v>43321.174170975391</v>
      </c>
      <c r="K422">
        <f t="shared" si="13"/>
        <v>0</v>
      </c>
      <c r="L422" s="3" cm="1">
        <f t="array" ref="L422">IF($C422=0,INDEX('24&amp;25'!$L:$L,MATCH($D422&amp;$B422&amp;$E422,'24&amp;25'!$B:$B&amp;'24&amp;25'!$A:$A&amp;'24&amp;25'!$C:$C,0)),INDEX('24&amp;25'!$M:$M,MATCH($D422&amp;$B422&amp;$E422,'24&amp;25'!$B:$B&amp;'24&amp;25'!$A:$A&amp;'24&amp;25'!$C:$C,0)))</f>
        <v>0</v>
      </c>
      <c r="M422">
        <f>L422/VLOOKUP($D422,CPI!$P$16:$R$22,3,FALSE)</f>
        <v>0</v>
      </c>
    </row>
    <row r="423" spans="1:13" ht="16" thickBot="1" x14ac:dyDescent="0.25">
      <c r="A423" s="7">
        <v>2</v>
      </c>
      <c r="B423">
        <f>IF(ISBLANK(G423),"",VLOOKUP(H423,code!B:C,2,FALSE))</f>
        <v>19</v>
      </c>
      <c r="C423">
        <f t="shared" si="12"/>
        <v>0</v>
      </c>
      <c r="D423">
        <v>2020</v>
      </c>
      <c r="E423">
        <v>163268</v>
      </c>
      <c r="F423" t="s">
        <v>136</v>
      </c>
      <c r="G423" t="s">
        <v>284</v>
      </c>
      <c r="H423" t="s">
        <v>27</v>
      </c>
      <c r="I423">
        <v>1932</v>
      </c>
      <c r="J423">
        <f>I423/VLOOKUP($D423,CPI!$P$16:$R$22,3,FALSE)</f>
        <v>2250.8742603895348</v>
      </c>
      <c r="K423">
        <f t="shared" si="13"/>
        <v>0</v>
      </c>
      <c r="L423" s="3" cm="1">
        <f t="array" ref="L423">IF($C423=0,INDEX('24&amp;25'!$L:$L,MATCH($D423&amp;$B423&amp;$E423,'24&amp;25'!$B:$B&amp;'24&amp;25'!$A:$A&amp;'24&amp;25'!$C:$C,0)),INDEX('24&amp;25'!$M:$M,MATCH($D423&amp;$B423&amp;$E423,'24&amp;25'!$B:$B&amp;'24&amp;25'!$A:$A&amp;'24&amp;25'!$C:$C,0)))</f>
        <v>0</v>
      </c>
      <c r="M423">
        <f>L423/VLOOKUP($D423,CPI!$P$16:$R$22,3,FALSE)</f>
        <v>0</v>
      </c>
    </row>
    <row r="424" spans="1:13" ht="16" thickBot="1" x14ac:dyDescent="0.25">
      <c r="A424" s="7">
        <v>2</v>
      </c>
      <c r="B424">
        <f>IF(ISBLANK(G424),"",VLOOKUP(H424,code!B:C,2,FALSE))</f>
        <v>21</v>
      </c>
      <c r="C424">
        <f t="shared" si="12"/>
        <v>0</v>
      </c>
      <c r="D424">
        <v>2020</v>
      </c>
      <c r="E424">
        <v>163268</v>
      </c>
      <c r="F424" t="s">
        <v>136</v>
      </c>
      <c r="G424" t="s">
        <v>284</v>
      </c>
      <c r="H424" t="s">
        <v>30</v>
      </c>
      <c r="I424">
        <v>0</v>
      </c>
      <c r="J424">
        <f>I424/VLOOKUP($D424,CPI!$P$16:$R$22,3,FALSE)</f>
        <v>0</v>
      </c>
      <c r="K424">
        <f t="shared" si="13"/>
        <v>0</v>
      </c>
      <c r="L424" s="3" cm="1">
        <f t="array" ref="L424">IF($C424=0,INDEX('24&amp;25'!$L:$L,MATCH($D424&amp;$B424&amp;$E424,'24&amp;25'!$B:$B&amp;'24&amp;25'!$A:$A&amp;'24&amp;25'!$C:$C,0)),INDEX('24&amp;25'!$M:$M,MATCH($D424&amp;$B424&amp;$E424,'24&amp;25'!$B:$B&amp;'24&amp;25'!$A:$A&amp;'24&amp;25'!$C:$C,0)))</f>
        <v>0</v>
      </c>
      <c r="M424">
        <f>L424/VLOOKUP($D424,CPI!$P$16:$R$22,3,FALSE)</f>
        <v>0</v>
      </c>
    </row>
    <row r="425" spans="1:13" ht="16" thickBot="1" x14ac:dyDescent="0.25">
      <c r="A425" s="7">
        <v>2</v>
      </c>
      <c r="B425">
        <f>IF(ISBLANK(G425),"",VLOOKUP(H425,code!B:C,2,FALSE))</f>
        <v>2</v>
      </c>
      <c r="C425">
        <f t="shared" si="12"/>
        <v>1</v>
      </c>
      <c r="D425">
        <v>2020</v>
      </c>
      <c r="E425">
        <v>163268</v>
      </c>
      <c r="F425" t="s">
        <v>136</v>
      </c>
      <c r="G425" t="s">
        <v>285</v>
      </c>
      <c r="H425" t="s">
        <v>10</v>
      </c>
      <c r="I425">
        <v>48553</v>
      </c>
      <c r="J425">
        <f>I425/VLOOKUP($D425,CPI!$P$16:$R$22,3,FALSE)</f>
        <v>56566.61385336081</v>
      </c>
      <c r="K425">
        <f t="shared" si="13"/>
        <v>0</v>
      </c>
      <c r="L425" s="3" cm="1">
        <f t="array" ref="L425">IF($C425=0,INDEX('24&amp;25'!$L:$L,MATCH($D425&amp;$B425&amp;$E425,'24&amp;25'!$B:$B&amp;'24&amp;25'!$A:$A&amp;'24&amp;25'!$C:$C,0)),INDEX('24&amp;25'!$M:$M,MATCH($D425&amp;$B425&amp;$E425,'24&amp;25'!$B:$B&amp;'24&amp;25'!$A:$A&amp;'24&amp;25'!$C:$C,0)))</f>
        <v>43809</v>
      </c>
      <c r="M425">
        <f>L425/VLOOKUP($D425,CPI!$P$16:$R$22,3,FALSE)</f>
        <v>51039.62239824282</v>
      </c>
    </row>
    <row r="426" spans="1:13" ht="16" thickBot="1" x14ac:dyDescent="0.25">
      <c r="A426" s="7">
        <v>2</v>
      </c>
      <c r="B426">
        <f>IF(ISBLANK(G426),"",VLOOKUP(H426,code!B:C,2,FALSE))</f>
        <v>12</v>
      </c>
      <c r="C426">
        <f t="shared" si="12"/>
        <v>1</v>
      </c>
      <c r="D426">
        <v>2020</v>
      </c>
      <c r="E426">
        <v>163268</v>
      </c>
      <c r="F426" t="s">
        <v>136</v>
      </c>
      <c r="G426" t="s">
        <v>285</v>
      </c>
      <c r="H426" t="s">
        <v>20</v>
      </c>
      <c r="I426">
        <v>5696</v>
      </c>
      <c r="J426">
        <f>I426/VLOOKUP($D426,CPI!$P$16:$R$22,3,FALSE)</f>
        <v>6636.1179022664546</v>
      </c>
      <c r="K426">
        <f t="shared" si="13"/>
        <v>0</v>
      </c>
      <c r="L426" s="3" cm="1">
        <f t="array" ref="L426">IF($C426=0,INDEX('24&amp;25'!$L:$L,MATCH($D426&amp;$B426&amp;$E426,'24&amp;25'!$B:$B&amp;'24&amp;25'!$A:$A&amp;'24&amp;25'!$C:$C,0)),INDEX('24&amp;25'!$M:$M,MATCH($D426&amp;$B426&amp;$E426,'24&amp;25'!$B:$B&amp;'24&amp;25'!$A:$A&amp;'24&amp;25'!$C:$C,0)))</f>
        <v>0</v>
      </c>
      <c r="M426">
        <f>L426/VLOOKUP($D426,CPI!$P$16:$R$22,3,FALSE)</f>
        <v>0</v>
      </c>
    </row>
    <row r="427" spans="1:13" ht="16" thickBot="1" x14ac:dyDescent="0.25">
      <c r="A427" s="7">
        <v>2</v>
      </c>
      <c r="B427">
        <f>IF(ISBLANK(G427),"",VLOOKUP(H427,code!B:C,2,FALSE))</f>
        <v>17</v>
      </c>
      <c r="C427">
        <f t="shared" si="12"/>
        <v>1</v>
      </c>
      <c r="D427">
        <v>2020</v>
      </c>
      <c r="E427">
        <v>163268</v>
      </c>
      <c r="F427" t="s">
        <v>136</v>
      </c>
      <c r="G427" t="s">
        <v>285</v>
      </c>
      <c r="H427" t="s">
        <v>25</v>
      </c>
      <c r="I427">
        <v>4801</v>
      </c>
      <c r="J427">
        <f>I427/VLOOKUP($D427,CPI!$P$16:$R$22,3,FALSE)</f>
        <v>5593.3992360922139</v>
      </c>
      <c r="K427">
        <f t="shared" si="13"/>
        <v>0</v>
      </c>
      <c r="L427" s="3" cm="1">
        <f t="array" ref="L427">IF($C427=0,INDEX('24&amp;25'!$L:$L,MATCH($D427&amp;$B427&amp;$E427,'24&amp;25'!$B:$B&amp;'24&amp;25'!$A:$A&amp;'24&amp;25'!$C:$C,0)),INDEX('24&amp;25'!$M:$M,MATCH($D427&amp;$B427&amp;$E427,'24&amp;25'!$B:$B&amp;'24&amp;25'!$A:$A&amp;'24&amp;25'!$C:$C,0)))</f>
        <v>0</v>
      </c>
      <c r="M427">
        <f>L427/VLOOKUP($D427,CPI!$P$16:$R$22,3,FALSE)</f>
        <v>0</v>
      </c>
    </row>
    <row r="428" spans="1:13" ht="16" thickBot="1" x14ac:dyDescent="0.25">
      <c r="A428" s="7">
        <v>2</v>
      </c>
      <c r="B428">
        <f>IF(ISBLANK(G428),"",VLOOKUP(H428,code!B:C,2,FALSE))</f>
        <v>18</v>
      </c>
      <c r="C428">
        <f t="shared" si="12"/>
        <v>1</v>
      </c>
      <c r="D428">
        <v>2020</v>
      </c>
      <c r="E428">
        <v>163268</v>
      </c>
      <c r="F428" t="s">
        <v>136</v>
      </c>
      <c r="G428" t="s">
        <v>285</v>
      </c>
      <c r="H428" t="s">
        <v>26</v>
      </c>
      <c r="I428">
        <v>944</v>
      </c>
      <c r="J428">
        <f>I428/VLOOKUP($D428,CPI!$P$16:$R$22,3,FALSE)</f>
        <v>1099.8060568362944</v>
      </c>
      <c r="K428">
        <f t="shared" si="13"/>
        <v>0</v>
      </c>
      <c r="L428" s="3" cm="1">
        <f t="array" ref="L428">IF($C428=0,INDEX('24&amp;25'!$L:$L,MATCH($D428&amp;$B428&amp;$E428,'24&amp;25'!$B:$B&amp;'24&amp;25'!$A:$A&amp;'24&amp;25'!$C:$C,0)),INDEX('24&amp;25'!$M:$M,MATCH($D428&amp;$B428&amp;$E428,'24&amp;25'!$B:$B&amp;'24&amp;25'!$A:$A&amp;'24&amp;25'!$C:$C,0)))</f>
        <v>0</v>
      </c>
      <c r="M428">
        <f>L428/VLOOKUP($D428,CPI!$P$16:$R$22,3,FALSE)</f>
        <v>0</v>
      </c>
    </row>
    <row r="429" spans="1:13" ht="16" thickBot="1" x14ac:dyDescent="0.25">
      <c r="A429" s="7">
        <v>2</v>
      </c>
      <c r="B429">
        <f>IF(ISBLANK(G429),"",VLOOKUP(H429,code!B:C,2,FALSE))</f>
        <v>19</v>
      </c>
      <c r="C429">
        <f t="shared" si="12"/>
        <v>1</v>
      </c>
      <c r="D429">
        <v>2020</v>
      </c>
      <c r="E429">
        <v>163268</v>
      </c>
      <c r="F429" t="s">
        <v>136</v>
      </c>
      <c r="G429" t="s">
        <v>285</v>
      </c>
      <c r="H429" t="s">
        <v>27</v>
      </c>
      <c r="I429">
        <v>1932</v>
      </c>
      <c r="J429">
        <f>I429/VLOOKUP($D429,CPI!$P$16:$R$22,3,FALSE)</f>
        <v>2250.8742603895348</v>
      </c>
      <c r="K429">
        <f t="shared" si="13"/>
        <v>0</v>
      </c>
      <c r="L429" s="3" cm="1">
        <f t="array" ref="L429">IF($C429=0,INDEX('24&amp;25'!$L:$L,MATCH($D429&amp;$B429&amp;$E429,'24&amp;25'!$B:$B&amp;'24&amp;25'!$A:$A&amp;'24&amp;25'!$C:$C,0)),INDEX('24&amp;25'!$M:$M,MATCH($D429&amp;$B429&amp;$E429,'24&amp;25'!$B:$B&amp;'24&amp;25'!$A:$A&amp;'24&amp;25'!$C:$C,0)))</f>
        <v>0</v>
      </c>
      <c r="M429">
        <f>L429/VLOOKUP($D429,CPI!$P$16:$R$22,3,FALSE)</f>
        <v>0</v>
      </c>
    </row>
    <row r="430" spans="1:13" ht="16" thickBot="1" x14ac:dyDescent="0.25">
      <c r="A430" s="7">
        <v>2</v>
      </c>
      <c r="B430">
        <f>IF(ISBLANK(G430),"",VLOOKUP(H430,code!B:C,2,FALSE))</f>
        <v>21</v>
      </c>
      <c r="C430">
        <f t="shared" si="12"/>
        <v>1</v>
      </c>
      <c r="D430">
        <v>2020</v>
      </c>
      <c r="E430">
        <v>163268</v>
      </c>
      <c r="F430" t="s">
        <v>136</v>
      </c>
      <c r="G430" t="s">
        <v>285</v>
      </c>
      <c r="H430" t="s">
        <v>30</v>
      </c>
      <c r="I430">
        <v>0</v>
      </c>
      <c r="J430">
        <f>I430/VLOOKUP($D430,CPI!$P$16:$R$22,3,FALSE)</f>
        <v>0</v>
      </c>
      <c r="K430">
        <f t="shared" si="13"/>
        <v>0</v>
      </c>
      <c r="L430" s="3" cm="1">
        <f t="array" ref="L430">IF($C430=0,INDEX('24&amp;25'!$L:$L,MATCH($D430&amp;$B430&amp;$E430,'24&amp;25'!$B:$B&amp;'24&amp;25'!$A:$A&amp;'24&amp;25'!$C:$C,0)),INDEX('24&amp;25'!$M:$M,MATCH($D430&amp;$B430&amp;$E430,'24&amp;25'!$B:$B&amp;'24&amp;25'!$A:$A&amp;'24&amp;25'!$C:$C,0)))</f>
        <v>0</v>
      </c>
      <c r="M430">
        <f>L430/VLOOKUP($D430,CPI!$P$16:$R$22,3,FALSE)</f>
        <v>0</v>
      </c>
    </row>
    <row r="431" spans="1:13" ht="16" thickBot="1" x14ac:dyDescent="0.25">
      <c r="A431" s="7">
        <v>2</v>
      </c>
      <c r="B431">
        <f>IF(ISBLANK(G431),"",VLOOKUP(H431,code!B:C,2,FALSE))</f>
        <v>23</v>
      </c>
      <c r="C431">
        <f t="shared" si="12"/>
        <v>1</v>
      </c>
      <c r="D431">
        <v>2020</v>
      </c>
      <c r="E431">
        <v>163268</v>
      </c>
      <c r="F431" t="s">
        <v>136</v>
      </c>
      <c r="G431" t="s">
        <v>285</v>
      </c>
      <c r="H431" t="s">
        <v>33</v>
      </c>
      <c r="I431">
        <v>8161</v>
      </c>
      <c r="J431">
        <f>I431/VLOOKUP($D431,CPI!$P$16:$R$22,3,FALSE)</f>
        <v>9507.9631672044488</v>
      </c>
      <c r="K431">
        <f t="shared" si="13"/>
        <v>0</v>
      </c>
      <c r="L431" s="3" cm="1">
        <f t="array" ref="L431">IF($C431=0,INDEX('24&amp;25'!$L:$L,MATCH($D431&amp;$B431&amp;$E431,'24&amp;25'!$B:$B&amp;'24&amp;25'!$A:$A&amp;'24&amp;25'!$C:$C,0)),INDEX('24&amp;25'!$M:$M,MATCH($D431&amp;$B431&amp;$E431,'24&amp;25'!$B:$B&amp;'24&amp;25'!$A:$A&amp;'24&amp;25'!$C:$C,0)))</f>
        <v>0</v>
      </c>
      <c r="M431">
        <f>L431/VLOOKUP($D431,CPI!$P$16:$R$22,3,FALSE)</f>
        <v>0</v>
      </c>
    </row>
    <row r="432" spans="1:13" ht="16" thickBot="1" x14ac:dyDescent="0.25">
      <c r="A432" s="7">
        <v>2</v>
      </c>
      <c r="B432">
        <f>IF(ISBLANK(G432),"",VLOOKUP(H432,code!B:C,2,FALSE))</f>
        <v>1</v>
      </c>
      <c r="C432">
        <f t="shared" si="12"/>
        <v>0</v>
      </c>
      <c r="D432">
        <v>2021</v>
      </c>
      <c r="E432">
        <v>163268</v>
      </c>
      <c r="F432" t="s">
        <v>136</v>
      </c>
      <c r="G432" t="s">
        <v>284</v>
      </c>
      <c r="H432" t="s">
        <v>9</v>
      </c>
      <c r="I432">
        <v>5167</v>
      </c>
      <c r="J432">
        <f>I432/VLOOKUP($D432,CPI!$P$16:$R$22,3,FALSE)</f>
        <v>5884.3702691045637</v>
      </c>
      <c r="K432">
        <f t="shared" si="13"/>
        <v>1</v>
      </c>
      <c r="L432" s="3" cm="1">
        <f t="array" ref="L432">IF($C432=0,INDEX('24&amp;25'!$L:$L,MATCH($D432&amp;$B432&amp;$E432,'24&amp;25'!$B:$B&amp;'24&amp;25'!$A:$A&amp;'24&amp;25'!$C:$C,0)),INDEX('24&amp;25'!$M:$M,MATCH($D432&amp;$B432&amp;$E432,'24&amp;25'!$B:$B&amp;'24&amp;25'!$A:$A&amp;'24&amp;25'!$C:$C,0)))</f>
        <v>0</v>
      </c>
      <c r="M432">
        <f>L432/VLOOKUP($D432,CPI!$P$16:$R$22,3,FALSE)</f>
        <v>0</v>
      </c>
    </row>
    <row r="433" spans="1:13" ht="16" thickBot="1" x14ac:dyDescent="0.25">
      <c r="A433" s="7">
        <v>2</v>
      </c>
      <c r="B433">
        <f>IF(ISBLANK(G433),"",VLOOKUP(H433,code!B:C,2,FALSE))</f>
        <v>2</v>
      </c>
      <c r="C433">
        <f t="shared" si="12"/>
        <v>0</v>
      </c>
      <c r="D433">
        <v>2021</v>
      </c>
      <c r="E433">
        <v>163268</v>
      </c>
      <c r="F433" t="s">
        <v>136</v>
      </c>
      <c r="G433" t="s">
        <v>284</v>
      </c>
      <c r="H433" t="s">
        <v>10</v>
      </c>
      <c r="I433">
        <v>43565</v>
      </c>
      <c r="J433">
        <f>I433/VLOOKUP($D433,CPI!$P$16:$R$22,3,FALSE)</f>
        <v>49613.429605871941</v>
      </c>
      <c r="K433">
        <f t="shared" si="13"/>
        <v>1</v>
      </c>
      <c r="L433" s="3" cm="1">
        <f t="array" ref="L433">IF($C433=0,INDEX('24&amp;25'!$L:$L,MATCH($D433&amp;$B433&amp;$E433,'24&amp;25'!$B:$B&amp;'24&amp;25'!$A:$A&amp;'24&amp;25'!$C:$C,0)),INDEX('24&amp;25'!$M:$M,MATCH($D433&amp;$B433&amp;$E433,'24&amp;25'!$B:$B&amp;'24&amp;25'!$A:$A&amp;'24&amp;25'!$C:$C,0)))</f>
        <v>38829</v>
      </c>
      <c r="M433">
        <f>L433/VLOOKUP($D433,CPI!$P$16:$R$22,3,FALSE)</f>
        <v>44219.898041234977</v>
      </c>
    </row>
    <row r="434" spans="1:13" ht="16" thickBot="1" x14ac:dyDescent="0.25">
      <c r="A434" s="7">
        <v>2</v>
      </c>
      <c r="B434">
        <f>IF(ISBLANK(G434),"",VLOOKUP(H434,code!B:C,2,FALSE))</f>
        <v>12</v>
      </c>
      <c r="C434">
        <f t="shared" si="12"/>
        <v>0</v>
      </c>
      <c r="D434">
        <v>2021</v>
      </c>
      <c r="E434">
        <v>163268</v>
      </c>
      <c r="F434" t="s">
        <v>136</v>
      </c>
      <c r="G434" t="s">
        <v>284</v>
      </c>
      <c r="H434" t="s">
        <v>20</v>
      </c>
      <c r="I434">
        <v>8559</v>
      </c>
      <c r="J434">
        <f>I434/VLOOKUP($D434,CPI!$P$16:$R$22,3,FALSE)</f>
        <v>9747.3050383715818</v>
      </c>
      <c r="K434">
        <f t="shared" si="13"/>
        <v>1</v>
      </c>
      <c r="L434" s="3" cm="1">
        <f t="array" ref="L434">IF($C434=0,INDEX('24&amp;25'!$L:$L,MATCH($D434&amp;$B434&amp;$E434,'24&amp;25'!$B:$B&amp;'24&amp;25'!$A:$A&amp;'24&amp;25'!$C:$C,0)),INDEX('24&amp;25'!$M:$M,MATCH($D434&amp;$B434&amp;$E434,'24&amp;25'!$B:$B&amp;'24&amp;25'!$A:$A&amp;'24&amp;25'!$C:$C,0)))</f>
        <v>0</v>
      </c>
      <c r="M434">
        <f>L434/VLOOKUP($D434,CPI!$P$16:$R$22,3,FALSE)</f>
        <v>0</v>
      </c>
    </row>
    <row r="435" spans="1:13" ht="16" thickBot="1" x14ac:dyDescent="0.25">
      <c r="A435" s="7">
        <v>2</v>
      </c>
      <c r="B435">
        <f>IF(ISBLANK(G435),"",VLOOKUP(H435,code!B:C,2,FALSE))</f>
        <v>17</v>
      </c>
      <c r="C435">
        <f t="shared" si="12"/>
        <v>0</v>
      </c>
      <c r="D435">
        <v>2021</v>
      </c>
      <c r="E435">
        <v>163268</v>
      </c>
      <c r="F435" t="s">
        <v>136</v>
      </c>
      <c r="G435" t="s">
        <v>284</v>
      </c>
      <c r="H435" t="s">
        <v>25</v>
      </c>
      <c r="I435">
        <v>10270</v>
      </c>
      <c r="J435">
        <f>I435/VLOOKUP($D435,CPI!$P$16:$R$22,3,FALSE)</f>
        <v>11695.854976524844</v>
      </c>
      <c r="K435">
        <f t="shared" si="13"/>
        <v>1</v>
      </c>
      <c r="L435" s="3" cm="1">
        <f t="array" ref="L435">IF($C435=0,INDEX('24&amp;25'!$L:$L,MATCH($D435&amp;$B435&amp;$E435,'24&amp;25'!$B:$B&amp;'24&amp;25'!$A:$A&amp;'24&amp;25'!$C:$C,0)),INDEX('24&amp;25'!$M:$M,MATCH($D435&amp;$B435&amp;$E435,'24&amp;25'!$B:$B&amp;'24&amp;25'!$A:$A&amp;'24&amp;25'!$C:$C,0)))</f>
        <v>0</v>
      </c>
      <c r="M435">
        <f>L435/VLOOKUP($D435,CPI!$P$16:$R$22,3,FALSE)</f>
        <v>0</v>
      </c>
    </row>
    <row r="436" spans="1:13" ht="16" thickBot="1" x14ac:dyDescent="0.25">
      <c r="A436" s="7">
        <v>2</v>
      </c>
      <c r="B436">
        <f>IF(ISBLANK(G436),"",VLOOKUP(H436,code!B:C,2,FALSE))</f>
        <v>19</v>
      </c>
      <c r="C436">
        <f t="shared" si="12"/>
        <v>0</v>
      </c>
      <c r="D436">
        <v>2021</v>
      </c>
      <c r="E436">
        <v>163268</v>
      </c>
      <c r="F436" t="s">
        <v>136</v>
      </c>
      <c r="G436" t="s">
        <v>284</v>
      </c>
      <c r="H436" t="s">
        <v>27</v>
      </c>
      <c r="I436">
        <v>250</v>
      </c>
      <c r="J436">
        <f>I436/VLOOKUP($D436,CPI!$P$16:$R$22,3,FALSE)</f>
        <v>284.70922532923186</v>
      </c>
      <c r="K436">
        <f t="shared" si="13"/>
        <v>1</v>
      </c>
      <c r="L436" s="3" cm="1">
        <f t="array" ref="L436">IF($C436=0,INDEX('24&amp;25'!$L:$L,MATCH($D436&amp;$B436&amp;$E436,'24&amp;25'!$B:$B&amp;'24&amp;25'!$A:$A&amp;'24&amp;25'!$C:$C,0)),INDEX('24&amp;25'!$M:$M,MATCH($D436&amp;$B436&amp;$E436,'24&amp;25'!$B:$B&amp;'24&amp;25'!$A:$A&amp;'24&amp;25'!$C:$C,0)))</f>
        <v>0</v>
      </c>
      <c r="M436">
        <f>L436/VLOOKUP($D436,CPI!$P$16:$R$22,3,FALSE)</f>
        <v>0</v>
      </c>
    </row>
    <row r="437" spans="1:13" ht="16" thickBot="1" x14ac:dyDescent="0.25">
      <c r="A437" s="7">
        <v>2</v>
      </c>
      <c r="B437">
        <f>IF(ISBLANK(G437),"",VLOOKUP(H437,code!B:C,2,FALSE))</f>
        <v>21</v>
      </c>
      <c r="C437">
        <f t="shared" si="12"/>
        <v>0</v>
      </c>
      <c r="D437">
        <v>2021</v>
      </c>
      <c r="E437">
        <v>163268</v>
      </c>
      <c r="F437" t="s">
        <v>136</v>
      </c>
      <c r="G437" t="s">
        <v>284</v>
      </c>
      <c r="H437" t="s">
        <v>30</v>
      </c>
      <c r="I437">
        <v>1406</v>
      </c>
      <c r="J437">
        <f>I437/VLOOKUP($D437,CPI!$P$16:$R$22,3,FALSE)</f>
        <v>1601.2046832515998</v>
      </c>
      <c r="K437">
        <f t="shared" si="13"/>
        <v>1</v>
      </c>
      <c r="L437" s="3" cm="1">
        <f t="array" ref="L437">IF($C437=0,INDEX('24&amp;25'!$L:$L,MATCH($D437&amp;$B437&amp;$E437,'24&amp;25'!$B:$B&amp;'24&amp;25'!$A:$A&amp;'24&amp;25'!$C:$C,0)),INDEX('24&amp;25'!$M:$M,MATCH($D437&amp;$B437&amp;$E437,'24&amp;25'!$B:$B&amp;'24&amp;25'!$A:$A&amp;'24&amp;25'!$C:$C,0)))</f>
        <v>0</v>
      </c>
      <c r="M437">
        <f>L437/VLOOKUP($D437,CPI!$P$16:$R$22,3,FALSE)</f>
        <v>0</v>
      </c>
    </row>
    <row r="438" spans="1:13" ht="16" thickBot="1" x14ac:dyDescent="0.25">
      <c r="A438" s="7">
        <v>2</v>
      </c>
      <c r="B438">
        <f>IF(ISBLANK(G438),"",VLOOKUP(H438,code!B:C,2,FALSE))</f>
        <v>2</v>
      </c>
      <c r="C438">
        <f t="shared" si="12"/>
        <v>1</v>
      </c>
      <c r="D438">
        <v>2021</v>
      </c>
      <c r="E438">
        <v>163268</v>
      </c>
      <c r="F438" t="s">
        <v>136</v>
      </c>
      <c r="G438" t="s">
        <v>285</v>
      </c>
      <c r="H438" t="s">
        <v>10</v>
      </c>
      <c r="I438">
        <v>1057</v>
      </c>
      <c r="J438">
        <f>I438/VLOOKUP($D438,CPI!$P$16:$R$22,3,FALSE)</f>
        <v>1203.7506046919923</v>
      </c>
      <c r="K438">
        <f t="shared" si="13"/>
        <v>1</v>
      </c>
      <c r="L438" s="3" cm="1">
        <f t="array" ref="L438">IF($C438=0,INDEX('24&amp;25'!$L:$L,MATCH($D438&amp;$B438&amp;$E438,'24&amp;25'!$B:$B&amp;'24&amp;25'!$A:$A&amp;'24&amp;25'!$C:$C,0)),INDEX('24&amp;25'!$M:$M,MATCH($D438&amp;$B438&amp;$E438,'24&amp;25'!$B:$B&amp;'24&amp;25'!$A:$A&amp;'24&amp;25'!$C:$C,0)))</f>
        <v>17077</v>
      </c>
      <c r="M438">
        <f>L438/VLOOKUP($D438,CPI!$P$16:$R$22,3,FALSE)</f>
        <v>19447.91776378917</v>
      </c>
    </row>
    <row r="439" spans="1:13" ht="16" thickBot="1" x14ac:dyDescent="0.25">
      <c r="A439" s="7">
        <v>2</v>
      </c>
      <c r="B439">
        <f>IF(ISBLANK(G439),"",VLOOKUP(H439,code!B:C,2,FALSE))</f>
        <v>12</v>
      </c>
      <c r="C439">
        <f t="shared" si="12"/>
        <v>1</v>
      </c>
      <c r="D439">
        <v>2021</v>
      </c>
      <c r="E439">
        <v>163268</v>
      </c>
      <c r="F439" t="s">
        <v>136</v>
      </c>
      <c r="G439" t="s">
        <v>285</v>
      </c>
      <c r="H439" t="s">
        <v>20</v>
      </c>
      <c r="I439">
        <v>5974</v>
      </c>
      <c r="J439">
        <f>I439/VLOOKUP($D439,CPI!$P$16:$R$22,3,FALSE)</f>
        <v>6803.4116484673241</v>
      </c>
      <c r="K439">
        <f t="shared" si="13"/>
        <v>1</v>
      </c>
      <c r="L439" s="3" cm="1">
        <f t="array" ref="L439">IF($C439=0,INDEX('24&amp;25'!$L:$L,MATCH($D439&amp;$B439&amp;$E439,'24&amp;25'!$B:$B&amp;'24&amp;25'!$A:$A&amp;'24&amp;25'!$C:$C,0)),INDEX('24&amp;25'!$M:$M,MATCH($D439&amp;$B439&amp;$E439,'24&amp;25'!$B:$B&amp;'24&amp;25'!$A:$A&amp;'24&amp;25'!$C:$C,0)))</f>
        <v>0</v>
      </c>
      <c r="M439">
        <f>L439/VLOOKUP($D439,CPI!$P$16:$R$22,3,FALSE)</f>
        <v>0</v>
      </c>
    </row>
    <row r="440" spans="1:13" ht="16" thickBot="1" x14ac:dyDescent="0.25">
      <c r="A440" s="7">
        <v>2</v>
      </c>
      <c r="B440">
        <f>IF(ISBLANK(G440),"",VLOOKUP(H440,code!B:C,2,FALSE))</f>
        <v>17</v>
      </c>
      <c r="C440">
        <f t="shared" si="12"/>
        <v>1</v>
      </c>
      <c r="D440">
        <v>2021</v>
      </c>
      <c r="E440">
        <v>163268</v>
      </c>
      <c r="F440" t="s">
        <v>136</v>
      </c>
      <c r="G440" t="s">
        <v>285</v>
      </c>
      <c r="H440" t="s">
        <v>25</v>
      </c>
      <c r="I440">
        <v>0</v>
      </c>
      <c r="J440">
        <f>I440/VLOOKUP($D440,CPI!$P$16:$R$22,3,FALSE)</f>
        <v>0</v>
      </c>
      <c r="K440">
        <f t="shared" si="13"/>
        <v>1</v>
      </c>
      <c r="L440" s="3" cm="1">
        <f t="array" ref="L440">IF($C440=0,INDEX('24&amp;25'!$L:$L,MATCH($D440&amp;$B440&amp;$E440,'24&amp;25'!$B:$B&amp;'24&amp;25'!$A:$A&amp;'24&amp;25'!$C:$C,0)),INDEX('24&amp;25'!$M:$M,MATCH($D440&amp;$B440&amp;$E440,'24&amp;25'!$B:$B&amp;'24&amp;25'!$A:$A&amp;'24&amp;25'!$C:$C,0)))</f>
        <v>0</v>
      </c>
      <c r="M440">
        <f>L440/VLOOKUP($D440,CPI!$P$16:$R$22,3,FALSE)</f>
        <v>0</v>
      </c>
    </row>
    <row r="441" spans="1:13" ht="16" thickBot="1" x14ac:dyDescent="0.25">
      <c r="A441" s="7">
        <v>2</v>
      </c>
      <c r="B441">
        <f>IF(ISBLANK(G441),"",VLOOKUP(H441,code!B:C,2,FALSE))</f>
        <v>18</v>
      </c>
      <c r="C441">
        <f t="shared" si="12"/>
        <v>1</v>
      </c>
      <c r="D441">
        <v>2021</v>
      </c>
      <c r="E441">
        <v>163268</v>
      </c>
      <c r="F441" t="s">
        <v>136</v>
      </c>
      <c r="G441" t="s">
        <v>285</v>
      </c>
      <c r="H441" t="s">
        <v>26</v>
      </c>
      <c r="I441">
        <v>0</v>
      </c>
      <c r="J441">
        <f>I441/VLOOKUP($D441,CPI!$P$16:$R$22,3,FALSE)</f>
        <v>0</v>
      </c>
      <c r="K441">
        <f t="shared" si="13"/>
        <v>1</v>
      </c>
      <c r="L441" s="3" cm="1">
        <f t="array" ref="L441">IF($C441=0,INDEX('24&amp;25'!$L:$L,MATCH($D441&amp;$B441&amp;$E441,'24&amp;25'!$B:$B&amp;'24&amp;25'!$A:$A&amp;'24&amp;25'!$C:$C,0)),INDEX('24&amp;25'!$M:$M,MATCH($D441&amp;$B441&amp;$E441,'24&amp;25'!$B:$B&amp;'24&amp;25'!$A:$A&amp;'24&amp;25'!$C:$C,0)))</f>
        <v>0</v>
      </c>
      <c r="M441">
        <f>L441/VLOOKUP($D441,CPI!$P$16:$R$22,3,FALSE)</f>
        <v>0</v>
      </c>
    </row>
    <row r="442" spans="1:13" ht="16" thickBot="1" x14ac:dyDescent="0.25">
      <c r="A442" s="7">
        <v>2</v>
      </c>
      <c r="B442">
        <f>IF(ISBLANK(G442),"",VLOOKUP(H442,code!B:C,2,FALSE))</f>
        <v>19</v>
      </c>
      <c r="C442">
        <f t="shared" si="12"/>
        <v>1</v>
      </c>
      <c r="D442">
        <v>2021</v>
      </c>
      <c r="E442">
        <v>163268</v>
      </c>
      <c r="F442" t="s">
        <v>136</v>
      </c>
      <c r="G442" t="s">
        <v>285</v>
      </c>
      <c r="H442" t="s">
        <v>27</v>
      </c>
      <c r="I442">
        <v>1</v>
      </c>
      <c r="J442">
        <f>I442/VLOOKUP($D442,CPI!$P$16:$R$22,3,FALSE)</f>
        <v>1.1388369013169275</v>
      </c>
      <c r="K442">
        <f t="shared" si="13"/>
        <v>1</v>
      </c>
      <c r="L442" s="3" cm="1">
        <f t="array" ref="L442">IF($C442=0,INDEX('24&amp;25'!$L:$L,MATCH($D442&amp;$B442&amp;$E442,'24&amp;25'!$B:$B&amp;'24&amp;25'!$A:$A&amp;'24&amp;25'!$C:$C,0)),INDEX('24&amp;25'!$M:$M,MATCH($D442&amp;$B442&amp;$E442,'24&amp;25'!$B:$B&amp;'24&amp;25'!$A:$A&amp;'24&amp;25'!$C:$C,0)))</f>
        <v>0</v>
      </c>
      <c r="M442">
        <f>L442/VLOOKUP($D442,CPI!$P$16:$R$22,3,FALSE)</f>
        <v>0</v>
      </c>
    </row>
    <row r="443" spans="1:13" ht="16" thickBot="1" x14ac:dyDescent="0.25">
      <c r="A443" s="7">
        <v>2</v>
      </c>
      <c r="B443">
        <f>IF(ISBLANK(G443),"",VLOOKUP(H443,code!B:C,2,FALSE))</f>
        <v>21</v>
      </c>
      <c r="C443">
        <f t="shared" si="12"/>
        <v>1</v>
      </c>
      <c r="D443">
        <v>2021</v>
      </c>
      <c r="E443">
        <v>163268</v>
      </c>
      <c r="F443" t="s">
        <v>136</v>
      </c>
      <c r="G443" t="s">
        <v>285</v>
      </c>
      <c r="H443" t="s">
        <v>30</v>
      </c>
      <c r="I443">
        <v>1396</v>
      </c>
      <c r="J443">
        <f>I443/VLOOKUP($D443,CPI!$P$16:$R$22,3,FALSE)</f>
        <v>1589.8163142384306</v>
      </c>
      <c r="K443">
        <f t="shared" si="13"/>
        <v>1</v>
      </c>
      <c r="L443" s="3" cm="1">
        <f t="array" ref="L443">IF($C443=0,INDEX('24&amp;25'!$L:$L,MATCH($D443&amp;$B443&amp;$E443,'24&amp;25'!$B:$B&amp;'24&amp;25'!$A:$A&amp;'24&amp;25'!$C:$C,0)),INDEX('24&amp;25'!$M:$M,MATCH($D443&amp;$B443&amp;$E443,'24&amp;25'!$B:$B&amp;'24&amp;25'!$A:$A&amp;'24&amp;25'!$C:$C,0)))</f>
        <v>0</v>
      </c>
      <c r="M443">
        <f>L443/VLOOKUP($D443,CPI!$P$16:$R$22,3,FALSE)</f>
        <v>0</v>
      </c>
    </row>
    <row r="444" spans="1:13" ht="16" thickBot="1" x14ac:dyDescent="0.25">
      <c r="A444" s="7">
        <v>2</v>
      </c>
      <c r="B444">
        <f>IF(ISBLANK(G444),"",VLOOKUP(H444,code!B:C,2,FALSE))</f>
        <v>23</v>
      </c>
      <c r="C444">
        <f t="shared" si="12"/>
        <v>1</v>
      </c>
      <c r="D444">
        <v>2021</v>
      </c>
      <c r="E444">
        <v>163268</v>
      </c>
      <c r="F444" t="s">
        <v>136</v>
      </c>
      <c r="G444" t="s">
        <v>285</v>
      </c>
      <c r="H444" t="s">
        <v>33</v>
      </c>
      <c r="I444">
        <v>4184</v>
      </c>
      <c r="J444">
        <f>I444/VLOOKUP($D444,CPI!$P$16:$R$22,3,FALSE)</f>
        <v>4764.8935951100239</v>
      </c>
      <c r="K444">
        <f t="shared" si="13"/>
        <v>1</v>
      </c>
      <c r="L444" s="3" cm="1">
        <f t="array" ref="L444">IF($C444=0,INDEX('24&amp;25'!$L:$L,MATCH($D444&amp;$B444&amp;$E444,'24&amp;25'!$B:$B&amp;'24&amp;25'!$A:$A&amp;'24&amp;25'!$C:$C,0)),INDEX('24&amp;25'!$M:$M,MATCH($D444&amp;$B444&amp;$E444,'24&amp;25'!$B:$B&amp;'24&amp;25'!$A:$A&amp;'24&amp;25'!$C:$C,0)))</f>
        <v>0</v>
      </c>
      <c r="M444">
        <f>L444/VLOOKUP($D444,CPI!$P$16:$R$22,3,FALSE)</f>
        <v>0</v>
      </c>
    </row>
    <row r="445" spans="1:13" ht="16" thickBot="1" x14ac:dyDescent="0.25">
      <c r="A445" s="7">
        <v>2</v>
      </c>
      <c r="B445">
        <f>IF(ISBLANK(G445),"",VLOOKUP(H445,code!B:C,2,FALSE))</f>
        <v>1</v>
      </c>
      <c r="C445">
        <f t="shared" si="12"/>
        <v>0</v>
      </c>
      <c r="D445">
        <v>2022</v>
      </c>
      <c r="E445">
        <v>163268</v>
      </c>
      <c r="F445" t="s">
        <v>136</v>
      </c>
      <c r="G445" t="s">
        <v>284</v>
      </c>
      <c r="H445" t="s">
        <v>9</v>
      </c>
      <c r="I445">
        <v>42623</v>
      </c>
      <c r="J445">
        <f>I445/VLOOKUP($D445,CPI!$P$16:$R$22,3,FALSE)</f>
        <v>45292.06654197324</v>
      </c>
      <c r="K445">
        <f t="shared" si="13"/>
        <v>0</v>
      </c>
      <c r="L445" s="3" cm="1">
        <f t="array" ref="L445">IF($C445=0,INDEX('24&amp;25'!$L:$L,MATCH($D445&amp;$B445&amp;$E445,'24&amp;25'!$B:$B&amp;'24&amp;25'!$A:$A&amp;'24&amp;25'!$C:$C,0)),INDEX('24&amp;25'!$M:$M,MATCH($D445&amp;$B445&amp;$E445,'24&amp;25'!$B:$B&amp;'24&amp;25'!$A:$A&amp;'24&amp;25'!$C:$C,0)))</f>
        <v>0</v>
      </c>
      <c r="M445">
        <f>L445/VLOOKUP($D445,CPI!$P$16:$R$22,3,FALSE)</f>
        <v>0</v>
      </c>
    </row>
    <row r="446" spans="1:13" ht="16" thickBot="1" x14ac:dyDescent="0.25">
      <c r="A446" s="7">
        <v>2</v>
      </c>
      <c r="B446">
        <f>IF(ISBLANK(G446),"",VLOOKUP(H446,code!B:C,2,FALSE))</f>
        <v>2</v>
      </c>
      <c r="C446">
        <f t="shared" si="12"/>
        <v>0</v>
      </c>
      <c r="D446">
        <v>2022</v>
      </c>
      <c r="E446">
        <v>163268</v>
      </c>
      <c r="F446" t="s">
        <v>136</v>
      </c>
      <c r="G446" t="s">
        <v>284</v>
      </c>
      <c r="H446" t="s">
        <v>10</v>
      </c>
      <c r="I446">
        <v>341407</v>
      </c>
      <c r="J446">
        <f>I446/VLOOKUP($D446,CPI!$P$16:$R$22,3,FALSE)</f>
        <v>362786.02073752333</v>
      </c>
      <c r="K446">
        <f t="shared" si="13"/>
        <v>0</v>
      </c>
      <c r="L446" s="3" cm="1">
        <f t="array" ref="L446">IF($C446=0,INDEX('24&amp;25'!$L:$L,MATCH($D446&amp;$B446&amp;$E446,'24&amp;25'!$B:$B&amp;'24&amp;25'!$A:$A&amp;'24&amp;25'!$C:$C,0)),INDEX('24&amp;25'!$M:$M,MATCH($D446&amp;$B446&amp;$E446,'24&amp;25'!$B:$B&amp;'24&amp;25'!$A:$A&amp;'24&amp;25'!$C:$C,0)))</f>
        <v>72928</v>
      </c>
      <c r="M446">
        <f>L446/VLOOKUP($D446,CPI!$P$16:$R$22,3,FALSE)</f>
        <v>77494.775796471964</v>
      </c>
    </row>
    <row r="447" spans="1:13" ht="16" thickBot="1" x14ac:dyDescent="0.25">
      <c r="A447" s="7">
        <v>2</v>
      </c>
      <c r="B447">
        <f>IF(ISBLANK(G447),"",VLOOKUP(H447,code!B:C,2,FALSE))</f>
        <v>12</v>
      </c>
      <c r="C447">
        <f t="shared" si="12"/>
        <v>0</v>
      </c>
      <c r="D447">
        <v>2022</v>
      </c>
      <c r="E447">
        <v>163268</v>
      </c>
      <c r="F447" t="s">
        <v>136</v>
      </c>
      <c r="G447" t="s">
        <v>284</v>
      </c>
      <c r="H447" t="s">
        <v>20</v>
      </c>
      <c r="I447">
        <v>48464</v>
      </c>
      <c r="J447">
        <f>I447/VLOOKUP($D447,CPI!$P$16:$R$22,3,FALSE)</f>
        <v>51498.831919156117</v>
      </c>
      <c r="K447">
        <f t="shared" si="13"/>
        <v>0</v>
      </c>
      <c r="L447" s="3" cm="1">
        <f t="array" ref="L447">IF($C447=0,INDEX('24&amp;25'!$L:$L,MATCH($D447&amp;$B447&amp;$E447,'24&amp;25'!$B:$B&amp;'24&amp;25'!$A:$A&amp;'24&amp;25'!$C:$C,0)),INDEX('24&amp;25'!$M:$M,MATCH($D447&amp;$B447&amp;$E447,'24&amp;25'!$B:$B&amp;'24&amp;25'!$A:$A&amp;'24&amp;25'!$C:$C,0)))</f>
        <v>0</v>
      </c>
      <c r="M447">
        <f>L447/VLOOKUP($D447,CPI!$P$16:$R$22,3,FALSE)</f>
        <v>0</v>
      </c>
    </row>
    <row r="448" spans="1:13" ht="16" thickBot="1" x14ac:dyDescent="0.25">
      <c r="A448" s="7">
        <v>2</v>
      </c>
      <c r="B448">
        <f>IF(ISBLANK(G448),"",VLOOKUP(H448,code!B:C,2,FALSE))</f>
        <v>17</v>
      </c>
      <c r="C448">
        <f t="shared" si="12"/>
        <v>0</v>
      </c>
      <c r="D448">
        <v>2022</v>
      </c>
      <c r="E448">
        <v>163268</v>
      </c>
      <c r="F448" t="s">
        <v>136</v>
      </c>
      <c r="G448" t="s">
        <v>284</v>
      </c>
      <c r="H448" t="s">
        <v>25</v>
      </c>
      <c r="I448">
        <v>33543</v>
      </c>
      <c r="J448">
        <f>I448/VLOOKUP($D448,CPI!$P$16:$R$22,3,FALSE)</f>
        <v>35643.473899477001</v>
      </c>
      <c r="K448">
        <f t="shared" si="13"/>
        <v>0</v>
      </c>
      <c r="L448" s="3" cm="1">
        <f t="array" ref="L448">IF($C448=0,INDEX('24&amp;25'!$L:$L,MATCH($D448&amp;$B448&amp;$E448,'24&amp;25'!$B:$B&amp;'24&amp;25'!$A:$A&amp;'24&amp;25'!$C:$C,0)),INDEX('24&amp;25'!$M:$M,MATCH($D448&amp;$B448&amp;$E448,'24&amp;25'!$B:$B&amp;'24&amp;25'!$A:$A&amp;'24&amp;25'!$C:$C,0)))</f>
        <v>0</v>
      </c>
      <c r="M448">
        <f>L448/VLOOKUP($D448,CPI!$P$16:$R$22,3,FALSE)</f>
        <v>0</v>
      </c>
    </row>
    <row r="449" spans="1:13" ht="16" thickBot="1" x14ac:dyDescent="0.25">
      <c r="A449" s="7">
        <v>2</v>
      </c>
      <c r="B449">
        <f>IF(ISBLANK(G449),"",VLOOKUP(H449,code!B:C,2,FALSE))</f>
        <v>19</v>
      </c>
      <c r="C449">
        <f t="shared" si="12"/>
        <v>0</v>
      </c>
      <c r="D449">
        <v>2022</v>
      </c>
      <c r="E449">
        <v>163268</v>
      </c>
      <c r="F449" t="s">
        <v>136</v>
      </c>
      <c r="G449" t="s">
        <v>284</v>
      </c>
      <c r="H449" t="s">
        <v>27</v>
      </c>
      <c r="I449">
        <v>10110</v>
      </c>
      <c r="J449">
        <f>I449/VLOOKUP($D449,CPI!$P$16:$R$22,3,FALSE)</f>
        <v>10743.091587625213</v>
      </c>
      <c r="K449">
        <f t="shared" si="13"/>
        <v>0</v>
      </c>
      <c r="L449" s="3" cm="1">
        <f t="array" ref="L449">IF($C449=0,INDEX('24&amp;25'!$L:$L,MATCH($D449&amp;$B449&amp;$E449,'24&amp;25'!$B:$B&amp;'24&amp;25'!$A:$A&amp;'24&amp;25'!$C:$C,0)),INDEX('24&amp;25'!$M:$M,MATCH($D449&amp;$B449&amp;$E449,'24&amp;25'!$B:$B&amp;'24&amp;25'!$A:$A&amp;'24&amp;25'!$C:$C,0)))</f>
        <v>0</v>
      </c>
      <c r="M449">
        <f>L449/VLOOKUP($D449,CPI!$P$16:$R$22,3,FALSE)</f>
        <v>0</v>
      </c>
    </row>
    <row r="450" spans="1:13" ht="16" thickBot="1" x14ac:dyDescent="0.25">
      <c r="A450" s="7">
        <v>2</v>
      </c>
      <c r="B450">
        <f>IF(ISBLANK(G450),"",VLOOKUP(H450,code!B:C,2,FALSE))</f>
        <v>21</v>
      </c>
      <c r="C450">
        <f t="shared" si="12"/>
        <v>0</v>
      </c>
      <c r="D450">
        <v>2022</v>
      </c>
      <c r="E450">
        <v>163268</v>
      </c>
      <c r="F450" t="s">
        <v>136</v>
      </c>
      <c r="G450" t="s">
        <v>284</v>
      </c>
      <c r="H450" t="s">
        <v>30</v>
      </c>
      <c r="I450">
        <v>11703</v>
      </c>
      <c r="J450">
        <f>I450/VLOOKUP($D450,CPI!$P$16:$R$22,3,FALSE)</f>
        <v>12435.84578140236</v>
      </c>
      <c r="K450">
        <f t="shared" si="13"/>
        <v>0</v>
      </c>
      <c r="L450" s="3" cm="1">
        <f t="array" ref="L450">IF($C450=0,INDEX('24&amp;25'!$L:$L,MATCH($D450&amp;$B450&amp;$E450,'24&amp;25'!$B:$B&amp;'24&amp;25'!$A:$A&amp;'24&amp;25'!$C:$C,0)),INDEX('24&amp;25'!$M:$M,MATCH($D450&amp;$B450&amp;$E450,'24&amp;25'!$B:$B&amp;'24&amp;25'!$A:$A&amp;'24&amp;25'!$C:$C,0)))</f>
        <v>0</v>
      </c>
      <c r="M450">
        <f>L450/VLOOKUP($D450,CPI!$P$16:$R$22,3,FALSE)</f>
        <v>0</v>
      </c>
    </row>
    <row r="451" spans="1:13" ht="16" thickBot="1" x14ac:dyDescent="0.25">
      <c r="A451" s="7">
        <v>2</v>
      </c>
      <c r="B451">
        <f>IF(ISBLANK(G451),"",VLOOKUP(H451,code!B:C,2,FALSE))</f>
        <v>2</v>
      </c>
      <c r="C451">
        <f t="shared" ref="C451:C514" si="14">IF(ISBLANK(G451),"",IF(MID(G451,1,1)="M",0,1))</f>
        <v>1</v>
      </c>
      <c r="D451">
        <v>2022</v>
      </c>
      <c r="E451">
        <v>163268</v>
      </c>
      <c r="F451" t="s">
        <v>136</v>
      </c>
      <c r="G451" t="s">
        <v>285</v>
      </c>
      <c r="H451" t="s">
        <v>10</v>
      </c>
      <c r="I451">
        <v>44607</v>
      </c>
      <c r="J451">
        <f>I451/VLOOKUP($D451,CPI!$P$16:$R$22,3,FALSE)</f>
        <v>47400.305286765368</v>
      </c>
      <c r="K451">
        <f t="shared" ref="K451:K514" si="15">IF(ISBLANK(G451),"",IF(D451=2021,1,0))</f>
        <v>0</v>
      </c>
      <c r="L451" s="3" cm="1">
        <f t="array" ref="L451">IF($C451=0,INDEX('24&amp;25'!$L:$L,MATCH($D451&amp;$B451&amp;$E451,'24&amp;25'!$B:$B&amp;'24&amp;25'!$A:$A&amp;'24&amp;25'!$C:$C,0)),INDEX('24&amp;25'!$M:$M,MATCH($D451&amp;$B451&amp;$E451,'24&amp;25'!$B:$B&amp;'24&amp;25'!$A:$A&amp;'24&amp;25'!$C:$C,0)))</f>
        <v>55746</v>
      </c>
      <c r="M451">
        <f>L451/VLOOKUP($D451,CPI!$P$16:$R$22,3,FALSE)</f>
        <v>59236.833199184483</v>
      </c>
    </row>
    <row r="452" spans="1:13" ht="16" thickBot="1" x14ac:dyDescent="0.25">
      <c r="A452" s="7">
        <v>2</v>
      </c>
      <c r="B452">
        <f>IF(ISBLANK(G452),"",VLOOKUP(H452,code!B:C,2,FALSE))</f>
        <v>12</v>
      </c>
      <c r="C452">
        <f t="shared" si="14"/>
        <v>1</v>
      </c>
      <c r="D452">
        <v>2022</v>
      </c>
      <c r="E452">
        <v>163268</v>
      </c>
      <c r="F452" t="s">
        <v>136</v>
      </c>
      <c r="G452" t="s">
        <v>285</v>
      </c>
      <c r="H452" t="s">
        <v>20</v>
      </c>
      <c r="I452">
        <v>20575</v>
      </c>
      <c r="J452">
        <f>I452/VLOOKUP($D452,CPI!$P$16:$R$22,3,FALSE)</f>
        <v>21863.413394202646</v>
      </c>
      <c r="K452">
        <f t="shared" si="15"/>
        <v>0</v>
      </c>
      <c r="L452" s="3" cm="1">
        <f t="array" ref="L452">IF($C452=0,INDEX('24&amp;25'!$L:$L,MATCH($D452&amp;$B452&amp;$E452,'24&amp;25'!$B:$B&amp;'24&amp;25'!$A:$A&amp;'24&amp;25'!$C:$C,0)),INDEX('24&amp;25'!$M:$M,MATCH($D452&amp;$B452&amp;$E452,'24&amp;25'!$B:$B&amp;'24&amp;25'!$A:$A&amp;'24&amp;25'!$C:$C,0)))</f>
        <v>0</v>
      </c>
      <c r="M452">
        <f>L452/VLOOKUP($D452,CPI!$P$16:$R$22,3,FALSE)</f>
        <v>0</v>
      </c>
    </row>
    <row r="453" spans="1:13" ht="16" thickBot="1" x14ac:dyDescent="0.25">
      <c r="A453" s="7">
        <v>2</v>
      </c>
      <c r="B453">
        <f>IF(ISBLANK(G453),"",VLOOKUP(H453,code!B:C,2,FALSE))</f>
        <v>17</v>
      </c>
      <c r="C453">
        <f t="shared" si="14"/>
        <v>1</v>
      </c>
      <c r="D453">
        <v>2022</v>
      </c>
      <c r="E453">
        <v>163268</v>
      </c>
      <c r="F453" t="s">
        <v>136</v>
      </c>
      <c r="G453" t="s">
        <v>285</v>
      </c>
      <c r="H453" t="s">
        <v>25</v>
      </c>
      <c r="I453">
        <v>9226</v>
      </c>
      <c r="J453">
        <f>I453/VLOOKUP($D453,CPI!$P$16:$R$22,3,FALSE)</f>
        <v>9803.73521141743</v>
      </c>
      <c r="K453">
        <f t="shared" si="15"/>
        <v>0</v>
      </c>
      <c r="L453" s="3" cm="1">
        <f t="array" ref="L453">IF($C453=0,INDEX('24&amp;25'!$L:$L,MATCH($D453&amp;$B453&amp;$E453,'24&amp;25'!$B:$B&amp;'24&amp;25'!$A:$A&amp;'24&amp;25'!$C:$C,0)),INDEX('24&amp;25'!$M:$M,MATCH($D453&amp;$B453&amp;$E453,'24&amp;25'!$B:$B&amp;'24&amp;25'!$A:$A&amp;'24&amp;25'!$C:$C,0)))</f>
        <v>0</v>
      </c>
      <c r="M453">
        <f>L453/VLOOKUP($D453,CPI!$P$16:$R$22,3,FALSE)</f>
        <v>0</v>
      </c>
    </row>
    <row r="454" spans="1:13" ht="16" thickBot="1" x14ac:dyDescent="0.25">
      <c r="A454" s="7">
        <v>2</v>
      </c>
      <c r="B454">
        <f>IF(ISBLANK(G454),"",VLOOKUP(H454,code!B:C,2,FALSE))</f>
        <v>18</v>
      </c>
      <c r="C454">
        <f t="shared" si="14"/>
        <v>1</v>
      </c>
      <c r="D454">
        <v>2022</v>
      </c>
      <c r="E454">
        <v>163268</v>
      </c>
      <c r="F454" t="s">
        <v>136</v>
      </c>
      <c r="G454" t="s">
        <v>285</v>
      </c>
      <c r="H454" t="s">
        <v>26</v>
      </c>
      <c r="I454">
        <v>11046</v>
      </c>
      <c r="J454">
        <f>I454/VLOOKUP($D454,CPI!$P$16:$R$22,3,FALSE)</f>
        <v>11737.704221256983</v>
      </c>
      <c r="K454">
        <f t="shared" si="15"/>
        <v>0</v>
      </c>
      <c r="L454" s="3" cm="1">
        <f t="array" ref="L454">IF($C454=0,INDEX('24&amp;25'!$L:$L,MATCH($D454&amp;$B454&amp;$E454,'24&amp;25'!$B:$B&amp;'24&amp;25'!$A:$A&amp;'24&amp;25'!$C:$C,0)),INDEX('24&amp;25'!$M:$M,MATCH($D454&amp;$B454&amp;$E454,'24&amp;25'!$B:$B&amp;'24&amp;25'!$A:$A&amp;'24&amp;25'!$C:$C,0)))</f>
        <v>0</v>
      </c>
      <c r="M454">
        <f>L454/VLOOKUP($D454,CPI!$P$16:$R$22,3,FALSE)</f>
        <v>0</v>
      </c>
    </row>
    <row r="455" spans="1:13" ht="16" thickBot="1" x14ac:dyDescent="0.25">
      <c r="A455" s="7">
        <v>2</v>
      </c>
      <c r="B455">
        <f>IF(ISBLANK(G455),"",VLOOKUP(H455,code!B:C,2,FALSE))</f>
        <v>19</v>
      </c>
      <c r="C455">
        <f t="shared" si="14"/>
        <v>1</v>
      </c>
      <c r="D455">
        <v>2022</v>
      </c>
      <c r="E455">
        <v>163268</v>
      </c>
      <c r="F455" t="s">
        <v>136</v>
      </c>
      <c r="G455" t="s">
        <v>285</v>
      </c>
      <c r="H455" t="s">
        <v>27</v>
      </c>
      <c r="I455">
        <v>10110</v>
      </c>
      <c r="J455">
        <f>I455/VLOOKUP($D455,CPI!$P$16:$R$22,3,FALSE)</f>
        <v>10743.091587625213</v>
      </c>
      <c r="K455">
        <f t="shared" si="15"/>
        <v>0</v>
      </c>
      <c r="L455" s="3" cm="1">
        <f t="array" ref="L455">IF($C455=0,INDEX('24&amp;25'!$L:$L,MATCH($D455&amp;$B455&amp;$E455,'24&amp;25'!$B:$B&amp;'24&amp;25'!$A:$A&amp;'24&amp;25'!$C:$C,0)),INDEX('24&amp;25'!$M:$M,MATCH($D455&amp;$B455&amp;$E455,'24&amp;25'!$B:$B&amp;'24&amp;25'!$A:$A&amp;'24&amp;25'!$C:$C,0)))</f>
        <v>0</v>
      </c>
      <c r="M455">
        <f>L455/VLOOKUP($D455,CPI!$P$16:$R$22,3,FALSE)</f>
        <v>0</v>
      </c>
    </row>
    <row r="456" spans="1:13" ht="16" thickBot="1" x14ac:dyDescent="0.25">
      <c r="A456" s="7">
        <v>2</v>
      </c>
      <c r="B456">
        <f>IF(ISBLANK(G456),"",VLOOKUP(H456,code!B:C,2,FALSE))</f>
        <v>21</v>
      </c>
      <c r="C456">
        <f t="shared" si="14"/>
        <v>1</v>
      </c>
      <c r="D456">
        <v>2022</v>
      </c>
      <c r="E456">
        <v>163268</v>
      </c>
      <c r="F456" t="s">
        <v>136</v>
      </c>
      <c r="G456" t="s">
        <v>285</v>
      </c>
      <c r="H456" t="s">
        <v>30</v>
      </c>
      <c r="I456">
        <v>11704</v>
      </c>
      <c r="J456">
        <f>I456/VLOOKUP($D456,CPI!$P$16:$R$22,3,FALSE)</f>
        <v>12436.908401737437</v>
      </c>
      <c r="K456">
        <f t="shared" si="15"/>
        <v>0</v>
      </c>
      <c r="L456" s="3" cm="1">
        <f t="array" ref="L456">IF($C456=0,INDEX('24&amp;25'!$L:$L,MATCH($D456&amp;$B456&amp;$E456,'24&amp;25'!$B:$B&amp;'24&amp;25'!$A:$A&amp;'24&amp;25'!$C:$C,0)),INDEX('24&amp;25'!$M:$M,MATCH($D456&amp;$B456&amp;$E456,'24&amp;25'!$B:$B&amp;'24&amp;25'!$A:$A&amp;'24&amp;25'!$C:$C,0)))</f>
        <v>0</v>
      </c>
      <c r="M456">
        <f>L456/VLOOKUP($D456,CPI!$P$16:$R$22,3,FALSE)</f>
        <v>0</v>
      </c>
    </row>
    <row r="457" spans="1:13" ht="16" thickBot="1" x14ac:dyDescent="0.25">
      <c r="A457" s="7">
        <v>2</v>
      </c>
      <c r="B457">
        <f>IF(ISBLANK(G457),"",VLOOKUP(H457,code!B:C,2,FALSE))</f>
        <v>23</v>
      </c>
      <c r="C457">
        <f t="shared" si="14"/>
        <v>1</v>
      </c>
      <c r="D457">
        <v>2022</v>
      </c>
      <c r="E457">
        <v>163268</v>
      </c>
      <c r="F457" t="s">
        <v>136</v>
      </c>
      <c r="G457" t="s">
        <v>285</v>
      </c>
      <c r="H457" t="s">
        <v>33</v>
      </c>
      <c r="I457">
        <v>25327</v>
      </c>
      <c r="J457">
        <f>I457/VLOOKUP($D457,CPI!$P$16:$R$22,3,FALSE)</f>
        <v>26912.985226487021</v>
      </c>
      <c r="K457">
        <f t="shared" si="15"/>
        <v>0</v>
      </c>
      <c r="L457" s="3" cm="1">
        <f t="array" ref="L457">IF($C457=0,INDEX('24&amp;25'!$L:$L,MATCH($D457&amp;$B457&amp;$E457,'24&amp;25'!$B:$B&amp;'24&amp;25'!$A:$A&amp;'24&amp;25'!$C:$C,0)),INDEX('24&amp;25'!$M:$M,MATCH($D457&amp;$B457&amp;$E457,'24&amp;25'!$B:$B&amp;'24&amp;25'!$A:$A&amp;'24&amp;25'!$C:$C,0)))</f>
        <v>0</v>
      </c>
      <c r="M457">
        <f>L457/VLOOKUP($D457,CPI!$P$16:$R$22,3,FALSE)</f>
        <v>0</v>
      </c>
    </row>
    <row r="458" spans="1:13" ht="16" thickBot="1" x14ac:dyDescent="0.25">
      <c r="A458" s="7">
        <v>2</v>
      </c>
      <c r="B458">
        <f>IF(ISBLANK(G458),"",VLOOKUP(H458,code!B:C,2,FALSE))</f>
        <v>1</v>
      </c>
      <c r="C458">
        <f t="shared" si="14"/>
        <v>0</v>
      </c>
      <c r="D458">
        <v>2023</v>
      </c>
      <c r="E458">
        <v>163268</v>
      </c>
      <c r="F458" t="s">
        <v>136</v>
      </c>
      <c r="G458" t="s">
        <v>284</v>
      </c>
      <c r="H458" t="s">
        <v>9</v>
      </c>
      <c r="I458">
        <v>61653</v>
      </c>
      <c r="J458">
        <f>I458/VLOOKUP($D458,CPI!$P$16:$R$22,3,FALSE)</f>
        <v>61653</v>
      </c>
      <c r="K458">
        <f t="shared" si="15"/>
        <v>0</v>
      </c>
      <c r="L458" s="3" cm="1">
        <f t="array" ref="L458">IF($C458=0,INDEX('24&amp;25'!$L:$L,MATCH($D458&amp;$B458&amp;$E458,'24&amp;25'!$B:$B&amp;'24&amp;25'!$A:$A&amp;'24&amp;25'!$C:$C,0)),INDEX('24&amp;25'!$M:$M,MATCH($D458&amp;$B458&amp;$E458,'24&amp;25'!$B:$B&amp;'24&amp;25'!$A:$A&amp;'24&amp;25'!$C:$C,0)))</f>
        <v>0</v>
      </c>
      <c r="M458">
        <f>L458/VLOOKUP($D458,CPI!$P$16:$R$22,3,FALSE)</f>
        <v>0</v>
      </c>
    </row>
    <row r="459" spans="1:13" ht="16" thickBot="1" x14ac:dyDescent="0.25">
      <c r="A459" s="7">
        <v>2</v>
      </c>
      <c r="B459">
        <f>IF(ISBLANK(G459),"",VLOOKUP(H459,code!B:C,2,FALSE))</f>
        <v>2</v>
      </c>
      <c r="C459">
        <f t="shared" si="14"/>
        <v>0</v>
      </c>
      <c r="D459">
        <v>2023</v>
      </c>
      <c r="E459">
        <v>163268</v>
      </c>
      <c r="F459" t="s">
        <v>136</v>
      </c>
      <c r="G459" t="s">
        <v>284</v>
      </c>
      <c r="H459" t="s">
        <v>10</v>
      </c>
      <c r="I459">
        <v>359877</v>
      </c>
      <c r="J459">
        <f>I459/VLOOKUP($D459,CPI!$P$16:$R$22,3,FALSE)</f>
        <v>359877</v>
      </c>
      <c r="K459">
        <f t="shared" si="15"/>
        <v>0</v>
      </c>
      <c r="L459" s="3" cm="1">
        <f t="array" ref="L459">IF($C459=0,INDEX('24&amp;25'!$L:$L,MATCH($D459&amp;$B459&amp;$E459,'24&amp;25'!$B:$B&amp;'24&amp;25'!$A:$A&amp;'24&amp;25'!$C:$C,0)),INDEX('24&amp;25'!$M:$M,MATCH($D459&amp;$B459&amp;$E459,'24&amp;25'!$B:$B&amp;'24&amp;25'!$A:$A&amp;'24&amp;25'!$C:$C,0)))</f>
        <v>108701</v>
      </c>
      <c r="M459">
        <f>L459/VLOOKUP($D459,CPI!$P$16:$R$22,3,FALSE)</f>
        <v>108701</v>
      </c>
    </row>
    <row r="460" spans="1:13" ht="16" thickBot="1" x14ac:dyDescent="0.25">
      <c r="A460" s="7">
        <v>2</v>
      </c>
      <c r="B460">
        <f>IF(ISBLANK(G460),"",VLOOKUP(H460,code!B:C,2,FALSE))</f>
        <v>12</v>
      </c>
      <c r="C460">
        <f t="shared" si="14"/>
        <v>0</v>
      </c>
      <c r="D460">
        <v>2023</v>
      </c>
      <c r="E460">
        <v>163268</v>
      </c>
      <c r="F460" t="s">
        <v>136</v>
      </c>
      <c r="G460" t="s">
        <v>284</v>
      </c>
      <c r="H460" t="s">
        <v>20</v>
      </c>
      <c r="I460">
        <v>55896</v>
      </c>
      <c r="J460">
        <f>I460/VLOOKUP($D460,CPI!$P$16:$R$22,3,FALSE)</f>
        <v>55896</v>
      </c>
      <c r="K460">
        <f t="shared" si="15"/>
        <v>0</v>
      </c>
      <c r="L460" s="3" cm="1">
        <f t="array" ref="L460">IF($C460=0,INDEX('24&amp;25'!$L:$L,MATCH($D460&amp;$B460&amp;$E460,'24&amp;25'!$B:$B&amp;'24&amp;25'!$A:$A&amp;'24&amp;25'!$C:$C,0)),INDEX('24&amp;25'!$M:$M,MATCH($D460&amp;$B460&amp;$E460,'24&amp;25'!$B:$B&amp;'24&amp;25'!$A:$A&amp;'24&amp;25'!$C:$C,0)))</f>
        <v>0</v>
      </c>
      <c r="M460">
        <f>L460/VLOOKUP($D460,CPI!$P$16:$R$22,3,FALSE)</f>
        <v>0</v>
      </c>
    </row>
    <row r="461" spans="1:13" ht="16" thickBot="1" x14ac:dyDescent="0.25">
      <c r="A461" s="7">
        <v>2</v>
      </c>
      <c r="B461">
        <f>IF(ISBLANK(G461),"",VLOOKUP(H461,code!B:C,2,FALSE))</f>
        <v>17</v>
      </c>
      <c r="C461">
        <f t="shared" si="14"/>
        <v>0</v>
      </c>
      <c r="D461">
        <v>2023</v>
      </c>
      <c r="E461">
        <v>163268</v>
      </c>
      <c r="F461" t="s">
        <v>136</v>
      </c>
      <c r="G461" t="s">
        <v>284</v>
      </c>
      <c r="H461" t="s">
        <v>25</v>
      </c>
      <c r="I461">
        <v>28214</v>
      </c>
      <c r="J461">
        <f>I461/VLOOKUP($D461,CPI!$P$16:$R$22,3,FALSE)</f>
        <v>28214</v>
      </c>
      <c r="K461">
        <f t="shared" si="15"/>
        <v>0</v>
      </c>
      <c r="L461" s="3" cm="1">
        <f t="array" ref="L461">IF($C461=0,INDEX('24&amp;25'!$L:$L,MATCH($D461&amp;$B461&amp;$E461,'24&amp;25'!$B:$B&amp;'24&amp;25'!$A:$A&amp;'24&amp;25'!$C:$C,0)),INDEX('24&amp;25'!$M:$M,MATCH($D461&amp;$B461&amp;$E461,'24&amp;25'!$B:$B&amp;'24&amp;25'!$A:$A&amp;'24&amp;25'!$C:$C,0)))</f>
        <v>0</v>
      </c>
      <c r="M461">
        <f>L461/VLOOKUP($D461,CPI!$P$16:$R$22,3,FALSE)</f>
        <v>0</v>
      </c>
    </row>
    <row r="462" spans="1:13" ht="16" thickBot="1" x14ac:dyDescent="0.25">
      <c r="A462" s="7">
        <v>2</v>
      </c>
      <c r="B462">
        <f>IF(ISBLANK(G462),"",VLOOKUP(H462,code!B:C,2,FALSE))</f>
        <v>19</v>
      </c>
      <c r="C462">
        <f t="shared" si="14"/>
        <v>0</v>
      </c>
      <c r="D462">
        <v>2023</v>
      </c>
      <c r="E462">
        <v>163268</v>
      </c>
      <c r="F462" t="s">
        <v>136</v>
      </c>
      <c r="G462" t="s">
        <v>284</v>
      </c>
      <c r="H462" t="s">
        <v>27</v>
      </c>
      <c r="I462">
        <v>40589</v>
      </c>
      <c r="J462">
        <f>I462/VLOOKUP($D462,CPI!$P$16:$R$22,3,FALSE)</f>
        <v>40589</v>
      </c>
      <c r="K462">
        <f t="shared" si="15"/>
        <v>0</v>
      </c>
      <c r="L462" s="3" cm="1">
        <f t="array" ref="L462">IF($C462=0,INDEX('24&amp;25'!$L:$L,MATCH($D462&amp;$B462&amp;$E462,'24&amp;25'!$B:$B&amp;'24&amp;25'!$A:$A&amp;'24&amp;25'!$C:$C,0)),INDEX('24&amp;25'!$M:$M,MATCH($D462&amp;$B462&amp;$E462,'24&amp;25'!$B:$B&amp;'24&amp;25'!$A:$A&amp;'24&amp;25'!$C:$C,0)))</f>
        <v>0</v>
      </c>
      <c r="M462">
        <f>L462/VLOOKUP($D462,CPI!$P$16:$R$22,3,FALSE)</f>
        <v>0</v>
      </c>
    </row>
    <row r="463" spans="1:13" ht="16" thickBot="1" x14ac:dyDescent="0.25">
      <c r="A463" s="7">
        <v>2</v>
      </c>
      <c r="B463">
        <f>IF(ISBLANK(G463),"",VLOOKUP(H463,code!B:C,2,FALSE))</f>
        <v>21</v>
      </c>
      <c r="C463">
        <f t="shared" si="14"/>
        <v>0</v>
      </c>
      <c r="D463">
        <v>2023</v>
      </c>
      <c r="E463">
        <v>163268</v>
      </c>
      <c r="F463" t="s">
        <v>136</v>
      </c>
      <c r="G463" t="s">
        <v>284</v>
      </c>
      <c r="H463" t="s">
        <v>31</v>
      </c>
      <c r="I463">
        <v>6485</v>
      </c>
      <c r="J463">
        <f>I463/VLOOKUP($D463,CPI!$P$16:$R$22,3,FALSE)</f>
        <v>6485</v>
      </c>
      <c r="K463">
        <f t="shared" si="15"/>
        <v>0</v>
      </c>
      <c r="L463" s="3" cm="1">
        <f t="array" ref="L463">IF($C463=0,INDEX('24&amp;25'!$L:$L,MATCH($D463&amp;$B463&amp;$E463,'24&amp;25'!$B:$B&amp;'24&amp;25'!$A:$A&amp;'24&amp;25'!$C:$C,0)),INDEX('24&amp;25'!$M:$M,MATCH($D463&amp;$B463&amp;$E463,'24&amp;25'!$B:$B&amp;'24&amp;25'!$A:$A&amp;'24&amp;25'!$C:$C,0)))</f>
        <v>0</v>
      </c>
      <c r="M463">
        <f>L463/VLOOKUP($D463,CPI!$P$16:$R$22,3,FALSE)</f>
        <v>0</v>
      </c>
    </row>
    <row r="464" spans="1:13" ht="16" thickBot="1" x14ac:dyDescent="0.25">
      <c r="A464" s="7">
        <v>2</v>
      </c>
      <c r="B464">
        <f>IF(ISBLANK(G464),"",VLOOKUP(H464,code!B:C,2,FALSE))</f>
        <v>2</v>
      </c>
      <c r="C464">
        <f t="shared" si="14"/>
        <v>1</v>
      </c>
      <c r="D464">
        <v>2023</v>
      </c>
      <c r="E464">
        <v>163268</v>
      </c>
      <c r="F464" t="s">
        <v>136</v>
      </c>
      <c r="G464" t="s">
        <v>285</v>
      </c>
      <c r="H464" t="s">
        <v>10</v>
      </c>
      <c r="I464">
        <v>66154</v>
      </c>
      <c r="J464">
        <f>I464/VLOOKUP($D464,CPI!$P$16:$R$22,3,FALSE)</f>
        <v>66154</v>
      </c>
      <c r="K464">
        <f t="shared" si="15"/>
        <v>0</v>
      </c>
      <c r="L464" s="3" cm="1">
        <f t="array" ref="L464">IF($C464=0,INDEX('24&amp;25'!$L:$L,MATCH($D464&amp;$B464&amp;$E464,'24&amp;25'!$B:$B&amp;'24&amp;25'!$A:$A&amp;'24&amp;25'!$C:$C,0)),INDEX('24&amp;25'!$M:$M,MATCH($D464&amp;$B464&amp;$E464,'24&amp;25'!$B:$B&amp;'24&amp;25'!$A:$A&amp;'24&amp;25'!$C:$C,0)))</f>
        <v>53314</v>
      </c>
      <c r="M464">
        <f>L464/VLOOKUP($D464,CPI!$P$16:$R$22,3,FALSE)</f>
        <v>53314</v>
      </c>
    </row>
    <row r="465" spans="1:13" ht="16" thickBot="1" x14ac:dyDescent="0.25">
      <c r="A465" s="7">
        <v>2</v>
      </c>
      <c r="B465">
        <f>IF(ISBLANK(G465),"",VLOOKUP(H465,code!B:C,2,FALSE))</f>
        <v>12</v>
      </c>
      <c r="C465">
        <f t="shared" si="14"/>
        <v>1</v>
      </c>
      <c r="D465">
        <v>2023</v>
      </c>
      <c r="E465">
        <v>163268</v>
      </c>
      <c r="F465" t="s">
        <v>136</v>
      </c>
      <c r="G465" t="s">
        <v>285</v>
      </c>
      <c r="H465" t="s">
        <v>20</v>
      </c>
      <c r="I465">
        <v>12007</v>
      </c>
      <c r="J465">
        <f>I465/VLOOKUP($D465,CPI!$P$16:$R$22,3,FALSE)</f>
        <v>12007</v>
      </c>
      <c r="K465">
        <f t="shared" si="15"/>
        <v>0</v>
      </c>
      <c r="L465" s="3" cm="1">
        <f t="array" ref="L465">IF($C465=0,INDEX('24&amp;25'!$L:$L,MATCH($D465&amp;$B465&amp;$E465,'24&amp;25'!$B:$B&amp;'24&amp;25'!$A:$A&amp;'24&amp;25'!$C:$C,0)),INDEX('24&amp;25'!$M:$M,MATCH($D465&amp;$B465&amp;$E465,'24&amp;25'!$B:$B&amp;'24&amp;25'!$A:$A&amp;'24&amp;25'!$C:$C,0)))</f>
        <v>0</v>
      </c>
      <c r="M465">
        <f>L465/VLOOKUP($D465,CPI!$P$16:$R$22,3,FALSE)</f>
        <v>0</v>
      </c>
    </row>
    <row r="466" spans="1:13" ht="16" thickBot="1" x14ac:dyDescent="0.25">
      <c r="A466" s="7">
        <v>2</v>
      </c>
      <c r="B466">
        <f>IF(ISBLANK(G466),"",VLOOKUP(H466,code!B:C,2,FALSE))</f>
        <v>17</v>
      </c>
      <c r="C466">
        <f t="shared" si="14"/>
        <v>1</v>
      </c>
      <c r="D466">
        <v>2023</v>
      </c>
      <c r="E466">
        <v>163268</v>
      </c>
      <c r="F466" t="s">
        <v>136</v>
      </c>
      <c r="G466" t="s">
        <v>285</v>
      </c>
      <c r="H466" t="s">
        <v>25</v>
      </c>
      <c r="I466">
        <v>13851</v>
      </c>
      <c r="J466">
        <f>I466/VLOOKUP($D466,CPI!$P$16:$R$22,3,FALSE)</f>
        <v>13851</v>
      </c>
      <c r="K466">
        <f t="shared" si="15"/>
        <v>0</v>
      </c>
      <c r="L466" s="3" cm="1">
        <f t="array" ref="L466">IF($C466=0,INDEX('24&amp;25'!$L:$L,MATCH($D466&amp;$B466&amp;$E466,'24&amp;25'!$B:$B&amp;'24&amp;25'!$A:$A&amp;'24&amp;25'!$C:$C,0)),INDEX('24&amp;25'!$M:$M,MATCH($D466&amp;$B466&amp;$E466,'24&amp;25'!$B:$B&amp;'24&amp;25'!$A:$A&amp;'24&amp;25'!$C:$C,0)))</f>
        <v>0</v>
      </c>
      <c r="M466">
        <f>L466/VLOOKUP($D466,CPI!$P$16:$R$22,3,FALSE)</f>
        <v>0</v>
      </c>
    </row>
    <row r="467" spans="1:13" ht="16" thickBot="1" x14ac:dyDescent="0.25">
      <c r="A467" s="7">
        <v>2</v>
      </c>
      <c r="B467">
        <f>IF(ISBLANK(G467),"",VLOOKUP(H467,code!B:C,2,FALSE))</f>
        <v>18</v>
      </c>
      <c r="C467">
        <f t="shared" si="14"/>
        <v>1</v>
      </c>
      <c r="D467">
        <v>2023</v>
      </c>
      <c r="E467">
        <v>163268</v>
      </c>
      <c r="F467" t="s">
        <v>136</v>
      </c>
      <c r="G467" t="s">
        <v>285</v>
      </c>
      <c r="H467" t="s">
        <v>26</v>
      </c>
      <c r="I467">
        <v>11629</v>
      </c>
      <c r="J467">
        <f>I467/VLOOKUP($D467,CPI!$P$16:$R$22,3,FALSE)</f>
        <v>11629</v>
      </c>
      <c r="K467">
        <f t="shared" si="15"/>
        <v>0</v>
      </c>
      <c r="L467" s="3" cm="1">
        <f t="array" ref="L467">IF($C467=0,INDEX('24&amp;25'!$L:$L,MATCH($D467&amp;$B467&amp;$E467,'24&amp;25'!$B:$B&amp;'24&amp;25'!$A:$A&amp;'24&amp;25'!$C:$C,0)),INDEX('24&amp;25'!$M:$M,MATCH($D467&amp;$B467&amp;$E467,'24&amp;25'!$B:$B&amp;'24&amp;25'!$A:$A&amp;'24&amp;25'!$C:$C,0)))</f>
        <v>0</v>
      </c>
      <c r="M467">
        <f>L467/VLOOKUP($D467,CPI!$P$16:$R$22,3,FALSE)</f>
        <v>0</v>
      </c>
    </row>
    <row r="468" spans="1:13" ht="16" thickBot="1" x14ac:dyDescent="0.25">
      <c r="A468" s="7">
        <v>2</v>
      </c>
      <c r="B468">
        <f>IF(ISBLANK(G468),"",VLOOKUP(H468,code!B:C,2,FALSE))</f>
        <v>19</v>
      </c>
      <c r="C468">
        <f t="shared" si="14"/>
        <v>1</v>
      </c>
      <c r="D468">
        <v>2023</v>
      </c>
      <c r="E468">
        <v>163268</v>
      </c>
      <c r="F468" t="s">
        <v>136</v>
      </c>
      <c r="G468" t="s">
        <v>285</v>
      </c>
      <c r="H468" t="s">
        <v>27</v>
      </c>
      <c r="I468">
        <v>40589</v>
      </c>
      <c r="J468">
        <f>I468/VLOOKUP($D468,CPI!$P$16:$R$22,3,FALSE)</f>
        <v>40589</v>
      </c>
      <c r="K468">
        <f t="shared" si="15"/>
        <v>0</v>
      </c>
      <c r="L468" s="3" cm="1">
        <f t="array" ref="L468">IF($C468=0,INDEX('24&amp;25'!$L:$L,MATCH($D468&amp;$B468&amp;$E468,'24&amp;25'!$B:$B&amp;'24&amp;25'!$A:$A&amp;'24&amp;25'!$C:$C,0)),INDEX('24&amp;25'!$M:$M,MATCH($D468&amp;$B468&amp;$E468,'24&amp;25'!$B:$B&amp;'24&amp;25'!$A:$A&amp;'24&amp;25'!$C:$C,0)))</f>
        <v>0</v>
      </c>
      <c r="M468">
        <f>L468/VLOOKUP($D468,CPI!$P$16:$R$22,3,FALSE)</f>
        <v>0</v>
      </c>
    </row>
    <row r="469" spans="1:13" ht="16" thickBot="1" x14ac:dyDescent="0.25">
      <c r="A469" s="7">
        <v>2</v>
      </c>
      <c r="B469">
        <f>IF(ISBLANK(G469),"",VLOOKUP(H469,code!B:C,2,FALSE))</f>
        <v>21</v>
      </c>
      <c r="C469">
        <f t="shared" si="14"/>
        <v>1</v>
      </c>
      <c r="D469">
        <v>2023</v>
      </c>
      <c r="E469">
        <v>163268</v>
      </c>
      <c r="F469" t="s">
        <v>136</v>
      </c>
      <c r="G469" t="s">
        <v>285</v>
      </c>
      <c r="H469" t="s">
        <v>31</v>
      </c>
      <c r="I469">
        <v>6485</v>
      </c>
      <c r="J469">
        <f>I469/VLOOKUP($D469,CPI!$P$16:$R$22,3,FALSE)</f>
        <v>6485</v>
      </c>
      <c r="K469">
        <f t="shared" si="15"/>
        <v>0</v>
      </c>
      <c r="L469" s="3" cm="1">
        <f t="array" ref="L469">IF($C469=0,INDEX('24&amp;25'!$L:$L,MATCH($D469&amp;$B469&amp;$E469,'24&amp;25'!$B:$B&amp;'24&amp;25'!$A:$A&amp;'24&amp;25'!$C:$C,0)),INDEX('24&amp;25'!$M:$M,MATCH($D469&amp;$B469&amp;$E469,'24&amp;25'!$B:$B&amp;'24&amp;25'!$A:$A&amp;'24&amp;25'!$C:$C,0)))</f>
        <v>0</v>
      </c>
      <c r="M469">
        <f>L469/VLOOKUP($D469,CPI!$P$16:$R$22,3,FALSE)</f>
        <v>0</v>
      </c>
    </row>
    <row r="470" spans="1:13" ht="16" thickBot="1" x14ac:dyDescent="0.25">
      <c r="A470" s="7">
        <v>2</v>
      </c>
      <c r="B470">
        <f>IF(ISBLANK(G470),"",VLOOKUP(H470,code!B:C,2,FALSE))</f>
        <v>23</v>
      </c>
      <c r="C470">
        <f t="shared" si="14"/>
        <v>1</v>
      </c>
      <c r="D470">
        <v>2023</v>
      </c>
      <c r="E470">
        <v>163268</v>
      </c>
      <c r="F470" t="s">
        <v>136</v>
      </c>
      <c r="G470" t="s">
        <v>285</v>
      </c>
      <c r="H470" t="s">
        <v>33</v>
      </c>
      <c r="I470">
        <v>12153</v>
      </c>
      <c r="J470">
        <f>I470/VLOOKUP($D470,CPI!$P$16:$R$22,3,FALSE)</f>
        <v>12153</v>
      </c>
      <c r="K470">
        <f t="shared" si="15"/>
        <v>0</v>
      </c>
      <c r="L470" s="3" cm="1">
        <f t="array" ref="L470">IF($C470=0,INDEX('24&amp;25'!$L:$L,MATCH($D470&amp;$B470&amp;$E470,'24&amp;25'!$B:$B&amp;'24&amp;25'!$A:$A&amp;'24&amp;25'!$C:$C,0)),INDEX('24&amp;25'!$M:$M,MATCH($D470&amp;$B470&amp;$E470,'24&amp;25'!$B:$B&amp;'24&amp;25'!$A:$A&amp;'24&amp;25'!$C:$C,0)))</f>
        <v>0</v>
      </c>
      <c r="M470">
        <f>L470/VLOOKUP($D470,CPI!$P$16:$R$22,3,FALSE)</f>
        <v>0</v>
      </c>
    </row>
    <row r="471" spans="1:13" ht="16" thickBot="1" x14ac:dyDescent="0.25">
      <c r="A471" s="7">
        <v>2</v>
      </c>
      <c r="B471">
        <f>IF(ISBLANK(G471),"",VLOOKUP(H471,code!B:C,2,FALSE))</f>
        <v>1</v>
      </c>
      <c r="C471">
        <f t="shared" si="14"/>
        <v>0</v>
      </c>
      <c r="D471">
        <v>2017</v>
      </c>
      <c r="E471">
        <v>199218</v>
      </c>
      <c r="F471" t="s">
        <v>175</v>
      </c>
      <c r="G471" t="s">
        <v>284</v>
      </c>
      <c r="H471" t="s">
        <v>9</v>
      </c>
      <c r="I471">
        <v>134186</v>
      </c>
      <c r="J471">
        <f>I471/VLOOKUP($D471,CPI!$P$16:$R$22,3,FALSE)</f>
        <v>165722.32148324896</v>
      </c>
      <c r="K471">
        <f t="shared" si="15"/>
        <v>0</v>
      </c>
      <c r="L471" s="3" cm="1">
        <f t="array" ref="L471">IF($C471=0,INDEX('24&amp;25'!$L:$L,MATCH($D471&amp;$B471&amp;$E471,'24&amp;25'!$B:$B&amp;'24&amp;25'!$A:$A&amp;'24&amp;25'!$C:$C,0)),INDEX('24&amp;25'!$M:$M,MATCH($D471&amp;$B471&amp;$E471,'24&amp;25'!$B:$B&amp;'24&amp;25'!$A:$A&amp;'24&amp;25'!$C:$C,0)))</f>
        <v>25192</v>
      </c>
      <c r="M471">
        <f>L471/VLOOKUP($D471,CPI!$P$16:$R$22,3,FALSE)</f>
        <v>31112.610278315235</v>
      </c>
    </row>
    <row r="472" spans="1:13" ht="16" thickBot="1" x14ac:dyDescent="0.25">
      <c r="A472" s="7">
        <v>2</v>
      </c>
      <c r="B472">
        <f>IF(ISBLANK(G472),"",VLOOKUP(H472,code!B:C,2,FALSE))</f>
        <v>2</v>
      </c>
      <c r="C472">
        <f t="shared" si="14"/>
        <v>0</v>
      </c>
      <c r="D472">
        <v>2017</v>
      </c>
      <c r="E472">
        <v>199218</v>
      </c>
      <c r="F472" t="s">
        <v>175</v>
      </c>
      <c r="G472" t="s">
        <v>284</v>
      </c>
      <c r="H472" t="s">
        <v>10</v>
      </c>
      <c r="I472">
        <v>895731</v>
      </c>
      <c r="J472">
        <f>I472/VLOOKUP($D472,CPI!$P$16:$R$22,3,FALSE)</f>
        <v>1106245.2174184497</v>
      </c>
      <c r="K472">
        <f t="shared" si="15"/>
        <v>0</v>
      </c>
      <c r="L472" s="3" cm="1">
        <f t="array" ref="L472">IF($C472=0,INDEX('24&amp;25'!$L:$L,MATCH($D472&amp;$B472&amp;$E472,'24&amp;25'!$B:$B&amp;'24&amp;25'!$A:$A&amp;'24&amp;25'!$C:$C,0)),INDEX('24&amp;25'!$M:$M,MATCH($D472&amp;$B472&amp;$E472,'24&amp;25'!$B:$B&amp;'24&amp;25'!$A:$A&amp;'24&amp;25'!$C:$C,0)))</f>
        <v>-47669</v>
      </c>
      <c r="M472">
        <f>L472/VLOOKUP($D472,CPI!$P$16:$R$22,3,FALSE)</f>
        <v>-58872.142718204545</v>
      </c>
    </row>
    <row r="473" spans="1:13" ht="16" thickBot="1" x14ac:dyDescent="0.25">
      <c r="A473" s="7">
        <v>2</v>
      </c>
      <c r="B473">
        <f>IF(ISBLANK(G473),"",VLOOKUP(H473,code!B:C,2,FALSE))</f>
        <v>9</v>
      </c>
      <c r="C473">
        <f t="shared" si="14"/>
        <v>0</v>
      </c>
      <c r="D473">
        <v>2017</v>
      </c>
      <c r="E473">
        <v>199218</v>
      </c>
      <c r="F473" t="s">
        <v>175</v>
      </c>
      <c r="G473" t="s">
        <v>284</v>
      </c>
      <c r="H473" t="s">
        <v>17</v>
      </c>
      <c r="I473">
        <v>28005</v>
      </c>
      <c r="J473">
        <f>I473/VLOOKUP($D473,CPI!$P$16:$R$22,3,FALSE)</f>
        <v>34586.720023984526</v>
      </c>
      <c r="K473">
        <f t="shared" si="15"/>
        <v>0</v>
      </c>
      <c r="L473" s="3" cm="1">
        <f t="array" ref="L473">IF($C473=0,INDEX('24&amp;25'!$L:$L,MATCH($D473&amp;$B473&amp;$E473,'24&amp;25'!$B:$B&amp;'24&amp;25'!$A:$A&amp;'24&amp;25'!$C:$C,0)),INDEX('24&amp;25'!$M:$M,MATCH($D473&amp;$B473&amp;$E473,'24&amp;25'!$B:$B&amp;'24&amp;25'!$A:$A&amp;'24&amp;25'!$C:$C,0)))</f>
        <v>-277</v>
      </c>
      <c r="M473">
        <f>L473/VLOOKUP($D473,CPI!$P$16:$R$22,3,FALSE)</f>
        <v>-342.10039088176086</v>
      </c>
    </row>
    <row r="474" spans="1:13" ht="16" thickBot="1" x14ac:dyDescent="0.25">
      <c r="A474" s="7">
        <v>2</v>
      </c>
      <c r="B474">
        <f>IF(ISBLANK(G474),"",VLOOKUP(H474,code!B:C,2,FALSE))</f>
        <v>17</v>
      </c>
      <c r="C474">
        <f t="shared" si="14"/>
        <v>0</v>
      </c>
      <c r="D474">
        <v>2017</v>
      </c>
      <c r="E474">
        <v>199218</v>
      </c>
      <c r="F474" t="s">
        <v>175</v>
      </c>
      <c r="G474" t="s">
        <v>284</v>
      </c>
      <c r="H474" t="s">
        <v>25</v>
      </c>
      <c r="I474">
        <v>23859</v>
      </c>
      <c r="J474">
        <f>I474/VLOOKUP($D474,CPI!$P$16:$R$22,3,FALSE)</f>
        <v>29466.329335913117</v>
      </c>
      <c r="K474">
        <f t="shared" si="15"/>
        <v>0</v>
      </c>
      <c r="L474" s="3" cm="1">
        <f t="array" ref="L474">IF($C474=0,INDEX('24&amp;25'!$L:$L,MATCH($D474&amp;$B474&amp;$E474,'24&amp;25'!$B:$B&amp;'24&amp;25'!$A:$A&amp;'24&amp;25'!$C:$C,0)),INDEX('24&amp;25'!$M:$M,MATCH($D474&amp;$B474&amp;$E474,'24&amp;25'!$B:$B&amp;'24&amp;25'!$A:$A&amp;'24&amp;25'!$C:$C,0)))</f>
        <v>5318</v>
      </c>
      <c r="M474">
        <f>L474/VLOOKUP($D474,CPI!$P$16:$R$22,3,FALSE)</f>
        <v>6567.8334971451422</v>
      </c>
    </row>
    <row r="475" spans="1:13" ht="16" thickBot="1" x14ac:dyDescent="0.25">
      <c r="A475" s="7">
        <v>2</v>
      </c>
      <c r="B475">
        <f>IF(ISBLANK(G475),"",VLOOKUP(H475,code!B:C,2,FALSE))</f>
        <v>19</v>
      </c>
      <c r="C475">
        <f t="shared" si="14"/>
        <v>0</v>
      </c>
      <c r="D475">
        <v>2017</v>
      </c>
      <c r="E475">
        <v>199218</v>
      </c>
      <c r="F475" t="s">
        <v>175</v>
      </c>
      <c r="G475" t="s">
        <v>284</v>
      </c>
      <c r="H475" t="s">
        <v>27</v>
      </c>
      <c r="I475">
        <v>1663</v>
      </c>
      <c r="J475">
        <f>I475/VLOOKUP($D475,CPI!$P$16:$R$22,3,FALSE)</f>
        <v>2053.8373647522321</v>
      </c>
      <c r="K475">
        <f t="shared" si="15"/>
        <v>0</v>
      </c>
      <c r="L475" s="3" cm="1">
        <f t="array" ref="L475">IF($C475=0,INDEX('24&amp;25'!$L:$L,MATCH($D475&amp;$B475&amp;$E475,'24&amp;25'!$B:$B&amp;'24&amp;25'!$A:$A&amp;'24&amp;25'!$C:$C,0)),INDEX('24&amp;25'!$M:$M,MATCH($D475&amp;$B475&amp;$E475,'24&amp;25'!$B:$B&amp;'24&amp;25'!$A:$A&amp;'24&amp;25'!$C:$C,0)))</f>
        <v>2260</v>
      </c>
      <c r="M475">
        <f>L475/VLOOKUP($D475,CPI!$P$16:$R$22,3,FALSE)</f>
        <v>2791.1439833674353</v>
      </c>
    </row>
    <row r="476" spans="1:13" ht="16" thickBot="1" x14ac:dyDescent="0.25">
      <c r="A476" s="7">
        <v>2</v>
      </c>
      <c r="B476">
        <f>IF(ISBLANK(G476),"",VLOOKUP(H476,code!B:C,2,FALSE))</f>
        <v>20</v>
      </c>
      <c r="C476">
        <f t="shared" si="14"/>
        <v>0</v>
      </c>
      <c r="D476">
        <v>2017</v>
      </c>
      <c r="E476">
        <v>199218</v>
      </c>
      <c r="F476" t="s">
        <v>175</v>
      </c>
      <c r="G476" t="s">
        <v>284</v>
      </c>
      <c r="H476" t="s">
        <v>28</v>
      </c>
      <c r="I476">
        <v>1161</v>
      </c>
      <c r="J476">
        <f>I476/VLOOKUP($D476,CPI!$P$16:$R$22,3,FALSE)</f>
        <v>1433.8575949953949</v>
      </c>
      <c r="K476">
        <f t="shared" si="15"/>
        <v>0</v>
      </c>
      <c r="L476" s="3" cm="1">
        <f t="array" ref="L476">IF($C476=0,INDEX('24&amp;25'!$L:$L,MATCH($D476&amp;$B476&amp;$E476,'24&amp;25'!$B:$B&amp;'24&amp;25'!$A:$A&amp;'24&amp;25'!$C:$C,0)),INDEX('24&amp;25'!$M:$M,MATCH($D476&amp;$B476&amp;$E476,'24&amp;25'!$B:$B&amp;'24&amp;25'!$A:$A&amp;'24&amp;25'!$C:$C,0)))</f>
        <v>3019</v>
      </c>
      <c r="M476">
        <f>L476/VLOOKUP($D476,CPI!$P$16:$R$22,3,FALSE)</f>
        <v>3728.5237547726933</v>
      </c>
    </row>
    <row r="477" spans="1:13" ht="16" thickBot="1" x14ac:dyDescent="0.25">
      <c r="A477" s="7">
        <v>2</v>
      </c>
      <c r="B477">
        <f>IF(ISBLANK(G477),"",VLOOKUP(H477,code!B:C,2,FALSE))</f>
        <v>21</v>
      </c>
      <c r="C477">
        <f t="shared" si="14"/>
        <v>0</v>
      </c>
      <c r="D477">
        <v>2017</v>
      </c>
      <c r="E477">
        <v>199218</v>
      </c>
      <c r="F477" t="s">
        <v>175</v>
      </c>
      <c r="G477" t="s">
        <v>284</v>
      </c>
      <c r="H477" t="s">
        <v>30</v>
      </c>
      <c r="I477">
        <v>12131</v>
      </c>
      <c r="J477">
        <f>I477/VLOOKUP($D477,CPI!$P$16:$R$22,3,FALSE)</f>
        <v>14982.02108948246</v>
      </c>
      <c r="K477">
        <f t="shared" si="15"/>
        <v>0</v>
      </c>
      <c r="L477" s="3" cm="1">
        <f t="array" ref="L477">IF($C477=0,INDEX('24&amp;25'!$L:$L,MATCH($D477&amp;$B477&amp;$E477,'24&amp;25'!$B:$B&amp;'24&amp;25'!$A:$A&amp;'24&amp;25'!$C:$C,0)),INDEX('24&amp;25'!$M:$M,MATCH($D477&amp;$B477&amp;$E477,'24&amp;25'!$B:$B&amp;'24&amp;25'!$A:$A&amp;'24&amp;25'!$C:$C,0)))</f>
        <v>1657</v>
      </c>
      <c r="M477">
        <f>L477/VLOOKUP($D477,CPI!$P$16:$R$22,3,FALSE)</f>
        <v>2046.4272479822303</v>
      </c>
    </row>
    <row r="478" spans="1:13" ht="16" thickBot="1" x14ac:dyDescent="0.25">
      <c r="A478" s="7">
        <v>2</v>
      </c>
      <c r="B478">
        <f>IF(ISBLANK(G478),"",VLOOKUP(H478,code!B:C,2,FALSE))</f>
        <v>2</v>
      </c>
      <c r="C478">
        <f t="shared" si="14"/>
        <v>1</v>
      </c>
      <c r="D478">
        <v>2017</v>
      </c>
      <c r="E478">
        <v>199218</v>
      </c>
      <c r="F478" t="s">
        <v>175</v>
      </c>
      <c r="G478" t="s">
        <v>285</v>
      </c>
      <c r="H478" t="s">
        <v>10</v>
      </c>
      <c r="I478">
        <v>55853</v>
      </c>
      <c r="J478">
        <f>I478/VLOOKUP($D478,CPI!$P$16:$R$22,3,FALSE)</f>
        <v>68979.541992487328</v>
      </c>
      <c r="K478">
        <f t="shared" si="15"/>
        <v>0</v>
      </c>
      <c r="L478" s="3" cm="1">
        <f t="array" ref="L478">IF($C478=0,INDEX('24&amp;25'!$L:$L,MATCH($D478&amp;$B478&amp;$E478,'24&amp;25'!$B:$B&amp;'24&amp;25'!$A:$A&amp;'24&amp;25'!$C:$C,0)),INDEX('24&amp;25'!$M:$M,MATCH($D478&amp;$B478&amp;$E478,'24&amp;25'!$B:$B&amp;'24&amp;25'!$A:$A&amp;'24&amp;25'!$C:$C,0)))</f>
        <v>-14027</v>
      </c>
      <c r="M478">
        <f>L478/VLOOKUP($D478,CPI!$P$16:$R$22,3,FALSE)</f>
        <v>-17323.617988803104</v>
      </c>
    </row>
    <row r="479" spans="1:13" ht="16" thickBot="1" x14ac:dyDescent="0.25">
      <c r="A479" s="7">
        <v>2</v>
      </c>
      <c r="B479">
        <f>IF(ISBLANK(G479),"",VLOOKUP(H479,code!B:C,2,FALSE))</f>
        <v>3</v>
      </c>
      <c r="C479">
        <f t="shared" si="14"/>
        <v>1</v>
      </c>
      <c r="D479">
        <v>2017</v>
      </c>
      <c r="E479">
        <v>199218</v>
      </c>
      <c r="F479" t="s">
        <v>175</v>
      </c>
      <c r="G479" t="s">
        <v>285</v>
      </c>
      <c r="H479" t="s">
        <v>11</v>
      </c>
      <c r="I479">
        <v>0</v>
      </c>
      <c r="J479">
        <f>I479/VLOOKUP($D479,CPI!$P$16:$R$22,3,FALSE)</f>
        <v>0</v>
      </c>
      <c r="K479">
        <f t="shared" si="15"/>
        <v>0</v>
      </c>
      <c r="L479" s="3" cm="1">
        <f t="array" ref="L479">IF($C479=0,INDEX('24&amp;25'!$L:$L,MATCH($D479&amp;$B479&amp;$E479,'24&amp;25'!$B:$B&amp;'24&amp;25'!$A:$A&amp;'24&amp;25'!$C:$C,0)),INDEX('24&amp;25'!$M:$M,MATCH($D479&amp;$B479&amp;$E479,'24&amp;25'!$B:$B&amp;'24&amp;25'!$A:$A&amp;'24&amp;25'!$C:$C,0)))</f>
        <v>2705</v>
      </c>
      <c r="M479">
        <f>L479/VLOOKUP($D479,CPI!$P$16:$R$22,3,FALSE)</f>
        <v>3340.7276438092535</v>
      </c>
    </row>
    <row r="480" spans="1:13" ht="16" thickBot="1" x14ac:dyDescent="0.25">
      <c r="A480" s="7">
        <v>2</v>
      </c>
      <c r="B480">
        <f>IF(ISBLANK(G480),"",VLOOKUP(H480,code!B:C,2,FALSE))</f>
        <v>9</v>
      </c>
      <c r="C480">
        <f t="shared" si="14"/>
        <v>1</v>
      </c>
      <c r="D480">
        <v>2017</v>
      </c>
      <c r="E480">
        <v>199218</v>
      </c>
      <c r="F480" t="s">
        <v>175</v>
      </c>
      <c r="G480" t="s">
        <v>285</v>
      </c>
      <c r="H480" t="s">
        <v>17</v>
      </c>
      <c r="I480">
        <v>575</v>
      </c>
      <c r="J480">
        <f>I480/VLOOKUP($D480,CPI!$P$16:$R$22,3,FALSE)</f>
        <v>710.13619045852886</v>
      </c>
      <c r="K480">
        <f t="shared" si="15"/>
        <v>0</v>
      </c>
      <c r="L480" s="3" cm="1">
        <f t="array" ref="L480">IF($C480=0,INDEX('24&amp;25'!$L:$L,MATCH($D480&amp;$B480&amp;$E480,'24&amp;25'!$B:$B&amp;'24&amp;25'!$A:$A&amp;'24&amp;25'!$C:$C,0)),INDEX('24&amp;25'!$M:$M,MATCH($D480&amp;$B480&amp;$E480,'24&amp;25'!$B:$B&amp;'24&amp;25'!$A:$A&amp;'24&amp;25'!$C:$C,0)))</f>
        <v>991</v>
      </c>
      <c r="M480">
        <f>L480/VLOOKUP($D480,CPI!$P$16:$R$22,3,FALSE)</f>
        <v>1223.9042865120036</v>
      </c>
    </row>
    <row r="481" spans="1:13" ht="16" thickBot="1" x14ac:dyDescent="0.25">
      <c r="A481" s="7">
        <v>2</v>
      </c>
      <c r="B481">
        <f>IF(ISBLANK(G481),"",VLOOKUP(H481,code!B:C,2,FALSE))</f>
        <v>17</v>
      </c>
      <c r="C481">
        <f t="shared" si="14"/>
        <v>1</v>
      </c>
      <c r="D481">
        <v>2017</v>
      </c>
      <c r="E481">
        <v>199218</v>
      </c>
      <c r="F481" t="s">
        <v>175</v>
      </c>
      <c r="G481" t="s">
        <v>285</v>
      </c>
      <c r="H481" t="s">
        <v>25</v>
      </c>
      <c r="I481">
        <v>10376</v>
      </c>
      <c r="J481">
        <f>I481/VLOOKUP($D481,CPI!$P$16:$R$22,3,FALSE)</f>
        <v>12814.561934256863</v>
      </c>
      <c r="K481">
        <f t="shared" si="15"/>
        <v>0</v>
      </c>
      <c r="L481" s="3" cm="1">
        <f t="array" ref="L481">IF($C481=0,INDEX('24&amp;25'!$L:$L,MATCH($D481&amp;$B481&amp;$E481,'24&amp;25'!$B:$B&amp;'24&amp;25'!$A:$A&amp;'24&amp;25'!$C:$C,0)),INDEX('24&amp;25'!$M:$M,MATCH($D481&amp;$B481&amp;$E481,'24&amp;25'!$B:$B&amp;'24&amp;25'!$A:$A&amp;'24&amp;25'!$C:$C,0)))</f>
        <v>9416</v>
      </c>
      <c r="M481">
        <f>L481/VLOOKUP($D481,CPI!$P$16:$R$22,3,FALSE)</f>
        <v>11628.943251056537</v>
      </c>
    </row>
    <row r="482" spans="1:13" ht="16" thickBot="1" x14ac:dyDescent="0.25">
      <c r="A482" s="7">
        <v>2</v>
      </c>
      <c r="B482">
        <f>IF(ISBLANK(G482),"",VLOOKUP(H482,code!B:C,2,FALSE))</f>
        <v>18</v>
      </c>
      <c r="C482">
        <f t="shared" si="14"/>
        <v>1</v>
      </c>
      <c r="D482">
        <v>2017</v>
      </c>
      <c r="E482">
        <v>199218</v>
      </c>
      <c r="F482" t="s">
        <v>175</v>
      </c>
      <c r="G482" t="s">
        <v>285</v>
      </c>
      <c r="H482" t="s">
        <v>26</v>
      </c>
      <c r="I482">
        <v>51017</v>
      </c>
      <c r="J482">
        <f>I482/VLOOKUP($D482,CPI!$P$16:$R$22,3,FALSE)</f>
        <v>63006.987875865685</v>
      </c>
      <c r="K482">
        <f t="shared" si="15"/>
        <v>0</v>
      </c>
      <c r="L482" s="3" cm="1">
        <f t="array" ref="L482">IF($C482=0,INDEX('24&amp;25'!$L:$L,MATCH($D482&amp;$B482&amp;$E482,'24&amp;25'!$B:$B&amp;'24&amp;25'!$A:$A&amp;'24&amp;25'!$C:$C,0)),INDEX('24&amp;25'!$M:$M,MATCH($D482&amp;$B482&amp;$E482,'24&amp;25'!$B:$B&amp;'24&amp;25'!$A:$A&amp;'24&amp;25'!$C:$C,0)))</f>
        <v>10541</v>
      </c>
      <c r="M482">
        <f>L482/VLOOKUP($D482,CPI!$P$16:$R$22,3,FALSE)</f>
        <v>13018.340145431919</v>
      </c>
    </row>
    <row r="483" spans="1:13" ht="16" thickBot="1" x14ac:dyDescent="0.25">
      <c r="A483" s="7">
        <v>2</v>
      </c>
      <c r="B483">
        <f>IF(ISBLANK(G483),"",VLOOKUP(H483,code!B:C,2,FALSE))</f>
        <v>19</v>
      </c>
      <c r="C483">
        <f t="shared" si="14"/>
        <v>1</v>
      </c>
      <c r="D483">
        <v>2017</v>
      </c>
      <c r="E483">
        <v>199218</v>
      </c>
      <c r="F483" t="s">
        <v>175</v>
      </c>
      <c r="G483" t="s">
        <v>285</v>
      </c>
      <c r="H483" t="s">
        <v>27</v>
      </c>
      <c r="I483">
        <v>1662</v>
      </c>
      <c r="J483">
        <f>I483/VLOOKUP($D483,CPI!$P$16:$R$22,3,FALSE)</f>
        <v>2052.6023452905652</v>
      </c>
      <c r="K483">
        <f t="shared" si="15"/>
        <v>0</v>
      </c>
      <c r="L483" s="3" cm="1">
        <f t="array" ref="L483">IF($C483=0,INDEX('24&amp;25'!$L:$L,MATCH($D483&amp;$B483&amp;$E483,'24&amp;25'!$B:$B&amp;'24&amp;25'!$A:$A&amp;'24&amp;25'!$C:$C,0)),INDEX('24&amp;25'!$M:$M,MATCH($D483&amp;$B483&amp;$E483,'24&amp;25'!$B:$B&amp;'24&amp;25'!$A:$A&amp;'24&amp;25'!$C:$C,0)))</f>
        <v>2252</v>
      </c>
      <c r="M483">
        <f>L483/VLOOKUP($D483,CPI!$P$16:$R$22,3,FALSE)</f>
        <v>2781.2638276740995</v>
      </c>
    </row>
    <row r="484" spans="1:13" ht="16" thickBot="1" x14ac:dyDescent="0.25">
      <c r="A484" s="7">
        <v>2</v>
      </c>
      <c r="B484">
        <f>IF(ISBLANK(G484),"",VLOOKUP(H484,code!B:C,2,FALSE))</f>
        <v>20</v>
      </c>
      <c r="C484">
        <f t="shared" si="14"/>
        <v>1</v>
      </c>
      <c r="D484">
        <v>2017</v>
      </c>
      <c r="E484">
        <v>199218</v>
      </c>
      <c r="F484" t="s">
        <v>175</v>
      </c>
      <c r="G484" t="s">
        <v>285</v>
      </c>
      <c r="H484" t="s">
        <v>28</v>
      </c>
      <c r="I484">
        <v>1430</v>
      </c>
      <c r="J484">
        <f>I484/VLOOKUP($D484,CPI!$P$16:$R$22,3,FALSE)</f>
        <v>1766.0778301838197</v>
      </c>
      <c r="K484">
        <f t="shared" si="15"/>
        <v>0</v>
      </c>
      <c r="L484" s="3" cm="1">
        <f t="array" ref="L484">IF($C484=0,INDEX('24&amp;25'!$L:$L,MATCH($D484&amp;$B484&amp;$E484,'24&amp;25'!$B:$B&amp;'24&amp;25'!$A:$A&amp;'24&amp;25'!$C:$C,0)),INDEX('24&amp;25'!$M:$M,MATCH($D484&amp;$B484&amp;$E484,'24&amp;25'!$B:$B&amp;'24&amp;25'!$A:$A&amp;'24&amp;25'!$C:$C,0)))</f>
        <v>5707</v>
      </c>
      <c r="M484">
        <f>L484/VLOOKUP($D484,CPI!$P$16:$R$22,3,FALSE)</f>
        <v>7048.2560677336078</v>
      </c>
    </row>
    <row r="485" spans="1:13" ht="16" thickBot="1" x14ac:dyDescent="0.25">
      <c r="A485" s="7">
        <v>2</v>
      </c>
      <c r="B485">
        <f>IF(ISBLANK(G485),"",VLOOKUP(H485,code!B:C,2,FALSE))</f>
        <v>21</v>
      </c>
      <c r="C485">
        <f t="shared" si="14"/>
        <v>1</v>
      </c>
      <c r="D485">
        <v>2017</v>
      </c>
      <c r="E485">
        <v>199218</v>
      </c>
      <c r="F485" t="s">
        <v>175</v>
      </c>
      <c r="G485" t="s">
        <v>285</v>
      </c>
      <c r="H485" t="s">
        <v>30</v>
      </c>
      <c r="I485">
        <v>11967</v>
      </c>
      <c r="J485">
        <f>I485/VLOOKUP($D485,CPI!$P$16:$R$22,3,FALSE)</f>
        <v>14779.477897769071</v>
      </c>
      <c r="K485">
        <f t="shared" si="15"/>
        <v>0</v>
      </c>
      <c r="L485" s="3" cm="1">
        <f t="array" ref="L485">IF($C485=0,INDEX('24&amp;25'!$L:$L,MATCH($D485&amp;$B485&amp;$E485,'24&amp;25'!$B:$B&amp;'24&amp;25'!$A:$A&amp;'24&amp;25'!$C:$C,0)),INDEX('24&amp;25'!$M:$M,MATCH($D485&amp;$B485&amp;$E485,'24&amp;25'!$B:$B&amp;'24&amp;25'!$A:$A&amp;'24&amp;25'!$C:$C,0)))</f>
        <v>1900</v>
      </c>
      <c r="M485">
        <f>L485/VLOOKUP($D485,CPI!$P$16:$R$22,3,FALSE)</f>
        <v>2346.5369771673131</v>
      </c>
    </row>
    <row r="486" spans="1:13" ht="16" thickBot="1" x14ac:dyDescent="0.25">
      <c r="A486" s="7">
        <v>2</v>
      </c>
      <c r="B486">
        <f>IF(ISBLANK(G486),"",VLOOKUP(H486,code!B:C,2,FALSE))</f>
        <v>23</v>
      </c>
      <c r="C486">
        <f t="shared" si="14"/>
        <v>1</v>
      </c>
      <c r="D486">
        <v>2017</v>
      </c>
      <c r="E486">
        <v>199218</v>
      </c>
      <c r="F486" t="s">
        <v>175</v>
      </c>
      <c r="G486" t="s">
        <v>285</v>
      </c>
      <c r="H486" t="s">
        <v>33</v>
      </c>
      <c r="I486">
        <v>10380</v>
      </c>
      <c r="J486">
        <f>I486/VLOOKUP($D486,CPI!$P$16:$R$22,3,FALSE)</f>
        <v>12819.50201210353</v>
      </c>
      <c r="K486">
        <f t="shared" si="15"/>
        <v>0</v>
      </c>
      <c r="L486" s="3" cm="1">
        <f t="array" ref="L486">IF($C486=0,INDEX('24&amp;25'!$L:$L,MATCH($D486&amp;$B486&amp;$E486,'24&amp;25'!$B:$B&amp;'24&amp;25'!$A:$A&amp;'24&amp;25'!$C:$C,0)),INDEX('24&amp;25'!$M:$M,MATCH($D486&amp;$B486&amp;$E486,'24&amp;25'!$B:$B&amp;'24&amp;25'!$A:$A&amp;'24&amp;25'!$C:$C,0)))</f>
        <v>4398</v>
      </c>
      <c r="M486">
        <f>L486/VLOOKUP($D486,CPI!$P$16:$R$22,3,FALSE)</f>
        <v>5431.6155924114955</v>
      </c>
    </row>
    <row r="487" spans="1:13" ht="16" thickBot="1" x14ac:dyDescent="0.25">
      <c r="A487" s="7">
        <v>2</v>
      </c>
      <c r="B487">
        <f>IF(ISBLANK(G487),"",VLOOKUP(H487,code!B:C,2,FALSE))</f>
        <v>1</v>
      </c>
      <c r="C487">
        <f t="shared" si="14"/>
        <v>0</v>
      </c>
      <c r="D487">
        <v>2018</v>
      </c>
      <c r="E487">
        <v>199218</v>
      </c>
      <c r="F487" t="s">
        <v>175</v>
      </c>
      <c r="G487" t="s">
        <v>284</v>
      </c>
      <c r="H487" t="s">
        <v>9</v>
      </c>
      <c r="I487">
        <v>123251</v>
      </c>
      <c r="J487">
        <f>I487/VLOOKUP($D487,CPI!$P$16:$R$22,3,FALSE)</f>
        <v>148862.01994349647</v>
      </c>
      <c r="K487">
        <f t="shared" si="15"/>
        <v>0</v>
      </c>
      <c r="L487" s="3" cm="1">
        <f t="array" ref="L487">IF($C487=0,INDEX('24&amp;25'!$L:$L,MATCH($D487&amp;$B487&amp;$E487,'24&amp;25'!$B:$B&amp;'24&amp;25'!$A:$A&amp;'24&amp;25'!$C:$C,0)),INDEX('24&amp;25'!$M:$M,MATCH($D487&amp;$B487&amp;$E487,'24&amp;25'!$B:$B&amp;'24&amp;25'!$A:$A&amp;'24&amp;25'!$C:$C,0)))</f>
        <v>21967</v>
      </c>
      <c r="M487">
        <f>L487/VLOOKUP($D487,CPI!$P$16:$R$22,3,FALSE)</f>
        <v>26531.64673794766</v>
      </c>
    </row>
    <row r="488" spans="1:13" ht="16" thickBot="1" x14ac:dyDescent="0.25">
      <c r="A488" s="7">
        <v>2</v>
      </c>
      <c r="B488">
        <f>IF(ISBLANK(G488),"",VLOOKUP(H488,code!B:C,2,FALSE))</f>
        <v>2</v>
      </c>
      <c r="C488">
        <f t="shared" si="14"/>
        <v>0</v>
      </c>
      <c r="D488">
        <v>2018</v>
      </c>
      <c r="E488">
        <v>199218</v>
      </c>
      <c r="F488" t="s">
        <v>175</v>
      </c>
      <c r="G488" t="s">
        <v>284</v>
      </c>
      <c r="H488" t="s">
        <v>10</v>
      </c>
      <c r="I488">
        <v>778603</v>
      </c>
      <c r="J488">
        <f>I488/VLOOKUP($D488,CPI!$P$16:$R$22,3,FALSE)</f>
        <v>940393.30564511591</v>
      </c>
      <c r="K488">
        <f t="shared" si="15"/>
        <v>0</v>
      </c>
      <c r="L488" s="3" cm="1">
        <f t="array" ref="L488">IF($C488=0,INDEX('24&amp;25'!$L:$L,MATCH($D488&amp;$B488&amp;$E488,'24&amp;25'!$B:$B&amp;'24&amp;25'!$A:$A&amp;'24&amp;25'!$C:$C,0)),INDEX('24&amp;25'!$M:$M,MATCH($D488&amp;$B488&amp;$E488,'24&amp;25'!$B:$B&amp;'24&amp;25'!$A:$A&amp;'24&amp;25'!$C:$C,0)))</f>
        <v>165691</v>
      </c>
      <c r="M488">
        <f>L488/VLOOKUP($D488,CPI!$P$16:$R$22,3,FALSE)</f>
        <v>200120.86673907615</v>
      </c>
    </row>
    <row r="489" spans="1:13" ht="16" thickBot="1" x14ac:dyDescent="0.25">
      <c r="A489" s="7">
        <v>2</v>
      </c>
      <c r="B489">
        <f>IF(ISBLANK(G489),"",VLOOKUP(H489,code!B:C,2,FALSE))</f>
        <v>9</v>
      </c>
      <c r="C489">
        <f t="shared" si="14"/>
        <v>0</v>
      </c>
      <c r="D489">
        <v>2018</v>
      </c>
      <c r="E489">
        <v>199218</v>
      </c>
      <c r="F489" t="s">
        <v>175</v>
      </c>
      <c r="G489" t="s">
        <v>284</v>
      </c>
      <c r="H489" t="s">
        <v>17</v>
      </c>
      <c r="I489">
        <v>30613</v>
      </c>
      <c r="J489">
        <f>I489/VLOOKUP($D489,CPI!$P$16:$R$22,3,FALSE)</f>
        <v>36974.247807565516</v>
      </c>
      <c r="K489">
        <f t="shared" si="15"/>
        <v>0</v>
      </c>
      <c r="L489" s="3" cm="1">
        <f t="array" ref="L489">IF($C489=0,INDEX('24&amp;25'!$L:$L,MATCH($D489&amp;$B489&amp;$E489,'24&amp;25'!$B:$B&amp;'24&amp;25'!$A:$A&amp;'24&amp;25'!$C:$C,0)),INDEX('24&amp;25'!$M:$M,MATCH($D489&amp;$B489&amp;$E489,'24&amp;25'!$B:$B&amp;'24&amp;25'!$A:$A&amp;'24&amp;25'!$C:$C,0)))</f>
        <v>0</v>
      </c>
      <c r="M489">
        <f>L489/VLOOKUP($D489,CPI!$P$16:$R$22,3,FALSE)</f>
        <v>0</v>
      </c>
    </row>
    <row r="490" spans="1:13" ht="16" thickBot="1" x14ac:dyDescent="0.25">
      <c r="A490" s="7">
        <v>2</v>
      </c>
      <c r="B490">
        <f>IF(ISBLANK(G490),"",VLOOKUP(H490,code!B:C,2,FALSE))</f>
        <v>17</v>
      </c>
      <c r="C490">
        <f t="shared" si="14"/>
        <v>0</v>
      </c>
      <c r="D490">
        <v>2018</v>
      </c>
      <c r="E490">
        <v>199218</v>
      </c>
      <c r="F490" t="s">
        <v>175</v>
      </c>
      <c r="G490" t="s">
        <v>284</v>
      </c>
      <c r="H490" t="s">
        <v>25</v>
      </c>
      <c r="I490">
        <v>99098</v>
      </c>
      <c r="J490">
        <f>I490/VLOOKUP($D490,CPI!$P$16:$R$22,3,FALSE)</f>
        <v>119690.13194506019</v>
      </c>
      <c r="K490">
        <f t="shared" si="15"/>
        <v>0</v>
      </c>
      <c r="L490" s="3" cm="1">
        <f t="array" ref="L490">IF($C490=0,INDEX('24&amp;25'!$L:$L,MATCH($D490&amp;$B490&amp;$E490,'24&amp;25'!$B:$B&amp;'24&amp;25'!$A:$A&amp;'24&amp;25'!$C:$C,0)),INDEX('24&amp;25'!$M:$M,MATCH($D490&amp;$B490&amp;$E490,'24&amp;25'!$B:$B&amp;'24&amp;25'!$A:$A&amp;'24&amp;25'!$C:$C,0)))</f>
        <v>87</v>
      </c>
      <c r="M490">
        <f>L490/VLOOKUP($D490,CPI!$P$16:$R$22,3,FALSE)</f>
        <v>105.07822033966616</v>
      </c>
    </row>
    <row r="491" spans="1:13" ht="16" thickBot="1" x14ac:dyDescent="0.25">
      <c r="A491" s="7">
        <v>2</v>
      </c>
      <c r="B491">
        <f>IF(ISBLANK(G491),"",VLOOKUP(H491,code!B:C,2,FALSE))</f>
        <v>19</v>
      </c>
      <c r="C491">
        <f t="shared" si="14"/>
        <v>0</v>
      </c>
      <c r="D491">
        <v>2018</v>
      </c>
      <c r="E491">
        <v>199218</v>
      </c>
      <c r="F491" t="s">
        <v>175</v>
      </c>
      <c r="G491" t="s">
        <v>284</v>
      </c>
      <c r="H491" t="s">
        <v>27</v>
      </c>
      <c r="I491">
        <v>288</v>
      </c>
      <c r="J491">
        <f>I491/VLOOKUP($D491,CPI!$P$16:$R$22,3,FALSE)</f>
        <v>347.84514319337762</v>
      </c>
      <c r="K491">
        <f t="shared" si="15"/>
        <v>0</v>
      </c>
      <c r="L491" s="3" cm="1">
        <f t="array" ref="L491">IF($C491=0,INDEX('24&amp;25'!$L:$L,MATCH($D491&amp;$B491&amp;$E491,'24&amp;25'!$B:$B&amp;'24&amp;25'!$A:$A&amp;'24&amp;25'!$C:$C,0)),INDEX('24&amp;25'!$M:$M,MATCH($D491&amp;$B491&amp;$E491,'24&amp;25'!$B:$B&amp;'24&amp;25'!$A:$A&amp;'24&amp;25'!$C:$C,0)))</f>
        <v>0</v>
      </c>
      <c r="M491">
        <f>L491/VLOOKUP($D491,CPI!$P$16:$R$22,3,FALSE)</f>
        <v>0</v>
      </c>
    </row>
    <row r="492" spans="1:13" ht="16" thickBot="1" x14ac:dyDescent="0.25">
      <c r="A492" s="7">
        <v>2</v>
      </c>
      <c r="B492">
        <f>IF(ISBLANK(G492),"",VLOOKUP(H492,code!B:C,2,FALSE))</f>
        <v>20</v>
      </c>
      <c r="C492">
        <f t="shared" si="14"/>
        <v>0</v>
      </c>
      <c r="D492">
        <v>2018</v>
      </c>
      <c r="E492">
        <v>199218</v>
      </c>
      <c r="F492" t="s">
        <v>175</v>
      </c>
      <c r="G492" t="s">
        <v>284</v>
      </c>
      <c r="H492" t="s">
        <v>28</v>
      </c>
      <c r="I492">
        <v>72</v>
      </c>
      <c r="J492">
        <f>I492/VLOOKUP($D492,CPI!$P$16:$R$22,3,FALSE)</f>
        <v>86.961285798344406</v>
      </c>
      <c r="K492">
        <f t="shared" si="15"/>
        <v>0</v>
      </c>
      <c r="L492" s="3" cm="1">
        <f t="array" ref="L492">IF($C492=0,INDEX('24&amp;25'!$L:$L,MATCH($D492&amp;$B492&amp;$E492,'24&amp;25'!$B:$B&amp;'24&amp;25'!$A:$A&amp;'24&amp;25'!$C:$C,0)),INDEX('24&amp;25'!$M:$M,MATCH($D492&amp;$B492&amp;$E492,'24&amp;25'!$B:$B&amp;'24&amp;25'!$A:$A&amp;'24&amp;25'!$C:$C,0)))</f>
        <v>0</v>
      </c>
      <c r="M492">
        <f>L492/VLOOKUP($D492,CPI!$P$16:$R$22,3,FALSE)</f>
        <v>0</v>
      </c>
    </row>
    <row r="493" spans="1:13" ht="16" thickBot="1" x14ac:dyDescent="0.25">
      <c r="A493" s="7">
        <v>2</v>
      </c>
      <c r="B493">
        <f>IF(ISBLANK(G493),"",VLOOKUP(H493,code!B:C,2,FALSE))</f>
        <v>21</v>
      </c>
      <c r="C493">
        <f t="shared" si="14"/>
        <v>0</v>
      </c>
      <c r="D493">
        <v>2018</v>
      </c>
      <c r="E493">
        <v>199218</v>
      </c>
      <c r="F493" t="s">
        <v>175</v>
      </c>
      <c r="G493" t="s">
        <v>284</v>
      </c>
      <c r="H493" t="s">
        <v>30</v>
      </c>
      <c r="I493">
        <v>636</v>
      </c>
      <c r="J493">
        <f>I493/VLOOKUP($D493,CPI!$P$16:$R$22,3,FALSE)</f>
        <v>768.15802455204221</v>
      </c>
      <c r="K493">
        <f t="shared" si="15"/>
        <v>0</v>
      </c>
      <c r="L493" s="3" cm="1">
        <f t="array" ref="L493">IF($C493=0,INDEX('24&amp;25'!$L:$L,MATCH($D493&amp;$B493&amp;$E493,'24&amp;25'!$B:$B&amp;'24&amp;25'!$A:$A&amp;'24&amp;25'!$C:$C,0)),INDEX('24&amp;25'!$M:$M,MATCH($D493&amp;$B493&amp;$E493,'24&amp;25'!$B:$B&amp;'24&amp;25'!$A:$A&amp;'24&amp;25'!$C:$C,0)))</f>
        <v>0</v>
      </c>
      <c r="M493">
        <f>L493/VLOOKUP($D493,CPI!$P$16:$R$22,3,FALSE)</f>
        <v>0</v>
      </c>
    </row>
    <row r="494" spans="1:13" ht="16" thickBot="1" x14ac:dyDescent="0.25">
      <c r="A494" s="7">
        <v>2</v>
      </c>
      <c r="B494">
        <f>IF(ISBLANK(G494),"",VLOOKUP(H494,code!B:C,2,FALSE))</f>
        <v>2</v>
      </c>
      <c r="C494">
        <f t="shared" si="14"/>
        <v>1</v>
      </c>
      <c r="D494">
        <v>2018</v>
      </c>
      <c r="E494">
        <v>199218</v>
      </c>
      <c r="F494" t="s">
        <v>175</v>
      </c>
      <c r="G494" t="s">
        <v>285</v>
      </c>
      <c r="H494" t="s">
        <v>10</v>
      </c>
      <c r="I494">
        <v>66534</v>
      </c>
      <c r="J494">
        <f>I494/VLOOKUP($D494,CPI!$P$16:$R$22,3,FALSE)</f>
        <v>80359.474851486753</v>
      </c>
      <c r="K494">
        <f t="shared" si="15"/>
        <v>0</v>
      </c>
      <c r="L494" s="3" cm="1">
        <f t="array" ref="L494">IF($C494=0,INDEX('24&amp;25'!$L:$L,MATCH($D494&amp;$B494&amp;$E494,'24&amp;25'!$B:$B&amp;'24&amp;25'!$A:$A&amp;'24&amp;25'!$C:$C,0)),INDEX('24&amp;25'!$M:$M,MATCH($D494&amp;$B494&amp;$E494,'24&amp;25'!$B:$B&amp;'24&amp;25'!$A:$A&amp;'24&amp;25'!$C:$C,0)))</f>
        <v>120224</v>
      </c>
      <c r="M494">
        <f>L494/VLOOKUP($D494,CPI!$P$16:$R$22,3,FALSE)</f>
        <v>145206.02255305776</v>
      </c>
    </row>
    <row r="495" spans="1:13" ht="16" thickBot="1" x14ac:dyDescent="0.25">
      <c r="A495" s="7">
        <v>2</v>
      </c>
      <c r="B495">
        <f>IF(ISBLANK(G495),"",VLOOKUP(H495,code!B:C,2,FALSE))</f>
        <v>3</v>
      </c>
      <c r="C495">
        <f t="shared" si="14"/>
        <v>1</v>
      </c>
      <c r="D495">
        <v>2018</v>
      </c>
      <c r="E495">
        <v>199218</v>
      </c>
      <c r="F495" t="s">
        <v>175</v>
      </c>
      <c r="G495" t="s">
        <v>285</v>
      </c>
      <c r="H495" t="s">
        <v>11</v>
      </c>
      <c r="I495">
        <v>3478</v>
      </c>
      <c r="J495">
        <f>I495/VLOOKUP($D495,CPI!$P$16:$R$22,3,FALSE)</f>
        <v>4200.7132223144699</v>
      </c>
      <c r="K495">
        <f t="shared" si="15"/>
        <v>0</v>
      </c>
      <c r="L495" s="3" cm="1">
        <f t="array" ref="L495">IF($C495=0,INDEX('24&amp;25'!$L:$L,MATCH($D495&amp;$B495&amp;$E495,'24&amp;25'!$B:$B&amp;'24&amp;25'!$A:$A&amp;'24&amp;25'!$C:$C,0)),INDEX('24&amp;25'!$M:$M,MATCH($D495&amp;$B495&amp;$E495,'24&amp;25'!$B:$B&amp;'24&amp;25'!$A:$A&amp;'24&amp;25'!$C:$C,0)))</f>
        <v>0</v>
      </c>
      <c r="M495">
        <f>L495/VLOOKUP($D495,CPI!$P$16:$R$22,3,FALSE)</f>
        <v>0</v>
      </c>
    </row>
    <row r="496" spans="1:13" ht="16" thickBot="1" x14ac:dyDescent="0.25">
      <c r="A496" s="7">
        <v>2</v>
      </c>
      <c r="B496">
        <f>IF(ISBLANK(G496),"",VLOOKUP(H496,code!B:C,2,FALSE))</f>
        <v>9</v>
      </c>
      <c r="C496">
        <f t="shared" si="14"/>
        <v>1</v>
      </c>
      <c r="D496">
        <v>2018</v>
      </c>
      <c r="E496">
        <v>199218</v>
      </c>
      <c r="F496" t="s">
        <v>175</v>
      </c>
      <c r="G496" t="s">
        <v>285</v>
      </c>
      <c r="H496" t="s">
        <v>17</v>
      </c>
      <c r="I496">
        <v>288</v>
      </c>
      <c r="J496">
        <f>I496/VLOOKUP($D496,CPI!$P$16:$R$22,3,FALSE)</f>
        <v>347.84514319337762</v>
      </c>
      <c r="K496">
        <f t="shared" si="15"/>
        <v>0</v>
      </c>
      <c r="L496" s="3" cm="1">
        <f t="array" ref="L496">IF($C496=0,INDEX('24&amp;25'!$L:$L,MATCH($D496&amp;$B496&amp;$E496,'24&amp;25'!$B:$B&amp;'24&amp;25'!$A:$A&amp;'24&amp;25'!$C:$C,0)),INDEX('24&amp;25'!$M:$M,MATCH($D496&amp;$B496&amp;$E496,'24&amp;25'!$B:$B&amp;'24&amp;25'!$A:$A&amp;'24&amp;25'!$C:$C,0)))</f>
        <v>0</v>
      </c>
      <c r="M496">
        <f>L496/VLOOKUP($D496,CPI!$P$16:$R$22,3,FALSE)</f>
        <v>0</v>
      </c>
    </row>
    <row r="497" spans="1:13" ht="16" thickBot="1" x14ac:dyDescent="0.25">
      <c r="A497" s="7">
        <v>2</v>
      </c>
      <c r="B497">
        <f>IF(ISBLANK(G497),"",VLOOKUP(H497,code!B:C,2,FALSE))</f>
        <v>17</v>
      </c>
      <c r="C497">
        <f t="shared" si="14"/>
        <v>1</v>
      </c>
      <c r="D497">
        <v>2018</v>
      </c>
      <c r="E497">
        <v>199218</v>
      </c>
      <c r="F497" t="s">
        <v>175</v>
      </c>
      <c r="G497" t="s">
        <v>285</v>
      </c>
      <c r="H497" t="s">
        <v>25</v>
      </c>
      <c r="I497">
        <v>13946</v>
      </c>
      <c r="J497">
        <f>I497/VLOOKUP($D497,CPI!$P$16:$R$22,3,FALSE)</f>
        <v>16843.917940884876</v>
      </c>
      <c r="K497">
        <f t="shared" si="15"/>
        <v>0</v>
      </c>
      <c r="L497" s="3" cm="1">
        <f t="array" ref="L497">IF($C497=0,INDEX('24&amp;25'!$L:$L,MATCH($D497&amp;$B497&amp;$E497,'24&amp;25'!$B:$B&amp;'24&amp;25'!$A:$A&amp;'24&amp;25'!$C:$C,0)),INDEX('24&amp;25'!$M:$M,MATCH($D497&amp;$B497&amp;$E497,'24&amp;25'!$B:$B&amp;'24&amp;25'!$A:$A&amp;'24&amp;25'!$C:$C,0)))</f>
        <v>161</v>
      </c>
      <c r="M497">
        <f>L497/VLOOKUP($D497,CPI!$P$16:$R$22,3,FALSE)</f>
        <v>194.4550974101868</v>
      </c>
    </row>
    <row r="498" spans="1:13" ht="16" thickBot="1" x14ac:dyDescent="0.25">
      <c r="A498" s="7">
        <v>2</v>
      </c>
      <c r="B498">
        <f>IF(ISBLANK(G498),"",VLOOKUP(H498,code!B:C,2,FALSE))</f>
        <v>18</v>
      </c>
      <c r="C498">
        <f t="shared" si="14"/>
        <v>1</v>
      </c>
      <c r="D498">
        <v>2018</v>
      </c>
      <c r="E498">
        <v>199218</v>
      </c>
      <c r="F498" t="s">
        <v>175</v>
      </c>
      <c r="G498" t="s">
        <v>285</v>
      </c>
      <c r="H498" t="s">
        <v>26</v>
      </c>
      <c r="I498">
        <v>11782</v>
      </c>
      <c r="J498">
        <f>I498/VLOOKUP($D498,CPI!$P$16:$R$22,3,FALSE)</f>
        <v>14230.248184390191</v>
      </c>
      <c r="K498">
        <f t="shared" si="15"/>
        <v>0</v>
      </c>
      <c r="L498" s="3" cm="1">
        <f t="array" ref="L498">IF($C498=0,INDEX('24&amp;25'!$L:$L,MATCH($D498&amp;$B498&amp;$E498,'24&amp;25'!$B:$B&amp;'24&amp;25'!$A:$A&amp;'24&amp;25'!$C:$C,0)),INDEX('24&amp;25'!$M:$M,MATCH($D498&amp;$B498&amp;$E498,'24&amp;25'!$B:$B&amp;'24&amp;25'!$A:$A&amp;'24&amp;25'!$C:$C,0)))</f>
        <v>2331</v>
      </c>
      <c r="M498">
        <f>L498/VLOOKUP($D498,CPI!$P$16:$R$22,3,FALSE)</f>
        <v>2815.3716277214003</v>
      </c>
    </row>
    <row r="499" spans="1:13" ht="16" thickBot="1" x14ac:dyDescent="0.25">
      <c r="A499" s="7">
        <v>2</v>
      </c>
      <c r="B499">
        <f>IF(ISBLANK(G499),"",VLOOKUP(H499,code!B:C,2,FALSE))</f>
        <v>19</v>
      </c>
      <c r="C499">
        <f t="shared" si="14"/>
        <v>1</v>
      </c>
      <c r="D499">
        <v>2018</v>
      </c>
      <c r="E499">
        <v>199218</v>
      </c>
      <c r="F499" t="s">
        <v>175</v>
      </c>
      <c r="G499" t="s">
        <v>285</v>
      </c>
      <c r="H499" t="s">
        <v>27</v>
      </c>
      <c r="I499">
        <v>288</v>
      </c>
      <c r="J499">
        <f>I499/VLOOKUP($D499,CPI!$P$16:$R$22,3,FALSE)</f>
        <v>347.84514319337762</v>
      </c>
      <c r="K499">
        <f t="shared" si="15"/>
        <v>0</v>
      </c>
      <c r="L499" s="3" cm="1">
        <f t="array" ref="L499">IF($C499=0,INDEX('24&amp;25'!$L:$L,MATCH($D499&amp;$B499&amp;$E499,'24&amp;25'!$B:$B&amp;'24&amp;25'!$A:$A&amp;'24&amp;25'!$C:$C,0)),INDEX('24&amp;25'!$M:$M,MATCH($D499&amp;$B499&amp;$E499,'24&amp;25'!$B:$B&amp;'24&amp;25'!$A:$A&amp;'24&amp;25'!$C:$C,0)))</f>
        <v>0</v>
      </c>
      <c r="M499">
        <f>L499/VLOOKUP($D499,CPI!$P$16:$R$22,3,FALSE)</f>
        <v>0</v>
      </c>
    </row>
    <row r="500" spans="1:13" ht="16" thickBot="1" x14ac:dyDescent="0.25">
      <c r="A500" s="7">
        <v>2</v>
      </c>
      <c r="B500">
        <f>IF(ISBLANK(G500),"",VLOOKUP(H500,code!B:C,2,FALSE))</f>
        <v>20</v>
      </c>
      <c r="C500">
        <f t="shared" si="14"/>
        <v>1</v>
      </c>
      <c r="D500">
        <v>2018</v>
      </c>
      <c r="E500">
        <v>199218</v>
      </c>
      <c r="F500" t="s">
        <v>175</v>
      </c>
      <c r="G500" t="s">
        <v>285</v>
      </c>
      <c r="H500" t="s">
        <v>28</v>
      </c>
      <c r="I500">
        <v>750</v>
      </c>
      <c r="J500">
        <f>I500/VLOOKUP($D500,CPI!$P$16:$R$22,3,FALSE)</f>
        <v>905.84672706608751</v>
      </c>
      <c r="K500">
        <f t="shared" si="15"/>
        <v>0</v>
      </c>
      <c r="L500" s="3" cm="1">
        <f t="array" ref="L500">IF($C500=0,INDEX('24&amp;25'!$L:$L,MATCH($D500&amp;$B500&amp;$E500,'24&amp;25'!$B:$B&amp;'24&amp;25'!$A:$A&amp;'24&amp;25'!$C:$C,0)),INDEX('24&amp;25'!$M:$M,MATCH($D500&amp;$B500&amp;$E500,'24&amp;25'!$B:$B&amp;'24&amp;25'!$A:$A&amp;'24&amp;25'!$C:$C,0)))</f>
        <v>0</v>
      </c>
      <c r="M500">
        <f>L500/VLOOKUP($D500,CPI!$P$16:$R$22,3,FALSE)</f>
        <v>0</v>
      </c>
    </row>
    <row r="501" spans="1:13" ht="16" thickBot="1" x14ac:dyDescent="0.25">
      <c r="A501" s="7">
        <v>2</v>
      </c>
      <c r="B501">
        <f>IF(ISBLANK(G501),"",VLOOKUP(H501,code!B:C,2,FALSE))</f>
        <v>21</v>
      </c>
      <c r="C501">
        <f t="shared" si="14"/>
        <v>1</v>
      </c>
      <c r="D501">
        <v>2018</v>
      </c>
      <c r="E501">
        <v>199218</v>
      </c>
      <c r="F501" t="s">
        <v>175</v>
      </c>
      <c r="G501" t="s">
        <v>285</v>
      </c>
      <c r="H501" t="s">
        <v>30</v>
      </c>
      <c r="I501">
        <v>564</v>
      </c>
      <c r="J501">
        <f>I501/VLOOKUP($D501,CPI!$P$16:$R$22,3,FALSE)</f>
        <v>681.19673875369779</v>
      </c>
      <c r="K501">
        <f t="shared" si="15"/>
        <v>0</v>
      </c>
      <c r="L501" s="3" cm="1">
        <f t="array" ref="L501">IF($C501=0,INDEX('24&amp;25'!$L:$L,MATCH($D501&amp;$B501&amp;$E501,'24&amp;25'!$B:$B&amp;'24&amp;25'!$A:$A&amp;'24&amp;25'!$C:$C,0)),INDEX('24&amp;25'!$M:$M,MATCH($D501&amp;$B501&amp;$E501,'24&amp;25'!$B:$B&amp;'24&amp;25'!$A:$A&amp;'24&amp;25'!$C:$C,0)))</f>
        <v>0</v>
      </c>
      <c r="M501">
        <f>L501/VLOOKUP($D501,CPI!$P$16:$R$22,3,FALSE)</f>
        <v>0</v>
      </c>
    </row>
    <row r="502" spans="1:13" ht="16" thickBot="1" x14ac:dyDescent="0.25">
      <c r="A502" s="7">
        <v>2</v>
      </c>
      <c r="B502">
        <f>IF(ISBLANK(G502),"",VLOOKUP(H502,code!B:C,2,FALSE))</f>
        <v>23</v>
      </c>
      <c r="C502">
        <f t="shared" si="14"/>
        <v>1</v>
      </c>
      <c r="D502">
        <v>2018</v>
      </c>
      <c r="E502">
        <v>199218</v>
      </c>
      <c r="F502" t="s">
        <v>175</v>
      </c>
      <c r="G502" t="s">
        <v>285</v>
      </c>
      <c r="H502" t="s">
        <v>33</v>
      </c>
      <c r="I502">
        <v>18395</v>
      </c>
      <c r="J502">
        <f>I502/VLOOKUP($D502,CPI!$P$16:$R$22,3,FALSE)</f>
        <v>22217.400725840907</v>
      </c>
      <c r="K502">
        <f t="shared" si="15"/>
        <v>0</v>
      </c>
      <c r="L502" s="3" cm="1">
        <f t="array" ref="L502">IF($C502=0,INDEX('24&amp;25'!$L:$L,MATCH($D502&amp;$B502&amp;$E502,'24&amp;25'!$B:$B&amp;'24&amp;25'!$A:$A&amp;'24&amp;25'!$C:$C,0)),INDEX('24&amp;25'!$M:$M,MATCH($D502&amp;$B502&amp;$E502,'24&amp;25'!$B:$B&amp;'24&amp;25'!$A:$A&amp;'24&amp;25'!$C:$C,0)))</f>
        <v>0</v>
      </c>
      <c r="M502">
        <f>L502/VLOOKUP($D502,CPI!$P$16:$R$22,3,FALSE)</f>
        <v>0</v>
      </c>
    </row>
    <row r="503" spans="1:13" ht="16" thickBot="1" x14ac:dyDescent="0.25">
      <c r="A503" s="7">
        <v>2</v>
      </c>
      <c r="B503">
        <f>IF(ISBLANK(G503),"",VLOOKUP(H503,code!B:C,2,FALSE))</f>
        <v>1</v>
      </c>
      <c r="C503">
        <f t="shared" si="14"/>
        <v>0</v>
      </c>
      <c r="D503">
        <v>2019</v>
      </c>
      <c r="E503">
        <v>199218</v>
      </c>
      <c r="F503" t="s">
        <v>175</v>
      </c>
      <c r="G503" t="s">
        <v>284</v>
      </c>
      <c r="H503" t="s">
        <v>9</v>
      </c>
      <c r="I503">
        <v>194496</v>
      </c>
      <c r="J503">
        <f>I503/VLOOKUP($D503,CPI!$P$16:$R$22,3,FALSE)</f>
        <v>230141.65207280021</v>
      </c>
      <c r="K503">
        <f t="shared" si="15"/>
        <v>0</v>
      </c>
      <c r="L503" s="3" cm="1">
        <f t="array" ref="L503">IF($C503=0,INDEX('24&amp;25'!$L:$L,MATCH($D503&amp;$B503&amp;$E503,'24&amp;25'!$B:$B&amp;'24&amp;25'!$A:$A&amp;'24&amp;25'!$C:$C,0)),INDEX('24&amp;25'!$M:$M,MATCH($D503&amp;$B503&amp;$E503,'24&amp;25'!$B:$B&amp;'24&amp;25'!$A:$A&amp;'24&amp;25'!$C:$C,0)))</f>
        <v>45238</v>
      </c>
      <c r="M503">
        <f>L503/VLOOKUP($D503,CPI!$P$16:$R$22,3,FALSE)</f>
        <v>53528.854354173534</v>
      </c>
    </row>
    <row r="504" spans="1:13" ht="16" thickBot="1" x14ac:dyDescent="0.25">
      <c r="A504" s="7">
        <v>2</v>
      </c>
      <c r="B504">
        <f>IF(ISBLANK(G504),"",VLOOKUP(H504,code!B:C,2,FALSE))</f>
        <v>2</v>
      </c>
      <c r="C504">
        <f t="shared" si="14"/>
        <v>0</v>
      </c>
      <c r="D504">
        <v>2019</v>
      </c>
      <c r="E504">
        <v>199218</v>
      </c>
      <c r="F504" t="s">
        <v>175</v>
      </c>
      <c r="G504" t="s">
        <v>284</v>
      </c>
      <c r="H504" t="s">
        <v>10</v>
      </c>
      <c r="I504">
        <v>880441</v>
      </c>
      <c r="J504">
        <f>I504/VLOOKUP($D504,CPI!$P$16:$R$22,3,FALSE)</f>
        <v>1041801.0976710487</v>
      </c>
      <c r="K504">
        <f t="shared" si="15"/>
        <v>0</v>
      </c>
      <c r="L504" s="3" cm="1">
        <f t="array" ref="L504">IF($C504=0,INDEX('24&amp;25'!$L:$L,MATCH($D504&amp;$B504&amp;$E504,'24&amp;25'!$B:$B&amp;'24&amp;25'!$A:$A&amp;'24&amp;25'!$C:$C,0)),INDEX('24&amp;25'!$M:$M,MATCH($D504&amp;$B504&amp;$E504,'24&amp;25'!$B:$B&amp;'24&amp;25'!$A:$A&amp;'24&amp;25'!$C:$C,0)))</f>
        <v>124909</v>
      </c>
      <c r="M504">
        <f>L504/VLOOKUP($D504,CPI!$P$16:$R$22,3,FALSE)</f>
        <v>147801.31014911053</v>
      </c>
    </row>
    <row r="505" spans="1:13" ht="16" thickBot="1" x14ac:dyDescent="0.25">
      <c r="A505" s="7">
        <v>2</v>
      </c>
      <c r="B505">
        <f>IF(ISBLANK(G505),"",VLOOKUP(H505,code!B:C,2,FALSE))</f>
        <v>9</v>
      </c>
      <c r="C505">
        <f t="shared" si="14"/>
        <v>0</v>
      </c>
      <c r="D505">
        <v>2019</v>
      </c>
      <c r="E505">
        <v>199218</v>
      </c>
      <c r="F505" t="s">
        <v>175</v>
      </c>
      <c r="G505" t="s">
        <v>284</v>
      </c>
      <c r="H505" t="s">
        <v>17</v>
      </c>
      <c r="I505">
        <v>61622</v>
      </c>
      <c r="J505">
        <f>I505/VLOOKUP($D505,CPI!$P$16:$R$22,3,FALSE)</f>
        <v>72915.581215192578</v>
      </c>
      <c r="K505">
        <f t="shared" si="15"/>
        <v>0</v>
      </c>
      <c r="L505" s="3" cm="1">
        <f t="array" ref="L505">IF($C505=0,INDEX('24&amp;25'!$L:$L,MATCH($D505&amp;$B505&amp;$E505,'24&amp;25'!$B:$B&amp;'24&amp;25'!$A:$A&amp;'24&amp;25'!$C:$C,0)),INDEX('24&amp;25'!$M:$M,MATCH($D505&amp;$B505&amp;$E505,'24&amp;25'!$B:$B&amp;'24&amp;25'!$A:$A&amp;'24&amp;25'!$C:$C,0)))</f>
        <v>0</v>
      </c>
      <c r="M505">
        <f>L505/VLOOKUP($D505,CPI!$P$16:$R$22,3,FALSE)</f>
        <v>0</v>
      </c>
    </row>
    <row r="506" spans="1:13" ht="16" thickBot="1" x14ac:dyDescent="0.25">
      <c r="A506" s="7">
        <v>2</v>
      </c>
      <c r="B506">
        <f>IF(ISBLANK(G506),"",VLOOKUP(H506,code!B:C,2,FALSE))</f>
        <v>17</v>
      </c>
      <c r="C506">
        <f t="shared" si="14"/>
        <v>0</v>
      </c>
      <c r="D506">
        <v>2019</v>
      </c>
      <c r="E506">
        <v>199218</v>
      </c>
      <c r="F506" t="s">
        <v>175</v>
      </c>
      <c r="G506" t="s">
        <v>284</v>
      </c>
      <c r="H506" t="s">
        <v>25</v>
      </c>
      <c r="I506">
        <v>34265</v>
      </c>
      <c r="J506">
        <f>I506/VLOOKUP($D506,CPI!$P$16:$R$22,3,FALSE)</f>
        <v>40544.811761036217</v>
      </c>
      <c r="K506">
        <f t="shared" si="15"/>
        <v>0</v>
      </c>
      <c r="L506" s="3" cm="1">
        <f t="array" ref="L506">IF($C506=0,INDEX('24&amp;25'!$L:$L,MATCH($D506&amp;$B506&amp;$E506,'24&amp;25'!$B:$B&amp;'24&amp;25'!$A:$A&amp;'24&amp;25'!$C:$C,0)),INDEX('24&amp;25'!$M:$M,MATCH($D506&amp;$B506&amp;$E506,'24&amp;25'!$B:$B&amp;'24&amp;25'!$A:$A&amp;'24&amp;25'!$C:$C,0)))</f>
        <v>90</v>
      </c>
      <c r="M506">
        <f>L506/VLOOKUP($D506,CPI!$P$16:$R$22,3,FALSE)</f>
        <v>106.4944712824532</v>
      </c>
    </row>
    <row r="507" spans="1:13" ht="16" thickBot="1" x14ac:dyDescent="0.25">
      <c r="A507" s="7">
        <v>2</v>
      </c>
      <c r="B507">
        <f>IF(ISBLANK(G507),"",VLOOKUP(H507,code!B:C,2,FALSE))</f>
        <v>19</v>
      </c>
      <c r="C507">
        <f t="shared" si="14"/>
        <v>0</v>
      </c>
      <c r="D507">
        <v>2019</v>
      </c>
      <c r="E507">
        <v>199218</v>
      </c>
      <c r="F507" t="s">
        <v>175</v>
      </c>
      <c r="G507" t="s">
        <v>284</v>
      </c>
      <c r="H507" t="s">
        <v>27</v>
      </c>
      <c r="I507">
        <v>432</v>
      </c>
      <c r="J507">
        <f>I507/VLOOKUP($D507,CPI!$P$16:$R$22,3,FALSE)</f>
        <v>511.17346215577538</v>
      </c>
      <c r="K507">
        <f t="shared" si="15"/>
        <v>0</v>
      </c>
      <c r="L507" s="3" cm="1">
        <f t="array" ref="L507">IF($C507=0,INDEX('24&amp;25'!$L:$L,MATCH($D507&amp;$B507&amp;$E507,'24&amp;25'!$B:$B&amp;'24&amp;25'!$A:$A&amp;'24&amp;25'!$C:$C,0)),INDEX('24&amp;25'!$M:$M,MATCH($D507&amp;$B507&amp;$E507,'24&amp;25'!$B:$B&amp;'24&amp;25'!$A:$A&amp;'24&amp;25'!$C:$C,0)))</f>
        <v>0</v>
      </c>
      <c r="M507">
        <f>L507/VLOOKUP($D507,CPI!$P$16:$R$22,3,FALSE)</f>
        <v>0</v>
      </c>
    </row>
    <row r="508" spans="1:13" ht="16" thickBot="1" x14ac:dyDescent="0.25">
      <c r="A508" s="7">
        <v>2</v>
      </c>
      <c r="B508">
        <f>IF(ISBLANK(G508),"",VLOOKUP(H508,code!B:C,2,FALSE))</f>
        <v>20</v>
      </c>
      <c r="C508">
        <f t="shared" si="14"/>
        <v>0</v>
      </c>
      <c r="D508">
        <v>2019</v>
      </c>
      <c r="E508">
        <v>199218</v>
      </c>
      <c r="F508" t="s">
        <v>175</v>
      </c>
      <c r="G508" t="s">
        <v>284</v>
      </c>
      <c r="H508" t="s">
        <v>28</v>
      </c>
      <c r="I508">
        <v>11024</v>
      </c>
      <c r="J508">
        <f>I508/VLOOKUP($D508,CPI!$P$16:$R$22,3,FALSE)</f>
        <v>13044.389460197381</v>
      </c>
      <c r="K508">
        <f t="shared" si="15"/>
        <v>0</v>
      </c>
      <c r="L508" s="3" cm="1">
        <f t="array" ref="L508">IF($C508=0,INDEX('24&amp;25'!$L:$L,MATCH($D508&amp;$B508&amp;$E508,'24&amp;25'!$B:$B&amp;'24&amp;25'!$A:$A&amp;'24&amp;25'!$C:$C,0)),INDEX('24&amp;25'!$M:$M,MATCH($D508&amp;$B508&amp;$E508,'24&amp;25'!$B:$B&amp;'24&amp;25'!$A:$A&amp;'24&amp;25'!$C:$C,0)))</f>
        <v>0</v>
      </c>
      <c r="M508">
        <f>L508/VLOOKUP($D508,CPI!$P$16:$R$22,3,FALSE)</f>
        <v>0</v>
      </c>
    </row>
    <row r="509" spans="1:13" ht="16" thickBot="1" x14ac:dyDescent="0.25">
      <c r="A509" s="7">
        <v>2</v>
      </c>
      <c r="B509">
        <f>IF(ISBLANK(G509),"",VLOOKUP(H509,code!B:C,2,FALSE))</f>
        <v>21</v>
      </c>
      <c r="C509">
        <f t="shared" si="14"/>
        <v>0</v>
      </c>
      <c r="D509">
        <v>2019</v>
      </c>
      <c r="E509">
        <v>199218</v>
      </c>
      <c r="F509" t="s">
        <v>175</v>
      </c>
      <c r="G509" t="s">
        <v>284</v>
      </c>
      <c r="H509" t="s">
        <v>30</v>
      </c>
      <c r="I509">
        <v>1316</v>
      </c>
      <c r="J509">
        <f>I509/VLOOKUP($D509,CPI!$P$16:$R$22,3,FALSE)</f>
        <v>1557.1858245300937</v>
      </c>
      <c r="K509">
        <f t="shared" si="15"/>
        <v>0</v>
      </c>
      <c r="L509" s="3" cm="1">
        <f t="array" ref="L509">IF($C509=0,INDEX('24&amp;25'!$L:$L,MATCH($D509&amp;$B509&amp;$E509,'24&amp;25'!$B:$B&amp;'24&amp;25'!$A:$A&amp;'24&amp;25'!$C:$C,0)),INDEX('24&amp;25'!$M:$M,MATCH($D509&amp;$B509&amp;$E509,'24&amp;25'!$B:$B&amp;'24&amp;25'!$A:$A&amp;'24&amp;25'!$C:$C,0)))</f>
        <v>0</v>
      </c>
      <c r="M509">
        <f>L509/VLOOKUP($D509,CPI!$P$16:$R$22,3,FALSE)</f>
        <v>0</v>
      </c>
    </row>
    <row r="510" spans="1:13" ht="16" thickBot="1" x14ac:dyDescent="0.25">
      <c r="A510" s="7">
        <v>2</v>
      </c>
      <c r="B510">
        <f>IF(ISBLANK(G510),"",VLOOKUP(H510,code!B:C,2,FALSE))</f>
        <v>2</v>
      </c>
      <c r="C510">
        <f t="shared" si="14"/>
        <v>1</v>
      </c>
      <c r="D510">
        <v>2019</v>
      </c>
      <c r="E510">
        <v>199218</v>
      </c>
      <c r="F510" t="s">
        <v>175</v>
      </c>
      <c r="G510" t="s">
        <v>285</v>
      </c>
      <c r="H510" t="s">
        <v>10</v>
      </c>
      <c r="I510">
        <v>64385</v>
      </c>
      <c r="J510">
        <f>I510/VLOOKUP($D510,CPI!$P$16:$R$22,3,FALSE)</f>
        <v>76184.961483563893</v>
      </c>
      <c r="K510">
        <f t="shared" si="15"/>
        <v>0</v>
      </c>
      <c r="L510" s="3" cm="1">
        <f t="array" ref="L510">IF($C510=0,INDEX('24&amp;25'!$L:$L,MATCH($D510&amp;$B510&amp;$E510,'24&amp;25'!$B:$B&amp;'24&amp;25'!$A:$A&amp;'24&amp;25'!$C:$C,0)),INDEX('24&amp;25'!$M:$M,MATCH($D510&amp;$B510&amp;$E510,'24&amp;25'!$B:$B&amp;'24&amp;25'!$A:$A&amp;'24&amp;25'!$C:$C,0)))</f>
        <v>102491</v>
      </c>
      <c r="M510">
        <f>L510/VLOOKUP($D510,CPI!$P$16:$R$22,3,FALSE)</f>
        <v>121274.72062455458</v>
      </c>
    </row>
    <row r="511" spans="1:13" ht="16" thickBot="1" x14ac:dyDescent="0.25">
      <c r="A511" s="7">
        <v>2</v>
      </c>
      <c r="B511">
        <f>IF(ISBLANK(G511),"",VLOOKUP(H511,code!B:C,2,FALSE))</f>
        <v>3</v>
      </c>
      <c r="C511">
        <f t="shared" si="14"/>
        <v>1</v>
      </c>
      <c r="D511">
        <v>2019</v>
      </c>
      <c r="E511">
        <v>199218</v>
      </c>
      <c r="F511" t="s">
        <v>175</v>
      </c>
      <c r="G511" t="s">
        <v>285</v>
      </c>
      <c r="H511" t="s">
        <v>11</v>
      </c>
      <c r="I511">
        <v>0</v>
      </c>
      <c r="J511">
        <f>I511/VLOOKUP($D511,CPI!$P$16:$R$22,3,FALSE)</f>
        <v>0</v>
      </c>
      <c r="K511">
        <f t="shared" si="15"/>
        <v>0</v>
      </c>
      <c r="L511" s="3" cm="1">
        <f t="array" ref="L511">IF($C511=0,INDEX('24&amp;25'!$L:$L,MATCH($D511&amp;$B511&amp;$E511,'24&amp;25'!$B:$B&amp;'24&amp;25'!$A:$A&amp;'24&amp;25'!$C:$C,0)),INDEX('24&amp;25'!$M:$M,MATCH($D511&amp;$B511&amp;$E511,'24&amp;25'!$B:$B&amp;'24&amp;25'!$A:$A&amp;'24&amp;25'!$C:$C,0)))</f>
        <v>0</v>
      </c>
      <c r="M511">
        <f>L511/VLOOKUP($D511,CPI!$P$16:$R$22,3,FALSE)</f>
        <v>0</v>
      </c>
    </row>
    <row r="512" spans="1:13" ht="16" thickBot="1" x14ac:dyDescent="0.25">
      <c r="A512" s="7">
        <v>2</v>
      </c>
      <c r="B512">
        <f>IF(ISBLANK(G512),"",VLOOKUP(H512,code!B:C,2,FALSE))</f>
        <v>9</v>
      </c>
      <c r="C512">
        <f t="shared" si="14"/>
        <v>1</v>
      </c>
      <c r="D512">
        <v>2019</v>
      </c>
      <c r="E512">
        <v>199218</v>
      </c>
      <c r="F512" t="s">
        <v>175</v>
      </c>
      <c r="G512" t="s">
        <v>285</v>
      </c>
      <c r="H512" t="s">
        <v>17</v>
      </c>
      <c r="I512">
        <v>104046</v>
      </c>
      <c r="J512">
        <f>I512/VLOOKUP($D512,CPI!$P$16:$R$22,3,FALSE)</f>
        <v>123114.70843393473</v>
      </c>
      <c r="K512">
        <f t="shared" si="15"/>
        <v>0</v>
      </c>
      <c r="L512" s="3" cm="1">
        <f t="array" ref="L512">IF($C512=0,INDEX('24&amp;25'!$L:$L,MATCH($D512&amp;$B512&amp;$E512,'24&amp;25'!$B:$B&amp;'24&amp;25'!$A:$A&amp;'24&amp;25'!$C:$C,0)),INDEX('24&amp;25'!$M:$M,MATCH($D512&amp;$B512&amp;$E512,'24&amp;25'!$B:$B&amp;'24&amp;25'!$A:$A&amp;'24&amp;25'!$C:$C,0)))</f>
        <v>0</v>
      </c>
      <c r="M512">
        <f>L512/VLOOKUP($D512,CPI!$P$16:$R$22,3,FALSE)</f>
        <v>0</v>
      </c>
    </row>
    <row r="513" spans="1:13" ht="16" thickBot="1" x14ac:dyDescent="0.25">
      <c r="A513" s="7">
        <v>2</v>
      </c>
      <c r="B513">
        <f>IF(ISBLANK(G513),"",VLOOKUP(H513,code!B:C,2,FALSE))</f>
        <v>17</v>
      </c>
      <c r="C513">
        <f t="shared" si="14"/>
        <v>1</v>
      </c>
      <c r="D513">
        <v>2019</v>
      </c>
      <c r="E513">
        <v>199218</v>
      </c>
      <c r="F513" t="s">
        <v>175</v>
      </c>
      <c r="G513" t="s">
        <v>285</v>
      </c>
      <c r="H513" t="s">
        <v>25</v>
      </c>
      <c r="I513">
        <v>8771</v>
      </c>
      <c r="J513">
        <f>I513/VLOOKUP($D513,CPI!$P$16:$R$22,3,FALSE)</f>
        <v>10378.477862426635</v>
      </c>
      <c r="K513">
        <f t="shared" si="15"/>
        <v>0</v>
      </c>
      <c r="L513" s="3" cm="1">
        <f t="array" ref="L513">IF($C513=0,INDEX('24&amp;25'!$L:$L,MATCH($D513&amp;$B513&amp;$E513,'24&amp;25'!$B:$B&amp;'24&amp;25'!$A:$A&amp;'24&amp;25'!$C:$C,0)),INDEX('24&amp;25'!$M:$M,MATCH($D513&amp;$B513&amp;$E513,'24&amp;25'!$B:$B&amp;'24&amp;25'!$A:$A&amp;'24&amp;25'!$C:$C,0)))</f>
        <v>146</v>
      </c>
      <c r="M513">
        <f>L513/VLOOKUP($D513,CPI!$P$16:$R$22,3,FALSE)</f>
        <v>172.75769785820188</v>
      </c>
    </row>
    <row r="514" spans="1:13" ht="16" thickBot="1" x14ac:dyDescent="0.25">
      <c r="A514" s="7">
        <v>2</v>
      </c>
      <c r="B514">
        <f>IF(ISBLANK(G514),"",VLOOKUP(H514,code!B:C,2,FALSE))</f>
        <v>18</v>
      </c>
      <c r="C514">
        <f t="shared" si="14"/>
        <v>1</v>
      </c>
      <c r="D514">
        <v>2019</v>
      </c>
      <c r="E514">
        <v>199218</v>
      </c>
      <c r="F514" t="s">
        <v>175</v>
      </c>
      <c r="G514" t="s">
        <v>285</v>
      </c>
      <c r="H514" t="s">
        <v>26</v>
      </c>
      <c r="I514">
        <v>9080</v>
      </c>
      <c r="J514">
        <f>I514/VLOOKUP($D514,CPI!$P$16:$R$22,3,FALSE)</f>
        <v>10744.108880496391</v>
      </c>
      <c r="K514">
        <f t="shared" si="15"/>
        <v>0</v>
      </c>
      <c r="L514" s="3" cm="1">
        <f t="array" ref="L514">IF($C514=0,INDEX('24&amp;25'!$L:$L,MATCH($D514&amp;$B514&amp;$E514,'24&amp;25'!$B:$B&amp;'24&amp;25'!$A:$A&amp;'24&amp;25'!$C:$C,0)),INDEX('24&amp;25'!$M:$M,MATCH($D514&amp;$B514&amp;$E514,'24&amp;25'!$B:$B&amp;'24&amp;25'!$A:$A&amp;'24&amp;25'!$C:$C,0)))</f>
        <v>2475</v>
      </c>
      <c r="M514">
        <f>L514/VLOOKUP($D514,CPI!$P$16:$R$22,3,FALSE)</f>
        <v>2928.5979602674633</v>
      </c>
    </row>
    <row r="515" spans="1:13" ht="16" thickBot="1" x14ac:dyDescent="0.25">
      <c r="A515" s="7">
        <v>2</v>
      </c>
      <c r="B515">
        <f>IF(ISBLANK(G515),"",VLOOKUP(H515,code!B:C,2,FALSE))</f>
        <v>19</v>
      </c>
      <c r="C515">
        <f t="shared" ref="C515:C578" si="16">IF(ISBLANK(G515),"",IF(MID(G515,1,1)="M",0,1))</f>
        <v>1</v>
      </c>
      <c r="D515">
        <v>2019</v>
      </c>
      <c r="E515">
        <v>199218</v>
      </c>
      <c r="F515" t="s">
        <v>175</v>
      </c>
      <c r="G515" t="s">
        <v>285</v>
      </c>
      <c r="H515" t="s">
        <v>27</v>
      </c>
      <c r="I515">
        <v>408</v>
      </c>
      <c r="J515">
        <f>I515/VLOOKUP($D515,CPI!$P$16:$R$22,3,FALSE)</f>
        <v>482.77493648045453</v>
      </c>
      <c r="K515">
        <f t="shared" ref="K515:K578" si="17">IF(ISBLANK(G515),"",IF(D515=2021,1,0))</f>
        <v>0</v>
      </c>
      <c r="L515" s="3" cm="1">
        <f t="array" ref="L515">IF($C515=0,INDEX('24&amp;25'!$L:$L,MATCH($D515&amp;$B515&amp;$E515,'24&amp;25'!$B:$B&amp;'24&amp;25'!$A:$A&amp;'24&amp;25'!$C:$C,0)),INDEX('24&amp;25'!$M:$M,MATCH($D515&amp;$B515&amp;$E515,'24&amp;25'!$B:$B&amp;'24&amp;25'!$A:$A&amp;'24&amp;25'!$C:$C,0)))</f>
        <v>0</v>
      </c>
      <c r="M515">
        <f>L515/VLOOKUP($D515,CPI!$P$16:$R$22,3,FALSE)</f>
        <v>0</v>
      </c>
    </row>
    <row r="516" spans="1:13" ht="16" thickBot="1" x14ac:dyDescent="0.25">
      <c r="A516" s="7">
        <v>2</v>
      </c>
      <c r="B516">
        <f>IF(ISBLANK(G516),"",VLOOKUP(H516,code!B:C,2,FALSE))</f>
        <v>20</v>
      </c>
      <c r="C516">
        <f t="shared" si="16"/>
        <v>1</v>
      </c>
      <c r="D516">
        <v>2019</v>
      </c>
      <c r="E516">
        <v>199218</v>
      </c>
      <c r="F516" t="s">
        <v>175</v>
      </c>
      <c r="G516" t="s">
        <v>285</v>
      </c>
      <c r="H516" t="s">
        <v>28</v>
      </c>
      <c r="I516">
        <v>24</v>
      </c>
      <c r="J516">
        <f>I516/VLOOKUP($D516,CPI!$P$16:$R$22,3,FALSE)</f>
        <v>28.398525675320855</v>
      </c>
      <c r="K516">
        <f t="shared" si="17"/>
        <v>0</v>
      </c>
      <c r="L516" s="3" cm="1">
        <f t="array" ref="L516">IF($C516=0,INDEX('24&amp;25'!$L:$L,MATCH($D516&amp;$B516&amp;$E516,'24&amp;25'!$B:$B&amp;'24&amp;25'!$A:$A&amp;'24&amp;25'!$C:$C,0)),INDEX('24&amp;25'!$M:$M,MATCH($D516&amp;$B516&amp;$E516,'24&amp;25'!$B:$B&amp;'24&amp;25'!$A:$A&amp;'24&amp;25'!$C:$C,0)))</f>
        <v>0</v>
      </c>
      <c r="M516">
        <f>L516/VLOOKUP($D516,CPI!$P$16:$R$22,3,FALSE)</f>
        <v>0</v>
      </c>
    </row>
    <row r="517" spans="1:13" ht="16" thickBot="1" x14ac:dyDescent="0.25">
      <c r="A517" s="7">
        <v>2</v>
      </c>
      <c r="B517">
        <f>IF(ISBLANK(G517),"",VLOOKUP(H517,code!B:C,2,FALSE))</f>
        <v>21</v>
      </c>
      <c r="C517">
        <f t="shared" si="16"/>
        <v>1</v>
      </c>
      <c r="D517">
        <v>2019</v>
      </c>
      <c r="E517">
        <v>199218</v>
      </c>
      <c r="F517" t="s">
        <v>175</v>
      </c>
      <c r="G517" t="s">
        <v>285</v>
      </c>
      <c r="H517" t="s">
        <v>30</v>
      </c>
      <c r="I517">
        <v>1316</v>
      </c>
      <c r="J517">
        <f>I517/VLOOKUP($D517,CPI!$P$16:$R$22,3,FALSE)</f>
        <v>1557.1858245300937</v>
      </c>
      <c r="K517">
        <f t="shared" si="17"/>
        <v>0</v>
      </c>
      <c r="L517" s="3" cm="1">
        <f t="array" ref="L517">IF($C517=0,INDEX('24&amp;25'!$L:$L,MATCH($D517&amp;$B517&amp;$E517,'24&amp;25'!$B:$B&amp;'24&amp;25'!$A:$A&amp;'24&amp;25'!$C:$C,0)),INDEX('24&amp;25'!$M:$M,MATCH($D517&amp;$B517&amp;$E517,'24&amp;25'!$B:$B&amp;'24&amp;25'!$A:$A&amp;'24&amp;25'!$C:$C,0)))</f>
        <v>0</v>
      </c>
      <c r="M517">
        <f>L517/VLOOKUP($D517,CPI!$P$16:$R$22,3,FALSE)</f>
        <v>0</v>
      </c>
    </row>
    <row r="518" spans="1:13" ht="16" thickBot="1" x14ac:dyDescent="0.25">
      <c r="A518" s="7">
        <v>2</v>
      </c>
      <c r="B518">
        <f>IF(ISBLANK(G518),"",VLOOKUP(H518,code!B:C,2,FALSE))</f>
        <v>23</v>
      </c>
      <c r="C518">
        <f t="shared" si="16"/>
        <v>1</v>
      </c>
      <c r="D518">
        <v>2019</v>
      </c>
      <c r="E518">
        <v>199218</v>
      </c>
      <c r="F518" t="s">
        <v>175</v>
      </c>
      <c r="G518" t="s">
        <v>285</v>
      </c>
      <c r="H518" t="s">
        <v>33</v>
      </c>
      <c r="I518">
        <v>5462</v>
      </c>
      <c r="J518">
        <f>I518/VLOOKUP($D518,CPI!$P$16:$R$22,3,FALSE)</f>
        <v>6463.0311349417716</v>
      </c>
      <c r="K518">
        <f t="shared" si="17"/>
        <v>0</v>
      </c>
      <c r="L518" s="3" cm="1">
        <f t="array" ref="L518">IF($C518=0,INDEX('24&amp;25'!$L:$L,MATCH($D518&amp;$B518&amp;$E518,'24&amp;25'!$B:$B&amp;'24&amp;25'!$A:$A&amp;'24&amp;25'!$C:$C,0)),INDEX('24&amp;25'!$M:$M,MATCH($D518&amp;$B518&amp;$E518,'24&amp;25'!$B:$B&amp;'24&amp;25'!$A:$A&amp;'24&amp;25'!$C:$C,0)))</f>
        <v>0</v>
      </c>
      <c r="M518">
        <f>L518/VLOOKUP($D518,CPI!$P$16:$R$22,3,FALSE)</f>
        <v>0</v>
      </c>
    </row>
    <row r="519" spans="1:13" ht="16" thickBot="1" x14ac:dyDescent="0.25">
      <c r="A519" s="7">
        <v>2</v>
      </c>
      <c r="B519">
        <f>IF(ISBLANK(G519),"",VLOOKUP(H519,code!B:C,2,FALSE))</f>
        <v>1</v>
      </c>
      <c r="C519">
        <f t="shared" si="16"/>
        <v>0</v>
      </c>
      <c r="D519">
        <v>2020</v>
      </c>
      <c r="E519">
        <v>199218</v>
      </c>
      <c r="F519" t="s">
        <v>175</v>
      </c>
      <c r="G519" t="s">
        <v>284</v>
      </c>
      <c r="H519" t="s">
        <v>9</v>
      </c>
      <c r="I519">
        <v>87514</v>
      </c>
      <c r="J519">
        <f>I519/VLOOKUP($D519,CPI!$P$16:$R$22,3,FALSE)</f>
        <v>101958.0797224274</v>
      </c>
      <c r="K519">
        <f t="shared" si="17"/>
        <v>0</v>
      </c>
      <c r="L519" s="3" cm="1">
        <f t="array" ref="L519">IF($C519=0,INDEX('24&amp;25'!$L:$L,MATCH($D519&amp;$B519&amp;$E519,'24&amp;25'!$B:$B&amp;'24&amp;25'!$A:$A&amp;'24&amp;25'!$C:$C,0)),INDEX('24&amp;25'!$M:$M,MATCH($D519&amp;$B519&amp;$E519,'24&amp;25'!$B:$B&amp;'24&amp;25'!$A:$A&amp;'24&amp;25'!$C:$C,0)))</f>
        <v>58089</v>
      </c>
      <c r="M519">
        <f>L519/VLOOKUP($D519,CPI!$P$16:$R$22,3,FALSE)</f>
        <v>67676.519105469823</v>
      </c>
    </row>
    <row r="520" spans="1:13" ht="16" thickBot="1" x14ac:dyDescent="0.25">
      <c r="A520" s="7">
        <v>2</v>
      </c>
      <c r="B520">
        <f>IF(ISBLANK(G520),"",VLOOKUP(H520,code!B:C,2,FALSE))</f>
        <v>2</v>
      </c>
      <c r="C520">
        <f t="shared" si="16"/>
        <v>0</v>
      </c>
      <c r="D520">
        <v>2020</v>
      </c>
      <c r="E520">
        <v>199218</v>
      </c>
      <c r="F520" t="s">
        <v>175</v>
      </c>
      <c r="G520" t="s">
        <v>284</v>
      </c>
      <c r="H520" t="s">
        <v>10</v>
      </c>
      <c r="I520">
        <v>1046783</v>
      </c>
      <c r="J520">
        <f>I520/VLOOKUP($D520,CPI!$P$16:$R$22,3,FALSE)</f>
        <v>1219553.2665182911</v>
      </c>
      <c r="K520">
        <f t="shared" si="17"/>
        <v>0</v>
      </c>
      <c r="L520" s="3" cm="1">
        <f t="array" ref="L520">IF($C520=0,INDEX('24&amp;25'!$L:$L,MATCH($D520&amp;$B520&amp;$E520,'24&amp;25'!$B:$B&amp;'24&amp;25'!$A:$A&amp;'24&amp;25'!$C:$C,0)),INDEX('24&amp;25'!$M:$M,MATCH($D520&amp;$B520&amp;$E520,'24&amp;25'!$B:$B&amp;'24&amp;25'!$A:$A&amp;'24&amp;25'!$C:$C,0)))</f>
        <v>207464</v>
      </c>
      <c r="M520">
        <f>L520/VLOOKUP($D520,CPI!$P$16:$R$22,3,FALSE)</f>
        <v>241705.68196555614</v>
      </c>
    </row>
    <row r="521" spans="1:13" ht="16" thickBot="1" x14ac:dyDescent="0.25">
      <c r="A521" s="7">
        <v>2</v>
      </c>
      <c r="B521">
        <f>IF(ISBLANK(G521),"",VLOOKUP(H521,code!B:C,2,FALSE))</f>
        <v>9</v>
      </c>
      <c r="C521">
        <f t="shared" si="16"/>
        <v>0</v>
      </c>
      <c r="D521">
        <v>2020</v>
      </c>
      <c r="E521">
        <v>199218</v>
      </c>
      <c r="F521" t="s">
        <v>175</v>
      </c>
      <c r="G521" t="s">
        <v>284</v>
      </c>
      <c r="H521" t="s">
        <v>17</v>
      </c>
      <c r="I521">
        <v>52293</v>
      </c>
      <c r="J521">
        <f>I521/VLOOKUP($D521,CPI!$P$16:$R$22,3,FALSE)</f>
        <v>60923.896324301211</v>
      </c>
      <c r="K521">
        <f t="shared" si="17"/>
        <v>0</v>
      </c>
      <c r="L521" s="3" cm="1">
        <f t="array" ref="L521">IF($C521=0,INDEX('24&amp;25'!$L:$L,MATCH($D521&amp;$B521&amp;$E521,'24&amp;25'!$B:$B&amp;'24&amp;25'!$A:$A&amp;'24&amp;25'!$C:$C,0)),INDEX('24&amp;25'!$M:$M,MATCH($D521&amp;$B521&amp;$E521,'24&amp;25'!$B:$B&amp;'24&amp;25'!$A:$A&amp;'24&amp;25'!$C:$C,0)))</f>
        <v>0</v>
      </c>
      <c r="M521">
        <f>L521/VLOOKUP($D521,CPI!$P$16:$R$22,3,FALSE)</f>
        <v>0</v>
      </c>
    </row>
    <row r="522" spans="1:13" ht="16" thickBot="1" x14ac:dyDescent="0.25">
      <c r="A522" s="7">
        <v>2</v>
      </c>
      <c r="B522">
        <f>IF(ISBLANK(G522),"",VLOOKUP(H522,code!B:C,2,FALSE))</f>
        <v>17</v>
      </c>
      <c r="C522">
        <f t="shared" si="16"/>
        <v>0</v>
      </c>
      <c r="D522">
        <v>2020</v>
      </c>
      <c r="E522">
        <v>199218</v>
      </c>
      <c r="F522" t="s">
        <v>175</v>
      </c>
      <c r="G522" t="s">
        <v>284</v>
      </c>
      <c r="H522" t="s">
        <v>25</v>
      </c>
      <c r="I522">
        <v>53270</v>
      </c>
      <c r="J522">
        <f>I522/VLOOKUP($D522,CPI!$P$16:$R$22,3,FALSE)</f>
        <v>62062.148991175214</v>
      </c>
      <c r="K522">
        <f t="shared" si="17"/>
        <v>0</v>
      </c>
      <c r="L522" s="3" cm="1">
        <f t="array" ref="L522">IF($C522=0,INDEX('24&amp;25'!$L:$L,MATCH($D522&amp;$B522&amp;$E522,'24&amp;25'!$B:$B&amp;'24&amp;25'!$A:$A&amp;'24&amp;25'!$C:$C,0)),INDEX('24&amp;25'!$M:$M,MATCH($D522&amp;$B522&amp;$E522,'24&amp;25'!$B:$B&amp;'24&amp;25'!$A:$A&amp;'24&amp;25'!$C:$C,0)))</f>
        <v>0</v>
      </c>
      <c r="M522">
        <f>L522/VLOOKUP($D522,CPI!$P$16:$R$22,3,FALSE)</f>
        <v>0</v>
      </c>
    </row>
    <row r="523" spans="1:13" ht="16" thickBot="1" x14ac:dyDescent="0.25">
      <c r="A523" s="7">
        <v>2</v>
      </c>
      <c r="B523">
        <f>IF(ISBLANK(G523),"",VLOOKUP(H523,code!B:C,2,FALSE))</f>
        <v>19</v>
      </c>
      <c r="C523">
        <f t="shared" si="16"/>
        <v>0</v>
      </c>
      <c r="D523">
        <v>2020</v>
      </c>
      <c r="E523">
        <v>199218</v>
      </c>
      <c r="F523" t="s">
        <v>175</v>
      </c>
      <c r="G523" t="s">
        <v>284</v>
      </c>
      <c r="H523" t="s">
        <v>27</v>
      </c>
      <c r="I523">
        <v>1164</v>
      </c>
      <c r="J523">
        <f>I523/VLOOKUP($D523,CPI!$P$16:$R$22,3,FALSE)</f>
        <v>1356.116790421024</v>
      </c>
      <c r="K523">
        <f t="shared" si="17"/>
        <v>0</v>
      </c>
      <c r="L523" s="3" cm="1">
        <f t="array" ref="L523">IF($C523=0,INDEX('24&amp;25'!$L:$L,MATCH($D523&amp;$B523&amp;$E523,'24&amp;25'!$B:$B&amp;'24&amp;25'!$A:$A&amp;'24&amp;25'!$C:$C,0)),INDEX('24&amp;25'!$M:$M,MATCH($D523&amp;$B523&amp;$E523,'24&amp;25'!$B:$B&amp;'24&amp;25'!$A:$A&amp;'24&amp;25'!$C:$C,0)))</f>
        <v>0</v>
      </c>
      <c r="M523">
        <f>L523/VLOOKUP($D523,CPI!$P$16:$R$22,3,FALSE)</f>
        <v>0</v>
      </c>
    </row>
    <row r="524" spans="1:13" ht="16" thickBot="1" x14ac:dyDescent="0.25">
      <c r="A524" s="7">
        <v>2</v>
      </c>
      <c r="B524">
        <f>IF(ISBLANK(G524),"",VLOOKUP(H524,code!B:C,2,FALSE))</f>
        <v>20</v>
      </c>
      <c r="C524">
        <f t="shared" si="16"/>
        <v>0</v>
      </c>
      <c r="D524">
        <v>2020</v>
      </c>
      <c r="E524">
        <v>199218</v>
      </c>
      <c r="F524" t="s">
        <v>175</v>
      </c>
      <c r="G524" t="s">
        <v>284</v>
      </c>
      <c r="H524" t="s">
        <v>28</v>
      </c>
      <c r="I524">
        <v>16000</v>
      </c>
      <c r="J524">
        <f>I524/VLOOKUP($D524,CPI!$P$16:$R$22,3,FALSE)</f>
        <v>18640.780624343974</v>
      </c>
      <c r="K524">
        <f t="shared" si="17"/>
        <v>0</v>
      </c>
      <c r="L524" s="3" cm="1">
        <f t="array" ref="L524">IF($C524=0,INDEX('24&amp;25'!$L:$L,MATCH($D524&amp;$B524&amp;$E524,'24&amp;25'!$B:$B&amp;'24&amp;25'!$A:$A&amp;'24&amp;25'!$C:$C,0)),INDEX('24&amp;25'!$M:$M,MATCH($D524&amp;$B524&amp;$E524,'24&amp;25'!$B:$B&amp;'24&amp;25'!$A:$A&amp;'24&amp;25'!$C:$C,0)))</f>
        <v>0</v>
      </c>
      <c r="M524">
        <f>L524/VLOOKUP($D524,CPI!$P$16:$R$22,3,FALSE)</f>
        <v>0</v>
      </c>
    </row>
    <row r="525" spans="1:13" ht="16" thickBot="1" x14ac:dyDescent="0.25">
      <c r="A525" s="7">
        <v>2</v>
      </c>
      <c r="B525">
        <f>IF(ISBLANK(G525),"",VLOOKUP(H525,code!B:C,2,FALSE))</f>
        <v>21</v>
      </c>
      <c r="C525">
        <f t="shared" si="16"/>
        <v>0</v>
      </c>
      <c r="D525">
        <v>2020</v>
      </c>
      <c r="E525">
        <v>199218</v>
      </c>
      <c r="F525" t="s">
        <v>175</v>
      </c>
      <c r="G525" t="s">
        <v>284</v>
      </c>
      <c r="H525" t="s">
        <v>30</v>
      </c>
      <c r="I525">
        <v>0</v>
      </c>
      <c r="J525">
        <f>I525/VLOOKUP($D525,CPI!$P$16:$R$22,3,FALSE)</f>
        <v>0</v>
      </c>
      <c r="K525">
        <f t="shared" si="17"/>
        <v>0</v>
      </c>
      <c r="L525" s="3" cm="1">
        <f t="array" ref="L525">IF($C525=0,INDEX('24&amp;25'!$L:$L,MATCH($D525&amp;$B525&amp;$E525,'24&amp;25'!$B:$B&amp;'24&amp;25'!$A:$A&amp;'24&amp;25'!$C:$C,0)),INDEX('24&amp;25'!$M:$M,MATCH($D525&amp;$B525&amp;$E525,'24&amp;25'!$B:$B&amp;'24&amp;25'!$A:$A&amp;'24&amp;25'!$C:$C,0)))</f>
        <v>0</v>
      </c>
      <c r="M525">
        <f>L525/VLOOKUP($D525,CPI!$P$16:$R$22,3,FALSE)</f>
        <v>0</v>
      </c>
    </row>
    <row r="526" spans="1:13" ht="16" thickBot="1" x14ac:dyDescent="0.25">
      <c r="A526" s="7">
        <v>2</v>
      </c>
      <c r="B526">
        <f>IF(ISBLANK(G526),"",VLOOKUP(H526,code!B:C,2,FALSE))</f>
        <v>2</v>
      </c>
      <c r="C526">
        <f t="shared" si="16"/>
        <v>1</v>
      </c>
      <c r="D526">
        <v>2020</v>
      </c>
      <c r="E526">
        <v>199218</v>
      </c>
      <c r="F526" t="s">
        <v>175</v>
      </c>
      <c r="G526" t="s">
        <v>285</v>
      </c>
      <c r="H526" t="s">
        <v>10</v>
      </c>
      <c r="I526">
        <v>73452</v>
      </c>
      <c r="J526">
        <f>I526/VLOOKUP($D526,CPI!$P$16:$R$22,3,FALSE)</f>
        <v>85575.163651207098</v>
      </c>
      <c r="K526">
        <f t="shared" si="17"/>
        <v>0</v>
      </c>
      <c r="L526" s="3" cm="1">
        <f t="array" ref="L526">IF($C526=0,INDEX('24&amp;25'!$L:$L,MATCH($D526&amp;$B526&amp;$E526,'24&amp;25'!$B:$B&amp;'24&amp;25'!$A:$A&amp;'24&amp;25'!$C:$C,0)),INDEX('24&amp;25'!$M:$M,MATCH($D526&amp;$B526&amp;$E526,'24&amp;25'!$B:$B&amp;'24&amp;25'!$A:$A&amp;'24&amp;25'!$C:$C,0)))</f>
        <v>48947</v>
      </c>
      <c r="M526">
        <f>L526/VLOOKUP($D526,CPI!$P$16:$R$22,3,FALSE)</f>
        <v>57025.643076235283</v>
      </c>
    </row>
    <row r="527" spans="1:13" ht="16" thickBot="1" x14ac:dyDescent="0.25">
      <c r="A527" s="7">
        <v>2</v>
      </c>
      <c r="B527">
        <f>IF(ISBLANK(G527),"",VLOOKUP(H527,code!B:C,2,FALSE))</f>
        <v>3</v>
      </c>
      <c r="C527">
        <f t="shared" si="16"/>
        <v>1</v>
      </c>
      <c r="D527">
        <v>2020</v>
      </c>
      <c r="E527">
        <v>199218</v>
      </c>
      <c r="F527" t="s">
        <v>175</v>
      </c>
      <c r="G527" t="s">
        <v>285</v>
      </c>
      <c r="H527" t="s">
        <v>11</v>
      </c>
      <c r="I527">
        <v>0</v>
      </c>
      <c r="J527">
        <f>I527/VLOOKUP($D527,CPI!$P$16:$R$22,3,FALSE)</f>
        <v>0</v>
      </c>
      <c r="K527">
        <f t="shared" si="17"/>
        <v>0</v>
      </c>
      <c r="L527" s="3" cm="1">
        <f t="array" ref="L527">IF($C527=0,INDEX('24&amp;25'!$L:$L,MATCH($D527&amp;$B527&amp;$E527,'24&amp;25'!$B:$B&amp;'24&amp;25'!$A:$A&amp;'24&amp;25'!$C:$C,0)),INDEX('24&amp;25'!$M:$M,MATCH($D527&amp;$B527&amp;$E527,'24&amp;25'!$B:$B&amp;'24&amp;25'!$A:$A&amp;'24&amp;25'!$C:$C,0)))</f>
        <v>0</v>
      </c>
      <c r="M527">
        <f>L527/VLOOKUP($D527,CPI!$P$16:$R$22,3,FALSE)</f>
        <v>0</v>
      </c>
    </row>
    <row r="528" spans="1:13" ht="16" thickBot="1" x14ac:dyDescent="0.25">
      <c r="A528" s="7">
        <v>2</v>
      </c>
      <c r="B528">
        <f>IF(ISBLANK(G528),"",VLOOKUP(H528,code!B:C,2,FALSE))</f>
        <v>9</v>
      </c>
      <c r="C528">
        <f t="shared" si="16"/>
        <v>1</v>
      </c>
      <c r="D528">
        <v>2020</v>
      </c>
      <c r="E528">
        <v>199218</v>
      </c>
      <c r="F528" t="s">
        <v>175</v>
      </c>
      <c r="G528" t="s">
        <v>285</v>
      </c>
      <c r="H528" t="s">
        <v>17</v>
      </c>
      <c r="I528">
        <v>0</v>
      </c>
      <c r="J528">
        <f>I528/VLOOKUP($D528,CPI!$P$16:$R$22,3,FALSE)</f>
        <v>0</v>
      </c>
      <c r="K528">
        <f t="shared" si="17"/>
        <v>0</v>
      </c>
      <c r="L528" s="3" cm="1">
        <f t="array" ref="L528">IF($C528=0,INDEX('24&amp;25'!$L:$L,MATCH($D528&amp;$B528&amp;$E528,'24&amp;25'!$B:$B&amp;'24&amp;25'!$A:$A&amp;'24&amp;25'!$C:$C,0)),INDEX('24&amp;25'!$M:$M,MATCH($D528&amp;$B528&amp;$E528,'24&amp;25'!$B:$B&amp;'24&amp;25'!$A:$A&amp;'24&amp;25'!$C:$C,0)))</f>
        <v>0</v>
      </c>
      <c r="M528">
        <f>L528/VLOOKUP($D528,CPI!$P$16:$R$22,3,FALSE)</f>
        <v>0</v>
      </c>
    </row>
    <row r="529" spans="1:13" ht="16" thickBot="1" x14ac:dyDescent="0.25">
      <c r="A529" s="7">
        <v>2</v>
      </c>
      <c r="B529">
        <f>IF(ISBLANK(G529),"",VLOOKUP(H529,code!B:C,2,FALSE))</f>
        <v>17</v>
      </c>
      <c r="C529">
        <f t="shared" si="16"/>
        <v>1</v>
      </c>
      <c r="D529">
        <v>2020</v>
      </c>
      <c r="E529">
        <v>199218</v>
      </c>
      <c r="F529" t="s">
        <v>175</v>
      </c>
      <c r="G529" t="s">
        <v>285</v>
      </c>
      <c r="H529" t="s">
        <v>25</v>
      </c>
      <c r="I529">
        <v>8855</v>
      </c>
      <c r="J529">
        <f>I529/VLOOKUP($D529,CPI!$P$16:$R$22,3,FALSE)</f>
        <v>10316.507026785368</v>
      </c>
      <c r="K529">
        <f t="shared" si="17"/>
        <v>0</v>
      </c>
      <c r="L529" s="3" cm="1">
        <f t="array" ref="L529">IF($C529=0,INDEX('24&amp;25'!$L:$L,MATCH($D529&amp;$B529&amp;$E529,'24&amp;25'!$B:$B&amp;'24&amp;25'!$A:$A&amp;'24&amp;25'!$C:$C,0)),INDEX('24&amp;25'!$M:$M,MATCH($D529&amp;$B529&amp;$E529,'24&amp;25'!$B:$B&amp;'24&amp;25'!$A:$A&amp;'24&amp;25'!$C:$C,0)))</f>
        <v>0</v>
      </c>
      <c r="M529">
        <f>L529/VLOOKUP($D529,CPI!$P$16:$R$22,3,FALSE)</f>
        <v>0</v>
      </c>
    </row>
    <row r="530" spans="1:13" ht="16" thickBot="1" x14ac:dyDescent="0.25">
      <c r="A530" s="7">
        <v>2</v>
      </c>
      <c r="B530">
        <f>IF(ISBLANK(G530),"",VLOOKUP(H530,code!B:C,2,FALSE))</f>
        <v>18</v>
      </c>
      <c r="C530">
        <f t="shared" si="16"/>
        <v>1</v>
      </c>
      <c r="D530">
        <v>2020</v>
      </c>
      <c r="E530">
        <v>199218</v>
      </c>
      <c r="F530" t="s">
        <v>175</v>
      </c>
      <c r="G530" t="s">
        <v>285</v>
      </c>
      <c r="H530" t="s">
        <v>26</v>
      </c>
      <c r="I530">
        <v>16345</v>
      </c>
      <c r="J530">
        <f>I530/VLOOKUP($D530,CPI!$P$16:$R$22,3,FALSE)</f>
        <v>19042.722456556392</v>
      </c>
      <c r="K530">
        <f t="shared" si="17"/>
        <v>0</v>
      </c>
      <c r="L530" s="3" cm="1">
        <f t="array" ref="L530">IF($C530=0,INDEX('24&amp;25'!$L:$L,MATCH($D530&amp;$B530&amp;$E530,'24&amp;25'!$B:$B&amp;'24&amp;25'!$A:$A&amp;'24&amp;25'!$C:$C,0)),INDEX('24&amp;25'!$M:$M,MATCH($D530&amp;$B530&amp;$E530,'24&amp;25'!$B:$B&amp;'24&amp;25'!$A:$A&amp;'24&amp;25'!$C:$C,0)))</f>
        <v>2045</v>
      </c>
      <c r="M530">
        <f>L530/VLOOKUP($D530,CPI!$P$16:$R$22,3,FALSE)</f>
        <v>2382.5247735489643</v>
      </c>
    </row>
    <row r="531" spans="1:13" ht="16" thickBot="1" x14ac:dyDescent="0.25">
      <c r="A531" s="7">
        <v>2</v>
      </c>
      <c r="B531">
        <f>IF(ISBLANK(G531),"",VLOOKUP(H531,code!B:C,2,FALSE))</f>
        <v>19</v>
      </c>
      <c r="C531">
        <f t="shared" si="16"/>
        <v>1</v>
      </c>
      <c r="D531">
        <v>2020</v>
      </c>
      <c r="E531">
        <v>199218</v>
      </c>
      <c r="F531" t="s">
        <v>175</v>
      </c>
      <c r="G531" t="s">
        <v>285</v>
      </c>
      <c r="H531" t="s">
        <v>27</v>
      </c>
      <c r="I531">
        <v>1541</v>
      </c>
      <c r="J531">
        <f>I531/VLOOKUP($D531,CPI!$P$16:$R$22,3,FALSE)</f>
        <v>1795.3401838821289</v>
      </c>
      <c r="K531">
        <f t="shared" si="17"/>
        <v>0</v>
      </c>
      <c r="L531" s="3" cm="1">
        <f t="array" ref="L531">IF($C531=0,INDEX('24&amp;25'!$L:$L,MATCH($D531&amp;$B531&amp;$E531,'24&amp;25'!$B:$B&amp;'24&amp;25'!$A:$A&amp;'24&amp;25'!$C:$C,0)),INDEX('24&amp;25'!$M:$M,MATCH($D531&amp;$B531&amp;$E531,'24&amp;25'!$B:$B&amp;'24&amp;25'!$A:$A&amp;'24&amp;25'!$C:$C,0)))</f>
        <v>0</v>
      </c>
      <c r="M531">
        <f>L531/VLOOKUP($D531,CPI!$P$16:$R$22,3,FALSE)</f>
        <v>0</v>
      </c>
    </row>
    <row r="532" spans="1:13" ht="16" thickBot="1" x14ac:dyDescent="0.25">
      <c r="A532" s="7">
        <v>2</v>
      </c>
      <c r="B532">
        <f>IF(ISBLANK(G532),"",VLOOKUP(H532,code!B:C,2,FALSE))</f>
        <v>20</v>
      </c>
      <c r="C532">
        <f t="shared" si="16"/>
        <v>1</v>
      </c>
      <c r="D532">
        <v>2020</v>
      </c>
      <c r="E532">
        <v>199218</v>
      </c>
      <c r="F532" t="s">
        <v>175</v>
      </c>
      <c r="G532" t="s">
        <v>285</v>
      </c>
      <c r="H532" t="s">
        <v>28</v>
      </c>
      <c r="I532">
        <v>0</v>
      </c>
      <c r="J532">
        <f>I532/VLOOKUP($D532,CPI!$P$16:$R$22,3,FALSE)</f>
        <v>0</v>
      </c>
      <c r="K532">
        <f t="shared" si="17"/>
        <v>0</v>
      </c>
      <c r="L532" s="3" cm="1">
        <f t="array" ref="L532">IF($C532=0,INDEX('24&amp;25'!$L:$L,MATCH($D532&amp;$B532&amp;$E532,'24&amp;25'!$B:$B&amp;'24&amp;25'!$A:$A&amp;'24&amp;25'!$C:$C,0)),INDEX('24&amp;25'!$M:$M,MATCH($D532&amp;$B532&amp;$E532,'24&amp;25'!$B:$B&amp;'24&amp;25'!$A:$A&amp;'24&amp;25'!$C:$C,0)))</f>
        <v>0</v>
      </c>
      <c r="M532">
        <f>L532/VLOOKUP($D532,CPI!$P$16:$R$22,3,FALSE)</f>
        <v>0</v>
      </c>
    </row>
    <row r="533" spans="1:13" ht="16" thickBot="1" x14ac:dyDescent="0.25">
      <c r="A533" s="7">
        <v>2</v>
      </c>
      <c r="B533">
        <f>IF(ISBLANK(G533),"",VLOOKUP(H533,code!B:C,2,FALSE))</f>
        <v>21</v>
      </c>
      <c r="C533">
        <f t="shared" si="16"/>
        <v>1</v>
      </c>
      <c r="D533">
        <v>2020</v>
      </c>
      <c r="E533">
        <v>199218</v>
      </c>
      <c r="F533" t="s">
        <v>175</v>
      </c>
      <c r="G533" t="s">
        <v>285</v>
      </c>
      <c r="H533" t="s">
        <v>30</v>
      </c>
      <c r="I533">
        <v>0</v>
      </c>
      <c r="J533">
        <f>I533/VLOOKUP($D533,CPI!$P$16:$R$22,3,FALSE)</f>
        <v>0</v>
      </c>
      <c r="K533">
        <f t="shared" si="17"/>
        <v>0</v>
      </c>
      <c r="L533" s="3" cm="1">
        <f t="array" ref="L533">IF($C533=0,INDEX('24&amp;25'!$L:$L,MATCH($D533&amp;$B533&amp;$E533,'24&amp;25'!$B:$B&amp;'24&amp;25'!$A:$A&amp;'24&amp;25'!$C:$C,0)),INDEX('24&amp;25'!$M:$M,MATCH($D533&amp;$B533&amp;$E533,'24&amp;25'!$B:$B&amp;'24&amp;25'!$A:$A&amp;'24&amp;25'!$C:$C,0)))</f>
        <v>0</v>
      </c>
      <c r="M533">
        <f>L533/VLOOKUP($D533,CPI!$P$16:$R$22,3,FALSE)</f>
        <v>0</v>
      </c>
    </row>
    <row r="534" spans="1:13" ht="16" thickBot="1" x14ac:dyDescent="0.25">
      <c r="A534" s="7">
        <v>2</v>
      </c>
      <c r="B534">
        <f>IF(ISBLANK(G534),"",VLOOKUP(H534,code!B:C,2,FALSE))</f>
        <v>23</v>
      </c>
      <c r="C534">
        <f t="shared" si="16"/>
        <v>1</v>
      </c>
      <c r="D534">
        <v>2020</v>
      </c>
      <c r="E534">
        <v>199218</v>
      </c>
      <c r="F534" t="s">
        <v>175</v>
      </c>
      <c r="G534" t="s">
        <v>285</v>
      </c>
      <c r="H534" t="s">
        <v>33</v>
      </c>
      <c r="I534">
        <v>0</v>
      </c>
      <c r="J534">
        <f>I534/VLOOKUP($D534,CPI!$P$16:$R$22,3,FALSE)</f>
        <v>0</v>
      </c>
      <c r="K534">
        <f t="shared" si="17"/>
        <v>0</v>
      </c>
      <c r="L534" s="3" cm="1">
        <f t="array" ref="L534">IF($C534=0,INDEX('24&amp;25'!$L:$L,MATCH($D534&amp;$B534&amp;$E534,'24&amp;25'!$B:$B&amp;'24&amp;25'!$A:$A&amp;'24&amp;25'!$C:$C,0)),INDEX('24&amp;25'!$M:$M,MATCH($D534&amp;$B534&amp;$E534,'24&amp;25'!$B:$B&amp;'24&amp;25'!$A:$A&amp;'24&amp;25'!$C:$C,0)))</f>
        <v>0</v>
      </c>
      <c r="M534">
        <f>L534/VLOOKUP($D534,CPI!$P$16:$R$22,3,FALSE)</f>
        <v>0</v>
      </c>
    </row>
    <row r="535" spans="1:13" ht="16" thickBot="1" x14ac:dyDescent="0.25">
      <c r="A535" s="7">
        <v>2</v>
      </c>
      <c r="B535">
        <f>IF(ISBLANK(G535),"",VLOOKUP(H535,code!B:C,2,FALSE))</f>
        <v>1</v>
      </c>
      <c r="C535">
        <f t="shared" si="16"/>
        <v>0</v>
      </c>
      <c r="D535">
        <v>2021</v>
      </c>
      <c r="E535">
        <v>199218</v>
      </c>
      <c r="F535" t="s">
        <v>175</v>
      </c>
      <c r="G535" t="s">
        <v>284</v>
      </c>
      <c r="H535" t="s">
        <v>9</v>
      </c>
      <c r="I535">
        <v>159540</v>
      </c>
      <c r="J535">
        <f>I535/VLOOKUP($D535,CPI!$P$16:$R$22,3,FALSE)</f>
        <v>181690.0392361026</v>
      </c>
      <c r="K535">
        <f t="shared" si="17"/>
        <v>1</v>
      </c>
      <c r="L535" s="3" cm="1">
        <f t="array" ref="L535">IF($C535=0,INDEX('24&amp;25'!$L:$L,MATCH($D535&amp;$B535&amp;$E535,'24&amp;25'!$B:$B&amp;'24&amp;25'!$A:$A&amp;'24&amp;25'!$C:$C,0)),INDEX('24&amp;25'!$M:$M,MATCH($D535&amp;$B535&amp;$E535,'24&amp;25'!$B:$B&amp;'24&amp;25'!$A:$A&amp;'24&amp;25'!$C:$C,0)))</f>
        <v>55612</v>
      </c>
      <c r="M535">
        <f>L535/VLOOKUP($D535,CPI!$P$16:$R$22,3,FALSE)</f>
        <v>63332.997756036966</v>
      </c>
    </row>
    <row r="536" spans="1:13" ht="16" thickBot="1" x14ac:dyDescent="0.25">
      <c r="A536" s="7">
        <v>2</v>
      </c>
      <c r="B536">
        <f>IF(ISBLANK(G536),"",VLOOKUP(H536,code!B:C,2,FALSE))</f>
        <v>2</v>
      </c>
      <c r="C536">
        <f t="shared" si="16"/>
        <v>0</v>
      </c>
      <c r="D536">
        <v>2021</v>
      </c>
      <c r="E536">
        <v>199218</v>
      </c>
      <c r="F536" t="s">
        <v>175</v>
      </c>
      <c r="G536" t="s">
        <v>284</v>
      </c>
      <c r="H536" t="s">
        <v>10</v>
      </c>
      <c r="I536">
        <v>264591</v>
      </c>
      <c r="J536">
        <f>I536/VLOOKUP($D536,CPI!$P$16:$R$22,3,FALSE)</f>
        <v>301325.99455634714</v>
      </c>
      <c r="K536">
        <f t="shared" si="17"/>
        <v>1</v>
      </c>
      <c r="L536" s="3" cm="1">
        <f t="array" ref="L536">IF($C536=0,INDEX('24&amp;25'!$L:$L,MATCH($D536&amp;$B536&amp;$E536,'24&amp;25'!$B:$B&amp;'24&amp;25'!$A:$A&amp;'24&amp;25'!$C:$C,0)),INDEX('24&amp;25'!$M:$M,MATCH($D536&amp;$B536&amp;$E536,'24&amp;25'!$B:$B&amp;'24&amp;25'!$A:$A&amp;'24&amp;25'!$C:$C,0)))</f>
        <v>232619</v>
      </c>
      <c r="M536">
        <f>L536/VLOOKUP($D536,CPI!$P$16:$R$22,3,FALSE)</f>
        <v>264915.10114744236</v>
      </c>
    </row>
    <row r="537" spans="1:13" ht="16" thickBot="1" x14ac:dyDescent="0.25">
      <c r="A537" s="7">
        <v>2</v>
      </c>
      <c r="B537">
        <f>IF(ISBLANK(G537),"",VLOOKUP(H537,code!B:C,2,FALSE))</f>
        <v>9</v>
      </c>
      <c r="C537">
        <f t="shared" si="16"/>
        <v>0</v>
      </c>
      <c r="D537">
        <v>2021</v>
      </c>
      <c r="E537">
        <v>199218</v>
      </c>
      <c r="F537" t="s">
        <v>175</v>
      </c>
      <c r="G537" t="s">
        <v>284</v>
      </c>
      <c r="H537" t="s">
        <v>17</v>
      </c>
      <c r="I537">
        <v>2710</v>
      </c>
      <c r="J537">
        <f>I537/VLOOKUP($D537,CPI!$P$16:$R$22,3,FALSE)</f>
        <v>3086.2480025688733</v>
      </c>
      <c r="K537">
        <f t="shared" si="17"/>
        <v>1</v>
      </c>
      <c r="L537" s="3" cm="1">
        <f t="array" ref="L537">IF($C537=0,INDEX('24&amp;25'!$L:$L,MATCH($D537&amp;$B537&amp;$E537,'24&amp;25'!$B:$B&amp;'24&amp;25'!$A:$A&amp;'24&amp;25'!$C:$C,0)),INDEX('24&amp;25'!$M:$M,MATCH($D537&amp;$B537&amp;$E537,'24&amp;25'!$B:$B&amp;'24&amp;25'!$A:$A&amp;'24&amp;25'!$C:$C,0)))</f>
        <v>317</v>
      </c>
      <c r="M537">
        <f>L537/VLOOKUP($D537,CPI!$P$16:$R$22,3,FALSE)</f>
        <v>361.01129771746599</v>
      </c>
    </row>
    <row r="538" spans="1:13" ht="16" thickBot="1" x14ac:dyDescent="0.25">
      <c r="A538" s="7">
        <v>2</v>
      </c>
      <c r="B538">
        <f>IF(ISBLANK(G538),"",VLOOKUP(H538,code!B:C,2,FALSE))</f>
        <v>17</v>
      </c>
      <c r="C538">
        <f t="shared" si="16"/>
        <v>0</v>
      </c>
      <c r="D538">
        <v>2021</v>
      </c>
      <c r="E538">
        <v>199218</v>
      </c>
      <c r="F538" t="s">
        <v>175</v>
      </c>
      <c r="G538" t="s">
        <v>284</v>
      </c>
      <c r="H538" t="s">
        <v>25</v>
      </c>
      <c r="I538">
        <v>44946</v>
      </c>
      <c r="J538">
        <f>I538/VLOOKUP($D538,CPI!$P$16:$R$22,3,FALSE)</f>
        <v>51186.163366590619</v>
      </c>
      <c r="K538">
        <f t="shared" si="17"/>
        <v>1</v>
      </c>
      <c r="L538" s="3" cm="1">
        <f t="array" ref="L538">IF($C538=0,INDEX('24&amp;25'!$L:$L,MATCH($D538&amp;$B538&amp;$E538,'24&amp;25'!$B:$B&amp;'24&amp;25'!$A:$A&amp;'24&amp;25'!$C:$C,0)),INDEX('24&amp;25'!$M:$M,MATCH($D538&amp;$B538&amp;$E538,'24&amp;25'!$B:$B&amp;'24&amp;25'!$A:$A&amp;'24&amp;25'!$C:$C,0)))</f>
        <v>3036</v>
      </c>
      <c r="M538">
        <f>L538/VLOOKUP($D538,CPI!$P$16:$R$22,3,FALSE)</f>
        <v>3457.5088323981918</v>
      </c>
    </row>
    <row r="539" spans="1:13" ht="16" thickBot="1" x14ac:dyDescent="0.25">
      <c r="A539" s="7">
        <v>2</v>
      </c>
      <c r="B539">
        <f>IF(ISBLANK(G539),"",VLOOKUP(H539,code!B:C,2,FALSE))</f>
        <v>19</v>
      </c>
      <c r="C539">
        <f t="shared" si="16"/>
        <v>0</v>
      </c>
      <c r="D539">
        <v>2021</v>
      </c>
      <c r="E539">
        <v>199218</v>
      </c>
      <c r="F539" t="s">
        <v>175</v>
      </c>
      <c r="G539" t="s">
        <v>284</v>
      </c>
      <c r="H539" t="s">
        <v>27</v>
      </c>
      <c r="I539">
        <v>3749</v>
      </c>
      <c r="J539">
        <f>I539/VLOOKUP($D539,CPI!$P$16:$R$22,3,FALSE)</f>
        <v>4269.4995430371609</v>
      </c>
      <c r="K539">
        <f t="shared" si="17"/>
        <v>1</v>
      </c>
      <c r="L539" s="3" cm="1">
        <f t="array" ref="L539">IF($C539=0,INDEX('24&amp;25'!$L:$L,MATCH($D539&amp;$B539&amp;$E539,'24&amp;25'!$B:$B&amp;'24&amp;25'!$A:$A&amp;'24&amp;25'!$C:$C,0)),INDEX('24&amp;25'!$M:$M,MATCH($D539&amp;$B539&amp;$E539,'24&amp;25'!$B:$B&amp;'24&amp;25'!$A:$A&amp;'24&amp;25'!$C:$C,0)))</f>
        <v>975</v>
      </c>
      <c r="M539">
        <f>L539/VLOOKUP($D539,CPI!$P$16:$R$22,3,FALSE)</f>
        <v>1110.3659787840043</v>
      </c>
    </row>
    <row r="540" spans="1:13" ht="16" thickBot="1" x14ac:dyDescent="0.25">
      <c r="A540" s="7">
        <v>2</v>
      </c>
      <c r="B540">
        <f>IF(ISBLANK(G540),"",VLOOKUP(H540,code!B:C,2,FALSE))</f>
        <v>20</v>
      </c>
      <c r="C540">
        <f t="shared" si="16"/>
        <v>0</v>
      </c>
      <c r="D540">
        <v>2021</v>
      </c>
      <c r="E540">
        <v>199218</v>
      </c>
      <c r="F540" t="s">
        <v>175</v>
      </c>
      <c r="G540" t="s">
        <v>284</v>
      </c>
      <c r="H540" t="s">
        <v>28</v>
      </c>
      <c r="I540">
        <v>400</v>
      </c>
      <c r="J540">
        <f>I540/VLOOKUP($D540,CPI!$P$16:$R$22,3,FALSE)</f>
        <v>455.53476052677098</v>
      </c>
      <c r="K540">
        <f t="shared" si="17"/>
        <v>1</v>
      </c>
      <c r="L540" s="3" cm="1">
        <f t="array" ref="L540">IF($C540=0,INDEX('24&amp;25'!$L:$L,MATCH($D540&amp;$B540&amp;$E540,'24&amp;25'!$B:$B&amp;'24&amp;25'!$A:$A&amp;'24&amp;25'!$C:$C,0)),INDEX('24&amp;25'!$M:$M,MATCH($D540&amp;$B540&amp;$E540,'24&amp;25'!$B:$B&amp;'24&amp;25'!$A:$A&amp;'24&amp;25'!$C:$C,0)))</f>
        <v>217</v>
      </c>
      <c r="M540">
        <f>L540/VLOOKUP($D540,CPI!$P$16:$R$22,3,FALSE)</f>
        <v>247.12760758577323</v>
      </c>
    </row>
    <row r="541" spans="1:13" ht="16" thickBot="1" x14ac:dyDescent="0.25">
      <c r="A541" s="7">
        <v>2</v>
      </c>
      <c r="B541">
        <f>IF(ISBLANK(G541),"",VLOOKUP(H541,code!B:C,2,FALSE))</f>
        <v>21</v>
      </c>
      <c r="C541">
        <f t="shared" si="16"/>
        <v>0</v>
      </c>
      <c r="D541">
        <v>2021</v>
      </c>
      <c r="E541">
        <v>199218</v>
      </c>
      <c r="F541" t="s">
        <v>175</v>
      </c>
      <c r="G541" t="s">
        <v>284</v>
      </c>
      <c r="H541" t="s">
        <v>30</v>
      </c>
      <c r="I541">
        <v>550</v>
      </c>
      <c r="J541">
        <f>I541/VLOOKUP($D541,CPI!$P$16:$R$22,3,FALSE)</f>
        <v>626.36029572431005</v>
      </c>
      <c r="K541">
        <f t="shared" si="17"/>
        <v>1</v>
      </c>
      <c r="L541" s="3" cm="1">
        <f t="array" ref="L541">IF($C541=0,INDEX('24&amp;25'!$L:$L,MATCH($D541&amp;$B541&amp;$E541,'24&amp;25'!$B:$B&amp;'24&amp;25'!$A:$A&amp;'24&amp;25'!$C:$C,0)),INDEX('24&amp;25'!$M:$M,MATCH($D541&amp;$B541&amp;$E541,'24&amp;25'!$B:$B&amp;'24&amp;25'!$A:$A&amp;'24&amp;25'!$C:$C,0)))</f>
        <v>2434</v>
      </c>
      <c r="M541">
        <f>L541/VLOOKUP($D541,CPI!$P$16:$R$22,3,FALSE)</f>
        <v>2771.9290178054011</v>
      </c>
    </row>
    <row r="542" spans="1:13" ht="16" thickBot="1" x14ac:dyDescent="0.25">
      <c r="A542" s="7">
        <v>2</v>
      </c>
      <c r="B542">
        <f>IF(ISBLANK(G542),"",VLOOKUP(H542,code!B:C,2,FALSE))</f>
        <v>2</v>
      </c>
      <c r="C542">
        <f t="shared" si="16"/>
        <v>1</v>
      </c>
      <c r="D542">
        <v>2021</v>
      </c>
      <c r="E542">
        <v>199218</v>
      </c>
      <c r="F542" t="s">
        <v>175</v>
      </c>
      <c r="G542" t="s">
        <v>285</v>
      </c>
      <c r="H542" t="s">
        <v>10</v>
      </c>
      <c r="I542">
        <v>13418</v>
      </c>
      <c r="J542">
        <f>I542/VLOOKUP($D542,CPI!$P$16:$R$22,3,FALSE)</f>
        <v>15280.913541870532</v>
      </c>
      <c r="K542">
        <f t="shared" si="17"/>
        <v>1</v>
      </c>
      <c r="L542" s="3" cm="1">
        <f t="array" ref="L542">IF($C542=0,INDEX('24&amp;25'!$L:$L,MATCH($D542&amp;$B542&amp;$E542,'24&amp;25'!$B:$B&amp;'24&amp;25'!$A:$A&amp;'24&amp;25'!$C:$C,0)),INDEX('24&amp;25'!$M:$M,MATCH($D542&amp;$B542&amp;$E542,'24&amp;25'!$B:$B&amp;'24&amp;25'!$A:$A&amp;'24&amp;25'!$C:$C,0)))</f>
        <v>30808</v>
      </c>
      <c r="M542">
        <f>L542/VLOOKUP($D542,CPI!$P$16:$R$22,3,FALSE)</f>
        <v>35085.287255771902</v>
      </c>
    </row>
    <row r="543" spans="1:13" ht="16" thickBot="1" x14ac:dyDescent="0.25">
      <c r="A543" s="7">
        <v>2</v>
      </c>
      <c r="B543">
        <f>IF(ISBLANK(G543),"",VLOOKUP(H543,code!B:C,2,FALSE))</f>
        <v>3</v>
      </c>
      <c r="C543">
        <f t="shared" si="16"/>
        <v>1</v>
      </c>
      <c r="D543">
        <v>2021</v>
      </c>
      <c r="E543">
        <v>199218</v>
      </c>
      <c r="F543" t="s">
        <v>175</v>
      </c>
      <c r="G543" t="s">
        <v>285</v>
      </c>
      <c r="H543" t="s">
        <v>11</v>
      </c>
      <c r="I543">
        <v>0</v>
      </c>
      <c r="J543">
        <f>I543/VLOOKUP($D543,CPI!$P$16:$R$22,3,FALSE)</f>
        <v>0</v>
      </c>
      <c r="K543">
        <f t="shared" si="17"/>
        <v>1</v>
      </c>
      <c r="L543" s="3" cm="1">
        <f t="array" ref="L543">IF($C543=0,INDEX('24&amp;25'!$L:$L,MATCH($D543&amp;$B543&amp;$E543,'24&amp;25'!$B:$B&amp;'24&amp;25'!$A:$A&amp;'24&amp;25'!$C:$C,0)),INDEX('24&amp;25'!$M:$M,MATCH($D543&amp;$B543&amp;$E543,'24&amp;25'!$B:$B&amp;'24&amp;25'!$A:$A&amp;'24&amp;25'!$C:$C,0)))</f>
        <v>0</v>
      </c>
      <c r="M543">
        <f>L543/VLOOKUP($D543,CPI!$P$16:$R$22,3,FALSE)</f>
        <v>0</v>
      </c>
    </row>
    <row r="544" spans="1:13" ht="16" thickBot="1" x14ac:dyDescent="0.25">
      <c r="A544" s="7">
        <v>2</v>
      </c>
      <c r="B544">
        <f>IF(ISBLANK(G544),"",VLOOKUP(H544,code!B:C,2,FALSE))</f>
        <v>9</v>
      </c>
      <c r="C544">
        <f t="shared" si="16"/>
        <v>1</v>
      </c>
      <c r="D544">
        <v>2021</v>
      </c>
      <c r="E544">
        <v>199218</v>
      </c>
      <c r="F544" t="s">
        <v>175</v>
      </c>
      <c r="G544" t="s">
        <v>285</v>
      </c>
      <c r="H544" t="s">
        <v>17</v>
      </c>
      <c r="I544">
        <v>24570</v>
      </c>
      <c r="J544">
        <f>I544/VLOOKUP($D544,CPI!$P$16:$R$22,3,FALSE)</f>
        <v>27981.222665356905</v>
      </c>
      <c r="K544">
        <f t="shared" si="17"/>
        <v>1</v>
      </c>
      <c r="L544" s="3" cm="1">
        <f t="array" ref="L544">IF($C544=0,INDEX('24&amp;25'!$L:$L,MATCH($D544&amp;$B544&amp;$E544,'24&amp;25'!$B:$B&amp;'24&amp;25'!$A:$A&amp;'24&amp;25'!$C:$C,0)),INDEX('24&amp;25'!$M:$M,MATCH($D544&amp;$B544&amp;$E544,'24&amp;25'!$B:$B&amp;'24&amp;25'!$A:$A&amp;'24&amp;25'!$C:$C,0)))</f>
        <v>0</v>
      </c>
      <c r="M544">
        <f>L544/VLOOKUP($D544,CPI!$P$16:$R$22,3,FALSE)</f>
        <v>0</v>
      </c>
    </row>
    <row r="545" spans="1:13" ht="16" thickBot="1" x14ac:dyDescent="0.25">
      <c r="A545" s="7">
        <v>2</v>
      </c>
      <c r="B545">
        <f>IF(ISBLANK(G545),"",VLOOKUP(H545,code!B:C,2,FALSE))</f>
        <v>17</v>
      </c>
      <c r="C545">
        <f t="shared" si="16"/>
        <v>1</v>
      </c>
      <c r="D545">
        <v>2021</v>
      </c>
      <c r="E545">
        <v>199218</v>
      </c>
      <c r="F545" t="s">
        <v>175</v>
      </c>
      <c r="G545" t="s">
        <v>285</v>
      </c>
      <c r="H545" t="s">
        <v>25</v>
      </c>
      <c r="I545">
        <v>3100</v>
      </c>
      <c r="J545">
        <f>I545/VLOOKUP($D545,CPI!$P$16:$R$22,3,FALSE)</f>
        <v>3530.3943940824747</v>
      </c>
      <c r="K545">
        <f t="shared" si="17"/>
        <v>1</v>
      </c>
      <c r="L545" s="3" cm="1">
        <f t="array" ref="L545">IF($C545=0,INDEX('24&amp;25'!$L:$L,MATCH($D545&amp;$B545&amp;$E545,'24&amp;25'!$B:$B&amp;'24&amp;25'!$A:$A&amp;'24&amp;25'!$C:$C,0)),INDEX('24&amp;25'!$M:$M,MATCH($D545&amp;$B545&amp;$E545,'24&amp;25'!$B:$B&amp;'24&amp;25'!$A:$A&amp;'24&amp;25'!$C:$C,0)))</f>
        <v>0</v>
      </c>
      <c r="M545">
        <f>L545/VLOOKUP($D545,CPI!$P$16:$R$22,3,FALSE)</f>
        <v>0</v>
      </c>
    </row>
    <row r="546" spans="1:13" ht="16" thickBot="1" x14ac:dyDescent="0.25">
      <c r="A546" s="7">
        <v>2</v>
      </c>
      <c r="B546">
        <f>IF(ISBLANK(G546),"",VLOOKUP(H546,code!B:C,2,FALSE))</f>
        <v>18</v>
      </c>
      <c r="C546">
        <f t="shared" si="16"/>
        <v>1</v>
      </c>
      <c r="D546">
        <v>2021</v>
      </c>
      <c r="E546">
        <v>199218</v>
      </c>
      <c r="F546" t="s">
        <v>175</v>
      </c>
      <c r="G546" t="s">
        <v>285</v>
      </c>
      <c r="H546" t="s">
        <v>26</v>
      </c>
      <c r="I546">
        <v>3279</v>
      </c>
      <c r="J546">
        <f>I546/VLOOKUP($D546,CPI!$P$16:$R$22,3,FALSE)</f>
        <v>3734.2461994182049</v>
      </c>
      <c r="K546">
        <f t="shared" si="17"/>
        <v>1</v>
      </c>
      <c r="L546" s="3" cm="1">
        <f t="array" ref="L546">IF($C546=0,INDEX('24&amp;25'!$L:$L,MATCH($D546&amp;$B546&amp;$E546,'24&amp;25'!$B:$B&amp;'24&amp;25'!$A:$A&amp;'24&amp;25'!$C:$C,0)),INDEX('24&amp;25'!$M:$M,MATCH($D546&amp;$B546&amp;$E546,'24&amp;25'!$B:$B&amp;'24&amp;25'!$A:$A&amp;'24&amp;25'!$C:$C,0)))</f>
        <v>0</v>
      </c>
      <c r="M546">
        <f>L546/VLOOKUP($D546,CPI!$P$16:$R$22,3,FALSE)</f>
        <v>0</v>
      </c>
    </row>
    <row r="547" spans="1:13" ht="16" thickBot="1" x14ac:dyDescent="0.25">
      <c r="A547" s="7">
        <v>2</v>
      </c>
      <c r="B547">
        <f>IF(ISBLANK(G547),"",VLOOKUP(H547,code!B:C,2,FALSE))</f>
        <v>19</v>
      </c>
      <c r="C547">
        <f t="shared" si="16"/>
        <v>1</v>
      </c>
      <c r="D547">
        <v>2021</v>
      </c>
      <c r="E547">
        <v>199218</v>
      </c>
      <c r="F547" t="s">
        <v>175</v>
      </c>
      <c r="G547" t="s">
        <v>285</v>
      </c>
      <c r="H547" t="s">
        <v>27</v>
      </c>
      <c r="I547">
        <v>3750</v>
      </c>
      <c r="J547">
        <f>I547/VLOOKUP($D547,CPI!$P$16:$R$22,3,FALSE)</f>
        <v>4270.6383799384776</v>
      </c>
      <c r="K547">
        <f t="shared" si="17"/>
        <v>1</v>
      </c>
      <c r="L547" s="3" cm="1">
        <f t="array" ref="L547">IF($C547=0,INDEX('24&amp;25'!$L:$L,MATCH($D547&amp;$B547&amp;$E547,'24&amp;25'!$B:$B&amp;'24&amp;25'!$A:$A&amp;'24&amp;25'!$C:$C,0)),INDEX('24&amp;25'!$M:$M,MATCH($D547&amp;$B547&amp;$E547,'24&amp;25'!$B:$B&amp;'24&amp;25'!$A:$A&amp;'24&amp;25'!$C:$C,0)))</f>
        <v>0</v>
      </c>
      <c r="M547">
        <f>L547/VLOOKUP($D547,CPI!$P$16:$R$22,3,FALSE)</f>
        <v>0</v>
      </c>
    </row>
    <row r="548" spans="1:13" ht="16" thickBot="1" x14ac:dyDescent="0.25">
      <c r="A548" s="7">
        <v>2</v>
      </c>
      <c r="B548">
        <f>IF(ISBLANK(G548),"",VLOOKUP(H548,code!B:C,2,FALSE))</f>
        <v>20</v>
      </c>
      <c r="C548">
        <f t="shared" si="16"/>
        <v>1</v>
      </c>
      <c r="D548">
        <v>2021</v>
      </c>
      <c r="E548">
        <v>199218</v>
      </c>
      <c r="F548" t="s">
        <v>175</v>
      </c>
      <c r="G548" t="s">
        <v>285</v>
      </c>
      <c r="H548" t="s">
        <v>28</v>
      </c>
      <c r="I548">
        <v>275</v>
      </c>
      <c r="J548">
        <f>I548/VLOOKUP($D548,CPI!$P$16:$R$22,3,FALSE)</f>
        <v>313.18014786215502</v>
      </c>
      <c r="K548">
        <f t="shared" si="17"/>
        <v>1</v>
      </c>
      <c r="L548" s="3" cm="1">
        <f t="array" ref="L548">IF($C548=0,INDEX('24&amp;25'!$L:$L,MATCH($D548&amp;$B548&amp;$E548,'24&amp;25'!$B:$B&amp;'24&amp;25'!$A:$A&amp;'24&amp;25'!$C:$C,0)),INDEX('24&amp;25'!$M:$M,MATCH($D548&amp;$B548&amp;$E548,'24&amp;25'!$B:$B&amp;'24&amp;25'!$A:$A&amp;'24&amp;25'!$C:$C,0)))</f>
        <v>0</v>
      </c>
      <c r="M548">
        <f>L548/VLOOKUP($D548,CPI!$P$16:$R$22,3,FALSE)</f>
        <v>0</v>
      </c>
    </row>
    <row r="549" spans="1:13" ht="16" thickBot="1" x14ac:dyDescent="0.25">
      <c r="A549" s="7">
        <v>2</v>
      </c>
      <c r="B549">
        <f>IF(ISBLANK(G549),"",VLOOKUP(H549,code!B:C,2,FALSE))</f>
        <v>21</v>
      </c>
      <c r="C549">
        <f t="shared" si="16"/>
        <v>1</v>
      </c>
      <c r="D549">
        <v>2021</v>
      </c>
      <c r="E549">
        <v>199218</v>
      </c>
      <c r="F549" t="s">
        <v>175</v>
      </c>
      <c r="G549" t="s">
        <v>285</v>
      </c>
      <c r="H549" t="s">
        <v>30</v>
      </c>
      <c r="I549">
        <v>550</v>
      </c>
      <c r="J549">
        <f>I549/VLOOKUP($D549,CPI!$P$16:$R$22,3,FALSE)</f>
        <v>626.36029572431005</v>
      </c>
      <c r="K549">
        <f t="shared" si="17"/>
        <v>1</v>
      </c>
      <c r="L549" s="3" cm="1">
        <f t="array" ref="L549">IF($C549=0,INDEX('24&amp;25'!$L:$L,MATCH($D549&amp;$B549&amp;$E549,'24&amp;25'!$B:$B&amp;'24&amp;25'!$A:$A&amp;'24&amp;25'!$C:$C,0)),INDEX('24&amp;25'!$M:$M,MATCH($D549&amp;$B549&amp;$E549,'24&amp;25'!$B:$B&amp;'24&amp;25'!$A:$A&amp;'24&amp;25'!$C:$C,0)))</f>
        <v>0</v>
      </c>
      <c r="M549">
        <f>L549/VLOOKUP($D549,CPI!$P$16:$R$22,3,FALSE)</f>
        <v>0</v>
      </c>
    </row>
    <row r="550" spans="1:13" ht="16" thickBot="1" x14ac:dyDescent="0.25">
      <c r="A550" s="7">
        <v>2</v>
      </c>
      <c r="B550">
        <f>IF(ISBLANK(G550),"",VLOOKUP(H550,code!B:C,2,FALSE))</f>
        <v>23</v>
      </c>
      <c r="C550">
        <f t="shared" si="16"/>
        <v>1</v>
      </c>
      <c r="D550">
        <v>2021</v>
      </c>
      <c r="E550">
        <v>199218</v>
      </c>
      <c r="F550" t="s">
        <v>175</v>
      </c>
      <c r="G550" t="s">
        <v>285</v>
      </c>
      <c r="H550" t="s">
        <v>33</v>
      </c>
      <c r="I550">
        <v>350</v>
      </c>
      <c r="J550">
        <f>I550/VLOOKUP($D550,CPI!$P$16:$R$22,3,FALSE)</f>
        <v>398.59291546092459</v>
      </c>
      <c r="K550">
        <f t="shared" si="17"/>
        <v>1</v>
      </c>
      <c r="L550" s="3" cm="1">
        <f t="array" ref="L550">IF($C550=0,INDEX('24&amp;25'!$L:$L,MATCH($D550&amp;$B550&amp;$E550,'24&amp;25'!$B:$B&amp;'24&amp;25'!$A:$A&amp;'24&amp;25'!$C:$C,0)),INDEX('24&amp;25'!$M:$M,MATCH($D550&amp;$B550&amp;$E550,'24&amp;25'!$B:$B&amp;'24&amp;25'!$A:$A&amp;'24&amp;25'!$C:$C,0)))</f>
        <v>0</v>
      </c>
      <c r="M550">
        <f>L550/VLOOKUP($D550,CPI!$P$16:$R$22,3,FALSE)</f>
        <v>0</v>
      </c>
    </row>
    <row r="551" spans="1:13" ht="16" thickBot="1" x14ac:dyDescent="0.25">
      <c r="A551" s="7">
        <v>2</v>
      </c>
      <c r="B551">
        <f>IF(ISBLANK(G551),"",VLOOKUP(H551,code!B:C,2,FALSE))</f>
        <v>1</v>
      </c>
      <c r="C551">
        <f t="shared" si="16"/>
        <v>0</v>
      </c>
      <c r="D551">
        <v>2022</v>
      </c>
      <c r="E551">
        <v>199218</v>
      </c>
      <c r="F551" t="s">
        <v>175</v>
      </c>
      <c r="G551" t="s">
        <v>284</v>
      </c>
      <c r="H551" t="s">
        <v>9</v>
      </c>
      <c r="I551">
        <v>175674</v>
      </c>
      <c r="J551">
        <f>I551/VLOOKUP($D551,CPI!$P$16:$R$22,3,FALSE)</f>
        <v>186674.76474426029</v>
      </c>
      <c r="K551">
        <f t="shared" si="17"/>
        <v>0</v>
      </c>
      <c r="L551" s="3" cm="1">
        <f t="array" ref="L551">IF($C551=0,INDEX('24&amp;25'!$L:$L,MATCH($D551&amp;$B551&amp;$E551,'24&amp;25'!$B:$B&amp;'24&amp;25'!$A:$A&amp;'24&amp;25'!$C:$C,0)),INDEX('24&amp;25'!$M:$M,MATCH($D551&amp;$B551&amp;$E551,'24&amp;25'!$B:$B&amp;'24&amp;25'!$A:$A&amp;'24&amp;25'!$C:$C,0)))</f>
        <v>62050</v>
      </c>
      <c r="M551">
        <f>L551/VLOOKUP($D551,CPI!$P$16:$R$22,3,FALSE)</f>
        <v>65935.591791507861</v>
      </c>
    </row>
    <row r="552" spans="1:13" ht="16" thickBot="1" x14ac:dyDescent="0.25">
      <c r="A552" s="7">
        <v>2</v>
      </c>
      <c r="B552">
        <f>IF(ISBLANK(G552),"",VLOOKUP(H552,code!B:C,2,FALSE))</f>
        <v>2</v>
      </c>
      <c r="C552">
        <f t="shared" si="16"/>
        <v>0</v>
      </c>
      <c r="D552">
        <v>2022</v>
      </c>
      <c r="E552">
        <v>199218</v>
      </c>
      <c r="F552" t="s">
        <v>175</v>
      </c>
      <c r="G552" t="s">
        <v>284</v>
      </c>
      <c r="H552" t="s">
        <v>10</v>
      </c>
      <c r="I552">
        <v>765776</v>
      </c>
      <c r="J552">
        <f>I552/VLOOKUP($D552,CPI!$P$16:$R$22,3,FALSE)</f>
        <v>813729.14971367805</v>
      </c>
      <c r="K552">
        <f t="shared" si="17"/>
        <v>0</v>
      </c>
      <c r="L552" s="3" cm="1">
        <f t="array" ref="L552">IF($C552=0,INDEX('24&amp;25'!$L:$L,MATCH($D552&amp;$B552&amp;$E552,'24&amp;25'!$B:$B&amp;'24&amp;25'!$A:$A&amp;'24&amp;25'!$C:$C,0)),INDEX('24&amp;25'!$M:$M,MATCH($D552&amp;$B552&amp;$E552,'24&amp;25'!$B:$B&amp;'24&amp;25'!$A:$A&amp;'24&amp;25'!$C:$C,0)))</f>
        <v>98725</v>
      </c>
      <c r="M552">
        <f>L552/VLOOKUP($D552,CPI!$P$16:$R$22,3,FALSE)</f>
        <v>104907.19258044501</v>
      </c>
    </row>
    <row r="553" spans="1:13" ht="16" thickBot="1" x14ac:dyDescent="0.25">
      <c r="A553" s="7">
        <v>2</v>
      </c>
      <c r="B553">
        <f>IF(ISBLANK(G553),"",VLOOKUP(H553,code!B:C,2,FALSE))</f>
        <v>9</v>
      </c>
      <c r="C553">
        <f t="shared" si="16"/>
        <v>0</v>
      </c>
      <c r="D553">
        <v>2022</v>
      </c>
      <c r="E553">
        <v>199218</v>
      </c>
      <c r="F553" t="s">
        <v>175</v>
      </c>
      <c r="G553" t="s">
        <v>284</v>
      </c>
      <c r="H553" t="s">
        <v>17</v>
      </c>
      <c r="I553">
        <v>23912</v>
      </c>
      <c r="J553">
        <f>I553/VLOOKUP($D553,CPI!$P$16:$R$22,3,FALSE)</f>
        <v>25409.377452353521</v>
      </c>
      <c r="K553">
        <f t="shared" si="17"/>
        <v>0</v>
      </c>
      <c r="L553" s="3" cm="1">
        <f t="array" ref="L553">IF($C553=0,INDEX('24&amp;25'!$L:$L,MATCH($D553&amp;$B553&amp;$E553,'24&amp;25'!$B:$B&amp;'24&amp;25'!$A:$A&amp;'24&amp;25'!$C:$C,0)),INDEX('24&amp;25'!$M:$M,MATCH($D553&amp;$B553&amp;$E553,'24&amp;25'!$B:$B&amp;'24&amp;25'!$A:$A&amp;'24&amp;25'!$C:$C,0)))</f>
        <v>0</v>
      </c>
      <c r="M553">
        <f>L553/VLOOKUP($D553,CPI!$P$16:$R$22,3,FALSE)</f>
        <v>0</v>
      </c>
    </row>
    <row r="554" spans="1:13" ht="16" thickBot="1" x14ac:dyDescent="0.25">
      <c r="A554" s="7">
        <v>2</v>
      </c>
      <c r="B554">
        <f>IF(ISBLANK(G554),"",VLOOKUP(H554,code!B:C,2,FALSE))</f>
        <v>17</v>
      </c>
      <c r="C554">
        <f t="shared" si="16"/>
        <v>0</v>
      </c>
      <c r="D554">
        <v>2022</v>
      </c>
      <c r="E554">
        <v>199218</v>
      </c>
      <c r="F554" t="s">
        <v>175</v>
      </c>
      <c r="G554" t="s">
        <v>284</v>
      </c>
      <c r="H554" t="s">
        <v>25</v>
      </c>
      <c r="I554">
        <v>45780</v>
      </c>
      <c r="J554">
        <f>I554/VLOOKUP($D554,CPI!$P$16:$R$22,3,FALSE)</f>
        <v>48646.758939810308</v>
      </c>
      <c r="K554">
        <f t="shared" si="17"/>
        <v>0</v>
      </c>
      <c r="L554" s="3" cm="1">
        <f t="array" ref="L554">IF($C554=0,INDEX('24&amp;25'!$L:$L,MATCH($D554&amp;$B554&amp;$E554,'24&amp;25'!$B:$B&amp;'24&amp;25'!$A:$A&amp;'24&amp;25'!$C:$C,0)),INDEX('24&amp;25'!$M:$M,MATCH($D554&amp;$B554&amp;$E554,'24&amp;25'!$B:$B&amp;'24&amp;25'!$A:$A&amp;'24&amp;25'!$C:$C,0)))</f>
        <v>0</v>
      </c>
      <c r="M554">
        <f>L554/VLOOKUP($D554,CPI!$P$16:$R$22,3,FALSE)</f>
        <v>0</v>
      </c>
    </row>
    <row r="555" spans="1:13" ht="16" thickBot="1" x14ac:dyDescent="0.25">
      <c r="A555" s="7">
        <v>2</v>
      </c>
      <c r="B555">
        <f>IF(ISBLANK(G555),"",VLOOKUP(H555,code!B:C,2,FALSE))</f>
        <v>19</v>
      </c>
      <c r="C555">
        <f t="shared" si="16"/>
        <v>0</v>
      </c>
      <c r="D555">
        <v>2022</v>
      </c>
      <c r="E555">
        <v>199218</v>
      </c>
      <c r="F555" t="s">
        <v>175</v>
      </c>
      <c r="G555" t="s">
        <v>284</v>
      </c>
      <c r="H555" t="s">
        <v>27</v>
      </c>
      <c r="I555">
        <v>17235</v>
      </c>
      <c r="J555">
        <f>I555/VLOOKUP($D555,CPI!$P$16:$R$22,3,FALSE)</f>
        <v>18314.261475046544</v>
      </c>
      <c r="K555">
        <f t="shared" si="17"/>
        <v>0</v>
      </c>
      <c r="L555" s="3" cm="1">
        <f t="array" ref="L555">IF($C555=0,INDEX('24&amp;25'!$L:$L,MATCH($D555&amp;$B555&amp;$E555,'24&amp;25'!$B:$B&amp;'24&amp;25'!$A:$A&amp;'24&amp;25'!$C:$C,0)),INDEX('24&amp;25'!$M:$M,MATCH($D555&amp;$B555&amp;$E555,'24&amp;25'!$B:$B&amp;'24&amp;25'!$A:$A&amp;'24&amp;25'!$C:$C,0)))</f>
        <v>0</v>
      </c>
      <c r="M555">
        <f>L555/VLOOKUP($D555,CPI!$P$16:$R$22,3,FALSE)</f>
        <v>0</v>
      </c>
    </row>
    <row r="556" spans="1:13" ht="16" thickBot="1" x14ac:dyDescent="0.25">
      <c r="A556" s="7">
        <v>2</v>
      </c>
      <c r="B556">
        <f>IF(ISBLANK(G556),"",VLOOKUP(H556,code!B:C,2,FALSE))</f>
        <v>20</v>
      </c>
      <c r="C556">
        <f t="shared" si="16"/>
        <v>0</v>
      </c>
      <c r="D556">
        <v>2022</v>
      </c>
      <c r="E556">
        <v>199218</v>
      </c>
      <c r="F556" t="s">
        <v>175</v>
      </c>
      <c r="G556" t="s">
        <v>284</v>
      </c>
      <c r="H556" t="s">
        <v>28</v>
      </c>
      <c r="I556">
        <v>413</v>
      </c>
      <c r="J556">
        <f>I556/VLOOKUP($D556,CPI!$P$16:$R$22,3,FALSE)</f>
        <v>438.86219838666796</v>
      </c>
      <c r="K556">
        <f t="shared" si="17"/>
        <v>0</v>
      </c>
      <c r="L556" s="3" cm="1">
        <f t="array" ref="L556">IF($C556=0,INDEX('24&amp;25'!$L:$L,MATCH($D556&amp;$B556&amp;$E556,'24&amp;25'!$B:$B&amp;'24&amp;25'!$A:$A&amp;'24&amp;25'!$C:$C,0)),INDEX('24&amp;25'!$M:$M,MATCH($D556&amp;$B556&amp;$E556,'24&amp;25'!$B:$B&amp;'24&amp;25'!$A:$A&amp;'24&amp;25'!$C:$C,0)))</f>
        <v>0</v>
      </c>
      <c r="M556">
        <f>L556/VLOOKUP($D556,CPI!$P$16:$R$22,3,FALSE)</f>
        <v>0</v>
      </c>
    </row>
    <row r="557" spans="1:13" ht="16" thickBot="1" x14ac:dyDescent="0.25">
      <c r="A557" s="7">
        <v>2</v>
      </c>
      <c r="B557">
        <f>IF(ISBLANK(G557),"",VLOOKUP(H557,code!B:C,2,FALSE))</f>
        <v>21</v>
      </c>
      <c r="C557">
        <f t="shared" si="16"/>
        <v>0</v>
      </c>
      <c r="D557">
        <v>2022</v>
      </c>
      <c r="E557">
        <v>199218</v>
      </c>
      <c r="F557" t="s">
        <v>175</v>
      </c>
      <c r="G557" t="s">
        <v>284</v>
      </c>
      <c r="H557" t="s">
        <v>30</v>
      </c>
      <c r="I557">
        <v>31029</v>
      </c>
      <c r="J557">
        <f>I557/VLOOKUP($D557,CPI!$P$16:$R$22,3,FALSE)</f>
        <v>32972.046377094237</v>
      </c>
      <c r="K557">
        <f t="shared" si="17"/>
        <v>0</v>
      </c>
      <c r="L557" s="3" cm="1">
        <f t="array" ref="L557">IF($C557=0,INDEX('24&amp;25'!$L:$L,MATCH($D557&amp;$B557&amp;$E557,'24&amp;25'!$B:$B&amp;'24&amp;25'!$A:$A&amp;'24&amp;25'!$C:$C,0)),INDEX('24&amp;25'!$M:$M,MATCH($D557&amp;$B557&amp;$E557,'24&amp;25'!$B:$B&amp;'24&amp;25'!$A:$A&amp;'24&amp;25'!$C:$C,0)))</f>
        <v>0</v>
      </c>
      <c r="M557">
        <f>L557/VLOOKUP($D557,CPI!$P$16:$R$22,3,FALSE)</f>
        <v>0</v>
      </c>
    </row>
    <row r="558" spans="1:13" ht="16" thickBot="1" x14ac:dyDescent="0.25">
      <c r="A558" s="7">
        <v>2</v>
      </c>
      <c r="B558">
        <f>IF(ISBLANK(G558),"",VLOOKUP(H558,code!B:C,2,FALSE))</f>
        <v>2</v>
      </c>
      <c r="C558">
        <f t="shared" si="16"/>
        <v>1</v>
      </c>
      <c r="D558">
        <v>2022</v>
      </c>
      <c r="E558">
        <v>199218</v>
      </c>
      <c r="F558" t="s">
        <v>175</v>
      </c>
      <c r="G558" t="s">
        <v>285</v>
      </c>
      <c r="H558" t="s">
        <v>10</v>
      </c>
      <c r="I558">
        <v>52987</v>
      </c>
      <c r="J558">
        <f>I558/VLOOKUP($D558,CPI!$P$16:$R$22,3,FALSE)</f>
        <v>56305.063694707926</v>
      </c>
      <c r="K558">
        <f t="shared" si="17"/>
        <v>0</v>
      </c>
      <c r="L558" s="3" cm="1">
        <f t="array" ref="L558">IF($C558=0,INDEX('24&amp;25'!$L:$L,MATCH($D558&amp;$B558&amp;$E558,'24&amp;25'!$B:$B&amp;'24&amp;25'!$A:$A&amp;'24&amp;25'!$C:$C,0)),INDEX('24&amp;25'!$M:$M,MATCH($D558&amp;$B558&amp;$E558,'24&amp;25'!$B:$B&amp;'24&amp;25'!$A:$A&amp;'24&amp;25'!$C:$C,0)))</f>
        <v>29280</v>
      </c>
      <c r="M558">
        <f>L558/VLOOKUP($D558,CPI!$P$16:$R$22,3,FALSE)</f>
        <v>31113.523411045127</v>
      </c>
    </row>
    <row r="559" spans="1:13" ht="16" thickBot="1" x14ac:dyDescent="0.25">
      <c r="A559" s="7">
        <v>2</v>
      </c>
      <c r="B559">
        <f>IF(ISBLANK(G559),"",VLOOKUP(H559,code!B:C,2,FALSE))</f>
        <v>3</v>
      </c>
      <c r="C559">
        <f t="shared" si="16"/>
        <v>1</v>
      </c>
      <c r="D559">
        <v>2022</v>
      </c>
      <c r="E559">
        <v>199218</v>
      </c>
      <c r="F559" t="s">
        <v>175</v>
      </c>
      <c r="G559" t="s">
        <v>285</v>
      </c>
      <c r="H559" t="s">
        <v>11</v>
      </c>
      <c r="I559">
        <v>737</v>
      </c>
      <c r="J559">
        <f>I559/VLOOKUP($D559,CPI!$P$16:$R$22,3,FALSE)</f>
        <v>783.15118695151159</v>
      </c>
      <c r="K559">
        <f t="shared" si="17"/>
        <v>0</v>
      </c>
      <c r="L559" s="3" cm="1">
        <f t="array" ref="L559">IF($C559=0,INDEX('24&amp;25'!$L:$L,MATCH($D559&amp;$B559&amp;$E559,'24&amp;25'!$B:$B&amp;'24&amp;25'!$A:$A&amp;'24&amp;25'!$C:$C,0)),INDEX('24&amp;25'!$M:$M,MATCH($D559&amp;$B559&amp;$E559,'24&amp;25'!$B:$B&amp;'24&amp;25'!$A:$A&amp;'24&amp;25'!$C:$C,0)))</f>
        <v>0</v>
      </c>
      <c r="M559">
        <f>L559/VLOOKUP($D559,CPI!$P$16:$R$22,3,FALSE)</f>
        <v>0</v>
      </c>
    </row>
    <row r="560" spans="1:13" ht="16" thickBot="1" x14ac:dyDescent="0.25">
      <c r="A560" s="7">
        <v>2</v>
      </c>
      <c r="B560">
        <f>IF(ISBLANK(G560),"",VLOOKUP(H560,code!B:C,2,FALSE))</f>
        <v>9</v>
      </c>
      <c r="C560">
        <f t="shared" si="16"/>
        <v>1</v>
      </c>
      <c r="D560">
        <v>2022</v>
      </c>
      <c r="E560">
        <v>199218</v>
      </c>
      <c r="F560" t="s">
        <v>175</v>
      </c>
      <c r="G560" t="s">
        <v>285</v>
      </c>
      <c r="H560" t="s">
        <v>17</v>
      </c>
      <c r="I560">
        <v>418</v>
      </c>
      <c r="J560">
        <f>I560/VLOOKUP($D560,CPI!$P$16:$R$22,3,FALSE)</f>
        <v>444.17530006205135</v>
      </c>
      <c r="K560">
        <f t="shared" si="17"/>
        <v>0</v>
      </c>
      <c r="L560" s="3" cm="1">
        <f t="array" ref="L560">IF($C560=0,INDEX('24&amp;25'!$L:$L,MATCH($D560&amp;$B560&amp;$E560,'24&amp;25'!$B:$B&amp;'24&amp;25'!$A:$A&amp;'24&amp;25'!$C:$C,0)),INDEX('24&amp;25'!$M:$M,MATCH($D560&amp;$B560&amp;$E560,'24&amp;25'!$B:$B&amp;'24&amp;25'!$A:$A&amp;'24&amp;25'!$C:$C,0)))</f>
        <v>0</v>
      </c>
      <c r="M560">
        <f>L560/VLOOKUP($D560,CPI!$P$16:$R$22,3,FALSE)</f>
        <v>0</v>
      </c>
    </row>
    <row r="561" spans="1:13" ht="16" thickBot="1" x14ac:dyDescent="0.25">
      <c r="A561" s="7">
        <v>2</v>
      </c>
      <c r="B561">
        <f>IF(ISBLANK(G561),"",VLOOKUP(H561,code!B:C,2,FALSE))</f>
        <v>17</v>
      </c>
      <c r="C561">
        <f t="shared" si="16"/>
        <v>1</v>
      </c>
      <c r="D561">
        <v>2022</v>
      </c>
      <c r="E561">
        <v>199218</v>
      </c>
      <c r="F561" t="s">
        <v>175</v>
      </c>
      <c r="G561" t="s">
        <v>285</v>
      </c>
      <c r="H561" t="s">
        <v>25</v>
      </c>
      <c r="I561">
        <v>13719</v>
      </c>
      <c r="J561">
        <f>I561/VLOOKUP($D561,CPI!$P$16:$R$22,3,FALSE)</f>
        <v>14578.088376916943</v>
      </c>
      <c r="K561">
        <f t="shared" si="17"/>
        <v>0</v>
      </c>
      <c r="L561" s="3" cm="1">
        <f t="array" ref="L561">IF($C561=0,INDEX('24&amp;25'!$L:$L,MATCH($D561&amp;$B561&amp;$E561,'24&amp;25'!$B:$B&amp;'24&amp;25'!$A:$A&amp;'24&amp;25'!$C:$C,0)),INDEX('24&amp;25'!$M:$M,MATCH($D561&amp;$B561&amp;$E561,'24&amp;25'!$B:$B&amp;'24&amp;25'!$A:$A&amp;'24&amp;25'!$C:$C,0)))</f>
        <v>0</v>
      </c>
      <c r="M561">
        <f>L561/VLOOKUP($D561,CPI!$P$16:$R$22,3,FALSE)</f>
        <v>0</v>
      </c>
    </row>
    <row r="562" spans="1:13" ht="16" thickBot="1" x14ac:dyDescent="0.25">
      <c r="A562" s="7">
        <v>2</v>
      </c>
      <c r="B562">
        <f>IF(ISBLANK(G562),"",VLOOKUP(H562,code!B:C,2,FALSE))</f>
        <v>18</v>
      </c>
      <c r="C562">
        <f t="shared" si="16"/>
        <v>1</v>
      </c>
      <c r="D562">
        <v>2022</v>
      </c>
      <c r="E562">
        <v>199218</v>
      </c>
      <c r="F562" t="s">
        <v>175</v>
      </c>
      <c r="G562" t="s">
        <v>285</v>
      </c>
      <c r="H562" t="s">
        <v>26</v>
      </c>
      <c r="I562">
        <v>5856</v>
      </c>
      <c r="J562">
        <f>I562/VLOOKUP($D562,CPI!$P$16:$R$22,3,FALSE)</f>
        <v>6222.7046822090251</v>
      </c>
      <c r="K562">
        <f t="shared" si="17"/>
        <v>0</v>
      </c>
      <c r="L562" s="3" cm="1">
        <f t="array" ref="L562">IF($C562=0,INDEX('24&amp;25'!$L:$L,MATCH($D562&amp;$B562&amp;$E562,'24&amp;25'!$B:$B&amp;'24&amp;25'!$A:$A&amp;'24&amp;25'!$C:$C,0)),INDEX('24&amp;25'!$M:$M,MATCH($D562&amp;$B562&amp;$E562,'24&amp;25'!$B:$B&amp;'24&amp;25'!$A:$A&amp;'24&amp;25'!$C:$C,0)))</f>
        <v>0</v>
      </c>
      <c r="M562">
        <f>L562/VLOOKUP($D562,CPI!$P$16:$R$22,3,FALSE)</f>
        <v>0</v>
      </c>
    </row>
    <row r="563" spans="1:13" ht="16" thickBot="1" x14ac:dyDescent="0.25">
      <c r="A563" s="7">
        <v>2</v>
      </c>
      <c r="B563">
        <f>IF(ISBLANK(G563),"",VLOOKUP(H563,code!B:C,2,FALSE))</f>
        <v>19</v>
      </c>
      <c r="C563">
        <f t="shared" si="16"/>
        <v>1</v>
      </c>
      <c r="D563">
        <v>2022</v>
      </c>
      <c r="E563">
        <v>199218</v>
      </c>
      <c r="F563" t="s">
        <v>175</v>
      </c>
      <c r="G563" t="s">
        <v>285</v>
      </c>
      <c r="H563" t="s">
        <v>27</v>
      </c>
      <c r="I563">
        <v>17235</v>
      </c>
      <c r="J563">
        <f>I563/VLOOKUP($D563,CPI!$P$16:$R$22,3,FALSE)</f>
        <v>18314.261475046544</v>
      </c>
      <c r="K563">
        <f t="shared" si="17"/>
        <v>0</v>
      </c>
      <c r="L563" s="3" cm="1">
        <f t="array" ref="L563">IF($C563=0,INDEX('24&amp;25'!$L:$L,MATCH($D563&amp;$B563&amp;$E563,'24&amp;25'!$B:$B&amp;'24&amp;25'!$A:$A&amp;'24&amp;25'!$C:$C,0)),INDEX('24&amp;25'!$M:$M,MATCH($D563&amp;$B563&amp;$E563,'24&amp;25'!$B:$B&amp;'24&amp;25'!$A:$A&amp;'24&amp;25'!$C:$C,0)))</f>
        <v>0</v>
      </c>
      <c r="M563">
        <f>L563/VLOOKUP($D563,CPI!$P$16:$R$22,3,FALSE)</f>
        <v>0</v>
      </c>
    </row>
    <row r="564" spans="1:13" ht="16" thickBot="1" x14ac:dyDescent="0.25">
      <c r="A564" s="7">
        <v>2</v>
      </c>
      <c r="B564">
        <f>IF(ISBLANK(G564),"",VLOOKUP(H564,code!B:C,2,FALSE))</f>
        <v>20</v>
      </c>
      <c r="C564">
        <f t="shared" si="16"/>
        <v>1</v>
      </c>
      <c r="D564">
        <v>2022</v>
      </c>
      <c r="E564">
        <v>199218</v>
      </c>
      <c r="F564" t="s">
        <v>175</v>
      </c>
      <c r="G564" t="s">
        <v>285</v>
      </c>
      <c r="H564" t="s">
        <v>28</v>
      </c>
      <c r="I564">
        <v>308</v>
      </c>
      <c r="J564">
        <f>I564/VLOOKUP($D564,CPI!$P$16:$R$22,3,FALSE)</f>
        <v>327.28706320361675</v>
      </c>
      <c r="K564">
        <f t="shared" si="17"/>
        <v>0</v>
      </c>
      <c r="L564" s="3" cm="1">
        <f t="array" ref="L564">IF($C564=0,INDEX('24&amp;25'!$L:$L,MATCH($D564&amp;$B564&amp;$E564,'24&amp;25'!$B:$B&amp;'24&amp;25'!$A:$A&amp;'24&amp;25'!$C:$C,0)),INDEX('24&amp;25'!$M:$M,MATCH($D564&amp;$B564&amp;$E564,'24&amp;25'!$B:$B&amp;'24&amp;25'!$A:$A&amp;'24&amp;25'!$C:$C,0)))</f>
        <v>0</v>
      </c>
      <c r="M564">
        <f>L564/VLOOKUP($D564,CPI!$P$16:$R$22,3,FALSE)</f>
        <v>0</v>
      </c>
    </row>
    <row r="565" spans="1:13" ht="16" thickBot="1" x14ac:dyDescent="0.25">
      <c r="A565" s="7">
        <v>2</v>
      </c>
      <c r="B565">
        <f>IF(ISBLANK(G565),"",VLOOKUP(H565,code!B:C,2,FALSE))</f>
        <v>21</v>
      </c>
      <c r="C565">
        <f t="shared" si="16"/>
        <v>1</v>
      </c>
      <c r="D565">
        <v>2022</v>
      </c>
      <c r="E565">
        <v>199218</v>
      </c>
      <c r="F565" t="s">
        <v>175</v>
      </c>
      <c r="G565" t="s">
        <v>285</v>
      </c>
      <c r="H565" t="s">
        <v>30</v>
      </c>
      <c r="I565">
        <v>42029</v>
      </c>
      <c r="J565">
        <f>I565/VLOOKUP($D565,CPI!$P$16:$R$22,3,FALSE)</f>
        <v>44660.870062937691</v>
      </c>
      <c r="K565">
        <f t="shared" si="17"/>
        <v>0</v>
      </c>
      <c r="L565" s="3" cm="1">
        <f t="array" ref="L565">IF($C565=0,INDEX('24&amp;25'!$L:$L,MATCH($D565&amp;$B565&amp;$E565,'24&amp;25'!$B:$B&amp;'24&amp;25'!$A:$A&amp;'24&amp;25'!$C:$C,0)),INDEX('24&amp;25'!$M:$M,MATCH($D565&amp;$B565&amp;$E565,'24&amp;25'!$B:$B&amp;'24&amp;25'!$A:$A&amp;'24&amp;25'!$C:$C,0)))</f>
        <v>0</v>
      </c>
      <c r="M565">
        <f>L565/VLOOKUP($D565,CPI!$P$16:$R$22,3,FALSE)</f>
        <v>0</v>
      </c>
    </row>
    <row r="566" spans="1:13" ht="16" thickBot="1" x14ac:dyDescent="0.25">
      <c r="A566" s="7">
        <v>2</v>
      </c>
      <c r="B566">
        <f>IF(ISBLANK(G566),"",VLOOKUP(H566,code!B:C,2,FALSE))</f>
        <v>23</v>
      </c>
      <c r="C566">
        <f t="shared" si="16"/>
        <v>1</v>
      </c>
      <c r="D566">
        <v>2022</v>
      </c>
      <c r="E566">
        <v>199218</v>
      </c>
      <c r="F566" t="s">
        <v>175</v>
      </c>
      <c r="G566" t="s">
        <v>285</v>
      </c>
      <c r="H566" t="s">
        <v>33</v>
      </c>
      <c r="I566">
        <v>1463</v>
      </c>
      <c r="J566">
        <f>I566/VLOOKUP($D566,CPI!$P$16:$R$22,3,FALSE)</f>
        <v>1554.6135502171796</v>
      </c>
      <c r="K566">
        <f t="shared" si="17"/>
        <v>0</v>
      </c>
      <c r="L566" s="3" cm="1">
        <f t="array" ref="L566">IF($C566=0,INDEX('24&amp;25'!$L:$L,MATCH($D566&amp;$B566&amp;$E566,'24&amp;25'!$B:$B&amp;'24&amp;25'!$A:$A&amp;'24&amp;25'!$C:$C,0)),INDEX('24&amp;25'!$M:$M,MATCH($D566&amp;$B566&amp;$E566,'24&amp;25'!$B:$B&amp;'24&amp;25'!$A:$A&amp;'24&amp;25'!$C:$C,0)))</f>
        <v>0</v>
      </c>
      <c r="M566">
        <f>L566/VLOOKUP($D566,CPI!$P$16:$R$22,3,FALSE)</f>
        <v>0</v>
      </c>
    </row>
    <row r="567" spans="1:13" ht="16" thickBot="1" x14ac:dyDescent="0.25">
      <c r="A567" s="7">
        <v>2</v>
      </c>
      <c r="B567">
        <f>IF(ISBLANK(G567),"",VLOOKUP(H567,code!B:C,2,FALSE))</f>
        <v>1</v>
      </c>
      <c r="C567">
        <f t="shared" si="16"/>
        <v>0</v>
      </c>
      <c r="D567">
        <v>2023</v>
      </c>
      <c r="E567">
        <v>199218</v>
      </c>
      <c r="F567" t="s">
        <v>175</v>
      </c>
      <c r="G567" t="s">
        <v>284</v>
      </c>
      <c r="H567" t="s">
        <v>9</v>
      </c>
      <c r="I567">
        <v>292851</v>
      </c>
      <c r="J567">
        <f>I567/VLOOKUP($D567,CPI!$P$16:$R$22,3,FALSE)</f>
        <v>292851</v>
      </c>
      <c r="K567">
        <f t="shared" si="17"/>
        <v>0</v>
      </c>
      <c r="L567" s="3" cm="1">
        <f t="array" ref="L567">IF($C567=0,INDEX('24&amp;25'!$L:$L,MATCH($D567&amp;$B567&amp;$E567,'24&amp;25'!$B:$B&amp;'24&amp;25'!$A:$A&amp;'24&amp;25'!$C:$C,0)),INDEX('24&amp;25'!$M:$M,MATCH($D567&amp;$B567&amp;$E567,'24&amp;25'!$B:$B&amp;'24&amp;25'!$A:$A&amp;'24&amp;25'!$C:$C,0)))</f>
        <v>64184</v>
      </c>
      <c r="M567">
        <f>L567/VLOOKUP($D567,CPI!$P$16:$R$22,3,FALSE)</f>
        <v>64184</v>
      </c>
    </row>
    <row r="568" spans="1:13" ht="16" thickBot="1" x14ac:dyDescent="0.25">
      <c r="A568" s="7">
        <v>2</v>
      </c>
      <c r="B568">
        <f>IF(ISBLANK(G568),"",VLOOKUP(H568,code!B:C,2,FALSE))</f>
        <v>2</v>
      </c>
      <c r="C568">
        <f t="shared" si="16"/>
        <v>0</v>
      </c>
      <c r="D568">
        <v>2023</v>
      </c>
      <c r="E568">
        <v>199218</v>
      </c>
      <c r="F568" t="s">
        <v>175</v>
      </c>
      <c r="G568" t="s">
        <v>284</v>
      </c>
      <c r="H568" t="s">
        <v>10</v>
      </c>
      <c r="I568">
        <v>1110855</v>
      </c>
      <c r="J568">
        <f>I568/VLOOKUP($D568,CPI!$P$16:$R$22,3,FALSE)</f>
        <v>1110855</v>
      </c>
      <c r="K568">
        <f t="shared" si="17"/>
        <v>0</v>
      </c>
      <c r="L568" s="3" cm="1">
        <f t="array" ref="L568">IF($C568=0,INDEX('24&amp;25'!$L:$L,MATCH($D568&amp;$B568&amp;$E568,'24&amp;25'!$B:$B&amp;'24&amp;25'!$A:$A&amp;'24&amp;25'!$C:$C,0)),INDEX('24&amp;25'!$M:$M,MATCH($D568&amp;$B568&amp;$E568,'24&amp;25'!$B:$B&amp;'24&amp;25'!$A:$A&amp;'24&amp;25'!$C:$C,0)))</f>
        <v>200941</v>
      </c>
      <c r="M568">
        <f>L568/VLOOKUP($D568,CPI!$P$16:$R$22,3,FALSE)</f>
        <v>200941</v>
      </c>
    </row>
    <row r="569" spans="1:13" ht="16" thickBot="1" x14ac:dyDescent="0.25">
      <c r="A569" s="7">
        <v>2</v>
      </c>
      <c r="B569">
        <f>IF(ISBLANK(G569),"",VLOOKUP(H569,code!B:C,2,FALSE))</f>
        <v>9</v>
      </c>
      <c r="C569">
        <f t="shared" si="16"/>
        <v>0</v>
      </c>
      <c r="D569">
        <v>2023</v>
      </c>
      <c r="E569">
        <v>199218</v>
      </c>
      <c r="F569" t="s">
        <v>175</v>
      </c>
      <c r="G569" t="s">
        <v>284</v>
      </c>
      <c r="H569" t="s">
        <v>17</v>
      </c>
      <c r="I569">
        <v>129631</v>
      </c>
      <c r="J569">
        <f>I569/VLOOKUP($D569,CPI!$P$16:$R$22,3,FALSE)</f>
        <v>129631</v>
      </c>
      <c r="K569">
        <f t="shared" si="17"/>
        <v>0</v>
      </c>
      <c r="L569" s="3" cm="1">
        <f t="array" ref="L569">IF($C569=0,INDEX('24&amp;25'!$L:$L,MATCH($D569&amp;$B569&amp;$E569,'24&amp;25'!$B:$B&amp;'24&amp;25'!$A:$A&amp;'24&amp;25'!$C:$C,0)),INDEX('24&amp;25'!$M:$M,MATCH($D569&amp;$B569&amp;$E569,'24&amp;25'!$B:$B&amp;'24&amp;25'!$A:$A&amp;'24&amp;25'!$C:$C,0)))</f>
        <v>0</v>
      </c>
      <c r="M569">
        <f>L569/VLOOKUP($D569,CPI!$P$16:$R$22,3,FALSE)</f>
        <v>0</v>
      </c>
    </row>
    <row r="570" spans="1:13" ht="16" thickBot="1" x14ac:dyDescent="0.25">
      <c r="A570" s="7">
        <v>2</v>
      </c>
      <c r="B570">
        <f>IF(ISBLANK(G570),"",VLOOKUP(H570,code!B:C,2,FALSE))</f>
        <v>17</v>
      </c>
      <c r="C570">
        <f t="shared" si="16"/>
        <v>0</v>
      </c>
      <c r="D570">
        <v>2023</v>
      </c>
      <c r="E570">
        <v>199218</v>
      </c>
      <c r="F570" t="s">
        <v>175</v>
      </c>
      <c r="G570" t="s">
        <v>284</v>
      </c>
      <c r="H570" t="s">
        <v>25</v>
      </c>
      <c r="I570">
        <v>37545</v>
      </c>
      <c r="J570">
        <f>I570/VLOOKUP($D570,CPI!$P$16:$R$22,3,FALSE)</f>
        <v>37545</v>
      </c>
      <c r="K570">
        <f t="shared" si="17"/>
        <v>0</v>
      </c>
      <c r="L570" s="3" cm="1">
        <f t="array" ref="L570">IF($C570=0,INDEX('24&amp;25'!$L:$L,MATCH($D570&amp;$B570&amp;$E570,'24&amp;25'!$B:$B&amp;'24&amp;25'!$A:$A&amp;'24&amp;25'!$C:$C,0)),INDEX('24&amp;25'!$M:$M,MATCH($D570&amp;$B570&amp;$E570,'24&amp;25'!$B:$B&amp;'24&amp;25'!$A:$A&amp;'24&amp;25'!$C:$C,0)))</f>
        <v>0</v>
      </c>
      <c r="M570">
        <f>L570/VLOOKUP($D570,CPI!$P$16:$R$22,3,FALSE)</f>
        <v>0</v>
      </c>
    </row>
    <row r="571" spans="1:13" ht="16" thickBot="1" x14ac:dyDescent="0.25">
      <c r="A571" s="7">
        <v>2</v>
      </c>
      <c r="B571">
        <f>IF(ISBLANK(G571),"",VLOOKUP(H571,code!B:C,2,FALSE))</f>
        <v>19</v>
      </c>
      <c r="C571">
        <f t="shared" si="16"/>
        <v>0</v>
      </c>
      <c r="D571">
        <v>2023</v>
      </c>
      <c r="E571">
        <v>199218</v>
      </c>
      <c r="F571" t="s">
        <v>175</v>
      </c>
      <c r="G571" t="s">
        <v>284</v>
      </c>
      <c r="H571" t="s">
        <v>27</v>
      </c>
      <c r="I571">
        <v>6774</v>
      </c>
      <c r="J571">
        <f>I571/VLOOKUP($D571,CPI!$P$16:$R$22,3,FALSE)</f>
        <v>6774</v>
      </c>
      <c r="K571">
        <f t="shared" si="17"/>
        <v>0</v>
      </c>
      <c r="L571" s="3" cm="1">
        <f t="array" ref="L571">IF($C571=0,INDEX('24&amp;25'!$L:$L,MATCH($D571&amp;$B571&amp;$E571,'24&amp;25'!$B:$B&amp;'24&amp;25'!$A:$A&amp;'24&amp;25'!$C:$C,0)),INDEX('24&amp;25'!$M:$M,MATCH($D571&amp;$B571&amp;$E571,'24&amp;25'!$B:$B&amp;'24&amp;25'!$A:$A&amp;'24&amp;25'!$C:$C,0)))</f>
        <v>0</v>
      </c>
      <c r="M571">
        <f>L571/VLOOKUP($D571,CPI!$P$16:$R$22,3,FALSE)</f>
        <v>0</v>
      </c>
    </row>
    <row r="572" spans="1:13" ht="16" thickBot="1" x14ac:dyDescent="0.25">
      <c r="A572" s="7">
        <v>2</v>
      </c>
      <c r="B572">
        <f>IF(ISBLANK(G572),"",VLOOKUP(H572,code!B:C,2,FALSE))</f>
        <v>20</v>
      </c>
      <c r="C572">
        <f t="shared" si="16"/>
        <v>0</v>
      </c>
      <c r="D572">
        <v>2023</v>
      </c>
      <c r="E572">
        <v>199218</v>
      </c>
      <c r="F572" t="s">
        <v>175</v>
      </c>
      <c r="G572" t="s">
        <v>284</v>
      </c>
      <c r="H572" t="s">
        <v>28</v>
      </c>
      <c r="I572">
        <v>11167</v>
      </c>
      <c r="J572">
        <f>I572/VLOOKUP($D572,CPI!$P$16:$R$22,3,FALSE)</f>
        <v>11167</v>
      </c>
      <c r="K572">
        <f t="shared" si="17"/>
        <v>0</v>
      </c>
      <c r="L572" s="3" cm="1">
        <f t="array" ref="L572">IF($C572=0,INDEX('24&amp;25'!$L:$L,MATCH($D572&amp;$B572&amp;$E572,'24&amp;25'!$B:$B&amp;'24&amp;25'!$A:$A&amp;'24&amp;25'!$C:$C,0)),INDEX('24&amp;25'!$M:$M,MATCH($D572&amp;$B572&amp;$E572,'24&amp;25'!$B:$B&amp;'24&amp;25'!$A:$A&amp;'24&amp;25'!$C:$C,0)))</f>
        <v>0</v>
      </c>
      <c r="M572">
        <f>L572/VLOOKUP($D572,CPI!$P$16:$R$22,3,FALSE)</f>
        <v>0</v>
      </c>
    </row>
    <row r="573" spans="1:13" ht="16" thickBot="1" x14ac:dyDescent="0.25">
      <c r="A573" s="7">
        <v>2</v>
      </c>
      <c r="B573">
        <f>IF(ISBLANK(G573),"",VLOOKUP(H573,code!B:C,2,FALSE))</f>
        <v>21</v>
      </c>
      <c r="C573">
        <f t="shared" si="16"/>
        <v>0</v>
      </c>
      <c r="D573">
        <v>2023</v>
      </c>
      <c r="E573">
        <v>199218</v>
      </c>
      <c r="F573" t="s">
        <v>175</v>
      </c>
      <c r="G573" t="s">
        <v>284</v>
      </c>
      <c r="H573" t="s">
        <v>31</v>
      </c>
      <c r="I573">
        <v>760</v>
      </c>
      <c r="J573">
        <f>I573/VLOOKUP($D573,CPI!$P$16:$R$22,3,FALSE)</f>
        <v>760</v>
      </c>
      <c r="K573">
        <f t="shared" si="17"/>
        <v>0</v>
      </c>
      <c r="L573" s="3" cm="1">
        <f t="array" ref="L573">IF($C573=0,INDEX('24&amp;25'!$L:$L,MATCH($D573&amp;$B573&amp;$E573,'24&amp;25'!$B:$B&amp;'24&amp;25'!$A:$A&amp;'24&amp;25'!$C:$C,0)),INDEX('24&amp;25'!$M:$M,MATCH($D573&amp;$B573&amp;$E573,'24&amp;25'!$B:$B&amp;'24&amp;25'!$A:$A&amp;'24&amp;25'!$C:$C,0)))</f>
        <v>0</v>
      </c>
      <c r="M573">
        <f>L573/VLOOKUP($D573,CPI!$P$16:$R$22,3,FALSE)</f>
        <v>0</v>
      </c>
    </row>
    <row r="574" spans="1:13" ht="16" thickBot="1" x14ac:dyDescent="0.25">
      <c r="A574" s="7">
        <v>2</v>
      </c>
      <c r="B574">
        <f>IF(ISBLANK(G574),"",VLOOKUP(H574,code!B:C,2,FALSE))</f>
        <v>2</v>
      </c>
      <c r="C574">
        <f t="shared" si="16"/>
        <v>1</v>
      </c>
      <c r="D574">
        <v>2023</v>
      </c>
      <c r="E574">
        <v>199218</v>
      </c>
      <c r="F574" t="s">
        <v>175</v>
      </c>
      <c r="G574" t="s">
        <v>285</v>
      </c>
      <c r="H574" t="s">
        <v>10</v>
      </c>
      <c r="I574">
        <v>80583</v>
      </c>
      <c r="J574">
        <f>I574/VLOOKUP($D574,CPI!$P$16:$R$22,3,FALSE)</f>
        <v>80583</v>
      </c>
      <c r="K574">
        <f t="shared" si="17"/>
        <v>0</v>
      </c>
      <c r="L574" s="3" cm="1">
        <f t="array" ref="L574">IF($C574=0,INDEX('24&amp;25'!$L:$L,MATCH($D574&amp;$B574&amp;$E574,'24&amp;25'!$B:$B&amp;'24&amp;25'!$A:$A&amp;'24&amp;25'!$C:$C,0)),INDEX('24&amp;25'!$M:$M,MATCH($D574&amp;$B574&amp;$E574,'24&amp;25'!$B:$B&amp;'24&amp;25'!$A:$A&amp;'24&amp;25'!$C:$C,0)))</f>
        <v>55339</v>
      </c>
      <c r="M574">
        <f>L574/VLOOKUP($D574,CPI!$P$16:$R$22,3,FALSE)</f>
        <v>55339</v>
      </c>
    </row>
    <row r="575" spans="1:13" ht="16" thickBot="1" x14ac:dyDescent="0.25">
      <c r="A575" s="7">
        <v>2</v>
      </c>
      <c r="B575">
        <f>IF(ISBLANK(G575),"",VLOOKUP(H575,code!B:C,2,FALSE))</f>
        <v>3</v>
      </c>
      <c r="C575">
        <f t="shared" si="16"/>
        <v>1</v>
      </c>
      <c r="D575">
        <v>2023</v>
      </c>
      <c r="E575">
        <v>199218</v>
      </c>
      <c r="F575" t="s">
        <v>175</v>
      </c>
      <c r="G575" t="s">
        <v>285</v>
      </c>
      <c r="H575" t="s">
        <v>11</v>
      </c>
      <c r="I575">
        <v>675</v>
      </c>
      <c r="J575">
        <f>I575/VLOOKUP($D575,CPI!$P$16:$R$22,3,FALSE)</f>
        <v>675</v>
      </c>
      <c r="K575">
        <f t="shared" si="17"/>
        <v>0</v>
      </c>
      <c r="L575" s="3" cm="1">
        <f t="array" ref="L575">IF($C575=0,INDEX('24&amp;25'!$L:$L,MATCH($D575&amp;$B575&amp;$E575,'24&amp;25'!$B:$B&amp;'24&amp;25'!$A:$A&amp;'24&amp;25'!$C:$C,0)),INDEX('24&amp;25'!$M:$M,MATCH($D575&amp;$B575&amp;$E575,'24&amp;25'!$B:$B&amp;'24&amp;25'!$A:$A&amp;'24&amp;25'!$C:$C,0)))</f>
        <v>0</v>
      </c>
      <c r="M575">
        <f>L575/VLOOKUP($D575,CPI!$P$16:$R$22,3,FALSE)</f>
        <v>0</v>
      </c>
    </row>
    <row r="576" spans="1:13" ht="16" thickBot="1" x14ac:dyDescent="0.25">
      <c r="A576" s="7">
        <v>2</v>
      </c>
      <c r="B576">
        <f>IF(ISBLANK(G576),"",VLOOKUP(H576,code!B:C,2,FALSE))</f>
        <v>9</v>
      </c>
      <c r="C576">
        <f t="shared" si="16"/>
        <v>1</v>
      </c>
      <c r="D576">
        <v>2023</v>
      </c>
      <c r="E576">
        <v>199218</v>
      </c>
      <c r="F576" t="s">
        <v>175</v>
      </c>
      <c r="G576" t="s">
        <v>285</v>
      </c>
      <c r="H576" t="s">
        <v>17</v>
      </c>
      <c r="I576">
        <v>42162</v>
      </c>
      <c r="J576">
        <f>I576/VLOOKUP($D576,CPI!$P$16:$R$22,3,FALSE)</f>
        <v>42162</v>
      </c>
      <c r="K576">
        <f t="shared" si="17"/>
        <v>0</v>
      </c>
      <c r="L576" s="3" cm="1">
        <f t="array" ref="L576">IF($C576=0,INDEX('24&amp;25'!$L:$L,MATCH($D576&amp;$B576&amp;$E576,'24&amp;25'!$B:$B&amp;'24&amp;25'!$A:$A&amp;'24&amp;25'!$C:$C,0)),INDEX('24&amp;25'!$M:$M,MATCH($D576&amp;$B576&amp;$E576,'24&amp;25'!$B:$B&amp;'24&amp;25'!$A:$A&amp;'24&amp;25'!$C:$C,0)))</f>
        <v>0</v>
      </c>
      <c r="M576">
        <f>L576/VLOOKUP($D576,CPI!$P$16:$R$22,3,FALSE)</f>
        <v>0</v>
      </c>
    </row>
    <row r="577" spans="1:13" ht="16" thickBot="1" x14ac:dyDescent="0.25">
      <c r="A577" s="7">
        <v>2</v>
      </c>
      <c r="B577">
        <f>IF(ISBLANK(G577),"",VLOOKUP(H577,code!B:C,2,FALSE))</f>
        <v>17</v>
      </c>
      <c r="C577">
        <f t="shared" si="16"/>
        <v>1</v>
      </c>
      <c r="D577">
        <v>2023</v>
      </c>
      <c r="E577">
        <v>199218</v>
      </c>
      <c r="F577" t="s">
        <v>175</v>
      </c>
      <c r="G577" t="s">
        <v>285</v>
      </c>
      <c r="H577" t="s">
        <v>25</v>
      </c>
      <c r="I577">
        <v>23610</v>
      </c>
      <c r="J577">
        <f>I577/VLOOKUP($D577,CPI!$P$16:$R$22,3,FALSE)</f>
        <v>23610</v>
      </c>
      <c r="K577">
        <f t="shared" si="17"/>
        <v>0</v>
      </c>
      <c r="L577" s="3" cm="1">
        <f t="array" ref="L577">IF($C577=0,INDEX('24&amp;25'!$L:$L,MATCH($D577&amp;$B577&amp;$E577,'24&amp;25'!$B:$B&amp;'24&amp;25'!$A:$A&amp;'24&amp;25'!$C:$C,0)),INDEX('24&amp;25'!$M:$M,MATCH($D577&amp;$B577&amp;$E577,'24&amp;25'!$B:$B&amp;'24&amp;25'!$A:$A&amp;'24&amp;25'!$C:$C,0)))</f>
        <v>0</v>
      </c>
      <c r="M577">
        <f>L577/VLOOKUP($D577,CPI!$P$16:$R$22,3,FALSE)</f>
        <v>0</v>
      </c>
    </row>
    <row r="578" spans="1:13" ht="16" thickBot="1" x14ac:dyDescent="0.25">
      <c r="A578" s="7">
        <v>2</v>
      </c>
      <c r="B578">
        <f>IF(ISBLANK(G578),"",VLOOKUP(H578,code!B:C,2,FALSE))</f>
        <v>18</v>
      </c>
      <c r="C578">
        <f t="shared" si="16"/>
        <v>1</v>
      </c>
      <c r="D578">
        <v>2023</v>
      </c>
      <c r="E578">
        <v>199218</v>
      </c>
      <c r="F578" t="s">
        <v>175</v>
      </c>
      <c r="G578" t="s">
        <v>285</v>
      </c>
      <c r="H578" t="s">
        <v>26</v>
      </c>
      <c r="I578">
        <v>45524</v>
      </c>
      <c r="J578">
        <f>I578/VLOOKUP($D578,CPI!$P$16:$R$22,3,FALSE)</f>
        <v>45524</v>
      </c>
      <c r="K578">
        <f t="shared" si="17"/>
        <v>0</v>
      </c>
      <c r="L578" s="3" cm="1">
        <f t="array" ref="L578">IF($C578=0,INDEX('24&amp;25'!$L:$L,MATCH($D578&amp;$B578&amp;$E578,'24&amp;25'!$B:$B&amp;'24&amp;25'!$A:$A&amp;'24&amp;25'!$C:$C,0)),INDEX('24&amp;25'!$M:$M,MATCH($D578&amp;$B578&amp;$E578,'24&amp;25'!$B:$B&amp;'24&amp;25'!$A:$A&amp;'24&amp;25'!$C:$C,0)))</f>
        <v>0</v>
      </c>
      <c r="M578">
        <f>L578/VLOOKUP($D578,CPI!$P$16:$R$22,3,FALSE)</f>
        <v>0</v>
      </c>
    </row>
    <row r="579" spans="1:13" ht="16" thickBot="1" x14ac:dyDescent="0.25">
      <c r="A579" s="7">
        <v>2</v>
      </c>
      <c r="B579">
        <f>IF(ISBLANK(G579),"",VLOOKUP(H579,code!B:C,2,FALSE))</f>
        <v>19</v>
      </c>
      <c r="C579">
        <f t="shared" ref="C579:C642" si="18">IF(ISBLANK(G579),"",IF(MID(G579,1,1)="M",0,1))</f>
        <v>1</v>
      </c>
      <c r="D579">
        <v>2023</v>
      </c>
      <c r="E579">
        <v>199218</v>
      </c>
      <c r="F579" t="s">
        <v>175</v>
      </c>
      <c r="G579" t="s">
        <v>285</v>
      </c>
      <c r="H579" t="s">
        <v>27</v>
      </c>
      <c r="I579">
        <v>11733</v>
      </c>
      <c r="J579">
        <f>I579/VLOOKUP($D579,CPI!$P$16:$R$22,3,FALSE)</f>
        <v>11733</v>
      </c>
      <c r="K579">
        <f t="shared" ref="K579:K642" si="19">IF(ISBLANK(G579),"",IF(D579=2021,1,0))</f>
        <v>0</v>
      </c>
      <c r="L579" s="3" cm="1">
        <f t="array" ref="L579">IF($C579=0,INDEX('24&amp;25'!$L:$L,MATCH($D579&amp;$B579&amp;$E579,'24&amp;25'!$B:$B&amp;'24&amp;25'!$A:$A&amp;'24&amp;25'!$C:$C,0)),INDEX('24&amp;25'!$M:$M,MATCH($D579&amp;$B579&amp;$E579,'24&amp;25'!$B:$B&amp;'24&amp;25'!$A:$A&amp;'24&amp;25'!$C:$C,0)))</f>
        <v>0</v>
      </c>
      <c r="M579">
        <f>L579/VLOOKUP($D579,CPI!$P$16:$R$22,3,FALSE)</f>
        <v>0</v>
      </c>
    </row>
    <row r="580" spans="1:13" ht="16" thickBot="1" x14ac:dyDescent="0.25">
      <c r="A580" s="7">
        <v>2</v>
      </c>
      <c r="B580">
        <f>IF(ISBLANK(G580),"",VLOOKUP(H580,code!B:C,2,FALSE))</f>
        <v>20</v>
      </c>
      <c r="C580">
        <f t="shared" si="18"/>
        <v>1</v>
      </c>
      <c r="D580">
        <v>2023</v>
      </c>
      <c r="E580">
        <v>199218</v>
      </c>
      <c r="F580" t="s">
        <v>175</v>
      </c>
      <c r="G580" t="s">
        <v>285</v>
      </c>
      <c r="H580" t="s">
        <v>28</v>
      </c>
      <c r="I580">
        <v>9454</v>
      </c>
      <c r="J580">
        <f>I580/VLOOKUP($D580,CPI!$P$16:$R$22,3,FALSE)</f>
        <v>9454</v>
      </c>
      <c r="K580">
        <f t="shared" si="19"/>
        <v>0</v>
      </c>
      <c r="L580" s="3" cm="1">
        <f t="array" ref="L580">IF($C580=0,INDEX('24&amp;25'!$L:$L,MATCH($D580&amp;$B580&amp;$E580,'24&amp;25'!$B:$B&amp;'24&amp;25'!$A:$A&amp;'24&amp;25'!$C:$C,0)),INDEX('24&amp;25'!$M:$M,MATCH($D580&amp;$B580&amp;$E580,'24&amp;25'!$B:$B&amp;'24&amp;25'!$A:$A&amp;'24&amp;25'!$C:$C,0)))</f>
        <v>0</v>
      </c>
      <c r="M580">
        <f>L580/VLOOKUP($D580,CPI!$P$16:$R$22,3,FALSE)</f>
        <v>0</v>
      </c>
    </row>
    <row r="581" spans="1:13" ht="16" thickBot="1" x14ac:dyDescent="0.25">
      <c r="A581" s="7">
        <v>2</v>
      </c>
      <c r="B581">
        <f>IF(ISBLANK(G581),"",VLOOKUP(H581,code!B:C,2,FALSE))</f>
        <v>21</v>
      </c>
      <c r="C581">
        <f t="shared" si="18"/>
        <v>1</v>
      </c>
      <c r="D581">
        <v>2023</v>
      </c>
      <c r="E581">
        <v>199218</v>
      </c>
      <c r="F581" t="s">
        <v>175</v>
      </c>
      <c r="G581" t="s">
        <v>285</v>
      </c>
      <c r="H581" t="s">
        <v>31</v>
      </c>
      <c r="I581">
        <v>1881</v>
      </c>
      <c r="J581">
        <f>I581/VLOOKUP($D581,CPI!$P$16:$R$22,3,FALSE)</f>
        <v>1881</v>
      </c>
      <c r="K581">
        <f t="shared" si="19"/>
        <v>0</v>
      </c>
      <c r="L581" s="3" cm="1">
        <f t="array" ref="L581">IF($C581=0,INDEX('24&amp;25'!$L:$L,MATCH($D581&amp;$B581&amp;$E581,'24&amp;25'!$B:$B&amp;'24&amp;25'!$A:$A&amp;'24&amp;25'!$C:$C,0)),INDEX('24&amp;25'!$M:$M,MATCH($D581&amp;$B581&amp;$E581,'24&amp;25'!$B:$B&amp;'24&amp;25'!$A:$A&amp;'24&amp;25'!$C:$C,0)))</f>
        <v>0</v>
      </c>
      <c r="M581">
        <f>L581/VLOOKUP($D581,CPI!$P$16:$R$22,3,FALSE)</f>
        <v>0</v>
      </c>
    </row>
    <row r="582" spans="1:13" ht="16" thickBot="1" x14ac:dyDescent="0.25">
      <c r="A582" s="7">
        <v>2</v>
      </c>
      <c r="B582">
        <f>IF(ISBLANK(G582),"",VLOOKUP(H582,code!B:C,2,FALSE))</f>
        <v>23</v>
      </c>
      <c r="C582">
        <f t="shared" si="18"/>
        <v>1</v>
      </c>
      <c r="D582">
        <v>2023</v>
      </c>
      <c r="E582">
        <v>199218</v>
      </c>
      <c r="F582" t="s">
        <v>175</v>
      </c>
      <c r="G582" t="s">
        <v>285</v>
      </c>
      <c r="H582" t="s">
        <v>33</v>
      </c>
      <c r="I582">
        <v>8560</v>
      </c>
      <c r="J582">
        <f>I582/VLOOKUP($D582,CPI!$P$16:$R$22,3,FALSE)</f>
        <v>8560</v>
      </c>
      <c r="K582">
        <f t="shared" si="19"/>
        <v>0</v>
      </c>
      <c r="L582" s="3" cm="1">
        <f t="array" ref="L582">IF($C582=0,INDEX('24&amp;25'!$L:$L,MATCH($D582&amp;$B582&amp;$E582,'24&amp;25'!$B:$B&amp;'24&amp;25'!$A:$A&amp;'24&amp;25'!$C:$C,0)),INDEX('24&amp;25'!$M:$M,MATCH($D582&amp;$B582&amp;$E582,'24&amp;25'!$B:$B&amp;'24&amp;25'!$A:$A&amp;'24&amp;25'!$C:$C,0)))</f>
        <v>0</v>
      </c>
      <c r="M582">
        <f>L582/VLOOKUP($D582,CPI!$P$16:$R$22,3,FALSE)</f>
        <v>0</v>
      </c>
    </row>
    <row r="583" spans="1:13" ht="16" thickBot="1" x14ac:dyDescent="0.25">
      <c r="A583" s="7">
        <v>2</v>
      </c>
      <c r="B583">
        <f>IF(ISBLANK(G583),"",VLOOKUP(H583,code!B:C,2,FALSE))</f>
        <v>1</v>
      </c>
      <c r="C583">
        <f t="shared" si="18"/>
        <v>0</v>
      </c>
      <c r="D583">
        <v>2017</v>
      </c>
      <c r="E583">
        <v>209542</v>
      </c>
      <c r="F583" t="s">
        <v>192</v>
      </c>
      <c r="G583" t="s">
        <v>284</v>
      </c>
      <c r="H583" t="s">
        <v>9</v>
      </c>
      <c r="I583">
        <v>1902222</v>
      </c>
      <c r="J583">
        <f>I583/VLOOKUP($D583,CPI!$P$16:$R$22,3,FALSE)</f>
        <v>2349281.190411137</v>
      </c>
      <c r="K583">
        <f t="shared" si="19"/>
        <v>0</v>
      </c>
      <c r="L583" s="3" cm="1">
        <f t="array" ref="L583">IF($C583=0,INDEX('24&amp;25'!$L:$L,MATCH($D583&amp;$B583&amp;$E583,'24&amp;25'!$B:$B&amp;'24&amp;25'!$A:$A&amp;'24&amp;25'!$C:$C,0)),INDEX('24&amp;25'!$M:$M,MATCH($D583&amp;$B583&amp;$E583,'24&amp;25'!$B:$B&amp;'24&amp;25'!$A:$A&amp;'24&amp;25'!$C:$C,0)))</f>
        <v>93412</v>
      </c>
      <c r="M583">
        <f>L583/VLOOKUP($D583,CPI!$P$16:$R$22,3,FALSE)</f>
        <v>115365.63795323845</v>
      </c>
    </row>
    <row r="584" spans="1:13" ht="16" thickBot="1" x14ac:dyDescent="0.25">
      <c r="A584" s="7">
        <v>2</v>
      </c>
      <c r="B584">
        <f>IF(ISBLANK(G584),"",VLOOKUP(H584,code!B:C,2,FALSE))</f>
        <v>2</v>
      </c>
      <c r="C584">
        <f t="shared" si="18"/>
        <v>0</v>
      </c>
      <c r="D584">
        <v>2017</v>
      </c>
      <c r="E584">
        <v>209542</v>
      </c>
      <c r="F584" t="s">
        <v>192</v>
      </c>
      <c r="G584" t="s">
        <v>284</v>
      </c>
      <c r="H584" t="s">
        <v>10</v>
      </c>
      <c r="I584">
        <v>1380086</v>
      </c>
      <c r="J584">
        <f>I584/VLOOKUP($D584,CPI!$P$16:$R$22,3,FALSE)</f>
        <v>1704433.0687741728</v>
      </c>
      <c r="K584">
        <f t="shared" si="19"/>
        <v>0</v>
      </c>
      <c r="L584" s="3" cm="1">
        <f t="array" ref="L584">IF($C584=0,INDEX('24&amp;25'!$L:$L,MATCH($D584&amp;$B584&amp;$E584,'24&amp;25'!$B:$B&amp;'24&amp;25'!$A:$A&amp;'24&amp;25'!$C:$C,0)),INDEX('24&amp;25'!$M:$M,MATCH($D584&amp;$B584&amp;$E584,'24&amp;25'!$B:$B&amp;'24&amp;25'!$A:$A&amp;'24&amp;25'!$C:$C,0)))</f>
        <v>212304</v>
      </c>
      <c r="M584">
        <f>L584/VLOOKUP($D584,CPI!$P$16:$R$22,3,FALSE)</f>
        <v>262199.57178975223</v>
      </c>
    </row>
    <row r="585" spans="1:13" ht="16" thickBot="1" x14ac:dyDescent="0.25">
      <c r="A585" s="7">
        <v>2</v>
      </c>
      <c r="B585">
        <f>IF(ISBLANK(G585),"",VLOOKUP(H585,code!B:C,2,FALSE))</f>
        <v>8</v>
      </c>
      <c r="C585">
        <f t="shared" si="18"/>
        <v>0</v>
      </c>
      <c r="D585">
        <v>2017</v>
      </c>
      <c r="E585">
        <v>209542</v>
      </c>
      <c r="F585" t="s">
        <v>192</v>
      </c>
      <c r="G585" t="s">
        <v>284</v>
      </c>
      <c r="H585" t="s">
        <v>16</v>
      </c>
      <c r="I585">
        <v>9979857</v>
      </c>
      <c r="J585">
        <f>I585/VLOOKUP($D585,CPI!$P$16:$R$22,3,FALSE)</f>
        <v>12325317.619653709</v>
      </c>
      <c r="K585">
        <f t="shared" si="19"/>
        <v>0</v>
      </c>
      <c r="L585" s="3" cm="1">
        <f t="array" ref="L585">IF($C585=0,INDEX('24&amp;25'!$L:$L,MATCH($D585&amp;$B585&amp;$E585,'24&amp;25'!$B:$B&amp;'24&amp;25'!$A:$A&amp;'24&amp;25'!$C:$C,0)),INDEX('24&amp;25'!$M:$M,MATCH($D585&amp;$B585&amp;$E585,'24&amp;25'!$B:$B&amp;'24&amp;25'!$A:$A&amp;'24&amp;25'!$C:$C,0)))</f>
        <v>1159226</v>
      </c>
      <c r="M585">
        <f>L585/VLOOKUP($D585,CPI!$P$16:$R$22,3,FALSE)</f>
        <v>1431666.6704703977</v>
      </c>
    </row>
    <row r="586" spans="1:13" ht="16" thickBot="1" x14ac:dyDescent="0.25">
      <c r="A586" s="7">
        <v>2</v>
      </c>
      <c r="B586">
        <f>IF(ISBLANK(G586),"",VLOOKUP(H586,code!B:C,2,FALSE))</f>
        <v>9</v>
      </c>
      <c r="C586">
        <f t="shared" si="18"/>
        <v>0</v>
      </c>
      <c r="D586">
        <v>2017</v>
      </c>
      <c r="E586">
        <v>209542</v>
      </c>
      <c r="F586" t="s">
        <v>192</v>
      </c>
      <c r="G586" t="s">
        <v>284</v>
      </c>
      <c r="H586" t="s">
        <v>17</v>
      </c>
      <c r="I586">
        <v>106271</v>
      </c>
      <c r="J586">
        <f>I586/VLOOKUP($D586,CPI!$P$16:$R$22,3,FALSE)</f>
        <v>131246.75321081447</v>
      </c>
      <c r="K586">
        <f t="shared" si="19"/>
        <v>0</v>
      </c>
      <c r="L586" s="3" cm="1">
        <f t="array" ref="L586">IF($C586=0,INDEX('24&amp;25'!$L:$L,MATCH($D586&amp;$B586&amp;$E586,'24&amp;25'!$B:$B&amp;'24&amp;25'!$A:$A&amp;'24&amp;25'!$C:$C,0)),INDEX('24&amp;25'!$M:$M,MATCH($D586&amp;$B586&amp;$E586,'24&amp;25'!$B:$B&amp;'24&amp;25'!$A:$A&amp;'24&amp;25'!$C:$C,0)))</f>
        <v>0</v>
      </c>
      <c r="M586">
        <f>L586/VLOOKUP($D586,CPI!$P$16:$R$22,3,FALSE)</f>
        <v>0</v>
      </c>
    </row>
    <row r="587" spans="1:13" ht="16" thickBot="1" x14ac:dyDescent="0.25">
      <c r="A587" s="7">
        <v>2</v>
      </c>
      <c r="B587">
        <f>IF(ISBLANK(G587),"",VLOOKUP(H587,code!B:C,2,FALSE))</f>
        <v>17</v>
      </c>
      <c r="C587">
        <f t="shared" si="18"/>
        <v>0</v>
      </c>
      <c r="D587">
        <v>2017</v>
      </c>
      <c r="E587">
        <v>209542</v>
      </c>
      <c r="F587" t="s">
        <v>192</v>
      </c>
      <c r="G587" t="s">
        <v>284</v>
      </c>
      <c r="H587" t="s">
        <v>25</v>
      </c>
      <c r="I587">
        <v>16510</v>
      </c>
      <c r="J587">
        <f>I587/VLOOKUP($D587,CPI!$P$16:$R$22,3,FALSE)</f>
        <v>20390.171312122282</v>
      </c>
      <c r="K587">
        <f t="shared" si="19"/>
        <v>0</v>
      </c>
      <c r="L587" s="3" cm="1">
        <f t="array" ref="L587">IF($C587=0,INDEX('24&amp;25'!$L:$L,MATCH($D587&amp;$B587&amp;$E587,'24&amp;25'!$B:$B&amp;'24&amp;25'!$A:$A&amp;'24&amp;25'!$C:$C,0)),INDEX('24&amp;25'!$M:$M,MATCH($D587&amp;$B587&amp;$E587,'24&amp;25'!$B:$B&amp;'24&amp;25'!$A:$A&amp;'24&amp;25'!$C:$C,0)))</f>
        <v>0</v>
      </c>
      <c r="M587">
        <f>L587/VLOOKUP($D587,CPI!$P$16:$R$22,3,FALSE)</f>
        <v>0</v>
      </c>
    </row>
    <row r="588" spans="1:13" ht="16" thickBot="1" x14ac:dyDescent="0.25">
      <c r="A588" s="7">
        <v>2</v>
      </c>
      <c r="B588">
        <f>IF(ISBLANK(G588),"",VLOOKUP(H588,code!B:C,2,FALSE))</f>
        <v>25</v>
      </c>
      <c r="C588">
        <f t="shared" si="18"/>
        <v>0</v>
      </c>
      <c r="D588">
        <v>2017</v>
      </c>
      <c r="E588">
        <v>209542</v>
      </c>
      <c r="F588" t="s">
        <v>192</v>
      </c>
      <c r="G588" t="s">
        <v>284</v>
      </c>
      <c r="H588" t="s">
        <v>35</v>
      </c>
      <c r="I588">
        <v>49088</v>
      </c>
      <c r="J588">
        <f>I588/VLOOKUP($D588,CPI!$P$16:$R$22,3,FALSE)</f>
        <v>60624.635334310027</v>
      </c>
      <c r="K588">
        <f t="shared" si="19"/>
        <v>0</v>
      </c>
      <c r="L588" s="3" cm="1">
        <f t="array" ref="L588">IF($C588=0,INDEX('24&amp;25'!$L:$L,MATCH($D588&amp;$B588&amp;$E588,'24&amp;25'!$B:$B&amp;'24&amp;25'!$A:$A&amp;'24&amp;25'!$C:$C,0)),INDEX('24&amp;25'!$M:$M,MATCH($D588&amp;$B588&amp;$E588,'24&amp;25'!$B:$B&amp;'24&amp;25'!$A:$A&amp;'24&amp;25'!$C:$C,0)))</f>
        <v>0</v>
      </c>
      <c r="M588">
        <f>L588/VLOOKUP($D588,CPI!$P$16:$R$22,3,FALSE)</f>
        <v>0</v>
      </c>
    </row>
    <row r="589" spans="1:13" ht="16" thickBot="1" x14ac:dyDescent="0.25">
      <c r="A589" s="7">
        <v>2</v>
      </c>
      <c r="B589">
        <f>IF(ISBLANK(G589),"",VLOOKUP(H589,code!B:C,2,FALSE))</f>
        <v>2</v>
      </c>
      <c r="C589">
        <f t="shared" si="18"/>
        <v>1</v>
      </c>
      <c r="D589">
        <v>2017</v>
      </c>
      <c r="E589">
        <v>209542</v>
      </c>
      <c r="F589" t="s">
        <v>192</v>
      </c>
      <c r="G589" t="s">
        <v>285</v>
      </c>
      <c r="H589" t="s">
        <v>10</v>
      </c>
      <c r="I589">
        <v>584103</v>
      </c>
      <c r="J589">
        <f>I589/VLOOKUP($D589,CPI!$P$16:$R$22,3,FALSE)</f>
        <v>721378.57261808368</v>
      </c>
      <c r="K589">
        <f t="shared" si="19"/>
        <v>0</v>
      </c>
      <c r="L589" s="3" cm="1">
        <f t="array" ref="L589">IF($C589=0,INDEX('24&amp;25'!$L:$L,MATCH($D589&amp;$B589&amp;$E589,'24&amp;25'!$B:$B&amp;'24&amp;25'!$A:$A&amp;'24&amp;25'!$C:$C,0)),INDEX('24&amp;25'!$M:$M,MATCH($D589&amp;$B589&amp;$E589,'24&amp;25'!$B:$B&amp;'24&amp;25'!$A:$A&amp;'24&amp;25'!$C:$C,0)))</f>
        <v>314806</v>
      </c>
      <c r="M589">
        <f>L589/VLOOKUP($D589,CPI!$P$16:$R$22,3,FALSE)</f>
        <v>388791.53664954373</v>
      </c>
    </row>
    <row r="590" spans="1:13" ht="16" thickBot="1" x14ac:dyDescent="0.25">
      <c r="A590" s="7">
        <v>2</v>
      </c>
      <c r="B590">
        <f>IF(ISBLANK(G590),"",VLOOKUP(H590,code!B:C,2,FALSE))</f>
        <v>9</v>
      </c>
      <c r="C590">
        <f t="shared" si="18"/>
        <v>1</v>
      </c>
      <c r="D590">
        <v>2017</v>
      </c>
      <c r="E590">
        <v>209542</v>
      </c>
      <c r="F590" t="s">
        <v>192</v>
      </c>
      <c r="G590" t="s">
        <v>285</v>
      </c>
      <c r="H590" t="s">
        <v>17</v>
      </c>
      <c r="I590">
        <v>6892</v>
      </c>
      <c r="J590">
        <f>I590/VLOOKUP($D590,CPI!$P$16:$R$22,3,FALSE)</f>
        <v>8511.7541298090109</v>
      </c>
      <c r="K590">
        <f t="shared" si="19"/>
        <v>0</v>
      </c>
      <c r="L590" s="3" cm="1">
        <f t="array" ref="L590">IF($C590=0,INDEX('24&amp;25'!$L:$L,MATCH($D590&amp;$B590&amp;$E590,'24&amp;25'!$B:$B&amp;'24&amp;25'!$A:$A&amp;'24&amp;25'!$C:$C,0)),INDEX('24&amp;25'!$M:$M,MATCH($D590&amp;$B590&amp;$E590,'24&amp;25'!$B:$B&amp;'24&amp;25'!$A:$A&amp;'24&amp;25'!$C:$C,0)))</f>
        <v>1617</v>
      </c>
      <c r="M590">
        <f>L590/VLOOKUP($D590,CPI!$P$16:$R$22,3,FALSE)</f>
        <v>1997.0264695155499</v>
      </c>
    </row>
    <row r="591" spans="1:13" ht="16" thickBot="1" x14ac:dyDescent="0.25">
      <c r="A591" s="7">
        <v>2</v>
      </c>
      <c r="B591">
        <f>IF(ISBLANK(G591),"",VLOOKUP(H591,code!B:C,2,FALSE))</f>
        <v>10</v>
      </c>
      <c r="C591">
        <f t="shared" si="18"/>
        <v>1</v>
      </c>
      <c r="D591">
        <v>2017</v>
      </c>
      <c r="E591">
        <v>209542</v>
      </c>
      <c r="F591" t="s">
        <v>192</v>
      </c>
      <c r="G591" t="s">
        <v>285</v>
      </c>
      <c r="H591" t="s">
        <v>18</v>
      </c>
      <c r="I591">
        <v>96808</v>
      </c>
      <c r="J591">
        <f>I591/VLOOKUP($D591,CPI!$P$16:$R$22,3,FALSE)</f>
        <v>119559.76404505959</v>
      </c>
      <c r="K591">
        <f t="shared" si="19"/>
        <v>0</v>
      </c>
      <c r="L591" s="3" cm="1">
        <f t="array" ref="L591">IF($C591=0,INDEX('24&amp;25'!$L:$L,MATCH($D591&amp;$B591&amp;$E591,'24&amp;25'!$B:$B&amp;'24&amp;25'!$A:$A&amp;'24&amp;25'!$C:$C,0)),INDEX('24&amp;25'!$M:$M,MATCH($D591&amp;$B591&amp;$E591,'24&amp;25'!$B:$B&amp;'24&amp;25'!$A:$A&amp;'24&amp;25'!$C:$C,0)))</f>
        <v>38501</v>
      </c>
      <c r="M591">
        <f>L591/VLOOKUP($D591,CPI!$P$16:$R$22,3,FALSE)</f>
        <v>47549.484293641428</v>
      </c>
    </row>
    <row r="592" spans="1:13" ht="16" thickBot="1" x14ac:dyDescent="0.25">
      <c r="A592" s="7">
        <v>2</v>
      </c>
      <c r="B592">
        <f>IF(ISBLANK(G592),"",VLOOKUP(H592,code!B:C,2,FALSE))</f>
        <v>14</v>
      </c>
      <c r="C592">
        <f t="shared" si="18"/>
        <v>1</v>
      </c>
      <c r="D592">
        <v>2017</v>
      </c>
      <c r="E592">
        <v>209542</v>
      </c>
      <c r="F592" t="s">
        <v>192</v>
      </c>
      <c r="G592" t="s">
        <v>285</v>
      </c>
      <c r="H592" t="s">
        <v>22</v>
      </c>
      <c r="I592">
        <v>17502</v>
      </c>
      <c r="J592">
        <f>I592/VLOOKUP($D592,CPI!$P$16:$R$22,3,FALSE)</f>
        <v>21615.310618095951</v>
      </c>
      <c r="K592">
        <f t="shared" si="19"/>
        <v>0</v>
      </c>
      <c r="L592" s="3" cm="1">
        <f t="array" ref="L592">IF($C592=0,INDEX('24&amp;25'!$L:$L,MATCH($D592&amp;$B592&amp;$E592,'24&amp;25'!$B:$B&amp;'24&amp;25'!$A:$A&amp;'24&amp;25'!$C:$C,0)),INDEX('24&amp;25'!$M:$M,MATCH($D592&amp;$B592&amp;$E592,'24&amp;25'!$B:$B&amp;'24&amp;25'!$A:$A&amp;'24&amp;25'!$C:$C,0)))</f>
        <v>95871</v>
      </c>
      <c r="M592">
        <f>L592/VLOOKUP($D592,CPI!$P$16:$R$22,3,FALSE)</f>
        <v>118402.55080947762</v>
      </c>
    </row>
    <row r="593" spans="1:13" ht="16" thickBot="1" x14ac:dyDescent="0.25">
      <c r="A593" s="7">
        <v>2</v>
      </c>
      <c r="B593">
        <f>IF(ISBLANK(G593),"",VLOOKUP(H593,code!B:C,2,FALSE))</f>
        <v>17</v>
      </c>
      <c r="C593">
        <f t="shared" si="18"/>
        <v>1</v>
      </c>
      <c r="D593">
        <v>2017</v>
      </c>
      <c r="E593">
        <v>209542</v>
      </c>
      <c r="F593" t="s">
        <v>192</v>
      </c>
      <c r="G593" t="s">
        <v>285</v>
      </c>
      <c r="H593" t="s">
        <v>25</v>
      </c>
      <c r="I593">
        <v>5588</v>
      </c>
      <c r="J593">
        <f>I593/VLOOKUP($D593,CPI!$P$16:$R$22,3,FALSE)</f>
        <v>6901.288751795234</v>
      </c>
      <c r="K593">
        <f t="shared" si="19"/>
        <v>0</v>
      </c>
      <c r="L593" s="3" cm="1">
        <f t="array" ref="L593">IF($C593=0,INDEX('24&amp;25'!$L:$L,MATCH($D593&amp;$B593&amp;$E593,'24&amp;25'!$B:$B&amp;'24&amp;25'!$A:$A&amp;'24&amp;25'!$C:$C,0)),INDEX('24&amp;25'!$M:$M,MATCH($D593&amp;$B593&amp;$E593,'24&amp;25'!$B:$B&amp;'24&amp;25'!$A:$A&amp;'24&amp;25'!$C:$C,0)))</f>
        <v>0</v>
      </c>
      <c r="M593">
        <f>L593/VLOOKUP($D593,CPI!$P$16:$R$22,3,FALSE)</f>
        <v>0</v>
      </c>
    </row>
    <row r="594" spans="1:13" ht="16" thickBot="1" x14ac:dyDescent="0.25">
      <c r="A594" s="7">
        <v>2</v>
      </c>
      <c r="B594">
        <f>IF(ISBLANK(G594),"",VLOOKUP(H594,code!B:C,2,FALSE))</f>
        <v>18</v>
      </c>
      <c r="C594">
        <f t="shared" si="18"/>
        <v>1</v>
      </c>
      <c r="D594">
        <v>2017</v>
      </c>
      <c r="E594">
        <v>209542</v>
      </c>
      <c r="F594" t="s">
        <v>192</v>
      </c>
      <c r="G594" t="s">
        <v>285</v>
      </c>
      <c r="H594" t="s">
        <v>26</v>
      </c>
      <c r="I594">
        <v>2638</v>
      </c>
      <c r="J594">
        <f>I594/VLOOKUP($D594,CPI!$P$16:$R$22,3,FALSE)</f>
        <v>3257.9813398775641</v>
      </c>
      <c r="K594">
        <f t="shared" si="19"/>
        <v>0</v>
      </c>
      <c r="L594" s="3" cm="1">
        <f t="array" ref="L594">IF($C594=0,INDEX('24&amp;25'!$L:$L,MATCH($D594&amp;$B594&amp;$E594,'24&amp;25'!$B:$B&amp;'24&amp;25'!$A:$A&amp;'24&amp;25'!$C:$C,0)),INDEX('24&amp;25'!$M:$M,MATCH($D594&amp;$B594&amp;$E594,'24&amp;25'!$B:$B&amp;'24&amp;25'!$A:$A&amp;'24&amp;25'!$C:$C,0)))</f>
        <v>100237</v>
      </c>
      <c r="M594">
        <f>L594/VLOOKUP($D594,CPI!$P$16:$R$22,3,FALSE)</f>
        <v>123794.64577911576</v>
      </c>
    </row>
    <row r="595" spans="1:13" ht="16" thickBot="1" x14ac:dyDescent="0.25">
      <c r="A595" s="7">
        <v>2</v>
      </c>
      <c r="B595">
        <f>IF(ISBLANK(G595),"",VLOOKUP(H595,code!B:C,2,FALSE))</f>
        <v>19</v>
      </c>
      <c r="C595">
        <f t="shared" si="18"/>
        <v>1</v>
      </c>
      <c r="D595">
        <v>2017</v>
      </c>
      <c r="E595">
        <v>209542</v>
      </c>
      <c r="F595" t="s">
        <v>192</v>
      </c>
      <c r="G595" t="s">
        <v>285</v>
      </c>
      <c r="H595" t="s">
        <v>27</v>
      </c>
      <c r="I595">
        <v>6394</v>
      </c>
      <c r="J595">
        <f>I595/VLOOKUP($D595,CPI!$P$16:$R$22,3,FALSE)</f>
        <v>7896.7144378988414</v>
      </c>
      <c r="K595">
        <f t="shared" si="19"/>
        <v>0</v>
      </c>
      <c r="L595" s="3" cm="1">
        <f t="array" ref="L595">IF($C595=0,INDEX('24&amp;25'!$L:$L,MATCH($D595&amp;$B595&amp;$E595,'24&amp;25'!$B:$B&amp;'24&amp;25'!$A:$A&amp;'24&amp;25'!$C:$C,0)),INDEX('24&amp;25'!$M:$M,MATCH($D595&amp;$B595&amp;$E595,'24&amp;25'!$B:$B&amp;'24&amp;25'!$A:$A&amp;'24&amp;25'!$C:$C,0)))</f>
        <v>0</v>
      </c>
      <c r="M595">
        <f>L595/VLOOKUP($D595,CPI!$P$16:$R$22,3,FALSE)</f>
        <v>0</v>
      </c>
    </row>
    <row r="596" spans="1:13" ht="16" thickBot="1" x14ac:dyDescent="0.25">
      <c r="A596" s="7">
        <v>2</v>
      </c>
      <c r="B596">
        <f>IF(ISBLANK(G596),"",VLOOKUP(H596,code!B:C,2,FALSE))</f>
        <v>21</v>
      </c>
      <c r="C596">
        <f t="shared" si="18"/>
        <v>1</v>
      </c>
      <c r="D596">
        <v>2017</v>
      </c>
      <c r="E596">
        <v>209542</v>
      </c>
      <c r="F596" t="s">
        <v>192</v>
      </c>
      <c r="G596" t="s">
        <v>285</v>
      </c>
      <c r="H596" t="s">
        <v>30</v>
      </c>
      <c r="I596">
        <v>18328</v>
      </c>
      <c r="J596">
        <f>I596/VLOOKUP($D596,CPI!$P$16:$R$22,3,FALSE)</f>
        <v>22635.436693432901</v>
      </c>
      <c r="K596">
        <f t="shared" si="19"/>
        <v>0</v>
      </c>
      <c r="L596" s="3" cm="1">
        <f t="array" ref="L596">IF($C596=0,INDEX('24&amp;25'!$L:$L,MATCH($D596&amp;$B596&amp;$E596,'24&amp;25'!$B:$B&amp;'24&amp;25'!$A:$A&amp;'24&amp;25'!$C:$C,0)),INDEX('24&amp;25'!$M:$M,MATCH($D596&amp;$B596&amp;$E596,'24&amp;25'!$B:$B&amp;'24&amp;25'!$A:$A&amp;'24&amp;25'!$C:$C,0)))</f>
        <v>49661</v>
      </c>
      <c r="M596">
        <f>L596/VLOOKUP($D596,CPI!$P$16:$R$22,3,FALSE)</f>
        <v>61332.301485845222</v>
      </c>
    </row>
    <row r="597" spans="1:13" ht="16" thickBot="1" x14ac:dyDescent="0.25">
      <c r="A597" s="7">
        <v>2</v>
      </c>
      <c r="B597">
        <f>IF(ISBLANK(G597),"",VLOOKUP(H597,code!B:C,2,FALSE))</f>
        <v>23</v>
      </c>
      <c r="C597">
        <f t="shared" si="18"/>
        <v>1</v>
      </c>
      <c r="D597">
        <v>2017</v>
      </c>
      <c r="E597">
        <v>209542</v>
      </c>
      <c r="F597" t="s">
        <v>192</v>
      </c>
      <c r="G597" t="s">
        <v>285</v>
      </c>
      <c r="H597" t="s">
        <v>33</v>
      </c>
      <c r="I597">
        <v>47910</v>
      </c>
      <c r="J597">
        <f>I597/VLOOKUP($D597,CPI!$P$16:$R$22,3,FALSE)</f>
        <v>59169.782408466293</v>
      </c>
      <c r="K597">
        <f t="shared" si="19"/>
        <v>0</v>
      </c>
      <c r="L597" s="3" cm="1">
        <f t="array" ref="L597">IF($C597=0,INDEX('24&amp;25'!$L:$L,MATCH($D597&amp;$B597&amp;$E597,'24&amp;25'!$B:$B&amp;'24&amp;25'!$A:$A&amp;'24&amp;25'!$C:$C,0)),INDEX('24&amp;25'!$M:$M,MATCH($D597&amp;$B597&amp;$E597,'24&amp;25'!$B:$B&amp;'24&amp;25'!$A:$A&amp;'24&amp;25'!$C:$C,0)))</f>
        <v>16007</v>
      </c>
      <c r="M597">
        <f>L597/VLOOKUP($D597,CPI!$P$16:$R$22,3,FALSE)</f>
        <v>19768.956522903776</v>
      </c>
    </row>
    <row r="598" spans="1:13" ht="16" thickBot="1" x14ac:dyDescent="0.25">
      <c r="A598" s="7">
        <v>2</v>
      </c>
      <c r="B598">
        <f>IF(ISBLANK(G598),"",VLOOKUP(H598,code!B:C,2,FALSE))</f>
        <v>1</v>
      </c>
      <c r="C598">
        <f t="shared" si="18"/>
        <v>0</v>
      </c>
      <c r="D598">
        <v>2018</v>
      </c>
      <c r="E598">
        <v>209542</v>
      </c>
      <c r="F598" t="s">
        <v>192</v>
      </c>
      <c r="G598" t="s">
        <v>284</v>
      </c>
      <c r="H598" t="s">
        <v>9</v>
      </c>
      <c r="I598">
        <v>1978179</v>
      </c>
      <c r="J598">
        <f>I598/VLOOKUP($D598,CPI!$P$16:$R$22,3,FALSE)</f>
        <v>2389235.9636011547</v>
      </c>
      <c r="K598">
        <f t="shared" si="19"/>
        <v>0</v>
      </c>
      <c r="L598" s="3" cm="1">
        <f t="array" ref="L598">IF($C598=0,INDEX('24&amp;25'!$L:$L,MATCH($D598&amp;$B598&amp;$E598,'24&amp;25'!$B:$B&amp;'24&amp;25'!$A:$A&amp;'24&amp;25'!$C:$C,0)),INDEX('24&amp;25'!$M:$M,MATCH($D598&amp;$B598&amp;$E598,'24&amp;25'!$B:$B&amp;'24&amp;25'!$A:$A&amp;'24&amp;25'!$C:$C,0)))</f>
        <v>135951</v>
      </c>
      <c r="M598">
        <f>L598/VLOOKUP($D598,CPI!$P$16:$R$22,3,FALSE)</f>
        <v>164201.02452181556</v>
      </c>
    </row>
    <row r="599" spans="1:13" ht="16" thickBot="1" x14ac:dyDescent="0.25">
      <c r="A599" s="7">
        <v>2</v>
      </c>
      <c r="B599">
        <f>IF(ISBLANK(G599),"",VLOOKUP(H599,code!B:C,2,FALSE))</f>
        <v>2</v>
      </c>
      <c r="C599">
        <f t="shared" si="18"/>
        <v>0</v>
      </c>
      <c r="D599">
        <v>2018</v>
      </c>
      <c r="E599">
        <v>209542</v>
      </c>
      <c r="F599" t="s">
        <v>192</v>
      </c>
      <c r="G599" t="s">
        <v>284</v>
      </c>
      <c r="H599" t="s">
        <v>10</v>
      </c>
      <c r="I599">
        <v>1766694</v>
      </c>
      <c r="J599">
        <f>I599/VLOOKUP($D599,CPI!$P$16:$R$22,3,FALSE)</f>
        <v>2133805.3035030593</v>
      </c>
      <c r="K599">
        <f t="shared" si="19"/>
        <v>0</v>
      </c>
      <c r="L599" s="3" cm="1">
        <f t="array" ref="L599">IF($C599=0,INDEX('24&amp;25'!$L:$L,MATCH($D599&amp;$B599&amp;$E599,'24&amp;25'!$B:$B&amp;'24&amp;25'!$A:$A&amp;'24&amp;25'!$C:$C,0)),INDEX('24&amp;25'!$M:$M,MATCH($D599&amp;$B599&amp;$E599,'24&amp;25'!$B:$B&amp;'24&amp;25'!$A:$A&amp;'24&amp;25'!$C:$C,0)))</f>
        <v>223268</v>
      </c>
      <c r="M599">
        <f>L599/VLOOKUP($D599,CPI!$P$16:$R$22,3,FALSE)</f>
        <v>269662.11607812165</v>
      </c>
    </row>
    <row r="600" spans="1:13" ht="16" thickBot="1" x14ac:dyDescent="0.25">
      <c r="A600" s="7">
        <v>2</v>
      </c>
      <c r="B600">
        <f>IF(ISBLANK(G600),"",VLOOKUP(H600,code!B:C,2,FALSE))</f>
        <v>8</v>
      </c>
      <c r="C600">
        <f t="shared" si="18"/>
        <v>0</v>
      </c>
      <c r="D600">
        <v>2018</v>
      </c>
      <c r="E600">
        <v>209542</v>
      </c>
      <c r="F600" t="s">
        <v>192</v>
      </c>
      <c r="G600" t="s">
        <v>284</v>
      </c>
      <c r="H600" t="s">
        <v>16</v>
      </c>
      <c r="I600">
        <v>8584076</v>
      </c>
      <c r="J600">
        <f>I600/VLOOKUP($D600,CPI!$P$16:$R$22,3,FALSE)</f>
        <v>10367809.532648737</v>
      </c>
      <c r="K600">
        <f t="shared" si="19"/>
        <v>0</v>
      </c>
      <c r="L600" s="3" cm="1">
        <f t="array" ref="L600">IF($C600=0,INDEX('24&amp;25'!$L:$L,MATCH($D600&amp;$B600&amp;$E600,'24&amp;25'!$B:$B&amp;'24&amp;25'!$A:$A&amp;'24&amp;25'!$C:$C,0)),INDEX('24&amp;25'!$M:$M,MATCH($D600&amp;$B600&amp;$E600,'24&amp;25'!$B:$B&amp;'24&amp;25'!$A:$A&amp;'24&amp;25'!$C:$C,0)))</f>
        <v>1297776</v>
      </c>
      <c r="M600">
        <f>L600/VLOOKUP($D600,CPI!$P$16:$R$22,3,FALSE)</f>
        <v>1567448.1894198917</v>
      </c>
    </row>
    <row r="601" spans="1:13" ht="16" thickBot="1" x14ac:dyDescent="0.25">
      <c r="A601" s="7">
        <v>2</v>
      </c>
      <c r="B601">
        <f>IF(ISBLANK(G601),"",VLOOKUP(H601,code!B:C,2,FALSE))</f>
        <v>9</v>
      </c>
      <c r="C601">
        <f t="shared" si="18"/>
        <v>0</v>
      </c>
      <c r="D601">
        <v>2018</v>
      </c>
      <c r="E601">
        <v>209542</v>
      </c>
      <c r="F601" t="s">
        <v>192</v>
      </c>
      <c r="G601" t="s">
        <v>284</v>
      </c>
      <c r="H601" t="s">
        <v>17</v>
      </c>
      <c r="I601">
        <v>44014</v>
      </c>
      <c r="J601">
        <f>I601/VLOOKUP($D601,CPI!$P$16:$R$22,3,FALSE)</f>
        <v>53159.917126782369</v>
      </c>
      <c r="K601">
        <f t="shared" si="19"/>
        <v>0</v>
      </c>
      <c r="L601" s="3" cm="1">
        <f t="array" ref="L601">IF($C601=0,INDEX('24&amp;25'!$L:$L,MATCH($D601&amp;$B601&amp;$E601,'24&amp;25'!$B:$B&amp;'24&amp;25'!$A:$A&amp;'24&amp;25'!$C:$C,0)),INDEX('24&amp;25'!$M:$M,MATCH($D601&amp;$B601&amp;$E601,'24&amp;25'!$B:$B&amp;'24&amp;25'!$A:$A&amp;'24&amp;25'!$C:$C,0)))</f>
        <v>0</v>
      </c>
      <c r="M601">
        <f>L601/VLOOKUP($D601,CPI!$P$16:$R$22,3,FALSE)</f>
        <v>0</v>
      </c>
    </row>
    <row r="602" spans="1:13" ht="16" thickBot="1" x14ac:dyDescent="0.25">
      <c r="A602" s="7">
        <v>2</v>
      </c>
      <c r="B602">
        <f>IF(ISBLANK(G602),"",VLOOKUP(H602,code!B:C,2,FALSE))</f>
        <v>17</v>
      </c>
      <c r="C602">
        <f t="shared" si="18"/>
        <v>0</v>
      </c>
      <c r="D602">
        <v>2018</v>
      </c>
      <c r="E602">
        <v>209542</v>
      </c>
      <c r="F602" t="s">
        <v>192</v>
      </c>
      <c r="G602" t="s">
        <v>284</v>
      </c>
      <c r="H602" t="s">
        <v>25</v>
      </c>
      <c r="I602">
        <v>7439</v>
      </c>
      <c r="J602">
        <f>I602/VLOOKUP($D602,CPI!$P$16:$R$22,3,FALSE)</f>
        <v>8984.7917368595008</v>
      </c>
      <c r="K602">
        <f t="shared" si="19"/>
        <v>0</v>
      </c>
      <c r="L602" s="3" cm="1">
        <f t="array" ref="L602">IF($C602=0,INDEX('24&amp;25'!$L:$L,MATCH($D602&amp;$B602&amp;$E602,'24&amp;25'!$B:$B&amp;'24&amp;25'!$A:$A&amp;'24&amp;25'!$C:$C,0)),INDEX('24&amp;25'!$M:$M,MATCH($D602&amp;$B602&amp;$E602,'24&amp;25'!$B:$B&amp;'24&amp;25'!$A:$A&amp;'24&amp;25'!$C:$C,0)))</f>
        <v>0</v>
      </c>
      <c r="M602">
        <f>L602/VLOOKUP($D602,CPI!$P$16:$R$22,3,FALSE)</f>
        <v>0</v>
      </c>
    </row>
    <row r="603" spans="1:13" ht="16" thickBot="1" x14ac:dyDescent="0.25">
      <c r="A603" s="7">
        <v>2</v>
      </c>
      <c r="B603">
        <f>IF(ISBLANK(G603),"",VLOOKUP(H603,code!B:C,2,FALSE))</f>
        <v>25</v>
      </c>
      <c r="C603">
        <f t="shared" si="18"/>
        <v>0</v>
      </c>
      <c r="D603">
        <v>2018</v>
      </c>
      <c r="E603">
        <v>209542</v>
      </c>
      <c r="F603" t="s">
        <v>192</v>
      </c>
      <c r="G603" t="s">
        <v>284</v>
      </c>
      <c r="H603" t="s">
        <v>35</v>
      </c>
      <c r="I603">
        <v>96332</v>
      </c>
      <c r="J603">
        <f>I603/VLOOKUP($D603,CPI!$P$16:$R$22,3,FALSE)</f>
        <v>116349.36921564046</v>
      </c>
      <c r="K603">
        <f t="shared" si="19"/>
        <v>0</v>
      </c>
      <c r="L603" s="3" cm="1">
        <f t="array" ref="L603">IF($C603=0,INDEX('24&amp;25'!$L:$L,MATCH($D603&amp;$B603&amp;$E603,'24&amp;25'!$B:$B&amp;'24&amp;25'!$A:$A&amp;'24&amp;25'!$C:$C,0)),INDEX('24&amp;25'!$M:$M,MATCH($D603&amp;$B603&amp;$E603,'24&amp;25'!$B:$B&amp;'24&amp;25'!$A:$A&amp;'24&amp;25'!$C:$C,0)))</f>
        <v>0</v>
      </c>
      <c r="M603">
        <f>L603/VLOOKUP($D603,CPI!$P$16:$R$22,3,FALSE)</f>
        <v>0</v>
      </c>
    </row>
    <row r="604" spans="1:13" ht="16" thickBot="1" x14ac:dyDescent="0.25">
      <c r="A604" s="7">
        <v>2</v>
      </c>
      <c r="B604">
        <f>IF(ISBLANK(G604),"",VLOOKUP(H604,code!B:C,2,FALSE))</f>
        <v>2</v>
      </c>
      <c r="C604">
        <f t="shared" si="18"/>
        <v>1</v>
      </c>
      <c r="D604">
        <v>2018</v>
      </c>
      <c r="E604">
        <v>209542</v>
      </c>
      <c r="F604" t="s">
        <v>192</v>
      </c>
      <c r="G604" t="s">
        <v>285</v>
      </c>
      <c r="H604" t="s">
        <v>10</v>
      </c>
      <c r="I604">
        <v>787444</v>
      </c>
      <c r="J604">
        <f>I604/VLOOKUP($D604,CPI!$P$16:$R$22,3,FALSE)</f>
        <v>951071.42686377105</v>
      </c>
      <c r="K604">
        <f t="shared" si="19"/>
        <v>0</v>
      </c>
      <c r="L604" s="3" cm="1">
        <f t="array" ref="L604">IF($C604=0,INDEX('24&amp;25'!$L:$L,MATCH($D604&amp;$B604&amp;$E604,'24&amp;25'!$B:$B&amp;'24&amp;25'!$A:$A&amp;'24&amp;25'!$C:$C,0)),INDEX('24&amp;25'!$M:$M,MATCH($D604&amp;$B604&amp;$E604,'24&amp;25'!$B:$B&amp;'24&amp;25'!$A:$A&amp;'24&amp;25'!$C:$C,0)))</f>
        <v>375868</v>
      </c>
      <c r="M604">
        <f>L604/VLOOKUP($D604,CPI!$P$16:$R$22,3,FALSE)</f>
        <v>453971.73014516826</v>
      </c>
    </row>
    <row r="605" spans="1:13" ht="16" thickBot="1" x14ac:dyDescent="0.25">
      <c r="A605" s="7">
        <v>2</v>
      </c>
      <c r="B605">
        <f>IF(ISBLANK(G605),"",VLOOKUP(H605,code!B:C,2,FALSE))</f>
        <v>9</v>
      </c>
      <c r="C605">
        <f t="shared" si="18"/>
        <v>1</v>
      </c>
      <c r="D605">
        <v>2018</v>
      </c>
      <c r="E605">
        <v>209542</v>
      </c>
      <c r="F605" t="s">
        <v>192</v>
      </c>
      <c r="G605" t="s">
        <v>285</v>
      </c>
      <c r="H605" t="s">
        <v>17</v>
      </c>
      <c r="I605">
        <v>2416</v>
      </c>
      <c r="J605">
        <f>I605/VLOOKUP($D605,CPI!$P$16:$R$22,3,FALSE)</f>
        <v>2918.0342567888902</v>
      </c>
      <c r="K605">
        <f t="shared" si="19"/>
        <v>0</v>
      </c>
      <c r="L605" s="3" cm="1">
        <f t="array" ref="L605">IF($C605=0,INDEX('24&amp;25'!$L:$L,MATCH($D605&amp;$B605&amp;$E605,'24&amp;25'!$B:$B&amp;'24&amp;25'!$A:$A&amp;'24&amp;25'!$C:$C,0)),INDEX('24&amp;25'!$M:$M,MATCH($D605&amp;$B605&amp;$E605,'24&amp;25'!$B:$B&amp;'24&amp;25'!$A:$A&amp;'24&amp;25'!$C:$C,0)))</f>
        <v>0</v>
      </c>
      <c r="M605">
        <f>L605/VLOOKUP($D605,CPI!$P$16:$R$22,3,FALSE)</f>
        <v>0</v>
      </c>
    </row>
    <row r="606" spans="1:13" ht="16" thickBot="1" x14ac:dyDescent="0.25">
      <c r="A606" s="7">
        <v>2</v>
      </c>
      <c r="B606">
        <f>IF(ISBLANK(G606),"",VLOOKUP(H606,code!B:C,2,FALSE))</f>
        <v>10</v>
      </c>
      <c r="C606">
        <f t="shared" si="18"/>
        <v>1</v>
      </c>
      <c r="D606">
        <v>2018</v>
      </c>
      <c r="E606">
        <v>209542</v>
      </c>
      <c r="F606" t="s">
        <v>192</v>
      </c>
      <c r="G606" t="s">
        <v>285</v>
      </c>
      <c r="H606" t="s">
        <v>18</v>
      </c>
      <c r="I606">
        <v>87202</v>
      </c>
      <c r="J606">
        <f>I606/VLOOKUP($D606,CPI!$P$16:$R$22,3,FALSE)</f>
        <v>105322.19505815595</v>
      </c>
      <c r="K606">
        <f t="shared" si="19"/>
        <v>0</v>
      </c>
      <c r="L606" s="3" cm="1">
        <f t="array" ref="L606">IF($C606=0,INDEX('24&amp;25'!$L:$L,MATCH($D606&amp;$B606&amp;$E606,'24&amp;25'!$B:$B&amp;'24&amp;25'!$A:$A&amp;'24&amp;25'!$C:$C,0)),INDEX('24&amp;25'!$M:$M,MATCH($D606&amp;$B606&amp;$E606,'24&amp;25'!$B:$B&amp;'24&amp;25'!$A:$A&amp;'24&amp;25'!$C:$C,0)))</f>
        <v>75670</v>
      </c>
      <c r="M606">
        <f>L606/VLOOKUP($D606,CPI!$P$16:$R$22,3,FALSE)</f>
        <v>91393.895782787789</v>
      </c>
    </row>
    <row r="607" spans="1:13" ht="16" thickBot="1" x14ac:dyDescent="0.25">
      <c r="A607" s="7">
        <v>2</v>
      </c>
      <c r="B607">
        <f>IF(ISBLANK(G607),"",VLOOKUP(H607,code!B:C,2,FALSE))</f>
        <v>14</v>
      </c>
      <c r="C607">
        <f t="shared" si="18"/>
        <v>1</v>
      </c>
      <c r="D607">
        <v>2018</v>
      </c>
      <c r="E607">
        <v>209542</v>
      </c>
      <c r="F607" t="s">
        <v>192</v>
      </c>
      <c r="G607" t="s">
        <v>285</v>
      </c>
      <c r="H607" t="s">
        <v>22</v>
      </c>
      <c r="I607">
        <v>73137</v>
      </c>
      <c r="J607">
        <f>I607/VLOOKUP($D607,CPI!$P$16:$R$22,3,FALSE)</f>
        <v>88334.549436576592</v>
      </c>
      <c r="K607">
        <f t="shared" si="19"/>
        <v>0</v>
      </c>
      <c r="L607" s="3" cm="1">
        <f t="array" ref="L607">IF($C607=0,INDEX('24&amp;25'!$L:$L,MATCH($D607&amp;$B607&amp;$E607,'24&amp;25'!$B:$B&amp;'24&amp;25'!$A:$A&amp;'24&amp;25'!$C:$C,0)),INDEX('24&amp;25'!$M:$M,MATCH($D607&amp;$B607&amp;$E607,'24&amp;25'!$B:$B&amp;'24&amp;25'!$A:$A&amp;'24&amp;25'!$C:$C,0)))</f>
        <v>109815</v>
      </c>
      <c r="M607">
        <f>L607/VLOOKUP($D607,CPI!$P$16:$R$22,3,FALSE)</f>
        <v>132634.07777701653</v>
      </c>
    </row>
    <row r="608" spans="1:13" ht="16" thickBot="1" x14ac:dyDescent="0.25">
      <c r="A608" s="7">
        <v>2</v>
      </c>
      <c r="B608">
        <f>IF(ISBLANK(G608),"",VLOOKUP(H608,code!B:C,2,FALSE))</f>
        <v>17</v>
      </c>
      <c r="C608">
        <f t="shared" si="18"/>
        <v>1</v>
      </c>
      <c r="D608">
        <v>2018</v>
      </c>
      <c r="E608">
        <v>209542</v>
      </c>
      <c r="F608" t="s">
        <v>192</v>
      </c>
      <c r="G608" t="s">
        <v>285</v>
      </c>
      <c r="H608" t="s">
        <v>25</v>
      </c>
      <c r="I608">
        <v>3509</v>
      </c>
      <c r="J608">
        <f>I608/VLOOKUP($D608,CPI!$P$16:$R$22,3,FALSE)</f>
        <v>4238.1548870332017</v>
      </c>
      <c r="K608">
        <f t="shared" si="19"/>
        <v>0</v>
      </c>
      <c r="L608" s="3" cm="1">
        <f t="array" ref="L608">IF($C608=0,INDEX('24&amp;25'!$L:$L,MATCH($D608&amp;$B608&amp;$E608,'24&amp;25'!$B:$B&amp;'24&amp;25'!$A:$A&amp;'24&amp;25'!$C:$C,0)),INDEX('24&amp;25'!$M:$M,MATCH($D608&amp;$B608&amp;$E608,'24&amp;25'!$B:$B&amp;'24&amp;25'!$A:$A&amp;'24&amp;25'!$C:$C,0)))</f>
        <v>0</v>
      </c>
      <c r="M608">
        <f>L608/VLOOKUP($D608,CPI!$P$16:$R$22,3,FALSE)</f>
        <v>0</v>
      </c>
    </row>
    <row r="609" spans="1:13" ht="16" thickBot="1" x14ac:dyDescent="0.25">
      <c r="A609" s="7">
        <v>2</v>
      </c>
      <c r="B609">
        <f>IF(ISBLANK(G609),"",VLOOKUP(H609,code!B:C,2,FALSE))</f>
        <v>18</v>
      </c>
      <c r="C609">
        <f t="shared" si="18"/>
        <v>1</v>
      </c>
      <c r="D609">
        <v>2018</v>
      </c>
      <c r="E609">
        <v>209542</v>
      </c>
      <c r="F609" t="s">
        <v>192</v>
      </c>
      <c r="G609" t="s">
        <v>285</v>
      </c>
      <c r="H609" t="s">
        <v>26</v>
      </c>
      <c r="I609">
        <v>22643</v>
      </c>
      <c r="J609">
        <f>I609/VLOOKUP($D609,CPI!$P$16:$R$22,3,FALSE)</f>
        <v>27348.116587943226</v>
      </c>
      <c r="K609">
        <f t="shared" si="19"/>
        <v>0</v>
      </c>
      <c r="L609" s="3" cm="1">
        <f t="array" ref="L609">IF($C609=0,INDEX('24&amp;25'!$L:$L,MATCH($D609&amp;$B609&amp;$E609,'24&amp;25'!$B:$B&amp;'24&amp;25'!$A:$A&amp;'24&amp;25'!$C:$C,0)),INDEX('24&amp;25'!$M:$M,MATCH($D609&amp;$B609&amp;$E609,'24&amp;25'!$B:$B&amp;'24&amp;25'!$A:$A&amp;'24&amp;25'!$C:$C,0)))</f>
        <v>100096</v>
      </c>
      <c r="M609">
        <f>L609/VLOOKUP($D609,CPI!$P$16:$R$22,3,FALSE)</f>
        <v>120895.51198987613</v>
      </c>
    </row>
    <row r="610" spans="1:13" ht="16" thickBot="1" x14ac:dyDescent="0.25">
      <c r="A610" s="7">
        <v>2</v>
      </c>
      <c r="B610">
        <f>IF(ISBLANK(G610),"",VLOOKUP(H610,code!B:C,2,FALSE))</f>
        <v>19</v>
      </c>
      <c r="C610">
        <f t="shared" si="18"/>
        <v>1</v>
      </c>
      <c r="D610">
        <v>2018</v>
      </c>
      <c r="E610">
        <v>209542</v>
      </c>
      <c r="F610" t="s">
        <v>192</v>
      </c>
      <c r="G610" t="s">
        <v>285</v>
      </c>
      <c r="H610" t="s">
        <v>27</v>
      </c>
      <c r="I610">
        <v>4072</v>
      </c>
      <c r="J610">
        <f>I610/VLOOKUP($D610,CPI!$P$16:$R$22,3,FALSE)</f>
        <v>4918.1438301508115</v>
      </c>
      <c r="K610">
        <f t="shared" si="19"/>
        <v>0</v>
      </c>
      <c r="L610" s="3" cm="1">
        <f t="array" ref="L610">IF($C610=0,INDEX('24&amp;25'!$L:$L,MATCH($D610&amp;$B610&amp;$E610,'24&amp;25'!$B:$B&amp;'24&amp;25'!$A:$A&amp;'24&amp;25'!$C:$C,0)),INDEX('24&amp;25'!$M:$M,MATCH($D610&amp;$B610&amp;$E610,'24&amp;25'!$B:$B&amp;'24&amp;25'!$A:$A&amp;'24&amp;25'!$C:$C,0)))</f>
        <v>0</v>
      </c>
      <c r="M610">
        <f>L610/VLOOKUP($D610,CPI!$P$16:$R$22,3,FALSE)</f>
        <v>0</v>
      </c>
    </row>
    <row r="611" spans="1:13" ht="16" thickBot="1" x14ac:dyDescent="0.25">
      <c r="A611" s="7">
        <v>2</v>
      </c>
      <c r="B611">
        <f>IF(ISBLANK(G611),"",VLOOKUP(H611,code!B:C,2,FALSE))</f>
        <v>21</v>
      </c>
      <c r="C611">
        <f t="shared" si="18"/>
        <v>1</v>
      </c>
      <c r="D611">
        <v>2018</v>
      </c>
      <c r="E611">
        <v>209542</v>
      </c>
      <c r="F611" t="s">
        <v>192</v>
      </c>
      <c r="G611" t="s">
        <v>285</v>
      </c>
      <c r="H611" t="s">
        <v>30</v>
      </c>
      <c r="I611">
        <v>6699</v>
      </c>
      <c r="J611">
        <f>I611/VLOOKUP($D611,CPI!$P$16:$R$22,3,FALSE)</f>
        <v>8091.0229661542944</v>
      </c>
      <c r="K611">
        <f t="shared" si="19"/>
        <v>0</v>
      </c>
      <c r="L611" s="3" cm="1">
        <f t="array" ref="L611">IF($C611=0,INDEX('24&amp;25'!$L:$L,MATCH($D611&amp;$B611&amp;$E611,'24&amp;25'!$B:$B&amp;'24&amp;25'!$A:$A&amp;'24&amp;25'!$C:$C,0)),INDEX('24&amp;25'!$M:$M,MATCH($D611&amp;$B611&amp;$E611,'24&amp;25'!$B:$B&amp;'24&amp;25'!$A:$A&amp;'24&amp;25'!$C:$C,0)))</f>
        <v>0</v>
      </c>
      <c r="M611">
        <f>L611/VLOOKUP($D611,CPI!$P$16:$R$22,3,FALSE)</f>
        <v>0</v>
      </c>
    </row>
    <row r="612" spans="1:13" ht="16" thickBot="1" x14ac:dyDescent="0.25">
      <c r="A612" s="7">
        <v>2</v>
      </c>
      <c r="B612">
        <f>IF(ISBLANK(G612),"",VLOOKUP(H612,code!B:C,2,FALSE))</f>
        <v>23</v>
      </c>
      <c r="C612">
        <f t="shared" si="18"/>
        <v>1</v>
      </c>
      <c r="D612">
        <v>2018</v>
      </c>
      <c r="E612">
        <v>209542</v>
      </c>
      <c r="F612" t="s">
        <v>192</v>
      </c>
      <c r="G612" t="s">
        <v>285</v>
      </c>
      <c r="H612" t="s">
        <v>33</v>
      </c>
      <c r="I612">
        <v>50514</v>
      </c>
      <c r="J612">
        <f>I612/VLOOKUP($D612,CPI!$P$16:$R$22,3,FALSE)</f>
        <v>61010.588761355131</v>
      </c>
      <c r="K612">
        <f t="shared" si="19"/>
        <v>0</v>
      </c>
      <c r="L612" s="3" cm="1">
        <f t="array" ref="L612">IF($C612=0,INDEX('24&amp;25'!$L:$L,MATCH($D612&amp;$B612&amp;$E612,'24&amp;25'!$B:$B&amp;'24&amp;25'!$A:$A&amp;'24&amp;25'!$C:$C,0)),INDEX('24&amp;25'!$M:$M,MATCH($D612&amp;$B612&amp;$E612,'24&amp;25'!$B:$B&amp;'24&amp;25'!$A:$A&amp;'24&amp;25'!$C:$C,0)))</f>
        <v>74312</v>
      </c>
      <c r="M612">
        <f>L612/VLOOKUP($D612,CPI!$P$16:$R$22,3,FALSE)</f>
        <v>89753.709308980135</v>
      </c>
    </row>
    <row r="613" spans="1:13" ht="16" thickBot="1" x14ac:dyDescent="0.25">
      <c r="A613" s="7">
        <v>2</v>
      </c>
      <c r="B613">
        <f>IF(ISBLANK(G613),"",VLOOKUP(H613,code!B:C,2,FALSE))</f>
        <v>1</v>
      </c>
      <c r="C613">
        <f t="shared" si="18"/>
        <v>0</v>
      </c>
      <c r="D613">
        <v>2019</v>
      </c>
      <c r="E613">
        <v>209542</v>
      </c>
      <c r="F613" t="s">
        <v>192</v>
      </c>
      <c r="G613" t="s">
        <v>284</v>
      </c>
      <c r="H613" t="s">
        <v>9</v>
      </c>
      <c r="I613">
        <v>2174638</v>
      </c>
      <c r="J613">
        <f>I613/VLOOKUP($D613,CPI!$P$16:$R$22,3,FALSE)</f>
        <v>2573188.0448970166</v>
      </c>
      <c r="K613">
        <f t="shared" si="19"/>
        <v>0</v>
      </c>
      <c r="L613" s="3" cm="1">
        <f t="array" ref="L613">IF($C613=0,INDEX('24&amp;25'!$L:$L,MATCH($D613&amp;$B613&amp;$E613,'24&amp;25'!$B:$B&amp;'24&amp;25'!$A:$A&amp;'24&amp;25'!$C:$C,0)),INDEX('24&amp;25'!$M:$M,MATCH($D613&amp;$B613&amp;$E613,'24&amp;25'!$B:$B&amp;'24&amp;25'!$A:$A&amp;'24&amp;25'!$C:$C,0)))</f>
        <v>370039</v>
      </c>
      <c r="M613">
        <f>L613/VLOOKUP($D613,CPI!$P$16:$R$22,3,FALSE)</f>
        <v>437856.75176541891</v>
      </c>
    </row>
    <row r="614" spans="1:13" ht="16" thickBot="1" x14ac:dyDescent="0.25">
      <c r="A614" s="7">
        <v>2</v>
      </c>
      <c r="B614">
        <f>IF(ISBLANK(G614),"",VLOOKUP(H614,code!B:C,2,FALSE))</f>
        <v>2</v>
      </c>
      <c r="C614">
        <f t="shared" si="18"/>
        <v>0</v>
      </c>
      <c r="D614">
        <v>2019</v>
      </c>
      <c r="E614">
        <v>209542</v>
      </c>
      <c r="F614" t="s">
        <v>192</v>
      </c>
      <c r="G614" t="s">
        <v>284</v>
      </c>
      <c r="H614" t="s">
        <v>10</v>
      </c>
      <c r="I614">
        <v>1693778</v>
      </c>
      <c r="J614">
        <f>I614/VLOOKUP($D614,CPI!$P$16:$R$22,3,FALSE)</f>
        <v>2004199.9175539003</v>
      </c>
      <c r="K614">
        <f t="shared" si="19"/>
        <v>0</v>
      </c>
      <c r="L614" s="3" cm="1">
        <f t="array" ref="L614">IF($C614=0,INDEX('24&amp;25'!$L:$L,MATCH($D614&amp;$B614&amp;$E614,'24&amp;25'!$B:$B&amp;'24&amp;25'!$A:$A&amp;'24&amp;25'!$C:$C,0)),INDEX('24&amp;25'!$M:$M,MATCH($D614&amp;$B614&amp;$E614,'24&amp;25'!$B:$B&amp;'24&amp;25'!$A:$A&amp;'24&amp;25'!$C:$C,0)))</f>
        <v>249251</v>
      </c>
      <c r="M614">
        <f>L614/VLOOKUP($D614,CPI!$P$16:$R$22,3,FALSE)</f>
        <v>294931.70512914163</v>
      </c>
    </row>
    <row r="615" spans="1:13" ht="16" thickBot="1" x14ac:dyDescent="0.25">
      <c r="A615" s="7">
        <v>2</v>
      </c>
      <c r="B615">
        <f>IF(ISBLANK(G615),"",VLOOKUP(H615,code!B:C,2,FALSE))</f>
        <v>8</v>
      </c>
      <c r="C615">
        <f t="shared" si="18"/>
        <v>0</v>
      </c>
      <c r="D615">
        <v>2019</v>
      </c>
      <c r="E615">
        <v>209542</v>
      </c>
      <c r="F615" t="s">
        <v>192</v>
      </c>
      <c r="G615" t="s">
        <v>284</v>
      </c>
      <c r="H615" t="s">
        <v>16</v>
      </c>
      <c r="I615">
        <v>10271639</v>
      </c>
      <c r="J615">
        <f>I615/VLOOKUP($D615,CPI!$P$16:$R$22,3,FALSE)</f>
        <v>12154141.827880293</v>
      </c>
      <c r="K615">
        <f t="shared" si="19"/>
        <v>0</v>
      </c>
      <c r="L615" s="3" cm="1">
        <f t="array" ref="L615">IF($C615=0,INDEX('24&amp;25'!$L:$L,MATCH($D615&amp;$B615&amp;$E615,'24&amp;25'!$B:$B&amp;'24&amp;25'!$A:$A&amp;'24&amp;25'!$C:$C,0)),INDEX('24&amp;25'!$M:$M,MATCH($D615&amp;$B615&amp;$E615,'24&amp;25'!$B:$B&amp;'24&amp;25'!$A:$A&amp;'24&amp;25'!$C:$C,0)))</f>
        <v>1358478</v>
      </c>
      <c r="M615">
        <f>L615/VLOOKUP($D615,CPI!$P$16:$R$22,3,FALSE)</f>
        <v>1607448.8484316051</v>
      </c>
    </row>
    <row r="616" spans="1:13" ht="16" thickBot="1" x14ac:dyDescent="0.25">
      <c r="A616" s="7">
        <v>2</v>
      </c>
      <c r="B616">
        <f>IF(ISBLANK(G616),"",VLOOKUP(H616,code!B:C,2,FALSE))</f>
        <v>9</v>
      </c>
      <c r="C616">
        <f t="shared" si="18"/>
        <v>0</v>
      </c>
      <c r="D616">
        <v>2019</v>
      </c>
      <c r="E616">
        <v>209542</v>
      </c>
      <c r="F616" t="s">
        <v>192</v>
      </c>
      <c r="G616" t="s">
        <v>284</v>
      </c>
      <c r="H616" t="s">
        <v>17</v>
      </c>
      <c r="I616">
        <v>39751</v>
      </c>
      <c r="J616">
        <f>I616/VLOOKUP($D616,CPI!$P$16:$R$22,3,FALSE)</f>
        <v>47036.241421653307</v>
      </c>
      <c r="K616">
        <f t="shared" si="19"/>
        <v>0</v>
      </c>
      <c r="L616" s="3" cm="1">
        <f t="array" ref="L616">IF($C616=0,INDEX('24&amp;25'!$L:$L,MATCH($D616&amp;$B616&amp;$E616,'24&amp;25'!$B:$B&amp;'24&amp;25'!$A:$A&amp;'24&amp;25'!$C:$C,0)),INDEX('24&amp;25'!$M:$M,MATCH($D616&amp;$B616&amp;$E616,'24&amp;25'!$B:$B&amp;'24&amp;25'!$A:$A&amp;'24&amp;25'!$C:$C,0)))</f>
        <v>73987</v>
      </c>
      <c r="M616">
        <f>L616/VLOOKUP($D616,CPI!$P$16:$R$22,3,FALSE)</f>
        <v>87546.738297498508</v>
      </c>
    </row>
    <row r="617" spans="1:13" ht="16" thickBot="1" x14ac:dyDescent="0.25">
      <c r="A617" s="7">
        <v>2</v>
      </c>
      <c r="B617">
        <f>IF(ISBLANK(G617),"",VLOOKUP(H617,code!B:C,2,FALSE))</f>
        <v>17</v>
      </c>
      <c r="C617">
        <f t="shared" si="18"/>
        <v>0</v>
      </c>
      <c r="D617">
        <v>2019</v>
      </c>
      <c r="E617">
        <v>209542</v>
      </c>
      <c r="F617" t="s">
        <v>192</v>
      </c>
      <c r="G617" t="s">
        <v>284</v>
      </c>
      <c r="H617" t="s">
        <v>25</v>
      </c>
      <c r="I617">
        <v>59211</v>
      </c>
      <c r="J617">
        <f>I617/VLOOKUP($D617,CPI!$P$16:$R$22,3,FALSE)</f>
        <v>70062.712656725969</v>
      </c>
      <c r="K617">
        <f t="shared" si="19"/>
        <v>0</v>
      </c>
      <c r="L617" s="3" cm="1">
        <f t="array" ref="L617">IF($C617=0,INDEX('24&amp;25'!$L:$L,MATCH($D617&amp;$B617&amp;$E617,'24&amp;25'!$B:$B&amp;'24&amp;25'!$A:$A&amp;'24&amp;25'!$C:$C,0)),INDEX('24&amp;25'!$M:$M,MATCH($D617&amp;$B617&amp;$E617,'24&amp;25'!$B:$B&amp;'24&amp;25'!$A:$A&amp;'24&amp;25'!$C:$C,0)))</f>
        <v>0</v>
      </c>
      <c r="M617">
        <f>L617/VLOOKUP($D617,CPI!$P$16:$R$22,3,FALSE)</f>
        <v>0</v>
      </c>
    </row>
    <row r="618" spans="1:13" ht="16" thickBot="1" x14ac:dyDescent="0.25">
      <c r="A618" s="7">
        <v>2</v>
      </c>
      <c r="B618">
        <f>IF(ISBLANK(G618),"",VLOOKUP(H618,code!B:C,2,FALSE))</f>
        <v>25</v>
      </c>
      <c r="C618">
        <f t="shared" si="18"/>
        <v>0</v>
      </c>
      <c r="D618">
        <v>2019</v>
      </c>
      <c r="E618">
        <v>209542</v>
      </c>
      <c r="F618" t="s">
        <v>192</v>
      </c>
      <c r="G618" t="s">
        <v>284</v>
      </c>
      <c r="H618" t="s">
        <v>35</v>
      </c>
      <c r="I618">
        <v>99978</v>
      </c>
      <c r="J618">
        <f>I618/VLOOKUP($D618,CPI!$P$16:$R$22,3,FALSE)</f>
        <v>118301.15833196786</v>
      </c>
      <c r="K618">
        <f t="shared" si="19"/>
        <v>0</v>
      </c>
      <c r="L618" s="3" cm="1">
        <f t="array" ref="L618">IF($C618=0,INDEX('24&amp;25'!$L:$L,MATCH($D618&amp;$B618&amp;$E618,'24&amp;25'!$B:$B&amp;'24&amp;25'!$A:$A&amp;'24&amp;25'!$C:$C,0)),INDEX('24&amp;25'!$M:$M,MATCH($D618&amp;$B618&amp;$E618,'24&amp;25'!$B:$B&amp;'24&amp;25'!$A:$A&amp;'24&amp;25'!$C:$C,0)))</f>
        <v>36361</v>
      </c>
      <c r="M618">
        <f>L618/VLOOKUP($D618,CPI!$P$16:$R$22,3,FALSE)</f>
        <v>43024.949670014234</v>
      </c>
    </row>
    <row r="619" spans="1:13" ht="16" thickBot="1" x14ac:dyDescent="0.25">
      <c r="A619" s="7">
        <v>2</v>
      </c>
      <c r="B619">
        <f>IF(ISBLANK(G619),"",VLOOKUP(H619,code!B:C,2,FALSE))</f>
        <v>2</v>
      </c>
      <c r="C619">
        <f t="shared" si="18"/>
        <v>1</v>
      </c>
      <c r="D619">
        <v>2019</v>
      </c>
      <c r="E619">
        <v>209542</v>
      </c>
      <c r="F619" t="s">
        <v>192</v>
      </c>
      <c r="G619" t="s">
        <v>285</v>
      </c>
      <c r="H619" t="s">
        <v>10</v>
      </c>
      <c r="I619">
        <v>918745</v>
      </c>
      <c r="J619">
        <f>I619/VLOOKUP($D619,CPI!$P$16:$R$22,3,FALSE)</f>
        <v>1087125.1446488609</v>
      </c>
      <c r="K619">
        <f t="shared" si="19"/>
        <v>0</v>
      </c>
      <c r="L619" s="3" cm="1">
        <f t="array" ref="L619">IF($C619=0,INDEX('24&amp;25'!$L:$L,MATCH($D619&amp;$B619&amp;$E619,'24&amp;25'!$B:$B&amp;'24&amp;25'!$A:$A&amp;'24&amp;25'!$C:$C,0)),INDEX('24&amp;25'!$M:$M,MATCH($D619&amp;$B619&amp;$E619,'24&amp;25'!$B:$B&amp;'24&amp;25'!$A:$A&amp;'24&amp;25'!$C:$C,0)))</f>
        <v>396831</v>
      </c>
      <c r="M619">
        <f>L619/VLOOKUP($D619,CPI!$P$16:$R$22,3,FALSE)</f>
        <v>469558.97259430209</v>
      </c>
    </row>
    <row r="620" spans="1:13" ht="16" thickBot="1" x14ac:dyDescent="0.25">
      <c r="A620" s="7">
        <v>2</v>
      </c>
      <c r="B620">
        <f>IF(ISBLANK(G620),"",VLOOKUP(H620,code!B:C,2,FALSE))</f>
        <v>9</v>
      </c>
      <c r="C620">
        <f t="shared" si="18"/>
        <v>1</v>
      </c>
      <c r="D620">
        <v>2019</v>
      </c>
      <c r="E620">
        <v>209542</v>
      </c>
      <c r="F620" t="s">
        <v>192</v>
      </c>
      <c r="G620" t="s">
        <v>285</v>
      </c>
      <c r="H620" t="s">
        <v>17</v>
      </c>
      <c r="I620">
        <v>7598</v>
      </c>
      <c r="J620">
        <f>I620/VLOOKUP($D620,CPI!$P$16:$R$22,3,FALSE)</f>
        <v>8990.4999200453276</v>
      </c>
      <c r="K620">
        <f t="shared" si="19"/>
        <v>0</v>
      </c>
      <c r="L620" s="3" cm="1">
        <f t="array" ref="L620">IF($C620=0,INDEX('24&amp;25'!$L:$L,MATCH($D620&amp;$B620&amp;$E620,'24&amp;25'!$B:$B&amp;'24&amp;25'!$A:$A&amp;'24&amp;25'!$C:$C,0)),INDEX('24&amp;25'!$M:$M,MATCH($D620&amp;$B620&amp;$E620,'24&amp;25'!$B:$B&amp;'24&amp;25'!$A:$A&amp;'24&amp;25'!$C:$C,0)))</f>
        <v>0</v>
      </c>
      <c r="M620">
        <f>L620/VLOOKUP($D620,CPI!$P$16:$R$22,3,FALSE)</f>
        <v>0</v>
      </c>
    </row>
    <row r="621" spans="1:13" ht="16" thickBot="1" x14ac:dyDescent="0.25">
      <c r="A621" s="7">
        <v>2</v>
      </c>
      <c r="B621">
        <f>IF(ISBLANK(G621),"",VLOOKUP(H621,code!B:C,2,FALSE))</f>
        <v>10</v>
      </c>
      <c r="C621">
        <f t="shared" si="18"/>
        <v>1</v>
      </c>
      <c r="D621">
        <v>2019</v>
      </c>
      <c r="E621">
        <v>209542</v>
      </c>
      <c r="F621" t="s">
        <v>192</v>
      </c>
      <c r="G621" t="s">
        <v>285</v>
      </c>
      <c r="H621" t="s">
        <v>18</v>
      </c>
      <c r="I621">
        <v>228800</v>
      </c>
      <c r="J621">
        <f>I621/VLOOKUP($D621,CPI!$P$16:$R$22,3,FALSE)</f>
        <v>270732.61143805884</v>
      </c>
      <c r="K621">
        <f t="shared" si="19"/>
        <v>0</v>
      </c>
      <c r="L621" s="3" cm="1">
        <f t="array" ref="L621">IF($C621=0,INDEX('24&amp;25'!$L:$L,MATCH($D621&amp;$B621&amp;$E621,'24&amp;25'!$B:$B&amp;'24&amp;25'!$A:$A&amp;'24&amp;25'!$C:$C,0)),INDEX('24&amp;25'!$M:$M,MATCH($D621&amp;$B621&amp;$E621,'24&amp;25'!$B:$B&amp;'24&amp;25'!$A:$A&amp;'24&amp;25'!$C:$C,0)))</f>
        <v>203259</v>
      </c>
      <c r="M621">
        <f>L621/VLOOKUP($D621,CPI!$P$16:$R$22,3,FALSE)</f>
        <v>240510.66376000174</v>
      </c>
    </row>
    <row r="622" spans="1:13" ht="16" thickBot="1" x14ac:dyDescent="0.25">
      <c r="A622" s="7">
        <v>2</v>
      </c>
      <c r="B622">
        <f>IF(ISBLANK(G622),"",VLOOKUP(H622,code!B:C,2,FALSE))</f>
        <v>14</v>
      </c>
      <c r="C622">
        <f t="shared" si="18"/>
        <v>1</v>
      </c>
      <c r="D622">
        <v>2019</v>
      </c>
      <c r="E622">
        <v>209542</v>
      </c>
      <c r="F622" t="s">
        <v>192</v>
      </c>
      <c r="G622" t="s">
        <v>285</v>
      </c>
      <c r="H622" t="s">
        <v>22</v>
      </c>
      <c r="I622">
        <v>110677</v>
      </c>
      <c r="J622">
        <f>I622/VLOOKUP($D622,CPI!$P$16:$R$22,3,FALSE)</f>
        <v>130960.98442364526</v>
      </c>
      <c r="K622">
        <f t="shared" si="19"/>
        <v>0</v>
      </c>
      <c r="L622" s="3" cm="1">
        <f t="array" ref="L622">IF($C622=0,INDEX('24&amp;25'!$L:$L,MATCH($D622&amp;$B622&amp;$E622,'24&amp;25'!$B:$B&amp;'24&amp;25'!$A:$A&amp;'24&amp;25'!$C:$C,0)),INDEX('24&amp;25'!$M:$M,MATCH($D622&amp;$B622&amp;$E622,'24&amp;25'!$B:$B&amp;'24&amp;25'!$A:$A&amp;'24&amp;25'!$C:$C,0)))</f>
        <v>98459</v>
      </c>
      <c r="M622">
        <f>L622/VLOOKUP($D622,CPI!$P$16:$R$22,3,FALSE)</f>
        <v>116503.76831110068</v>
      </c>
    </row>
    <row r="623" spans="1:13" ht="16" thickBot="1" x14ac:dyDescent="0.25">
      <c r="A623" s="7">
        <v>2</v>
      </c>
      <c r="B623">
        <f>IF(ISBLANK(G623),"",VLOOKUP(H623,code!B:C,2,FALSE))</f>
        <v>17</v>
      </c>
      <c r="C623">
        <f t="shared" si="18"/>
        <v>1</v>
      </c>
      <c r="D623">
        <v>2019</v>
      </c>
      <c r="E623">
        <v>209542</v>
      </c>
      <c r="F623" t="s">
        <v>192</v>
      </c>
      <c r="G623" t="s">
        <v>285</v>
      </c>
      <c r="H623" t="s">
        <v>25</v>
      </c>
      <c r="I623">
        <v>29469</v>
      </c>
      <c r="J623">
        <f>I623/VLOOKUP($D623,CPI!$P$16:$R$22,3,FALSE)</f>
        <v>34869.839713584595</v>
      </c>
      <c r="K623">
        <f t="shared" si="19"/>
        <v>0</v>
      </c>
      <c r="L623" s="3" cm="1">
        <f t="array" ref="L623">IF($C623=0,INDEX('24&amp;25'!$L:$L,MATCH($D623&amp;$B623&amp;$E623,'24&amp;25'!$B:$B&amp;'24&amp;25'!$A:$A&amp;'24&amp;25'!$C:$C,0)),INDEX('24&amp;25'!$M:$M,MATCH($D623&amp;$B623&amp;$E623,'24&amp;25'!$B:$B&amp;'24&amp;25'!$A:$A&amp;'24&amp;25'!$C:$C,0)))</f>
        <v>0</v>
      </c>
      <c r="M623">
        <f>L623/VLOOKUP($D623,CPI!$P$16:$R$22,3,FALSE)</f>
        <v>0</v>
      </c>
    </row>
    <row r="624" spans="1:13" ht="16" thickBot="1" x14ac:dyDescent="0.25">
      <c r="A624" s="7">
        <v>2</v>
      </c>
      <c r="B624">
        <f>IF(ISBLANK(G624),"",VLOOKUP(H624,code!B:C,2,FALSE))</f>
        <v>18</v>
      </c>
      <c r="C624">
        <f t="shared" si="18"/>
        <v>1</v>
      </c>
      <c r="D624">
        <v>2019</v>
      </c>
      <c r="E624">
        <v>209542</v>
      </c>
      <c r="F624" t="s">
        <v>192</v>
      </c>
      <c r="G624" t="s">
        <v>285</v>
      </c>
      <c r="H624" t="s">
        <v>26</v>
      </c>
      <c r="I624">
        <v>14727</v>
      </c>
      <c r="J624">
        <f>I624/VLOOKUP($D624,CPI!$P$16:$R$22,3,FALSE)</f>
        <v>17426.045317518761</v>
      </c>
      <c r="K624">
        <f t="shared" si="19"/>
        <v>0</v>
      </c>
      <c r="L624" s="3" cm="1">
        <f t="array" ref="L624">IF($C624=0,INDEX('24&amp;25'!$L:$L,MATCH($D624&amp;$B624&amp;$E624,'24&amp;25'!$B:$B&amp;'24&amp;25'!$A:$A&amp;'24&amp;25'!$C:$C,0)),INDEX('24&amp;25'!$M:$M,MATCH($D624&amp;$B624&amp;$E624,'24&amp;25'!$B:$B&amp;'24&amp;25'!$A:$A&amp;'24&amp;25'!$C:$C,0)))</f>
        <v>89788</v>
      </c>
      <c r="M624">
        <f>L624/VLOOKUP($D624,CPI!$P$16:$R$22,3,FALSE)</f>
        <v>106243.61763898788</v>
      </c>
    </row>
    <row r="625" spans="1:13" ht="16" thickBot="1" x14ac:dyDescent="0.25">
      <c r="A625" s="7">
        <v>2</v>
      </c>
      <c r="B625">
        <f>IF(ISBLANK(G625),"",VLOOKUP(H625,code!B:C,2,FALSE))</f>
        <v>19</v>
      </c>
      <c r="C625">
        <f t="shared" si="18"/>
        <v>1</v>
      </c>
      <c r="D625">
        <v>2019</v>
      </c>
      <c r="E625">
        <v>209542</v>
      </c>
      <c r="F625" t="s">
        <v>192</v>
      </c>
      <c r="G625" t="s">
        <v>285</v>
      </c>
      <c r="H625" t="s">
        <v>27</v>
      </c>
      <c r="I625">
        <v>34468</v>
      </c>
      <c r="J625">
        <f>I625/VLOOKUP($D625,CPI!$P$16:$R$22,3,FALSE)</f>
        <v>40785.015957373304</v>
      </c>
      <c r="K625">
        <f t="shared" si="19"/>
        <v>0</v>
      </c>
      <c r="L625" s="3" cm="1">
        <f t="array" ref="L625">IF($C625=0,INDEX('24&amp;25'!$L:$L,MATCH($D625&amp;$B625&amp;$E625,'24&amp;25'!$B:$B&amp;'24&amp;25'!$A:$A&amp;'24&amp;25'!$C:$C,0)),INDEX('24&amp;25'!$M:$M,MATCH($D625&amp;$B625&amp;$E625,'24&amp;25'!$B:$B&amp;'24&amp;25'!$A:$A&amp;'24&amp;25'!$C:$C,0)))</f>
        <v>0</v>
      </c>
      <c r="M625">
        <f>L625/VLOOKUP($D625,CPI!$P$16:$R$22,3,FALSE)</f>
        <v>0</v>
      </c>
    </row>
    <row r="626" spans="1:13" ht="16" thickBot="1" x14ac:dyDescent="0.25">
      <c r="A626" s="7">
        <v>2</v>
      </c>
      <c r="B626">
        <f>IF(ISBLANK(G626),"",VLOOKUP(H626,code!B:C,2,FALSE))</f>
        <v>21</v>
      </c>
      <c r="C626">
        <f t="shared" si="18"/>
        <v>1</v>
      </c>
      <c r="D626">
        <v>2019</v>
      </c>
      <c r="E626">
        <v>209542</v>
      </c>
      <c r="F626" t="s">
        <v>192</v>
      </c>
      <c r="G626" t="s">
        <v>285</v>
      </c>
      <c r="H626" t="s">
        <v>30</v>
      </c>
      <c r="I626">
        <v>41959</v>
      </c>
      <c r="J626">
        <f>I626/VLOOKUP($D626,CPI!$P$16:$R$22,3,FALSE)</f>
        <v>49648.905783782822</v>
      </c>
      <c r="K626">
        <f t="shared" si="19"/>
        <v>0</v>
      </c>
      <c r="L626" s="3" cm="1">
        <f t="array" ref="L626">IF($C626=0,INDEX('24&amp;25'!$L:$L,MATCH($D626&amp;$B626&amp;$E626,'24&amp;25'!$B:$B&amp;'24&amp;25'!$A:$A&amp;'24&amp;25'!$C:$C,0)),INDEX('24&amp;25'!$M:$M,MATCH($D626&amp;$B626&amp;$E626,'24&amp;25'!$B:$B&amp;'24&amp;25'!$A:$A&amp;'24&amp;25'!$C:$C,0)))</f>
        <v>0</v>
      </c>
      <c r="M626">
        <f>L626/VLOOKUP($D626,CPI!$P$16:$R$22,3,FALSE)</f>
        <v>0</v>
      </c>
    </row>
    <row r="627" spans="1:13" ht="16" thickBot="1" x14ac:dyDescent="0.25">
      <c r="A627" s="7">
        <v>2</v>
      </c>
      <c r="B627">
        <f>IF(ISBLANK(G627),"",VLOOKUP(H627,code!B:C,2,FALSE))</f>
        <v>23</v>
      </c>
      <c r="C627">
        <f t="shared" si="18"/>
        <v>1</v>
      </c>
      <c r="D627">
        <v>2019</v>
      </c>
      <c r="E627">
        <v>209542</v>
      </c>
      <c r="F627" t="s">
        <v>192</v>
      </c>
      <c r="G627" t="s">
        <v>285</v>
      </c>
      <c r="H627" t="s">
        <v>33</v>
      </c>
      <c r="I627">
        <v>77097</v>
      </c>
      <c r="J627">
        <f>I627/VLOOKUP($D627,CPI!$P$16:$R$22,3,FALSE)</f>
        <v>91226.713916258828</v>
      </c>
      <c r="K627">
        <f t="shared" si="19"/>
        <v>0</v>
      </c>
      <c r="L627" s="3" cm="1">
        <f t="array" ref="L627">IF($C627=0,INDEX('24&amp;25'!$L:$L,MATCH($D627&amp;$B627&amp;$E627,'24&amp;25'!$B:$B&amp;'24&amp;25'!$A:$A&amp;'24&amp;25'!$C:$C,0)),INDEX('24&amp;25'!$M:$M,MATCH($D627&amp;$B627&amp;$E627,'24&amp;25'!$B:$B&amp;'24&amp;25'!$A:$A&amp;'24&amp;25'!$C:$C,0)))</f>
        <v>84100</v>
      </c>
      <c r="M627">
        <f>L627/VLOOKUP($D627,CPI!$P$16:$R$22,3,FALSE)</f>
        <v>99513.167053936835</v>
      </c>
    </row>
    <row r="628" spans="1:13" ht="16" thickBot="1" x14ac:dyDescent="0.25">
      <c r="A628" s="7">
        <v>2</v>
      </c>
      <c r="B628">
        <f>IF(ISBLANK(G628),"",VLOOKUP(H628,code!B:C,2,FALSE))</f>
        <v>1</v>
      </c>
      <c r="C628">
        <f t="shared" si="18"/>
        <v>0</v>
      </c>
      <c r="D628">
        <v>2020</v>
      </c>
      <c r="E628">
        <v>209542</v>
      </c>
      <c r="F628" t="s">
        <v>192</v>
      </c>
      <c r="G628" t="s">
        <v>284</v>
      </c>
      <c r="H628" t="s">
        <v>9</v>
      </c>
      <c r="I628">
        <v>316064</v>
      </c>
      <c r="J628">
        <f>I628/VLOOKUP($D628,CPI!$P$16:$R$22,3,FALSE)</f>
        <v>368229.98045329086</v>
      </c>
      <c r="K628">
        <f t="shared" si="19"/>
        <v>0</v>
      </c>
      <c r="L628" s="3" cm="1">
        <f t="array" ref="L628">IF($C628=0,INDEX('24&amp;25'!$L:$L,MATCH($D628&amp;$B628&amp;$E628,'24&amp;25'!$B:$B&amp;'24&amp;25'!$A:$A&amp;'24&amp;25'!$C:$C,0)),INDEX('24&amp;25'!$M:$M,MATCH($D628&amp;$B628&amp;$E628,'24&amp;25'!$B:$B&amp;'24&amp;25'!$A:$A&amp;'24&amp;25'!$C:$C,0)))</f>
        <v>160109</v>
      </c>
      <c r="M628">
        <f>L628/VLOOKUP($D628,CPI!$P$16:$R$22,3,FALSE)</f>
        <v>186534.79656144307</v>
      </c>
    </row>
    <row r="629" spans="1:13" ht="16" thickBot="1" x14ac:dyDescent="0.25">
      <c r="A629" s="7">
        <v>2</v>
      </c>
      <c r="B629">
        <f>IF(ISBLANK(G629),"",VLOOKUP(H629,code!B:C,2,FALSE))</f>
        <v>2</v>
      </c>
      <c r="C629">
        <f t="shared" si="18"/>
        <v>0</v>
      </c>
      <c r="D629">
        <v>2020</v>
      </c>
      <c r="E629">
        <v>209542</v>
      </c>
      <c r="F629" t="s">
        <v>192</v>
      </c>
      <c r="G629" t="s">
        <v>284</v>
      </c>
      <c r="H629" t="s">
        <v>10</v>
      </c>
      <c r="I629">
        <v>1350770</v>
      </c>
      <c r="J629">
        <f>I629/VLOOKUP($D629,CPI!$P$16:$R$22,3,FALSE)</f>
        <v>1573712.9527465694</v>
      </c>
      <c r="K629">
        <f t="shared" si="19"/>
        <v>0</v>
      </c>
      <c r="L629" s="3" cm="1">
        <f t="array" ref="L629">IF($C629=0,INDEX('24&amp;25'!$L:$L,MATCH($D629&amp;$B629&amp;$E629,'24&amp;25'!$B:$B&amp;'24&amp;25'!$A:$A&amp;'24&amp;25'!$C:$C,0)),INDEX('24&amp;25'!$M:$M,MATCH($D629&amp;$B629&amp;$E629,'24&amp;25'!$B:$B&amp;'24&amp;25'!$A:$A&amp;'24&amp;25'!$C:$C,0)))</f>
        <v>329669</v>
      </c>
      <c r="M629">
        <f>L629/VLOOKUP($D629,CPI!$P$16:$R$22,3,FALSE)</f>
        <v>384080.46922792832</v>
      </c>
    </row>
    <row r="630" spans="1:13" ht="16" thickBot="1" x14ac:dyDescent="0.25">
      <c r="A630" s="7">
        <v>2</v>
      </c>
      <c r="B630">
        <f>IF(ISBLANK(G630),"",VLOOKUP(H630,code!B:C,2,FALSE))</f>
        <v>8</v>
      </c>
      <c r="C630">
        <f t="shared" si="18"/>
        <v>0</v>
      </c>
      <c r="D630">
        <v>2020</v>
      </c>
      <c r="E630">
        <v>209542</v>
      </c>
      <c r="F630" t="s">
        <v>192</v>
      </c>
      <c r="G630" t="s">
        <v>284</v>
      </c>
      <c r="H630" t="s">
        <v>16</v>
      </c>
      <c r="I630">
        <v>7520245</v>
      </c>
      <c r="J630">
        <f>I630/VLOOKUP($D630,CPI!$P$16:$R$22,3,FALSE)</f>
        <v>8761452.3303949777</v>
      </c>
      <c r="K630">
        <f t="shared" si="19"/>
        <v>0</v>
      </c>
      <c r="L630" s="3" cm="1">
        <f t="array" ref="L630">IF($C630=0,INDEX('24&amp;25'!$L:$L,MATCH($D630&amp;$B630&amp;$E630,'24&amp;25'!$B:$B&amp;'24&amp;25'!$A:$A&amp;'24&amp;25'!$C:$C,0)),INDEX('24&amp;25'!$M:$M,MATCH($D630&amp;$B630&amp;$E630,'24&amp;25'!$B:$B&amp;'24&amp;25'!$A:$A&amp;'24&amp;25'!$C:$C,0)))</f>
        <v>1108152</v>
      </c>
      <c r="M630">
        <f>L630/VLOOKUP($D630,CPI!$P$16:$R$22,3,FALSE)</f>
        <v>1291051.1456517514</v>
      </c>
    </row>
    <row r="631" spans="1:13" ht="16" thickBot="1" x14ac:dyDescent="0.25">
      <c r="A631" s="7">
        <v>2</v>
      </c>
      <c r="B631">
        <f>IF(ISBLANK(G631),"",VLOOKUP(H631,code!B:C,2,FALSE))</f>
        <v>9</v>
      </c>
      <c r="C631">
        <f t="shared" si="18"/>
        <v>0</v>
      </c>
      <c r="D631">
        <v>2020</v>
      </c>
      <c r="E631">
        <v>209542</v>
      </c>
      <c r="F631" t="s">
        <v>192</v>
      </c>
      <c r="G631" t="s">
        <v>284</v>
      </c>
      <c r="H631" t="s">
        <v>17</v>
      </c>
      <c r="I631">
        <v>13032</v>
      </c>
      <c r="J631">
        <f>I631/VLOOKUP($D631,CPI!$P$16:$R$22,3,FALSE)</f>
        <v>15182.915818528167</v>
      </c>
      <c r="K631">
        <f t="shared" si="19"/>
        <v>0</v>
      </c>
      <c r="L631" s="3" cm="1">
        <f t="array" ref="L631">IF($C631=0,INDEX('24&amp;25'!$L:$L,MATCH($D631&amp;$B631&amp;$E631,'24&amp;25'!$B:$B&amp;'24&amp;25'!$A:$A&amp;'24&amp;25'!$C:$C,0)),INDEX('24&amp;25'!$M:$M,MATCH($D631&amp;$B631&amp;$E631,'24&amp;25'!$B:$B&amp;'24&amp;25'!$A:$A&amp;'24&amp;25'!$C:$C,0)))</f>
        <v>0</v>
      </c>
      <c r="M631">
        <f>L631/VLOOKUP($D631,CPI!$P$16:$R$22,3,FALSE)</f>
        <v>0</v>
      </c>
    </row>
    <row r="632" spans="1:13" ht="16" thickBot="1" x14ac:dyDescent="0.25">
      <c r="A632" s="7">
        <v>2</v>
      </c>
      <c r="B632">
        <f>IF(ISBLANK(G632),"",VLOOKUP(H632,code!B:C,2,FALSE))</f>
        <v>17</v>
      </c>
      <c r="C632">
        <f t="shared" si="18"/>
        <v>0</v>
      </c>
      <c r="D632">
        <v>2020</v>
      </c>
      <c r="E632">
        <v>209542</v>
      </c>
      <c r="F632" t="s">
        <v>192</v>
      </c>
      <c r="G632" t="s">
        <v>284</v>
      </c>
      <c r="H632" t="s">
        <v>25</v>
      </c>
      <c r="I632">
        <v>26986</v>
      </c>
      <c r="J632">
        <f>I632/VLOOKUP($D632,CPI!$P$16:$R$22,3,FALSE)</f>
        <v>31440.006620534154</v>
      </c>
      <c r="K632">
        <f t="shared" si="19"/>
        <v>0</v>
      </c>
      <c r="L632" s="3" cm="1">
        <f t="array" ref="L632">IF($C632=0,INDEX('24&amp;25'!$L:$L,MATCH($D632&amp;$B632&amp;$E632,'24&amp;25'!$B:$B&amp;'24&amp;25'!$A:$A&amp;'24&amp;25'!$C:$C,0)),INDEX('24&amp;25'!$M:$M,MATCH($D632&amp;$B632&amp;$E632,'24&amp;25'!$B:$B&amp;'24&amp;25'!$A:$A&amp;'24&amp;25'!$C:$C,0)))</f>
        <v>0</v>
      </c>
      <c r="M632">
        <f>L632/VLOOKUP($D632,CPI!$P$16:$R$22,3,FALSE)</f>
        <v>0</v>
      </c>
    </row>
    <row r="633" spans="1:13" ht="16" thickBot="1" x14ac:dyDescent="0.25">
      <c r="A633" s="7">
        <v>2</v>
      </c>
      <c r="B633">
        <f>IF(ISBLANK(G633),"",VLOOKUP(H633,code!B:C,2,FALSE))</f>
        <v>25</v>
      </c>
      <c r="C633">
        <f t="shared" si="18"/>
        <v>0</v>
      </c>
      <c r="D633">
        <v>2020</v>
      </c>
      <c r="E633">
        <v>209542</v>
      </c>
      <c r="F633" t="s">
        <v>192</v>
      </c>
      <c r="G633" t="s">
        <v>284</v>
      </c>
      <c r="H633" t="s">
        <v>35</v>
      </c>
      <c r="I633">
        <v>56595</v>
      </c>
      <c r="J633">
        <f>I633/VLOOKUP($D633,CPI!$P$16:$R$22,3,FALSE)</f>
        <v>65935.936214671703</v>
      </c>
      <c r="K633">
        <f t="shared" si="19"/>
        <v>0</v>
      </c>
      <c r="L633" s="3" cm="1">
        <f t="array" ref="L633">IF($C633=0,INDEX('24&amp;25'!$L:$L,MATCH($D633&amp;$B633&amp;$E633,'24&amp;25'!$B:$B&amp;'24&amp;25'!$A:$A&amp;'24&amp;25'!$C:$C,0)),INDEX('24&amp;25'!$M:$M,MATCH($D633&amp;$B633&amp;$E633,'24&amp;25'!$B:$B&amp;'24&amp;25'!$A:$A&amp;'24&amp;25'!$C:$C,0)))</f>
        <v>0</v>
      </c>
      <c r="M633">
        <f>L633/VLOOKUP($D633,CPI!$P$16:$R$22,3,FALSE)</f>
        <v>0</v>
      </c>
    </row>
    <row r="634" spans="1:13" ht="16" thickBot="1" x14ac:dyDescent="0.25">
      <c r="A634" s="7">
        <v>2</v>
      </c>
      <c r="B634">
        <f>IF(ISBLANK(G634),"",VLOOKUP(H634,code!B:C,2,FALSE))</f>
        <v>2</v>
      </c>
      <c r="C634">
        <f t="shared" si="18"/>
        <v>1</v>
      </c>
      <c r="D634">
        <v>2020</v>
      </c>
      <c r="E634">
        <v>209542</v>
      </c>
      <c r="F634" t="s">
        <v>192</v>
      </c>
      <c r="G634" t="s">
        <v>285</v>
      </c>
      <c r="H634" t="s">
        <v>10</v>
      </c>
      <c r="I634">
        <v>1073753</v>
      </c>
      <c r="J634">
        <f>I634/VLOOKUP($D634,CPI!$P$16:$R$22,3,FALSE)</f>
        <v>1250974.6323582008</v>
      </c>
      <c r="K634">
        <f t="shared" si="19"/>
        <v>0</v>
      </c>
      <c r="L634" s="3" cm="1">
        <f t="array" ref="L634">IF($C634=0,INDEX('24&amp;25'!$L:$L,MATCH($D634&amp;$B634&amp;$E634,'24&amp;25'!$B:$B&amp;'24&amp;25'!$A:$A&amp;'24&amp;25'!$C:$C,0)),INDEX('24&amp;25'!$M:$M,MATCH($D634&amp;$B634&amp;$E634,'24&amp;25'!$B:$B&amp;'24&amp;25'!$A:$A&amp;'24&amp;25'!$C:$C,0)))</f>
        <v>303365</v>
      </c>
      <c r="M634">
        <f>L634/VLOOKUP($D634,CPI!$P$16:$R$22,3,FALSE)</f>
        <v>353435.02588150685</v>
      </c>
    </row>
    <row r="635" spans="1:13" ht="16" thickBot="1" x14ac:dyDescent="0.25">
      <c r="A635" s="7">
        <v>2</v>
      </c>
      <c r="B635">
        <f>IF(ISBLANK(G635),"",VLOOKUP(H635,code!B:C,2,FALSE))</f>
        <v>9</v>
      </c>
      <c r="C635">
        <f t="shared" si="18"/>
        <v>1</v>
      </c>
      <c r="D635">
        <v>2020</v>
      </c>
      <c r="E635">
        <v>209542</v>
      </c>
      <c r="F635" t="s">
        <v>192</v>
      </c>
      <c r="G635" t="s">
        <v>285</v>
      </c>
      <c r="H635" t="s">
        <v>17</v>
      </c>
      <c r="I635">
        <v>89093</v>
      </c>
      <c r="J635">
        <f>I635/VLOOKUP($D635,CPI!$P$16:$R$22,3,FALSE)</f>
        <v>103797.69176029235</v>
      </c>
      <c r="K635">
        <f t="shared" si="19"/>
        <v>0</v>
      </c>
      <c r="L635" s="3" cm="1">
        <f t="array" ref="L635">IF($C635=0,INDEX('24&amp;25'!$L:$L,MATCH($D635&amp;$B635&amp;$E635,'24&amp;25'!$B:$B&amp;'24&amp;25'!$A:$A&amp;'24&amp;25'!$C:$C,0)),INDEX('24&amp;25'!$M:$M,MATCH($D635&amp;$B635&amp;$E635,'24&amp;25'!$B:$B&amp;'24&amp;25'!$A:$A&amp;'24&amp;25'!$C:$C,0)))</f>
        <v>0</v>
      </c>
      <c r="M635">
        <f>L635/VLOOKUP($D635,CPI!$P$16:$R$22,3,FALSE)</f>
        <v>0</v>
      </c>
    </row>
    <row r="636" spans="1:13" ht="16" thickBot="1" x14ac:dyDescent="0.25">
      <c r="A636" s="7">
        <v>2</v>
      </c>
      <c r="B636">
        <f>IF(ISBLANK(G636),"",VLOOKUP(H636,code!B:C,2,FALSE))</f>
        <v>10</v>
      </c>
      <c r="C636">
        <f t="shared" si="18"/>
        <v>1</v>
      </c>
      <c r="D636">
        <v>2020</v>
      </c>
      <c r="E636">
        <v>209542</v>
      </c>
      <c r="F636" t="s">
        <v>192</v>
      </c>
      <c r="G636" t="s">
        <v>285</v>
      </c>
      <c r="H636" t="s">
        <v>18</v>
      </c>
      <c r="I636">
        <v>102132</v>
      </c>
      <c r="J636">
        <f>I636/VLOOKUP($D636,CPI!$P$16:$R$22,3,FALSE)</f>
        <v>118988.76292034367</v>
      </c>
      <c r="K636">
        <f t="shared" si="19"/>
        <v>0</v>
      </c>
      <c r="L636" s="3" cm="1">
        <f t="array" ref="L636">IF($C636=0,INDEX('24&amp;25'!$L:$L,MATCH($D636&amp;$B636&amp;$E636,'24&amp;25'!$B:$B&amp;'24&amp;25'!$A:$A&amp;'24&amp;25'!$C:$C,0)),INDEX('24&amp;25'!$M:$M,MATCH($D636&amp;$B636&amp;$E636,'24&amp;25'!$B:$B&amp;'24&amp;25'!$A:$A&amp;'24&amp;25'!$C:$C,0)))</f>
        <v>81319</v>
      </c>
      <c r="M636">
        <f>L636/VLOOKUP($D636,CPI!$P$16:$R$22,3,FALSE)</f>
        <v>94740.60247443922</v>
      </c>
    </row>
    <row r="637" spans="1:13" ht="16" thickBot="1" x14ac:dyDescent="0.25">
      <c r="A637" s="7">
        <v>2</v>
      </c>
      <c r="B637">
        <f>IF(ISBLANK(G637),"",VLOOKUP(H637,code!B:C,2,FALSE))</f>
        <v>14</v>
      </c>
      <c r="C637">
        <f t="shared" si="18"/>
        <v>1</v>
      </c>
      <c r="D637">
        <v>2020</v>
      </c>
      <c r="E637">
        <v>209542</v>
      </c>
      <c r="F637" t="s">
        <v>192</v>
      </c>
      <c r="G637" t="s">
        <v>285</v>
      </c>
      <c r="H637" t="s">
        <v>22</v>
      </c>
      <c r="I637">
        <v>64990</v>
      </c>
      <c r="J637">
        <f>I637/VLOOKUP($D637,CPI!$P$16:$R$22,3,FALSE)</f>
        <v>75716.520798507176</v>
      </c>
      <c r="K637">
        <f t="shared" si="19"/>
        <v>0</v>
      </c>
      <c r="L637" s="3" cm="1">
        <f t="array" ref="L637">IF($C637=0,INDEX('24&amp;25'!$L:$L,MATCH($D637&amp;$B637&amp;$E637,'24&amp;25'!$B:$B&amp;'24&amp;25'!$A:$A&amp;'24&amp;25'!$C:$C,0)),INDEX('24&amp;25'!$M:$M,MATCH($D637&amp;$B637&amp;$E637,'24&amp;25'!$B:$B&amp;'24&amp;25'!$A:$A&amp;'24&amp;25'!$C:$C,0)))</f>
        <v>95993</v>
      </c>
      <c r="M637">
        <f>L637/VLOOKUP($D637,CPI!$P$16:$R$22,3,FALSE)</f>
        <v>111836.52840454069</v>
      </c>
    </row>
    <row r="638" spans="1:13" ht="16" thickBot="1" x14ac:dyDescent="0.25">
      <c r="A638" s="7">
        <v>2</v>
      </c>
      <c r="B638">
        <f>IF(ISBLANK(G638),"",VLOOKUP(H638,code!B:C,2,FALSE))</f>
        <v>17</v>
      </c>
      <c r="C638">
        <f t="shared" si="18"/>
        <v>1</v>
      </c>
      <c r="D638">
        <v>2020</v>
      </c>
      <c r="E638">
        <v>209542</v>
      </c>
      <c r="F638" t="s">
        <v>192</v>
      </c>
      <c r="G638" t="s">
        <v>285</v>
      </c>
      <c r="H638" t="s">
        <v>25</v>
      </c>
      <c r="I638">
        <v>12670</v>
      </c>
      <c r="J638">
        <f>I638/VLOOKUP($D638,CPI!$P$16:$R$22,3,FALSE)</f>
        <v>14761.168156902384</v>
      </c>
      <c r="K638">
        <f t="shared" si="19"/>
        <v>0</v>
      </c>
      <c r="L638" s="3" cm="1">
        <f t="array" ref="L638">IF($C638=0,INDEX('24&amp;25'!$L:$L,MATCH($D638&amp;$B638&amp;$E638,'24&amp;25'!$B:$B&amp;'24&amp;25'!$A:$A&amp;'24&amp;25'!$C:$C,0)),INDEX('24&amp;25'!$M:$M,MATCH($D638&amp;$B638&amp;$E638,'24&amp;25'!$B:$B&amp;'24&amp;25'!$A:$A&amp;'24&amp;25'!$C:$C,0)))</f>
        <v>0</v>
      </c>
      <c r="M638">
        <f>L638/VLOOKUP($D638,CPI!$P$16:$R$22,3,FALSE)</f>
        <v>0</v>
      </c>
    </row>
    <row r="639" spans="1:13" ht="16" thickBot="1" x14ac:dyDescent="0.25">
      <c r="A639" s="7">
        <v>2</v>
      </c>
      <c r="B639">
        <f>IF(ISBLANK(G639),"",VLOOKUP(H639,code!B:C,2,FALSE))</f>
        <v>18</v>
      </c>
      <c r="C639">
        <f t="shared" si="18"/>
        <v>1</v>
      </c>
      <c r="D639">
        <v>2020</v>
      </c>
      <c r="E639">
        <v>209542</v>
      </c>
      <c r="F639" t="s">
        <v>192</v>
      </c>
      <c r="G639" t="s">
        <v>285</v>
      </c>
      <c r="H639" t="s">
        <v>26</v>
      </c>
      <c r="I639">
        <v>9634</v>
      </c>
      <c r="J639">
        <f>I639/VLOOKUP($D639,CPI!$P$16:$R$22,3,FALSE)</f>
        <v>11224.080033433114</v>
      </c>
      <c r="K639">
        <f t="shared" si="19"/>
        <v>0</v>
      </c>
      <c r="L639" s="3" cm="1">
        <f t="array" ref="L639">IF($C639=0,INDEX('24&amp;25'!$L:$L,MATCH($D639&amp;$B639&amp;$E639,'24&amp;25'!$B:$B&amp;'24&amp;25'!$A:$A&amp;'24&amp;25'!$C:$C,0)),INDEX('24&amp;25'!$M:$M,MATCH($D639&amp;$B639&amp;$E639,'24&amp;25'!$B:$B&amp;'24&amp;25'!$A:$A&amp;'24&amp;25'!$C:$C,0)))</f>
        <v>87783</v>
      </c>
      <c r="M639">
        <f>L639/VLOOKUP($D639,CPI!$P$16:$R$22,3,FALSE)</f>
        <v>102271.47784667418</v>
      </c>
    </row>
    <row r="640" spans="1:13" ht="16" thickBot="1" x14ac:dyDescent="0.25">
      <c r="A640" s="7">
        <v>2</v>
      </c>
      <c r="B640">
        <f>IF(ISBLANK(G640),"",VLOOKUP(H640,code!B:C,2,FALSE))</f>
        <v>21</v>
      </c>
      <c r="C640">
        <f t="shared" si="18"/>
        <v>1</v>
      </c>
      <c r="D640">
        <v>2020</v>
      </c>
      <c r="E640">
        <v>209542</v>
      </c>
      <c r="F640" t="s">
        <v>192</v>
      </c>
      <c r="G640" t="s">
        <v>285</v>
      </c>
      <c r="H640" t="s">
        <v>30</v>
      </c>
      <c r="I640">
        <v>7811</v>
      </c>
      <c r="J640">
        <f>I640/VLOOKUP($D640,CPI!$P$16:$R$22,3,FALSE)</f>
        <v>9100.1960910469243</v>
      </c>
      <c r="K640">
        <f t="shared" si="19"/>
        <v>0</v>
      </c>
      <c r="L640" s="3" cm="1">
        <f t="array" ref="L640">IF($C640=0,INDEX('24&amp;25'!$L:$L,MATCH($D640&amp;$B640&amp;$E640,'24&amp;25'!$B:$B&amp;'24&amp;25'!$A:$A&amp;'24&amp;25'!$C:$C,0)),INDEX('24&amp;25'!$M:$M,MATCH($D640&amp;$B640&amp;$E640,'24&amp;25'!$B:$B&amp;'24&amp;25'!$A:$A&amp;'24&amp;25'!$C:$C,0)))</f>
        <v>0</v>
      </c>
      <c r="M640">
        <f>L640/VLOOKUP($D640,CPI!$P$16:$R$22,3,FALSE)</f>
        <v>0</v>
      </c>
    </row>
    <row r="641" spans="1:13" ht="16" thickBot="1" x14ac:dyDescent="0.25">
      <c r="A641" s="7">
        <v>2</v>
      </c>
      <c r="B641">
        <f>IF(ISBLANK(G641),"",VLOOKUP(H641,code!B:C,2,FALSE))</f>
        <v>23</v>
      </c>
      <c r="C641">
        <f t="shared" si="18"/>
        <v>1</v>
      </c>
      <c r="D641">
        <v>2020</v>
      </c>
      <c r="E641">
        <v>209542</v>
      </c>
      <c r="F641" t="s">
        <v>192</v>
      </c>
      <c r="G641" t="s">
        <v>285</v>
      </c>
      <c r="H641" t="s">
        <v>33</v>
      </c>
      <c r="I641">
        <v>44773</v>
      </c>
      <c r="J641">
        <f>I641/VLOOKUP($D641,CPI!$P$16:$R$22,3,FALSE)</f>
        <v>52162.729430859545</v>
      </c>
      <c r="K641">
        <f t="shared" si="19"/>
        <v>0</v>
      </c>
      <c r="L641" s="3" cm="1">
        <f t="array" ref="L641">IF($C641=0,INDEX('24&amp;25'!$L:$L,MATCH($D641&amp;$B641&amp;$E641,'24&amp;25'!$B:$B&amp;'24&amp;25'!$A:$A&amp;'24&amp;25'!$C:$C,0)),INDEX('24&amp;25'!$M:$M,MATCH($D641&amp;$B641&amp;$E641,'24&amp;25'!$B:$B&amp;'24&amp;25'!$A:$A&amp;'24&amp;25'!$C:$C,0)))</f>
        <v>75510</v>
      </c>
      <c r="M641">
        <f>L641/VLOOKUP($D641,CPI!$P$16:$R$22,3,FALSE)</f>
        <v>87972.834059013345</v>
      </c>
    </row>
    <row r="642" spans="1:13" ht="16" thickBot="1" x14ac:dyDescent="0.25">
      <c r="A642" s="7">
        <v>2</v>
      </c>
      <c r="B642">
        <f>IF(ISBLANK(G642),"",VLOOKUP(H642,code!B:C,2,FALSE))</f>
        <v>1</v>
      </c>
      <c r="C642">
        <f t="shared" si="18"/>
        <v>0</v>
      </c>
      <c r="D642">
        <v>2021</v>
      </c>
      <c r="E642">
        <v>209542</v>
      </c>
      <c r="F642" t="s">
        <v>192</v>
      </c>
      <c r="G642" t="s">
        <v>284</v>
      </c>
      <c r="H642" t="s">
        <v>9</v>
      </c>
      <c r="I642">
        <v>340121</v>
      </c>
      <c r="J642">
        <f>I642/VLOOKUP($D642,CPI!$P$16:$R$22,3,FALSE)</f>
        <v>387342.34571281465</v>
      </c>
      <c r="K642">
        <f t="shared" si="19"/>
        <v>1</v>
      </c>
      <c r="L642" s="3" cm="1">
        <f t="array" ref="L642">IF($C642=0,INDEX('24&amp;25'!$L:$L,MATCH($D642&amp;$B642&amp;$E642,'24&amp;25'!$B:$B&amp;'24&amp;25'!$A:$A&amp;'24&amp;25'!$C:$C,0)),INDEX('24&amp;25'!$M:$M,MATCH($D642&amp;$B642&amp;$E642,'24&amp;25'!$B:$B&amp;'24&amp;25'!$A:$A&amp;'24&amp;25'!$C:$C,0)))</f>
        <v>159258</v>
      </c>
      <c r="M642">
        <f>L642/VLOOKUP($D642,CPI!$P$16:$R$22,3,FALSE)</f>
        <v>181368.88722993122</v>
      </c>
    </row>
    <row r="643" spans="1:13" ht="16" thickBot="1" x14ac:dyDescent="0.25">
      <c r="A643" s="7">
        <v>2</v>
      </c>
      <c r="B643">
        <f>IF(ISBLANK(G643),"",VLOOKUP(H643,code!B:C,2,FALSE))</f>
        <v>2</v>
      </c>
      <c r="C643">
        <f t="shared" ref="C643:C706" si="20">IF(ISBLANK(G643),"",IF(MID(G643,1,1)="M",0,1))</f>
        <v>0</v>
      </c>
      <c r="D643">
        <v>2021</v>
      </c>
      <c r="E643">
        <v>209542</v>
      </c>
      <c r="F643" t="s">
        <v>192</v>
      </c>
      <c r="G643" t="s">
        <v>284</v>
      </c>
      <c r="H643" t="s">
        <v>10</v>
      </c>
      <c r="I643">
        <v>191285</v>
      </c>
      <c r="J643">
        <f>I643/VLOOKUP($D643,CPI!$P$16:$R$22,3,FALSE)</f>
        <v>217842.41666840846</v>
      </c>
      <c r="K643">
        <f t="shared" ref="K643:K706" si="21">IF(ISBLANK(G643),"",IF(D643=2021,1,0))</f>
        <v>1</v>
      </c>
      <c r="L643" s="3" cm="1">
        <f t="array" ref="L643">IF($C643=0,INDEX('24&amp;25'!$L:$L,MATCH($D643&amp;$B643&amp;$E643,'24&amp;25'!$B:$B&amp;'24&amp;25'!$A:$A&amp;'24&amp;25'!$C:$C,0)),INDEX('24&amp;25'!$M:$M,MATCH($D643&amp;$B643&amp;$E643,'24&amp;25'!$B:$B&amp;'24&amp;25'!$A:$A&amp;'24&amp;25'!$C:$C,0)))</f>
        <v>156251</v>
      </c>
      <c r="M643">
        <f>L643/VLOOKUP($D643,CPI!$P$16:$R$22,3,FALSE)</f>
        <v>177944.40466767122</v>
      </c>
    </row>
    <row r="644" spans="1:13" ht="16" thickBot="1" x14ac:dyDescent="0.25">
      <c r="A644" s="7">
        <v>2</v>
      </c>
      <c r="B644">
        <f>IF(ISBLANK(G644),"",VLOOKUP(H644,code!B:C,2,FALSE))</f>
        <v>8</v>
      </c>
      <c r="C644">
        <f t="shared" si="20"/>
        <v>0</v>
      </c>
      <c r="D644">
        <v>2021</v>
      </c>
      <c r="E644">
        <v>209542</v>
      </c>
      <c r="F644" t="s">
        <v>192</v>
      </c>
      <c r="G644" t="s">
        <v>284</v>
      </c>
      <c r="H644" t="s">
        <v>16</v>
      </c>
      <c r="I644">
        <v>426011</v>
      </c>
      <c r="J644">
        <f>I644/VLOOKUP($D644,CPI!$P$16:$R$22,3,FALSE)</f>
        <v>485157.04716692556</v>
      </c>
      <c r="K644">
        <f t="shared" si="21"/>
        <v>1</v>
      </c>
      <c r="L644" s="3" cm="1">
        <f t="array" ref="L644">IF($C644=0,INDEX('24&amp;25'!$L:$L,MATCH($D644&amp;$B644&amp;$E644,'24&amp;25'!$B:$B&amp;'24&amp;25'!$A:$A&amp;'24&amp;25'!$C:$C,0)),INDEX('24&amp;25'!$M:$M,MATCH($D644&amp;$B644&amp;$E644,'24&amp;25'!$B:$B&amp;'24&amp;25'!$A:$A&amp;'24&amp;25'!$C:$C,0)))</f>
        <v>1441007</v>
      </c>
      <c r="M644">
        <f>L644/VLOOKUP($D644,CPI!$P$16:$R$22,3,FALSE)</f>
        <v>1641071.9466560015</v>
      </c>
    </row>
    <row r="645" spans="1:13" ht="16" thickBot="1" x14ac:dyDescent="0.25">
      <c r="A645" s="7">
        <v>2</v>
      </c>
      <c r="B645">
        <f>IF(ISBLANK(G645),"",VLOOKUP(H645,code!B:C,2,FALSE))</f>
        <v>9</v>
      </c>
      <c r="C645">
        <f t="shared" si="20"/>
        <v>0</v>
      </c>
      <c r="D645">
        <v>2021</v>
      </c>
      <c r="E645">
        <v>209542</v>
      </c>
      <c r="F645" t="s">
        <v>192</v>
      </c>
      <c r="G645" t="s">
        <v>284</v>
      </c>
      <c r="H645" t="s">
        <v>17</v>
      </c>
      <c r="I645">
        <v>19496</v>
      </c>
      <c r="J645">
        <f>I645/VLOOKUP($D645,CPI!$P$16:$R$22,3,FALSE)</f>
        <v>22202.764228074815</v>
      </c>
      <c r="K645">
        <f t="shared" si="21"/>
        <v>1</v>
      </c>
      <c r="L645" s="3" cm="1">
        <f t="array" ref="L645">IF($C645=0,INDEX('24&amp;25'!$L:$L,MATCH($D645&amp;$B645&amp;$E645,'24&amp;25'!$B:$B&amp;'24&amp;25'!$A:$A&amp;'24&amp;25'!$C:$C,0)),INDEX('24&amp;25'!$M:$M,MATCH($D645&amp;$B645&amp;$E645,'24&amp;25'!$B:$B&amp;'24&amp;25'!$A:$A&amp;'24&amp;25'!$C:$C,0)))</f>
        <v>0</v>
      </c>
      <c r="M645">
        <f>L645/VLOOKUP($D645,CPI!$P$16:$R$22,3,FALSE)</f>
        <v>0</v>
      </c>
    </row>
    <row r="646" spans="1:13" ht="16" thickBot="1" x14ac:dyDescent="0.25">
      <c r="A646" s="7">
        <v>2</v>
      </c>
      <c r="B646">
        <f>IF(ISBLANK(G646),"",VLOOKUP(H646,code!B:C,2,FALSE))</f>
        <v>17</v>
      </c>
      <c r="C646">
        <f t="shared" si="20"/>
        <v>0</v>
      </c>
      <c r="D646">
        <v>2021</v>
      </c>
      <c r="E646">
        <v>209542</v>
      </c>
      <c r="F646" t="s">
        <v>192</v>
      </c>
      <c r="G646" t="s">
        <v>284</v>
      </c>
      <c r="H646" t="s">
        <v>25</v>
      </c>
      <c r="I646">
        <v>4381</v>
      </c>
      <c r="J646">
        <f>I646/VLOOKUP($D646,CPI!$P$16:$R$22,3,FALSE)</f>
        <v>4989.2444646694594</v>
      </c>
      <c r="K646">
        <f t="shared" si="21"/>
        <v>1</v>
      </c>
      <c r="L646" s="3" cm="1">
        <f t="array" ref="L646">IF($C646=0,INDEX('24&amp;25'!$L:$L,MATCH($D646&amp;$B646&amp;$E646,'24&amp;25'!$B:$B&amp;'24&amp;25'!$A:$A&amp;'24&amp;25'!$C:$C,0)),INDEX('24&amp;25'!$M:$M,MATCH($D646&amp;$B646&amp;$E646,'24&amp;25'!$B:$B&amp;'24&amp;25'!$A:$A&amp;'24&amp;25'!$C:$C,0)))</f>
        <v>0</v>
      </c>
      <c r="M646">
        <f>L646/VLOOKUP($D646,CPI!$P$16:$R$22,3,FALSE)</f>
        <v>0</v>
      </c>
    </row>
    <row r="647" spans="1:13" ht="16" thickBot="1" x14ac:dyDescent="0.25">
      <c r="A647" s="7">
        <v>2</v>
      </c>
      <c r="B647">
        <f>IF(ISBLANK(G647),"",VLOOKUP(H647,code!B:C,2,FALSE))</f>
        <v>25</v>
      </c>
      <c r="C647">
        <f t="shared" si="20"/>
        <v>0</v>
      </c>
      <c r="D647">
        <v>2021</v>
      </c>
      <c r="E647">
        <v>209542</v>
      </c>
      <c r="F647" t="s">
        <v>192</v>
      </c>
      <c r="G647" t="s">
        <v>284</v>
      </c>
      <c r="H647" t="s">
        <v>35</v>
      </c>
      <c r="I647">
        <v>83707</v>
      </c>
      <c r="J647">
        <f>I647/VLOOKUP($D647,CPI!$P$16:$R$22,3,FALSE)</f>
        <v>95328.620498536038</v>
      </c>
      <c r="K647">
        <f t="shared" si="21"/>
        <v>1</v>
      </c>
      <c r="L647" s="3" cm="1">
        <f t="array" ref="L647">IF($C647=0,INDEX('24&amp;25'!$L:$L,MATCH($D647&amp;$B647&amp;$E647,'24&amp;25'!$B:$B&amp;'24&amp;25'!$A:$A&amp;'24&amp;25'!$C:$C,0)),INDEX('24&amp;25'!$M:$M,MATCH($D647&amp;$B647&amp;$E647,'24&amp;25'!$B:$B&amp;'24&amp;25'!$A:$A&amp;'24&amp;25'!$C:$C,0)))</f>
        <v>27455</v>
      </c>
      <c r="M647">
        <f>L647/VLOOKUP($D647,CPI!$P$16:$R$22,3,FALSE)</f>
        <v>31266.767125656243</v>
      </c>
    </row>
    <row r="648" spans="1:13" ht="16" thickBot="1" x14ac:dyDescent="0.25">
      <c r="A648" s="7">
        <v>2</v>
      </c>
      <c r="B648">
        <f>IF(ISBLANK(G648),"",VLOOKUP(H648,code!B:C,2,FALSE))</f>
        <v>2</v>
      </c>
      <c r="C648">
        <f t="shared" si="20"/>
        <v>1</v>
      </c>
      <c r="D648">
        <v>2021</v>
      </c>
      <c r="E648">
        <v>209542</v>
      </c>
      <c r="F648" t="s">
        <v>192</v>
      </c>
      <c r="G648" t="s">
        <v>285</v>
      </c>
      <c r="H648" t="s">
        <v>10</v>
      </c>
      <c r="I648">
        <v>245583</v>
      </c>
      <c r="J648">
        <f>I648/VLOOKUP($D648,CPI!$P$16:$R$22,3,FALSE)</f>
        <v>279678.98273611499</v>
      </c>
      <c r="K648">
        <f t="shared" si="21"/>
        <v>1</v>
      </c>
      <c r="L648" s="3" cm="1">
        <f t="array" ref="L648">IF($C648=0,INDEX('24&amp;25'!$L:$L,MATCH($D648&amp;$B648&amp;$E648,'24&amp;25'!$B:$B&amp;'24&amp;25'!$A:$A&amp;'24&amp;25'!$C:$C,0)),INDEX('24&amp;25'!$M:$M,MATCH($D648&amp;$B648&amp;$E648,'24&amp;25'!$B:$B&amp;'24&amp;25'!$A:$A&amp;'24&amp;25'!$C:$C,0)))</f>
        <v>215475</v>
      </c>
      <c r="M648">
        <f>L648/VLOOKUP($D648,CPI!$P$16:$R$22,3,FALSE)</f>
        <v>245390.88131126494</v>
      </c>
    </row>
    <row r="649" spans="1:13" ht="16" thickBot="1" x14ac:dyDescent="0.25">
      <c r="A649" s="7">
        <v>2</v>
      </c>
      <c r="B649">
        <f>IF(ISBLANK(G649),"",VLOOKUP(H649,code!B:C,2,FALSE))</f>
        <v>9</v>
      </c>
      <c r="C649">
        <f t="shared" si="20"/>
        <v>1</v>
      </c>
      <c r="D649">
        <v>2021</v>
      </c>
      <c r="E649">
        <v>209542</v>
      </c>
      <c r="F649" t="s">
        <v>192</v>
      </c>
      <c r="G649" t="s">
        <v>285</v>
      </c>
      <c r="H649" t="s">
        <v>17</v>
      </c>
      <c r="I649">
        <v>2342</v>
      </c>
      <c r="J649">
        <f>I649/VLOOKUP($D649,CPI!$P$16:$R$22,3,FALSE)</f>
        <v>2667.1560228842441</v>
      </c>
      <c r="K649">
        <f t="shared" si="21"/>
        <v>1</v>
      </c>
      <c r="L649" s="3" cm="1">
        <f t="array" ref="L649">IF($C649=0,INDEX('24&amp;25'!$L:$L,MATCH($D649&amp;$B649&amp;$E649,'24&amp;25'!$B:$B&amp;'24&amp;25'!$A:$A&amp;'24&amp;25'!$C:$C,0)),INDEX('24&amp;25'!$M:$M,MATCH($D649&amp;$B649&amp;$E649,'24&amp;25'!$B:$B&amp;'24&amp;25'!$A:$A&amp;'24&amp;25'!$C:$C,0)))</f>
        <v>0</v>
      </c>
      <c r="M649">
        <f>L649/VLOOKUP($D649,CPI!$P$16:$R$22,3,FALSE)</f>
        <v>0</v>
      </c>
    </row>
    <row r="650" spans="1:13" ht="16" thickBot="1" x14ac:dyDescent="0.25">
      <c r="A650" s="7">
        <v>2</v>
      </c>
      <c r="B650">
        <f>IF(ISBLANK(G650),"",VLOOKUP(H650,code!B:C,2,FALSE))</f>
        <v>10</v>
      </c>
      <c r="C650">
        <f t="shared" si="20"/>
        <v>1</v>
      </c>
      <c r="D650">
        <v>2021</v>
      </c>
      <c r="E650">
        <v>209542</v>
      </c>
      <c r="F650" t="s">
        <v>192</v>
      </c>
      <c r="G650" t="s">
        <v>285</v>
      </c>
      <c r="H650" t="s">
        <v>18</v>
      </c>
      <c r="I650">
        <v>12644</v>
      </c>
      <c r="J650">
        <f>I650/VLOOKUP($D650,CPI!$P$16:$R$22,3,FALSE)</f>
        <v>14399.45378025123</v>
      </c>
      <c r="K650">
        <f t="shared" si="21"/>
        <v>1</v>
      </c>
      <c r="L650" s="3" cm="1">
        <f t="array" ref="L650">IF($C650=0,INDEX('24&amp;25'!$L:$L,MATCH($D650&amp;$B650&amp;$E650,'24&amp;25'!$B:$B&amp;'24&amp;25'!$A:$A&amp;'24&amp;25'!$C:$C,0)),INDEX('24&amp;25'!$M:$M,MATCH($D650&amp;$B650&amp;$E650,'24&amp;25'!$B:$B&amp;'24&amp;25'!$A:$A&amp;'24&amp;25'!$C:$C,0)))</f>
        <v>77985</v>
      </c>
      <c r="M650">
        <f>L650/VLOOKUP($D650,CPI!$P$16:$R$22,3,FALSE)</f>
        <v>88812.195749200589</v>
      </c>
    </row>
    <row r="651" spans="1:13" ht="16" thickBot="1" x14ac:dyDescent="0.25">
      <c r="A651" s="7">
        <v>2</v>
      </c>
      <c r="B651">
        <f>IF(ISBLANK(G651),"",VLOOKUP(H651,code!B:C,2,FALSE))</f>
        <v>14</v>
      </c>
      <c r="C651">
        <f t="shared" si="20"/>
        <v>1</v>
      </c>
      <c r="D651">
        <v>2021</v>
      </c>
      <c r="E651">
        <v>209542</v>
      </c>
      <c r="F651" t="s">
        <v>192</v>
      </c>
      <c r="G651" t="s">
        <v>285</v>
      </c>
      <c r="H651" t="s">
        <v>22</v>
      </c>
      <c r="I651">
        <v>50686</v>
      </c>
      <c r="J651">
        <f>I651/VLOOKUP($D651,CPI!$P$16:$R$22,3,FALSE)</f>
        <v>57723.087180149785</v>
      </c>
      <c r="K651">
        <f t="shared" si="21"/>
        <v>1</v>
      </c>
      <c r="L651" s="3" cm="1">
        <f t="array" ref="L651">IF($C651=0,INDEX('24&amp;25'!$L:$L,MATCH($D651&amp;$B651&amp;$E651,'24&amp;25'!$B:$B&amp;'24&amp;25'!$A:$A&amp;'24&amp;25'!$C:$C,0)),INDEX('24&amp;25'!$M:$M,MATCH($D651&amp;$B651&amp;$E651,'24&amp;25'!$B:$B&amp;'24&amp;25'!$A:$A&amp;'24&amp;25'!$C:$C,0)))</f>
        <v>105851</v>
      </c>
      <c r="M651">
        <f>L651/VLOOKUP($D651,CPI!$P$16:$R$22,3,FALSE)</f>
        <v>120547.02484129809</v>
      </c>
    </row>
    <row r="652" spans="1:13" ht="16" thickBot="1" x14ac:dyDescent="0.25">
      <c r="A652" s="7">
        <v>2</v>
      </c>
      <c r="B652">
        <f>IF(ISBLANK(G652),"",VLOOKUP(H652,code!B:C,2,FALSE))</f>
        <v>17</v>
      </c>
      <c r="C652">
        <f t="shared" si="20"/>
        <v>1</v>
      </c>
      <c r="D652">
        <v>2021</v>
      </c>
      <c r="E652">
        <v>209542</v>
      </c>
      <c r="F652" t="s">
        <v>192</v>
      </c>
      <c r="G652" t="s">
        <v>285</v>
      </c>
      <c r="H652" t="s">
        <v>25</v>
      </c>
      <c r="I652">
        <v>3344</v>
      </c>
      <c r="J652">
        <f>I652/VLOOKUP($D652,CPI!$P$16:$R$22,3,FALSE)</f>
        <v>3808.2705980038054</v>
      </c>
      <c r="K652">
        <f t="shared" si="21"/>
        <v>1</v>
      </c>
      <c r="L652" s="3" cm="1">
        <f t="array" ref="L652">IF($C652=0,INDEX('24&amp;25'!$L:$L,MATCH($D652&amp;$B652&amp;$E652,'24&amp;25'!$B:$B&amp;'24&amp;25'!$A:$A&amp;'24&amp;25'!$C:$C,0)),INDEX('24&amp;25'!$M:$M,MATCH($D652&amp;$B652&amp;$E652,'24&amp;25'!$B:$B&amp;'24&amp;25'!$A:$A&amp;'24&amp;25'!$C:$C,0)))</f>
        <v>0</v>
      </c>
      <c r="M652">
        <f>L652/VLOOKUP($D652,CPI!$P$16:$R$22,3,FALSE)</f>
        <v>0</v>
      </c>
    </row>
    <row r="653" spans="1:13" ht="16" thickBot="1" x14ac:dyDescent="0.25">
      <c r="A653" s="7">
        <v>2</v>
      </c>
      <c r="B653">
        <f>IF(ISBLANK(G653),"",VLOOKUP(H653,code!B:C,2,FALSE))</f>
        <v>18</v>
      </c>
      <c r="C653">
        <f t="shared" si="20"/>
        <v>1</v>
      </c>
      <c r="D653">
        <v>2021</v>
      </c>
      <c r="E653">
        <v>209542</v>
      </c>
      <c r="F653" t="s">
        <v>192</v>
      </c>
      <c r="G653" t="s">
        <v>285</v>
      </c>
      <c r="H653" t="s">
        <v>26</v>
      </c>
      <c r="I653">
        <v>15314</v>
      </c>
      <c r="J653">
        <f>I653/VLOOKUP($D653,CPI!$P$16:$R$22,3,FALSE)</f>
        <v>17440.148306767427</v>
      </c>
      <c r="K653">
        <f t="shared" si="21"/>
        <v>1</v>
      </c>
      <c r="L653" s="3" cm="1">
        <f t="array" ref="L653">IF($C653=0,INDEX('24&amp;25'!$L:$L,MATCH($D653&amp;$B653&amp;$E653,'24&amp;25'!$B:$B&amp;'24&amp;25'!$A:$A&amp;'24&amp;25'!$C:$C,0)),INDEX('24&amp;25'!$M:$M,MATCH($D653&amp;$B653&amp;$E653,'24&amp;25'!$B:$B&amp;'24&amp;25'!$A:$A&amp;'24&amp;25'!$C:$C,0)))</f>
        <v>89006</v>
      </c>
      <c r="M653">
        <f>L653/VLOOKUP($D653,CPI!$P$16:$R$22,3,FALSE)</f>
        <v>101363.31723861444</v>
      </c>
    </row>
    <row r="654" spans="1:13" ht="16" thickBot="1" x14ac:dyDescent="0.25">
      <c r="A654" s="7">
        <v>2</v>
      </c>
      <c r="B654">
        <f>IF(ISBLANK(G654),"",VLOOKUP(H654,code!B:C,2,FALSE))</f>
        <v>21</v>
      </c>
      <c r="C654">
        <f t="shared" si="20"/>
        <v>1</v>
      </c>
      <c r="D654">
        <v>2021</v>
      </c>
      <c r="E654">
        <v>209542</v>
      </c>
      <c r="F654" t="s">
        <v>192</v>
      </c>
      <c r="G654" t="s">
        <v>285</v>
      </c>
      <c r="H654" t="s">
        <v>30</v>
      </c>
      <c r="I654">
        <v>975</v>
      </c>
      <c r="J654">
        <f>I654/VLOOKUP($D654,CPI!$P$16:$R$22,3,FALSE)</f>
        <v>1110.3659787840043</v>
      </c>
      <c r="K654">
        <f t="shared" si="21"/>
        <v>1</v>
      </c>
      <c r="L654" s="3" cm="1">
        <f t="array" ref="L654">IF($C654=0,INDEX('24&amp;25'!$L:$L,MATCH($D654&amp;$B654&amp;$E654,'24&amp;25'!$B:$B&amp;'24&amp;25'!$A:$A&amp;'24&amp;25'!$C:$C,0)),INDEX('24&amp;25'!$M:$M,MATCH($D654&amp;$B654&amp;$E654,'24&amp;25'!$B:$B&amp;'24&amp;25'!$A:$A&amp;'24&amp;25'!$C:$C,0)))</f>
        <v>0</v>
      </c>
      <c r="M654">
        <f>L654/VLOOKUP($D654,CPI!$P$16:$R$22,3,FALSE)</f>
        <v>0</v>
      </c>
    </row>
    <row r="655" spans="1:13" ht="16" thickBot="1" x14ac:dyDescent="0.25">
      <c r="A655" s="7">
        <v>2</v>
      </c>
      <c r="B655">
        <f>IF(ISBLANK(G655),"",VLOOKUP(H655,code!B:C,2,FALSE))</f>
        <v>23</v>
      </c>
      <c r="C655">
        <f t="shared" si="20"/>
        <v>1</v>
      </c>
      <c r="D655">
        <v>2021</v>
      </c>
      <c r="E655">
        <v>209542</v>
      </c>
      <c r="F655" t="s">
        <v>192</v>
      </c>
      <c r="G655" t="s">
        <v>285</v>
      </c>
      <c r="H655" t="s">
        <v>33</v>
      </c>
      <c r="I655">
        <v>368</v>
      </c>
      <c r="J655">
        <f>I655/VLOOKUP($D655,CPI!$P$16:$R$22,3,FALSE)</f>
        <v>419.09197968462928</v>
      </c>
      <c r="K655">
        <f t="shared" si="21"/>
        <v>1</v>
      </c>
      <c r="L655" s="3" cm="1">
        <f t="array" ref="L655">IF($C655=0,INDEX('24&amp;25'!$L:$L,MATCH($D655&amp;$B655&amp;$E655,'24&amp;25'!$B:$B&amp;'24&amp;25'!$A:$A&amp;'24&amp;25'!$C:$C,0)),INDEX('24&amp;25'!$M:$M,MATCH($D655&amp;$B655&amp;$E655,'24&amp;25'!$B:$B&amp;'24&amp;25'!$A:$A&amp;'24&amp;25'!$C:$C,0)))</f>
        <v>76795</v>
      </c>
      <c r="M655">
        <f>L655/VLOOKUP($D655,CPI!$P$16:$R$22,3,FALSE)</f>
        <v>87456.979836633443</v>
      </c>
    </row>
    <row r="656" spans="1:13" ht="16" thickBot="1" x14ac:dyDescent="0.25">
      <c r="A656" s="7">
        <v>2</v>
      </c>
      <c r="B656">
        <f>IF(ISBLANK(G656),"",VLOOKUP(H656,code!B:C,2,FALSE))</f>
        <v>1</v>
      </c>
      <c r="C656">
        <f t="shared" si="20"/>
        <v>0</v>
      </c>
      <c r="D656">
        <v>2022</v>
      </c>
      <c r="E656">
        <v>209542</v>
      </c>
      <c r="F656" t="s">
        <v>192</v>
      </c>
      <c r="G656" t="s">
        <v>284</v>
      </c>
      <c r="H656" t="s">
        <v>9</v>
      </c>
      <c r="I656">
        <v>2298053</v>
      </c>
      <c r="J656">
        <f>I656/VLOOKUP($D656,CPI!$P$16:$R$22,3,FALSE)</f>
        <v>2441957.8488839646</v>
      </c>
      <c r="K656">
        <f t="shared" si="21"/>
        <v>0</v>
      </c>
      <c r="L656" s="3" cm="1">
        <f t="array" ref="L656">IF($C656=0,INDEX('24&amp;25'!$L:$L,MATCH($D656&amp;$B656&amp;$E656,'24&amp;25'!$B:$B&amp;'24&amp;25'!$A:$A&amp;'24&amp;25'!$C:$C,0)),INDEX('24&amp;25'!$M:$M,MATCH($D656&amp;$B656&amp;$E656,'24&amp;25'!$B:$B&amp;'24&amp;25'!$A:$A&amp;'24&amp;25'!$C:$C,0)))</f>
        <v>100463</v>
      </c>
      <c r="M656">
        <f>L656/VLOOKUP($D656,CPI!$P$16:$R$22,3,FALSE)</f>
        <v>106754.02672280828</v>
      </c>
    </row>
    <row r="657" spans="1:13" ht="16" thickBot="1" x14ac:dyDescent="0.25">
      <c r="A657" s="7">
        <v>2</v>
      </c>
      <c r="B657">
        <f>IF(ISBLANK(G657),"",VLOOKUP(H657,code!B:C,2,FALSE))</f>
        <v>2</v>
      </c>
      <c r="C657">
        <f t="shared" si="20"/>
        <v>0</v>
      </c>
      <c r="D657">
        <v>2022</v>
      </c>
      <c r="E657">
        <v>209542</v>
      </c>
      <c r="F657" t="s">
        <v>192</v>
      </c>
      <c r="G657" t="s">
        <v>284</v>
      </c>
      <c r="H657" t="s">
        <v>10</v>
      </c>
      <c r="I657">
        <v>885820</v>
      </c>
      <c r="J657">
        <f>I657/VLOOKUP($D657,CPI!$P$16:$R$22,3,FALSE)</f>
        <v>941290.3452176227</v>
      </c>
      <c r="K657">
        <f t="shared" si="21"/>
        <v>0</v>
      </c>
      <c r="L657" s="3" cm="1">
        <f t="array" ref="L657">IF($C657=0,INDEX('24&amp;25'!$L:$L,MATCH($D657&amp;$B657&amp;$E657,'24&amp;25'!$B:$B&amp;'24&amp;25'!$A:$A&amp;'24&amp;25'!$C:$C,0)),INDEX('24&amp;25'!$M:$M,MATCH($D657&amp;$B657&amp;$E657,'24&amp;25'!$B:$B&amp;'24&amp;25'!$A:$A&amp;'24&amp;25'!$C:$C,0)))</f>
        <v>107634</v>
      </c>
      <c r="M657">
        <f>L657/VLOOKUP($D657,CPI!$P$16:$R$22,3,FALSE)</f>
        <v>114374.07714564314</v>
      </c>
    </row>
    <row r="658" spans="1:13" ht="16" thickBot="1" x14ac:dyDescent="0.25">
      <c r="A658" s="7">
        <v>2</v>
      </c>
      <c r="B658">
        <f>IF(ISBLANK(G658),"",VLOOKUP(H658,code!B:C,2,FALSE))</f>
        <v>8</v>
      </c>
      <c r="C658">
        <f t="shared" si="20"/>
        <v>0</v>
      </c>
      <c r="D658">
        <v>2022</v>
      </c>
      <c r="E658">
        <v>209542</v>
      </c>
      <c r="F658" t="s">
        <v>192</v>
      </c>
      <c r="G658" t="s">
        <v>284</v>
      </c>
      <c r="H658" t="s">
        <v>16</v>
      </c>
      <c r="I658">
        <v>6854643</v>
      </c>
      <c r="J658">
        <f>I658/VLOOKUP($D658,CPI!$P$16:$R$22,3,FALSE)</f>
        <v>7283883.0414910037</v>
      </c>
      <c r="K658">
        <f t="shared" si="21"/>
        <v>0</v>
      </c>
      <c r="L658" s="3" cm="1">
        <f t="array" ref="L658">IF($C658=0,INDEX('24&amp;25'!$L:$L,MATCH($D658&amp;$B658&amp;$E658,'24&amp;25'!$B:$B&amp;'24&amp;25'!$A:$A&amp;'24&amp;25'!$C:$C,0)),INDEX('24&amp;25'!$M:$M,MATCH($D658&amp;$B658&amp;$E658,'24&amp;25'!$B:$B&amp;'24&amp;25'!$A:$A&amp;'24&amp;25'!$C:$C,0)))</f>
        <v>1225482</v>
      </c>
      <c r="M658">
        <f>L658/VLOOKUP($D658,CPI!$P$16:$R$22,3,FALSE)</f>
        <v>1302222.0934704372</v>
      </c>
    </row>
    <row r="659" spans="1:13" ht="16" thickBot="1" x14ac:dyDescent="0.25">
      <c r="A659" s="7">
        <v>2</v>
      </c>
      <c r="B659">
        <f>IF(ISBLANK(G659),"",VLOOKUP(H659,code!B:C,2,FALSE))</f>
        <v>9</v>
      </c>
      <c r="C659">
        <f t="shared" si="20"/>
        <v>0</v>
      </c>
      <c r="D659">
        <v>2022</v>
      </c>
      <c r="E659">
        <v>209542</v>
      </c>
      <c r="F659" t="s">
        <v>192</v>
      </c>
      <c r="G659" t="s">
        <v>284</v>
      </c>
      <c r="H659" t="s">
        <v>17</v>
      </c>
      <c r="I659">
        <v>19282</v>
      </c>
      <c r="J659">
        <f>I659/VLOOKUP($D659,CPI!$P$16:$R$22,3,FALSE)</f>
        <v>20489.445300948501</v>
      </c>
      <c r="K659">
        <f t="shared" si="21"/>
        <v>0</v>
      </c>
      <c r="L659" s="3" cm="1">
        <f t="array" ref="L659">IF($C659=0,INDEX('24&amp;25'!$L:$L,MATCH($D659&amp;$B659&amp;$E659,'24&amp;25'!$B:$B&amp;'24&amp;25'!$A:$A&amp;'24&amp;25'!$C:$C,0)),INDEX('24&amp;25'!$M:$M,MATCH($D659&amp;$B659&amp;$E659,'24&amp;25'!$B:$B&amp;'24&amp;25'!$A:$A&amp;'24&amp;25'!$C:$C,0)))</f>
        <v>0</v>
      </c>
      <c r="M659">
        <f>L659/VLOOKUP($D659,CPI!$P$16:$R$22,3,FALSE)</f>
        <v>0</v>
      </c>
    </row>
    <row r="660" spans="1:13" ht="16" thickBot="1" x14ac:dyDescent="0.25">
      <c r="A660" s="7">
        <v>2</v>
      </c>
      <c r="B660">
        <f>IF(ISBLANK(G660),"",VLOOKUP(H660,code!B:C,2,FALSE))</f>
        <v>17</v>
      </c>
      <c r="C660">
        <f t="shared" si="20"/>
        <v>0</v>
      </c>
      <c r="D660">
        <v>2022</v>
      </c>
      <c r="E660">
        <v>209542</v>
      </c>
      <c r="F660" t="s">
        <v>192</v>
      </c>
      <c r="G660" t="s">
        <v>284</v>
      </c>
      <c r="H660" t="s">
        <v>25</v>
      </c>
      <c r="I660">
        <v>105885</v>
      </c>
      <c r="J660">
        <f>I660/VLOOKUP($D660,CPI!$P$16:$R$22,3,FALSE)</f>
        <v>112515.55417959404</v>
      </c>
      <c r="K660">
        <f t="shared" si="21"/>
        <v>0</v>
      </c>
      <c r="L660" s="3" cm="1">
        <f t="array" ref="L660">IF($C660=0,INDEX('24&amp;25'!$L:$L,MATCH($D660&amp;$B660&amp;$E660,'24&amp;25'!$B:$B&amp;'24&amp;25'!$A:$A&amp;'24&amp;25'!$C:$C,0)),INDEX('24&amp;25'!$M:$M,MATCH($D660&amp;$B660&amp;$E660,'24&amp;25'!$B:$B&amp;'24&amp;25'!$A:$A&amp;'24&amp;25'!$C:$C,0)))</f>
        <v>0</v>
      </c>
      <c r="M660">
        <f>L660/VLOOKUP($D660,CPI!$P$16:$R$22,3,FALSE)</f>
        <v>0</v>
      </c>
    </row>
    <row r="661" spans="1:13" ht="16" thickBot="1" x14ac:dyDescent="0.25">
      <c r="A661" s="7">
        <v>2</v>
      </c>
      <c r="B661">
        <f>IF(ISBLANK(G661),"",VLOOKUP(H661,code!B:C,2,FALSE))</f>
        <v>25</v>
      </c>
      <c r="C661">
        <f t="shared" si="20"/>
        <v>0</v>
      </c>
      <c r="D661">
        <v>2022</v>
      </c>
      <c r="E661">
        <v>209542</v>
      </c>
      <c r="F661" t="s">
        <v>192</v>
      </c>
      <c r="G661" t="s">
        <v>284</v>
      </c>
      <c r="H661" t="s">
        <v>35</v>
      </c>
      <c r="I661">
        <v>155616</v>
      </c>
      <c r="J661">
        <f>I661/VLOOKUP($D661,CPI!$P$16:$R$22,3,FALSE)</f>
        <v>165360.7260632923</v>
      </c>
      <c r="K661">
        <f t="shared" si="21"/>
        <v>0</v>
      </c>
      <c r="L661" s="3" cm="1">
        <f t="array" ref="L661">IF($C661=0,INDEX('24&amp;25'!$L:$L,MATCH($D661&amp;$B661&amp;$E661,'24&amp;25'!$B:$B&amp;'24&amp;25'!$A:$A&amp;'24&amp;25'!$C:$C,0)),INDEX('24&amp;25'!$M:$M,MATCH($D661&amp;$B661&amp;$E661,'24&amp;25'!$B:$B&amp;'24&amp;25'!$A:$A&amp;'24&amp;25'!$C:$C,0)))</f>
        <v>28830</v>
      </c>
      <c r="M661">
        <f>L661/VLOOKUP($D661,CPI!$P$16:$R$22,3,FALSE)</f>
        <v>30635.344260260623</v>
      </c>
    </row>
    <row r="662" spans="1:13" ht="16" thickBot="1" x14ac:dyDescent="0.25">
      <c r="A662" s="7">
        <v>2</v>
      </c>
      <c r="B662">
        <f>IF(ISBLANK(G662),"",VLOOKUP(H662,code!B:C,2,FALSE))</f>
        <v>2</v>
      </c>
      <c r="C662">
        <f t="shared" si="20"/>
        <v>1</v>
      </c>
      <c r="D662">
        <v>2022</v>
      </c>
      <c r="E662">
        <v>209542</v>
      </c>
      <c r="F662" t="s">
        <v>192</v>
      </c>
      <c r="G662" t="s">
        <v>285</v>
      </c>
      <c r="H662" t="s">
        <v>10</v>
      </c>
      <c r="I662">
        <v>864311</v>
      </c>
      <c r="J662">
        <f>I662/VLOOKUP($D662,CPI!$P$16:$R$22,3,FALSE)</f>
        <v>918434.44443045848</v>
      </c>
      <c r="K662">
        <f t="shared" si="21"/>
        <v>0</v>
      </c>
      <c r="L662" s="3" cm="1">
        <f t="array" ref="L662">IF($C662=0,INDEX('24&amp;25'!$L:$L,MATCH($D662&amp;$B662&amp;$E662,'24&amp;25'!$B:$B&amp;'24&amp;25'!$A:$A&amp;'24&amp;25'!$C:$C,0)),INDEX('24&amp;25'!$M:$M,MATCH($D662&amp;$B662&amp;$E662,'24&amp;25'!$B:$B&amp;'24&amp;25'!$A:$A&amp;'24&amp;25'!$C:$C,0)))</f>
        <v>134066</v>
      </c>
      <c r="M662">
        <f>L662/VLOOKUP($D662,CPI!$P$16:$R$22,3,FALSE)</f>
        <v>142461.2578423899</v>
      </c>
    </row>
    <row r="663" spans="1:13" ht="16" thickBot="1" x14ac:dyDescent="0.25">
      <c r="A663" s="7">
        <v>2</v>
      </c>
      <c r="B663">
        <f>IF(ISBLANK(G663),"",VLOOKUP(H663,code!B:C,2,FALSE))</f>
        <v>9</v>
      </c>
      <c r="C663">
        <f t="shared" si="20"/>
        <v>1</v>
      </c>
      <c r="D663">
        <v>2022</v>
      </c>
      <c r="E663">
        <v>209542</v>
      </c>
      <c r="F663" t="s">
        <v>192</v>
      </c>
      <c r="G663" t="s">
        <v>285</v>
      </c>
      <c r="H663" t="s">
        <v>17</v>
      </c>
      <c r="I663">
        <v>52256</v>
      </c>
      <c r="J663">
        <f>I663/VLOOKUP($D663,CPI!$P$16:$R$22,3,FALSE)</f>
        <v>55528.288229766877</v>
      </c>
      <c r="K663">
        <f t="shared" si="21"/>
        <v>0</v>
      </c>
      <c r="L663" s="3" cm="1">
        <f t="array" ref="L663">IF($C663=0,INDEX('24&amp;25'!$L:$L,MATCH($D663&amp;$B663&amp;$E663,'24&amp;25'!$B:$B&amp;'24&amp;25'!$A:$A&amp;'24&amp;25'!$C:$C,0)),INDEX('24&amp;25'!$M:$M,MATCH($D663&amp;$B663&amp;$E663,'24&amp;25'!$B:$B&amp;'24&amp;25'!$A:$A&amp;'24&amp;25'!$C:$C,0)))</f>
        <v>0</v>
      </c>
      <c r="M663">
        <f>L663/VLOOKUP($D663,CPI!$P$16:$R$22,3,FALSE)</f>
        <v>0</v>
      </c>
    </row>
    <row r="664" spans="1:13" ht="16" thickBot="1" x14ac:dyDescent="0.25">
      <c r="A664" s="7">
        <v>2</v>
      </c>
      <c r="B664">
        <f>IF(ISBLANK(G664),"",VLOOKUP(H664,code!B:C,2,FALSE))</f>
        <v>10</v>
      </c>
      <c r="C664">
        <f t="shared" si="20"/>
        <v>1</v>
      </c>
      <c r="D664">
        <v>2022</v>
      </c>
      <c r="E664">
        <v>209542</v>
      </c>
      <c r="F664" t="s">
        <v>192</v>
      </c>
      <c r="G664" t="s">
        <v>285</v>
      </c>
      <c r="H664" t="s">
        <v>18</v>
      </c>
      <c r="I664">
        <v>167179</v>
      </c>
      <c r="J664">
        <f>I664/VLOOKUP($D664,CPI!$P$16:$R$22,3,FALSE)</f>
        <v>177647.80499778391</v>
      </c>
      <c r="K664">
        <f t="shared" si="21"/>
        <v>0</v>
      </c>
      <c r="L664" s="3" cm="1">
        <f t="array" ref="L664">IF($C664=0,INDEX('24&amp;25'!$L:$L,MATCH($D664&amp;$B664&amp;$E664,'24&amp;25'!$B:$B&amp;'24&amp;25'!$A:$A&amp;'24&amp;25'!$C:$C,0)),INDEX('24&amp;25'!$M:$M,MATCH($D664&amp;$B664&amp;$E664,'24&amp;25'!$B:$B&amp;'24&amp;25'!$A:$A&amp;'24&amp;25'!$C:$C,0)))</f>
        <v>105445</v>
      </c>
      <c r="M664">
        <f>L664/VLOOKUP($D664,CPI!$P$16:$R$22,3,FALSE)</f>
        <v>112048.0012321603</v>
      </c>
    </row>
    <row r="665" spans="1:13" ht="16" thickBot="1" x14ac:dyDescent="0.25">
      <c r="A665" s="7">
        <v>2</v>
      </c>
      <c r="B665">
        <f>IF(ISBLANK(G665),"",VLOOKUP(H665,code!B:C,2,FALSE))</f>
        <v>14</v>
      </c>
      <c r="C665">
        <f t="shared" si="20"/>
        <v>1</v>
      </c>
      <c r="D665">
        <v>2022</v>
      </c>
      <c r="E665">
        <v>209542</v>
      </c>
      <c r="F665" t="s">
        <v>192</v>
      </c>
      <c r="G665" t="s">
        <v>285</v>
      </c>
      <c r="H665" t="s">
        <v>22</v>
      </c>
      <c r="I665">
        <v>154213</v>
      </c>
      <c r="J665">
        <f>I665/VLOOKUP($D665,CPI!$P$16:$R$22,3,FALSE)</f>
        <v>163869.86973317972</v>
      </c>
      <c r="K665">
        <f t="shared" si="21"/>
        <v>0</v>
      </c>
      <c r="L665" s="3" cm="1">
        <f t="array" ref="L665">IF($C665=0,INDEX('24&amp;25'!$L:$L,MATCH($D665&amp;$B665&amp;$E665,'24&amp;25'!$B:$B&amp;'24&amp;25'!$A:$A&amp;'24&amp;25'!$C:$C,0)),INDEX('24&amp;25'!$M:$M,MATCH($D665&amp;$B665&amp;$E665,'24&amp;25'!$B:$B&amp;'24&amp;25'!$A:$A&amp;'24&amp;25'!$C:$C,0)))</f>
        <v>0</v>
      </c>
      <c r="M665">
        <f>L665/VLOOKUP($D665,CPI!$P$16:$R$22,3,FALSE)</f>
        <v>0</v>
      </c>
    </row>
    <row r="666" spans="1:13" ht="16" thickBot="1" x14ac:dyDescent="0.25">
      <c r="A666" s="7">
        <v>2</v>
      </c>
      <c r="B666">
        <f>IF(ISBLANK(G666),"",VLOOKUP(H666,code!B:C,2,FALSE))</f>
        <v>17</v>
      </c>
      <c r="C666">
        <f t="shared" si="20"/>
        <v>1</v>
      </c>
      <c r="D666">
        <v>2022</v>
      </c>
      <c r="E666">
        <v>209542</v>
      </c>
      <c r="F666" t="s">
        <v>192</v>
      </c>
      <c r="G666" t="s">
        <v>285</v>
      </c>
      <c r="H666" t="s">
        <v>25</v>
      </c>
      <c r="I666">
        <v>60730</v>
      </c>
      <c r="J666">
        <f>I666/VLOOKUP($D666,CPI!$P$16:$R$22,3,FALSE)</f>
        <v>64532.932949206646</v>
      </c>
      <c r="K666">
        <f t="shared" si="21"/>
        <v>0</v>
      </c>
      <c r="L666" s="3" cm="1">
        <f t="array" ref="L666">IF($C666=0,INDEX('24&amp;25'!$L:$L,MATCH($D666&amp;$B666&amp;$E666,'24&amp;25'!$B:$B&amp;'24&amp;25'!$A:$A&amp;'24&amp;25'!$C:$C,0)),INDEX('24&amp;25'!$M:$M,MATCH($D666&amp;$B666&amp;$E666,'24&amp;25'!$B:$B&amp;'24&amp;25'!$A:$A&amp;'24&amp;25'!$C:$C,0)))</f>
        <v>0</v>
      </c>
      <c r="M666">
        <f>L666/VLOOKUP($D666,CPI!$P$16:$R$22,3,FALSE)</f>
        <v>0</v>
      </c>
    </row>
    <row r="667" spans="1:13" ht="16" thickBot="1" x14ac:dyDescent="0.25">
      <c r="A667" s="7">
        <v>2</v>
      </c>
      <c r="B667">
        <f>IF(ISBLANK(G667),"",VLOOKUP(H667,code!B:C,2,FALSE))</f>
        <v>18</v>
      </c>
      <c r="C667">
        <f t="shared" si="20"/>
        <v>1</v>
      </c>
      <c r="D667">
        <v>2022</v>
      </c>
      <c r="E667">
        <v>209542</v>
      </c>
      <c r="F667" t="s">
        <v>192</v>
      </c>
      <c r="G667" t="s">
        <v>285</v>
      </c>
      <c r="H667" t="s">
        <v>26</v>
      </c>
      <c r="I667">
        <v>37362</v>
      </c>
      <c r="J667">
        <f>I667/VLOOKUP($D667,CPI!$P$16:$R$22,3,FALSE)</f>
        <v>39701.620959134838</v>
      </c>
      <c r="K667">
        <f t="shared" si="21"/>
        <v>0</v>
      </c>
      <c r="L667" s="3" cm="1">
        <f t="array" ref="L667">IF($C667=0,INDEX('24&amp;25'!$L:$L,MATCH($D667&amp;$B667&amp;$E667,'24&amp;25'!$B:$B&amp;'24&amp;25'!$A:$A&amp;'24&amp;25'!$C:$C,0)),INDEX('24&amp;25'!$M:$M,MATCH($D667&amp;$B667&amp;$E667,'24&amp;25'!$B:$B&amp;'24&amp;25'!$A:$A&amp;'24&amp;25'!$C:$C,0)))</f>
        <v>96083</v>
      </c>
      <c r="M667">
        <f>L667/VLOOKUP($D667,CPI!$P$16:$R$22,3,FALSE)</f>
        <v>102099.74965517243</v>
      </c>
    </row>
    <row r="668" spans="1:13" ht="16" thickBot="1" x14ac:dyDescent="0.25">
      <c r="A668" s="7">
        <v>2</v>
      </c>
      <c r="B668">
        <f>IF(ISBLANK(G668),"",VLOOKUP(H668,code!B:C,2,FALSE))</f>
        <v>21</v>
      </c>
      <c r="C668">
        <f t="shared" si="20"/>
        <v>1</v>
      </c>
      <c r="D668">
        <v>2022</v>
      </c>
      <c r="E668">
        <v>209542</v>
      </c>
      <c r="F668" t="s">
        <v>192</v>
      </c>
      <c r="G668" t="s">
        <v>285</v>
      </c>
      <c r="H668" t="s">
        <v>30</v>
      </c>
      <c r="I668">
        <v>47874</v>
      </c>
      <c r="J668">
        <f>I668/VLOOKUP($D668,CPI!$P$16:$R$22,3,FALSE)</f>
        <v>50871.885921460875</v>
      </c>
      <c r="K668">
        <f t="shared" si="21"/>
        <v>0</v>
      </c>
      <c r="L668" s="3" cm="1">
        <f t="array" ref="L668">IF($C668=0,INDEX('24&amp;25'!$L:$L,MATCH($D668&amp;$B668&amp;$E668,'24&amp;25'!$B:$B&amp;'24&amp;25'!$A:$A&amp;'24&amp;25'!$C:$C,0)),INDEX('24&amp;25'!$M:$M,MATCH($D668&amp;$B668&amp;$E668,'24&amp;25'!$B:$B&amp;'24&amp;25'!$A:$A&amp;'24&amp;25'!$C:$C,0)))</f>
        <v>0</v>
      </c>
      <c r="M668">
        <f>L668/VLOOKUP($D668,CPI!$P$16:$R$22,3,FALSE)</f>
        <v>0</v>
      </c>
    </row>
    <row r="669" spans="1:13" ht="16" thickBot="1" x14ac:dyDescent="0.25">
      <c r="A669" s="7">
        <v>2</v>
      </c>
      <c r="B669">
        <f>IF(ISBLANK(G669),"",VLOOKUP(H669,code!B:C,2,FALSE))</f>
        <v>23</v>
      </c>
      <c r="C669">
        <f t="shared" si="20"/>
        <v>1</v>
      </c>
      <c r="D669">
        <v>2022</v>
      </c>
      <c r="E669">
        <v>209542</v>
      </c>
      <c r="F669" t="s">
        <v>192</v>
      </c>
      <c r="G669" t="s">
        <v>285</v>
      </c>
      <c r="H669" t="s">
        <v>33</v>
      </c>
      <c r="I669">
        <v>38915</v>
      </c>
      <c r="J669">
        <f>I669/VLOOKUP($D669,CPI!$P$16:$R$22,3,FALSE)</f>
        <v>41351.870339508918</v>
      </c>
      <c r="K669">
        <f t="shared" si="21"/>
        <v>0</v>
      </c>
      <c r="L669" s="3" cm="1">
        <f t="array" ref="L669">IF($C669=0,INDEX('24&amp;25'!$L:$L,MATCH($D669&amp;$B669&amp;$E669,'24&amp;25'!$B:$B&amp;'24&amp;25'!$A:$A&amp;'24&amp;25'!$C:$C,0)),INDEX('24&amp;25'!$M:$M,MATCH($D669&amp;$B669&amp;$E669,'24&amp;25'!$B:$B&amp;'24&amp;25'!$A:$A&amp;'24&amp;25'!$C:$C,0)))</f>
        <v>82711</v>
      </c>
      <c r="M669">
        <f>L669/VLOOKUP($D669,CPI!$P$16:$R$22,3,FALSE)</f>
        <v>87890.390534527105</v>
      </c>
    </row>
    <row r="670" spans="1:13" ht="16" thickBot="1" x14ac:dyDescent="0.25">
      <c r="A670" s="7">
        <v>2</v>
      </c>
      <c r="B670">
        <f>IF(ISBLANK(G670),"",VLOOKUP(H670,code!B:C,2,FALSE))</f>
        <v>1</v>
      </c>
      <c r="C670">
        <f t="shared" si="20"/>
        <v>0</v>
      </c>
      <c r="D670">
        <v>2023</v>
      </c>
      <c r="E670">
        <v>209542</v>
      </c>
      <c r="F670" t="s">
        <v>192</v>
      </c>
      <c r="G670" t="s">
        <v>284</v>
      </c>
      <c r="H670" t="s">
        <v>9</v>
      </c>
      <c r="I670">
        <v>1884810</v>
      </c>
      <c r="J670">
        <f>I670/VLOOKUP($D670,CPI!$P$16:$R$22,3,FALSE)</f>
        <v>1884810</v>
      </c>
      <c r="K670">
        <f t="shared" si="21"/>
        <v>0</v>
      </c>
      <c r="L670" s="3" cm="1">
        <f t="array" ref="L670">IF($C670=0,INDEX('24&amp;25'!$L:$L,MATCH($D670&amp;$B670&amp;$E670,'24&amp;25'!$B:$B&amp;'24&amp;25'!$A:$A&amp;'24&amp;25'!$C:$C,0)),INDEX('24&amp;25'!$M:$M,MATCH($D670&amp;$B670&amp;$E670,'24&amp;25'!$B:$B&amp;'24&amp;25'!$A:$A&amp;'24&amp;25'!$C:$C,0)))</f>
        <v>196677</v>
      </c>
      <c r="M670">
        <f>L670/VLOOKUP($D670,CPI!$P$16:$R$22,3,FALSE)</f>
        <v>196677</v>
      </c>
    </row>
    <row r="671" spans="1:13" ht="16" thickBot="1" x14ac:dyDescent="0.25">
      <c r="A671" s="7">
        <v>2</v>
      </c>
      <c r="B671">
        <f>IF(ISBLANK(G671),"",VLOOKUP(H671,code!B:C,2,FALSE))</f>
        <v>2</v>
      </c>
      <c r="C671">
        <f t="shared" si="20"/>
        <v>0</v>
      </c>
      <c r="D671">
        <v>2023</v>
      </c>
      <c r="E671">
        <v>209542</v>
      </c>
      <c r="F671" t="s">
        <v>192</v>
      </c>
      <c r="G671" t="s">
        <v>284</v>
      </c>
      <c r="H671" t="s">
        <v>10</v>
      </c>
      <c r="I671">
        <v>2456160</v>
      </c>
      <c r="J671">
        <f>I671/VLOOKUP($D671,CPI!$P$16:$R$22,3,FALSE)</f>
        <v>2456160</v>
      </c>
      <c r="K671">
        <f t="shared" si="21"/>
        <v>0</v>
      </c>
      <c r="L671" s="3" cm="1">
        <f t="array" ref="L671">IF($C671=0,INDEX('24&amp;25'!$L:$L,MATCH($D671&amp;$B671&amp;$E671,'24&amp;25'!$B:$B&amp;'24&amp;25'!$A:$A&amp;'24&amp;25'!$C:$C,0)),INDEX('24&amp;25'!$M:$M,MATCH($D671&amp;$B671&amp;$E671,'24&amp;25'!$B:$B&amp;'24&amp;25'!$A:$A&amp;'24&amp;25'!$C:$C,0)))</f>
        <v>317729</v>
      </c>
      <c r="M671">
        <f>L671/VLOOKUP($D671,CPI!$P$16:$R$22,3,FALSE)</f>
        <v>317729</v>
      </c>
    </row>
    <row r="672" spans="1:13" ht="16" thickBot="1" x14ac:dyDescent="0.25">
      <c r="A672" s="7">
        <v>2</v>
      </c>
      <c r="B672">
        <f>IF(ISBLANK(G672),"",VLOOKUP(H672,code!B:C,2,FALSE))</f>
        <v>8</v>
      </c>
      <c r="C672">
        <f t="shared" si="20"/>
        <v>0</v>
      </c>
      <c r="D672">
        <v>2023</v>
      </c>
      <c r="E672">
        <v>209542</v>
      </c>
      <c r="F672" t="s">
        <v>192</v>
      </c>
      <c r="G672" t="s">
        <v>284</v>
      </c>
      <c r="H672" t="s">
        <v>16</v>
      </c>
      <c r="I672">
        <v>10209182</v>
      </c>
      <c r="J672">
        <f>I672/VLOOKUP($D672,CPI!$P$16:$R$22,3,FALSE)</f>
        <v>10209182</v>
      </c>
      <c r="K672">
        <f t="shared" si="21"/>
        <v>0</v>
      </c>
      <c r="L672" s="3" cm="1">
        <f t="array" ref="L672">IF($C672=0,INDEX('24&amp;25'!$L:$L,MATCH($D672&amp;$B672&amp;$E672,'24&amp;25'!$B:$B&amp;'24&amp;25'!$A:$A&amp;'24&amp;25'!$C:$C,0)),INDEX('24&amp;25'!$M:$M,MATCH($D672&amp;$B672&amp;$E672,'24&amp;25'!$B:$B&amp;'24&amp;25'!$A:$A&amp;'24&amp;25'!$C:$C,0)))</f>
        <v>2228694</v>
      </c>
      <c r="M672">
        <f>L672/VLOOKUP($D672,CPI!$P$16:$R$22,3,FALSE)</f>
        <v>2228694</v>
      </c>
    </row>
    <row r="673" spans="1:13" ht="16" thickBot="1" x14ac:dyDescent="0.25">
      <c r="A673" s="7">
        <v>2</v>
      </c>
      <c r="B673">
        <f>IF(ISBLANK(G673),"",VLOOKUP(H673,code!B:C,2,FALSE))</f>
        <v>9</v>
      </c>
      <c r="C673">
        <f t="shared" si="20"/>
        <v>0</v>
      </c>
      <c r="D673">
        <v>2023</v>
      </c>
      <c r="E673">
        <v>209542</v>
      </c>
      <c r="F673" t="s">
        <v>192</v>
      </c>
      <c r="G673" t="s">
        <v>284</v>
      </c>
      <c r="H673" t="s">
        <v>17</v>
      </c>
      <c r="I673">
        <v>56782</v>
      </c>
      <c r="J673">
        <f>I673/VLOOKUP($D673,CPI!$P$16:$R$22,3,FALSE)</f>
        <v>56782</v>
      </c>
      <c r="K673">
        <f t="shared" si="21"/>
        <v>0</v>
      </c>
      <c r="L673" s="3" cm="1">
        <f t="array" ref="L673">IF($C673=0,INDEX('24&amp;25'!$L:$L,MATCH($D673&amp;$B673&amp;$E673,'24&amp;25'!$B:$B&amp;'24&amp;25'!$A:$A&amp;'24&amp;25'!$C:$C,0)),INDEX('24&amp;25'!$M:$M,MATCH($D673&amp;$B673&amp;$E673,'24&amp;25'!$B:$B&amp;'24&amp;25'!$A:$A&amp;'24&amp;25'!$C:$C,0)))</f>
        <v>0</v>
      </c>
      <c r="M673">
        <f>L673/VLOOKUP($D673,CPI!$P$16:$R$22,3,FALSE)</f>
        <v>0</v>
      </c>
    </row>
    <row r="674" spans="1:13" ht="16" thickBot="1" x14ac:dyDescent="0.25">
      <c r="A674" s="7">
        <v>2</v>
      </c>
      <c r="B674">
        <f>IF(ISBLANK(G674),"",VLOOKUP(H674,code!B:C,2,FALSE))</f>
        <v>17</v>
      </c>
      <c r="C674">
        <f t="shared" si="20"/>
        <v>0</v>
      </c>
      <c r="D674">
        <v>2023</v>
      </c>
      <c r="E674">
        <v>209542</v>
      </c>
      <c r="F674" t="s">
        <v>192</v>
      </c>
      <c r="G674" t="s">
        <v>284</v>
      </c>
      <c r="H674" t="s">
        <v>25</v>
      </c>
      <c r="I674">
        <v>91639</v>
      </c>
      <c r="J674">
        <f>I674/VLOOKUP($D674,CPI!$P$16:$R$22,3,FALSE)</f>
        <v>91639</v>
      </c>
      <c r="K674">
        <f t="shared" si="21"/>
        <v>0</v>
      </c>
      <c r="L674" s="3" cm="1">
        <f t="array" ref="L674">IF($C674=0,INDEX('24&amp;25'!$L:$L,MATCH($D674&amp;$B674&amp;$E674,'24&amp;25'!$B:$B&amp;'24&amp;25'!$A:$A&amp;'24&amp;25'!$C:$C,0)),INDEX('24&amp;25'!$M:$M,MATCH($D674&amp;$B674&amp;$E674,'24&amp;25'!$B:$B&amp;'24&amp;25'!$A:$A&amp;'24&amp;25'!$C:$C,0)))</f>
        <v>0</v>
      </c>
      <c r="M674">
        <f>L674/VLOOKUP($D674,CPI!$P$16:$R$22,3,FALSE)</f>
        <v>0</v>
      </c>
    </row>
    <row r="675" spans="1:13" ht="16" thickBot="1" x14ac:dyDescent="0.25">
      <c r="A675" s="7">
        <v>2</v>
      </c>
      <c r="B675">
        <f>IF(ISBLANK(G675),"",VLOOKUP(H675,code!B:C,2,FALSE))</f>
        <v>25</v>
      </c>
      <c r="C675">
        <f t="shared" si="20"/>
        <v>0</v>
      </c>
      <c r="D675">
        <v>2023</v>
      </c>
      <c r="E675">
        <v>209542</v>
      </c>
      <c r="F675" t="s">
        <v>192</v>
      </c>
      <c r="G675" t="s">
        <v>284</v>
      </c>
      <c r="H675" t="s">
        <v>35</v>
      </c>
      <c r="I675">
        <v>120059</v>
      </c>
      <c r="J675">
        <f>I675/VLOOKUP($D675,CPI!$P$16:$R$22,3,FALSE)</f>
        <v>120059</v>
      </c>
      <c r="K675">
        <f t="shared" si="21"/>
        <v>0</v>
      </c>
      <c r="L675" s="3" cm="1">
        <f t="array" ref="L675">IF($C675=0,INDEX('24&amp;25'!$L:$L,MATCH($D675&amp;$B675&amp;$E675,'24&amp;25'!$B:$B&amp;'24&amp;25'!$A:$A&amp;'24&amp;25'!$C:$C,0)),INDEX('24&amp;25'!$M:$M,MATCH($D675&amp;$B675&amp;$E675,'24&amp;25'!$B:$B&amp;'24&amp;25'!$A:$A&amp;'24&amp;25'!$C:$C,0)))</f>
        <v>87408</v>
      </c>
      <c r="M675">
        <f>L675/VLOOKUP($D675,CPI!$P$16:$R$22,3,FALSE)</f>
        <v>87408</v>
      </c>
    </row>
    <row r="676" spans="1:13" ht="16" thickBot="1" x14ac:dyDescent="0.25">
      <c r="A676" s="7">
        <v>2</v>
      </c>
      <c r="B676">
        <f>IF(ISBLANK(G676),"",VLOOKUP(H676,code!B:C,2,FALSE))</f>
        <v>2</v>
      </c>
      <c r="C676">
        <f t="shared" si="20"/>
        <v>1</v>
      </c>
      <c r="D676">
        <v>2023</v>
      </c>
      <c r="E676">
        <v>209542</v>
      </c>
      <c r="F676" t="s">
        <v>192</v>
      </c>
      <c r="G676" t="s">
        <v>285</v>
      </c>
      <c r="H676" t="s">
        <v>10</v>
      </c>
      <c r="I676">
        <v>1374658</v>
      </c>
      <c r="J676">
        <f>I676/VLOOKUP($D676,CPI!$P$16:$R$22,3,FALSE)</f>
        <v>1374658</v>
      </c>
      <c r="K676">
        <f t="shared" si="21"/>
        <v>0</v>
      </c>
      <c r="L676" s="3" cm="1">
        <f t="array" ref="L676">IF($C676=0,INDEX('24&amp;25'!$L:$L,MATCH($D676&amp;$B676&amp;$E676,'24&amp;25'!$B:$B&amp;'24&amp;25'!$A:$A&amp;'24&amp;25'!$C:$C,0)),INDEX('24&amp;25'!$M:$M,MATCH($D676&amp;$B676&amp;$E676,'24&amp;25'!$B:$B&amp;'24&amp;25'!$A:$A&amp;'24&amp;25'!$C:$C,0)))</f>
        <v>400064</v>
      </c>
      <c r="M676">
        <f>L676/VLOOKUP($D676,CPI!$P$16:$R$22,3,FALSE)</f>
        <v>400064</v>
      </c>
    </row>
    <row r="677" spans="1:13" ht="16" thickBot="1" x14ac:dyDescent="0.25">
      <c r="A677" s="7">
        <v>2</v>
      </c>
      <c r="B677">
        <f>IF(ISBLANK(G677),"",VLOOKUP(H677,code!B:C,2,FALSE))</f>
        <v>9</v>
      </c>
      <c r="C677">
        <f t="shared" si="20"/>
        <v>1</v>
      </c>
      <c r="D677">
        <v>2023</v>
      </c>
      <c r="E677">
        <v>209542</v>
      </c>
      <c r="F677" t="s">
        <v>192</v>
      </c>
      <c r="G677" t="s">
        <v>285</v>
      </c>
      <c r="H677" t="s">
        <v>17</v>
      </c>
      <c r="I677">
        <v>19783</v>
      </c>
      <c r="J677">
        <f>I677/VLOOKUP($D677,CPI!$P$16:$R$22,3,FALSE)</f>
        <v>19783</v>
      </c>
      <c r="K677">
        <f t="shared" si="21"/>
        <v>0</v>
      </c>
      <c r="L677" s="3" cm="1">
        <f t="array" ref="L677">IF($C677=0,INDEX('24&amp;25'!$L:$L,MATCH($D677&amp;$B677&amp;$E677,'24&amp;25'!$B:$B&amp;'24&amp;25'!$A:$A&amp;'24&amp;25'!$C:$C,0)),INDEX('24&amp;25'!$M:$M,MATCH($D677&amp;$B677&amp;$E677,'24&amp;25'!$B:$B&amp;'24&amp;25'!$A:$A&amp;'24&amp;25'!$C:$C,0)))</f>
        <v>0</v>
      </c>
      <c r="M677">
        <f>L677/VLOOKUP($D677,CPI!$P$16:$R$22,3,FALSE)</f>
        <v>0</v>
      </c>
    </row>
    <row r="678" spans="1:13" ht="16" thickBot="1" x14ac:dyDescent="0.25">
      <c r="A678" s="7">
        <v>2</v>
      </c>
      <c r="B678">
        <f>IF(ISBLANK(G678),"",VLOOKUP(H678,code!B:C,2,FALSE))</f>
        <v>10</v>
      </c>
      <c r="C678">
        <f t="shared" si="20"/>
        <v>1</v>
      </c>
      <c r="D678">
        <v>2023</v>
      </c>
      <c r="E678">
        <v>209542</v>
      </c>
      <c r="F678" t="s">
        <v>192</v>
      </c>
      <c r="G678" t="s">
        <v>285</v>
      </c>
      <c r="H678" t="s">
        <v>18</v>
      </c>
      <c r="I678">
        <v>258109</v>
      </c>
      <c r="J678">
        <f>I678/VLOOKUP($D678,CPI!$P$16:$R$22,3,FALSE)</f>
        <v>258109</v>
      </c>
      <c r="K678">
        <f t="shared" si="21"/>
        <v>0</v>
      </c>
      <c r="L678" s="3" cm="1">
        <f t="array" ref="L678">IF($C678=0,INDEX('24&amp;25'!$L:$L,MATCH($D678&amp;$B678&amp;$E678,'24&amp;25'!$B:$B&amp;'24&amp;25'!$A:$A&amp;'24&amp;25'!$C:$C,0)),INDEX('24&amp;25'!$M:$M,MATCH($D678&amp;$B678&amp;$E678,'24&amp;25'!$B:$B&amp;'24&amp;25'!$A:$A&amp;'24&amp;25'!$C:$C,0)))</f>
        <v>106478</v>
      </c>
      <c r="M678">
        <f>L678/VLOOKUP($D678,CPI!$P$16:$R$22,3,FALSE)</f>
        <v>106478</v>
      </c>
    </row>
    <row r="679" spans="1:13" ht="16" thickBot="1" x14ac:dyDescent="0.25">
      <c r="A679" s="7">
        <v>2</v>
      </c>
      <c r="B679">
        <f>IF(ISBLANK(G679),"",VLOOKUP(H679,code!B:C,2,FALSE))</f>
        <v>14</v>
      </c>
      <c r="C679">
        <f t="shared" si="20"/>
        <v>1</v>
      </c>
      <c r="D679">
        <v>2023</v>
      </c>
      <c r="E679">
        <v>209542</v>
      </c>
      <c r="F679" t="s">
        <v>192</v>
      </c>
      <c r="G679" t="s">
        <v>285</v>
      </c>
      <c r="H679" t="s">
        <v>22</v>
      </c>
      <c r="I679">
        <v>162340</v>
      </c>
      <c r="J679">
        <f>I679/VLOOKUP($D679,CPI!$P$16:$R$22,3,FALSE)</f>
        <v>162340</v>
      </c>
      <c r="K679">
        <f t="shared" si="21"/>
        <v>0</v>
      </c>
      <c r="L679" s="3" cm="1">
        <f t="array" ref="L679">IF($C679=0,INDEX('24&amp;25'!$L:$L,MATCH($D679&amp;$B679&amp;$E679,'24&amp;25'!$B:$B&amp;'24&amp;25'!$A:$A&amp;'24&amp;25'!$C:$C,0)),INDEX('24&amp;25'!$M:$M,MATCH($D679&amp;$B679&amp;$E679,'24&amp;25'!$B:$B&amp;'24&amp;25'!$A:$A&amp;'24&amp;25'!$C:$C,0)))</f>
        <v>116762</v>
      </c>
      <c r="M679">
        <f>L679/VLOOKUP($D679,CPI!$P$16:$R$22,3,FALSE)</f>
        <v>116762</v>
      </c>
    </row>
    <row r="680" spans="1:13" ht="16" thickBot="1" x14ac:dyDescent="0.25">
      <c r="A680" s="7">
        <v>2</v>
      </c>
      <c r="B680">
        <f>IF(ISBLANK(G680),"",VLOOKUP(H680,code!B:C,2,FALSE))</f>
        <v>17</v>
      </c>
      <c r="C680">
        <f t="shared" si="20"/>
        <v>1</v>
      </c>
      <c r="D680">
        <v>2023</v>
      </c>
      <c r="E680">
        <v>209542</v>
      </c>
      <c r="F680" t="s">
        <v>192</v>
      </c>
      <c r="G680" t="s">
        <v>285</v>
      </c>
      <c r="H680" t="s">
        <v>25</v>
      </c>
      <c r="I680">
        <v>53057</v>
      </c>
      <c r="J680">
        <f>I680/VLOOKUP($D680,CPI!$P$16:$R$22,3,FALSE)</f>
        <v>53057</v>
      </c>
      <c r="K680">
        <f t="shared" si="21"/>
        <v>0</v>
      </c>
      <c r="L680" s="3" cm="1">
        <f t="array" ref="L680">IF($C680=0,INDEX('24&amp;25'!$L:$L,MATCH($D680&amp;$B680&amp;$E680,'24&amp;25'!$B:$B&amp;'24&amp;25'!$A:$A&amp;'24&amp;25'!$C:$C,0)),INDEX('24&amp;25'!$M:$M,MATCH($D680&amp;$B680&amp;$E680,'24&amp;25'!$B:$B&amp;'24&amp;25'!$A:$A&amp;'24&amp;25'!$C:$C,0)))</f>
        <v>0</v>
      </c>
      <c r="M680">
        <f>L680/VLOOKUP($D680,CPI!$P$16:$R$22,3,FALSE)</f>
        <v>0</v>
      </c>
    </row>
    <row r="681" spans="1:13" ht="16" thickBot="1" x14ac:dyDescent="0.25">
      <c r="A681" s="7">
        <v>2</v>
      </c>
      <c r="B681">
        <f>IF(ISBLANK(G681),"",VLOOKUP(H681,code!B:C,2,FALSE))</f>
        <v>18</v>
      </c>
      <c r="C681">
        <f t="shared" si="20"/>
        <v>1</v>
      </c>
      <c r="D681">
        <v>2023</v>
      </c>
      <c r="E681">
        <v>209542</v>
      </c>
      <c r="F681" t="s">
        <v>192</v>
      </c>
      <c r="G681" t="s">
        <v>285</v>
      </c>
      <c r="H681" t="s">
        <v>26</v>
      </c>
      <c r="I681">
        <v>116377</v>
      </c>
      <c r="J681">
        <f>I681/VLOOKUP($D681,CPI!$P$16:$R$22,3,FALSE)</f>
        <v>116377</v>
      </c>
      <c r="K681">
        <f t="shared" si="21"/>
        <v>0</v>
      </c>
      <c r="L681" s="3" cm="1">
        <f t="array" ref="L681">IF($C681=0,INDEX('24&amp;25'!$L:$L,MATCH($D681&amp;$B681&amp;$E681,'24&amp;25'!$B:$B&amp;'24&amp;25'!$A:$A&amp;'24&amp;25'!$C:$C,0)),INDEX('24&amp;25'!$M:$M,MATCH($D681&amp;$B681&amp;$E681,'24&amp;25'!$B:$B&amp;'24&amp;25'!$A:$A&amp;'24&amp;25'!$C:$C,0)))</f>
        <v>147620</v>
      </c>
      <c r="M681">
        <f>L681/VLOOKUP($D681,CPI!$P$16:$R$22,3,FALSE)</f>
        <v>147620</v>
      </c>
    </row>
    <row r="682" spans="1:13" ht="16" thickBot="1" x14ac:dyDescent="0.25">
      <c r="A682" s="7">
        <v>2</v>
      </c>
      <c r="B682">
        <f>IF(ISBLANK(G682),"",VLOOKUP(H682,code!B:C,2,FALSE))</f>
        <v>21</v>
      </c>
      <c r="C682">
        <f t="shared" si="20"/>
        <v>1</v>
      </c>
      <c r="D682">
        <v>2023</v>
      </c>
      <c r="E682">
        <v>209542</v>
      </c>
      <c r="F682" t="s">
        <v>192</v>
      </c>
      <c r="G682" t="s">
        <v>285</v>
      </c>
      <c r="H682" t="s">
        <v>31</v>
      </c>
      <c r="I682">
        <v>77675</v>
      </c>
      <c r="J682">
        <f>I682/VLOOKUP($D682,CPI!$P$16:$R$22,3,FALSE)</f>
        <v>77675</v>
      </c>
      <c r="K682">
        <f t="shared" si="21"/>
        <v>0</v>
      </c>
      <c r="L682" s="3" cm="1">
        <f t="array" ref="L682">IF($C682=0,INDEX('24&amp;25'!$L:$L,MATCH($D682&amp;$B682&amp;$E682,'24&amp;25'!$B:$B&amp;'24&amp;25'!$A:$A&amp;'24&amp;25'!$C:$C,0)),INDEX('24&amp;25'!$M:$M,MATCH($D682&amp;$B682&amp;$E682,'24&amp;25'!$B:$B&amp;'24&amp;25'!$A:$A&amp;'24&amp;25'!$C:$C,0)))</f>
        <v>0</v>
      </c>
      <c r="M682">
        <f>L682/VLOOKUP($D682,CPI!$P$16:$R$22,3,FALSE)</f>
        <v>0</v>
      </c>
    </row>
    <row r="683" spans="1:13" ht="16" thickBot="1" x14ac:dyDescent="0.25">
      <c r="A683" s="7">
        <v>2</v>
      </c>
      <c r="B683">
        <f>IF(ISBLANK(G683),"",VLOOKUP(H683,code!B:C,2,FALSE))</f>
        <v>23</v>
      </c>
      <c r="C683">
        <f t="shared" si="20"/>
        <v>1</v>
      </c>
      <c r="D683">
        <v>2023</v>
      </c>
      <c r="E683">
        <v>209542</v>
      </c>
      <c r="F683" t="s">
        <v>192</v>
      </c>
      <c r="G683" t="s">
        <v>285</v>
      </c>
      <c r="H683" t="s">
        <v>33</v>
      </c>
      <c r="I683">
        <v>60845</v>
      </c>
      <c r="J683">
        <f>I683/VLOOKUP($D683,CPI!$P$16:$R$22,3,FALSE)</f>
        <v>60845</v>
      </c>
      <c r="K683">
        <f t="shared" si="21"/>
        <v>0</v>
      </c>
      <c r="L683" s="3" cm="1">
        <f t="array" ref="L683">IF($C683=0,INDEX('24&amp;25'!$L:$L,MATCH($D683&amp;$B683&amp;$E683,'24&amp;25'!$B:$B&amp;'24&amp;25'!$A:$A&amp;'24&amp;25'!$C:$C,0)),INDEX('24&amp;25'!$M:$M,MATCH($D683&amp;$B683&amp;$E683,'24&amp;25'!$B:$B&amp;'24&amp;25'!$A:$A&amp;'24&amp;25'!$C:$C,0)))</f>
        <v>91235</v>
      </c>
      <c r="M683">
        <f>L683/VLOOKUP($D683,CPI!$P$16:$R$22,3,FALSE)</f>
        <v>91235</v>
      </c>
    </row>
    <row r="684" spans="1:13" ht="16" thickBot="1" x14ac:dyDescent="0.25">
      <c r="A684" s="7">
        <v>2</v>
      </c>
      <c r="B684">
        <f>IF(ISBLANK(G684),"",VLOOKUP(H684,code!B:C,2,FALSE))</f>
        <v>2</v>
      </c>
      <c r="C684">
        <f t="shared" si="20"/>
        <v>0</v>
      </c>
      <c r="D684">
        <v>2017</v>
      </c>
      <c r="E684">
        <v>209807</v>
      </c>
      <c r="F684" t="s">
        <v>194</v>
      </c>
      <c r="G684" t="s">
        <v>284</v>
      </c>
      <c r="H684" t="s">
        <v>10</v>
      </c>
      <c r="I684">
        <v>363732</v>
      </c>
      <c r="J684">
        <f>I684/VLOOKUP($D684,CPI!$P$16:$R$22,3,FALSE)</f>
        <v>449216.09883106372</v>
      </c>
      <c r="K684">
        <f t="shared" si="21"/>
        <v>0</v>
      </c>
      <c r="L684" s="3" cm="1">
        <f t="array" ref="L684">IF($C684=0,INDEX('24&amp;25'!$L:$L,MATCH($D684&amp;$B684&amp;$E684,'24&amp;25'!$B:$B&amp;'24&amp;25'!$A:$A&amp;'24&amp;25'!$C:$C,0)),INDEX('24&amp;25'!$M:$M,MATCH($D684&amp;$B684&amp;$E684,'24&amp;25'!$B:$B&amp;'24&amp;25'!$A:$A&amp;'24&amp;25'!$C:$C,0)))</f>
        <v>0</v>
      </c>
      <c r="M684">
        <f>L684/VLOOKUP($D684,CPI!$P$16:$R$22,3,FALSE)</f>
        <v>0</v>
      </c>
    </row>
    <row r="685" spans="1:13" ht="16" thickBot="1" x14ac:dyDescent="0.25">
      <c r="A685" s="7">
        <v>2</v>
      </c>
      <c r="B685">
        <f>IF(ISBLANK(G685),"",VLOOKUP(H685,code!B:C,2,FALSE))</f>
        <v>8</v>
      </c>
      <c r="C685">
        <f t="shared" si="20"/>
        <v>0</v>
      </c>
      <c r="D685">
        <v>2017</v>
      </c>
      <c r="E685">
        <v>209807</v>
      </c>
      <c r="F685" t="s">
        <v>194</v>
      </c>
      <c r="G685" t="s">
        <v>284</v>
      </c>
      <c r="H685" t="s">
        <v>16</v>
      </c>
      <c r="I685">
        <v>1232448</v>
      </c>
      <c r="J685">
        <f>I685/VLOOKUP($D685,CPI!$P$16:$R$22,3,FALSE)</f>
        <v>1522097.2654925792</v>
      </c>
      <c r="K685">
        <f t="shared" si="21"/>
        <v>0</v>
      </c>
      <c r="L685" s="3" cm="1">
        <f t="array" ref="L685">IF($C685=0,INDEX('24&amp;25'!$L:$L,MATCH($D685&amp;$B685&amp;$E685,'24&amp;25'!$B:$B&amp;'24&amp;25'!$A:$A&amp;'24&amp;25'!$C:$C,0)),INDEX('24&amp;25'!$M:$M,MATCH($D685&amp;$B685&amp;$E685,'24&amp;25'!$B:$B&amp;'24&amp;25'!$A:$A&amp;'24&amp;25'!$C:$C,0)))</f>
        <v>0</v>
      </c>
      <c r="M685">
        <f>L685/VLOOKUP($D685,CPI!$P$16:$R$22,3,FALSE)</f>
        <v>0</v>
      </c>
    </row>
    <row r="686" spans="1:13" ht="16" thickBot="1" x14ac:dyDescent="0.25">
      <c r="A686" s="7">
        <v>2</v>
      </c>
      <c r="B686">
        <f>IF(ISBLANK(G686),"",VLOOKUP(H686,code!B:C,2,FALSE))</f>
        <v>20</v>
      </c>
      <c r="C686">
        <f t="shared" si="20"/>
        <v>0</v>
      </c>
      <c r="D686">
        <v>2017</v>
      </c>
      <c r="E686">
        <v>209807</v>
      </c>
      <c r="F686" t="s">
        <v>194</v>
      </c>
      <c r="G686" t="s">
        <v>284</v>
      </c>
      <c r="H686" t="s">
        <v>28</v>
      </c>
      <c r="I686">
        <v>90</v>
      </c>
      <c r="J686">
        <f>I686/VLOOKUP($D686,CPI!$P$16:$R$22,3,FALSE)</f>
        <v>111.15175155003061</v>
      </c>
      <c r="K686">
        <f t="shared" si="21"/>
        <v>0</v>
      </c>
      <c r="L686" s="3" cm="1">
        <f t="array" ref="L686">IF($C686=0,INDEX('24&amp;25'!$L:$L,MATCH($D686&amp;$B686&amp;$E686,'24&amp;25'!$B:$B&amp;'24&amp;25'!$A:$A&amp;'24&amp;25'!$C:$C,0)),INDEX('24&amp;25'!$M:$M,MATCH($D686&amp;$B686&amp;$E686,'24&amp;25'!$B:$B&amp;'24&amp;25'!$A:$A&amp;'24&amp;25'!$C:$C,0)))</f>
        <v>0</v>
      </c>
      <c r="M686">
        <f>L686/VLOOKUP($D686,CPI!$P$16:$R$22,3,FALSE)</f>
        <v>0</v>
      </c>
    </row>
    <row r="687" spans="1:13" ht="16" thickBot="1" x14ac:dyDescent="0.25">
      <c r="A687" s="7">
        <v>2</v>
      </c>
      <c r="B687">
        <f>IF(ISBLANK(G687),"",VLOOKUP(H687,code!B:C,2,FALSE))</f>
        <v>21</v>
      </c>
      <c r="C687">
        <f t="shared" si="20"/>
        <v>0</v>
      </c>
      <c r="D687">
        <v>2017</v>
      </c>
      <c r="E687">
        <v>209807</v>
      </c>
      <c r="F687" t="s">
        <v>194</v>
      </c>
      <c r="G687" t="s">
        <v>284</v>
      </c>
      <c r="H687" t="s">
        <v>30</v>
      </c>
      <c r="I687">
        <v>0</v>
      </c>
      <c r="J687">
        <f>I687/VLOOKUP($D687,CPI!$P$16:$R$22,3,FALSE)</f>
        <v>0</v>
      </c>
      <c r="K687">
        <f t="shared" si="21"/>
        <v>0</v>
      </c>
      <c r="L687" s="3" cm="1">
        <f t="array" ref="L687">IF($C687=0,INDEX('24&amp;25'!$L:$L,MATCH($D687&amp;$B687&amp;$E687,'24&amp;25'!$B:$B&amp;'24&amp;25'!$A:$A&amp;'24&amp;25'!$C:$C,0)),INDEX('24&amp;25'!$M:$M,MATCH($D687&amp;$B687&amp;$E687,'24&amp;25'!$B:$B&amp;'24&amp;25'!$A:$A&amp;'24&amp;25'!$C:$C,0)))</f>
        <v>0</v>
      </c>
      <c r="M687">
        <f>L687/VLOOKUP($D687,CPI!$P$16:$R$22,3,FALSE)</f>
        <v>0</v>
      </c>
    </row>
    <row r="688" spans="1:13" ht="16" thickBot="1" x14ac:dyDescent="0.25">
      <c r="A688" s="7">
        <v>2</v>
      </c>
      <c r="B688">
        <f>IF(ISBLANK(G688),"",VLOOKUP(H688,code!B:C,2,FALSE))</f>
        <v>2</v>
      </c>
      <c r="C688">
        <f t="shared" si="20"/>
        <v>1</v>
      </c>
      <c r="D688">
        <v>2017</v>
      </c>
      <c r="E688">
        <v>209807</v>
      </c>
      <c r="F688" t="s">
        <v>194</v>
      </c>
      <c r="G688" t="s">
        <v>285</v>
      </c>
      <c r="H688" t="s">
        <v>10</v>
      </c>
      <c r="I688">
        <v>68201</v>
      </c>
      <c r="J688">
        <f>I688/VLOOKUP($D688,CPI!$P$16:$R$22,3,FALSE)</f>
        <v>84229.562305151529</v>
      </c>
      <c r="K688">
        <f t="shared" si="21"/>
        <v>0</v>
      </c>
      <c r="L688" s="3" cm="1">
        <f t="array" ref="L688">IF($C688=0,INDEX('24&amp;25'!$L:$L,MATCH($D688&amp;$B688&amp;$E688,'24&amp;25'!$B:$B&amp;'24&amp;25'!$A:$A&amp;'24&amp;25'!$C:$C,0)),INDEX('24&amp;25'!$M:$M,MATCH($D688&amp;$B688&amp;$E688,'24&amp;25'!$B:$B&amp;'24&amp;25'!$A:$A&amp;'24&amp;25'!$C:$C,0)))</f>
        <v>0</v>
      </c>
      <c r="M688">
        <f>L688/VLOOKUP($D688,CPI!$P$16:$R$22,3,FALSE)</f>
        <v>0</v>
      </c>
    </row>
    <row r="689" spans="1:13" ht="16" thickBot="1" x14ac:dyDescent="0.25">
      <c r="A689" s="7">
        <v>2</v>
      </c>
      <c r="B689">
        <f>IF(ISBLANK(G689),"",VLOOKUP(H689,code!B:C,2,FALSE))</f>
        <v>9</v>
      </c>
      <c r="C689">
        <f t="shared" si="20"/>
        <v>1</v>
      </c>
      <c r="D689">
        <v>2017</v>
      </c>
      <c r="E689">
        <v>209807</v>
      </c>
      <c r="F689" t="s">
        <v>194</v>
      </c>
      <c r="G689" t="s">
        <v>285</v>
      </c>
      <c r="H689" t="s">
        <v>17</v>
      </c>
      <c r="I689">
        <v>20729</v>
      </c>
      <c r="J689">
        <f>I689/VLOOKUP($D689,CPI!$P$16:$R$22,3,FALSE)</f>
        <v>25600.718420895384</v>
      </c>
      <c r="K689">
        <f t="shared" si="21"/>
        <v>0</v>
      </c>
      <c r="L689" s="3" cm="1">
        <f t="array" ref="L689">IF($C689=0,INDEX('24&amp;25'!$L:$L,MATCH($D689&amp;$B689&amp;$E689,'24&amp;25'!$B:$B&amp;'24&amp;25'!$A:$A&amp;'24&amp;25'!$C:$C,0)),INDEX('24&amp;25'!$M:$M,MATCH($D689&amp;$B689&amp;$E689,'24&amp;25'!$B:$B&amp;'24&amp;25'!$A:$A&amp;'24&amp;25'!$C:$C,0)))</f>
        <v>0</v>
      </c>
      <c r="M689">
        <f>L689/VLOOKUP($D689,CPI!$P$16:$R$22,3,FALSE)</f>
        <v>0</v>
      </c>
    </row>
    <row r="690" spans="1:13" ht="16" thickBot="1" x14ac:dyDescent="0.25">
      <c r="A690" s="7">
        <v>2</v>
      </c>
      <c r="B690">
        <f>IF(ISBLANK(G690),"",VLOOKUP(H690,code!B:C,2,FALSE))</f>
        <v>17</v>
      </c>
      <c r="C690">
        <f t="shared" si="20"/>
        <v>1</v>
      </c>
      <c r="D690">
        <v>2017</v>
      </c>
      <c r="E690">
        <v>209807</v>
      </c>
      <c r="F690" t="s">
        <v>194</v>
      </c>
      <c r="G690" t="s">
        <v>285</v>
      </c>
      <c r="H690" t="s">
        <v>25</v>
      </c>
      <c r="I690">
        <v>1844</v>
      </c>
      <c r="J690">
        <f>I690/VLOOKUP($D690,CPI!$P$16:$R$22,3,FALSE)</f>
        <v>2277.3758873139604</v>
      </c>
      <c r="K690">
        <f t="shared" si="21"/>
        <v>0</v>
      </c>
      <c r="L690" s="3" cm="1">
        <f t="array" ref="L690">IF($C690=0,INDEX('24&amp;25'!$L:$L,MATCH($D690&amp;$B690&amp;$E690,'24&amp;25'!$B:$B&amp;'24&amp;25'!$A:$A&amp;'24&amp;25'!$C:$C,0)),INDEX('24&amp;25'!$M:$M,MATCH($D690&amp;$B690&amp;$E690,'24&amp;25'!$B:$B&amp;'24&amp;25'!$A:$A&amp;'24&amp;25'!$C:$C,0)))</f>
        <v>0</v>
      </c>
      <c r="M690">
        <f>L690/VLOOKUP($D690,CPI!$P$16:$R$22,3,FALSE)</f>
        <v>0</v>
      </c>
    </row>
    <row r="691" spans="1:13" ht="16" thickBot="1" x14ac:dyDescent="0.25">
      <c r="A691" s="7">
        <v>2</v>
      </c>
      <c r="B691">
        <f>IF(ISBLANK(G691),"",VLOOKUP(H691,code!B:C,2,FALSE))</f>
        <v>18</v>
      </c>
      <c r="C691">
        <f t="shared" si="20"/>
        <v>1</v>
      </c>
      <c r="D691">
        <v>2017</v>
      </c>
      <c r="E691">
        <v>209807</v>
      </c>
      <c r="F691" t="s">
        <v>194</v>
      </c>
      <c r="G691" t="s">
        <v>285</v>
      </c>
      <c r="H691" t="s">
        <v>26</v>
      </c>
      <c r="I691">
        <v>17000</v>
      </c>
      <c r="J691">
        <f>I691/VLOOKUP($D691,CPI!$P$16:$R$22,3,FALSE)</f>
        <v>20995.330848339116</v>
      </c>
      <c r="K691">
        <f t="shared" si="21"/>
        <v>0</v>
      </c>
      <c r="L691" s="3" cm="1">
        <f t="array" ref="L691">IF($C691=0,INDEX('24&amp;25'!$L:$L,MATCH($D691&amp;$B691&amp;$E691,'24&amp;25'!$B:$B&amp;'24&amp;25'!$A:$A&amp;'24&amp;25'!$C:$C,0)),INDEX('24&amp;25'!$M:$M,MATCH($D691&amp;$B691&amp;$E691,'24&amp;25'!$B:$B&amp;'24&amp;25'!$A:$A&amp;'24&amp;25'!$C:$C,0)))</f>
        <v>0</v>
      </c>
      <c r="M691">
        <f>L691/VLOOKUP($D691,CPI!$P$16:$R$22,3,FALSE)</f>
        <v>0</v>
      </c>
    </row>
    <row r="692" spans="1:13" ht="16" thickBot="1" x14ac:dyDescent="0.25">
      <c r="A692" s="7">
        <v>2</v>
      </c>
      <c r="B692">
        <f>IF(ISBLANK(G692),"",VLOOKUP(H692,code!B:C,2,FALSE))</f>
        <v>20</v>
      </c>
      <c r="C692">
        <f t="shared" si="20"/>
        <v>1</v>
      </c>
      <c r="D692">
        <v>2017</v>
      </c>
      <c r="E692">
        <v>209807</v>
      </c>
      <c r="F692" t="s">
        <v>194</v>
      </c>
      <c r="G692" t="s">
        <v>285</v>
      </c>
      <c r="H692" t="s">
        <v>28</v>
      </c>
      <c r="I692">
        <v>0</v>
      </c>
      <c r="J692">
        <f>I692/VLOOKUP($D692,CPI!$P$16:$R$22,3,FALSE)</f>
        <v>0</v>
      </c>
      <c r="K692">
        <f t="shared" si="21"/>
        <v>0</v>
      </c>
      <c r="L692" s="3" cm="1">
        <f t="array" ref="L692">IF($C692=0,INDEX('24&amp;25'!$L:$L,MATCH($D692&amp;$B692&amp;$E692,'24&amp;25'!$B:$B&amp;'24&amp;25'!$A:$A&amp;'24&amp;25'!$C:$C,0)),INDEX('24&amp;25'!$M:$M,MATCH($D692&amp;$B692&amp;$E692,'24&amp;25'!$B:$B&amp;'24&amp;25'!$A:$A&amp;'24&amp;25'!$C:$C,0)))</f>
        <v>0</v>
      </c>
      <c r="M692">
        <f>L692/VLOOKUP($D692,CPI!$P$16:$R$22,3,FALSE)</f>
        <v>0</v>
      </c>
    </row>
    <row r="693" spans="1:13" ht="16" thickBot="1" x14ac:dyDescent="0.25">
      <c r="A693" s="7">
        <v>2</v>
      </c>
      <c r="B693">
        <f>IF(ISBLANK(G693),"",VLOOKUP(H693,code!B:C,2,FALSE))</f>
        <v>21</v>
      </c>
      <c r="C693">
        <f t="shared" si="20"/>
        <v>1</v>
      </c>
      <c r="D693">
        <v>2017</v>
      </c>
      <c r="E693">
        <v>209807</v>
      </c>
      <c r="F693" t="s">
        <v>194</v>
      </c>
      <c r="G693" t="s">
        <v>285</v>
      </c>
      <c r="H693" t="s">
        <v>30</v>
      </c>
      <c r="I693">
        <v>0</v>
      </c>
      <c r="J693">
        <f>I693/VLOOKUP($D693,CPI!$P$16:$R$22,3,FALSE)</f>
        <v>0</v>
      </c>
      <c r="K693">
        <f t="shared" si="21"/>
        <v>0</v>
      </c>
      <c r="L693" s="3" cm="1">
        <f t="array" ref="L693">IF($C693=0,INDEX('24&amp;25'!$L:$L,MATCH($D693&amp;$B693&amp;$E693,'24&amp;25'!$B:$B&amp;'24&amp;25'!$A:$A&amp;'24&amp;25'!$C:$C,0)),INDEX('24&amp;25'!$M:$M,MATCH($D693&amp;$B693&amp;$E693,'24&amp;25'!$B:$B&amp;'24&amp;25'!$A:$A&amp;'24&amp;25'!$C:$C,0)))</f>
        <v>0</v>
      </c>
      <c r="M693">
        <f>L693/VLOOKUP($D693,CPI!$P$16:$R$22,3,FALSE)</f>
        <v>0</v>
      </c>
    </row>
    <row r="694" spans="1:13" ht="16" thickBot="1" x14ac:dyDescent="0.25">
      <c r="A694" s="7">
        <v>2</v>
      </c>
      <c r="B694">
        <f>IF(ISBLANK(G694),"",VLOOKUP(H694,code!B:C,2,FALSE))</f>
        <v>23</v>
      </c>
      <c r="C694">
        <f t="shared" si="20"/>
        <v>1</v>
      </c>
      <c r="D694">
        <v>2017</v>
      </c>
      <c r="E694">
        <v>209807</v>
      </c>
      <c r="F694" t="s">
        <v>194</v>
      </c>
      <c r="G694" t="s">
        <v>285</v>
      </c>
      <c r="H694" t="s">
        <v>33</v>
      </c>
      <c r="I694">
        <v>18596</v>
      </c>
      <c r="J694">
        <f>I694/VLOOKUP($D694,CPI!$P$16:$R$22,3,FALSE)</f>
        <v>22966.421909159657</v>
      </c>
      <c r="K694">
        <f t="shared" si="21"/>
        <v>0</v>
      </c>
      <c r="L694" s="3" cm="1">
        <f t="array" ref="L694">IF($C694=0,INDEX('24&amp;25'!$L:$L,MATCH($D694&amp;$B694&amp;$E694,'24&amp;25'!$B:$B&amp;'24&amp;25'!$A:$A&amp;'24&amp;25'!$C:$C,0)),INDEX('24&amp;25'!$M:$M,MATCH($D694&amp;$B694&amp;$E694,'24&amp;25'!$B:$B&amp;'24&amp;25'!$A:$A&amp;'24&amp;25'!$C:$C,0)))</f>
        <v>0</v>
      </c>
      <c r="M694">
        <f>L694/VLOOKUP($D694,CPI!$P$16:$R$22,3,FALSE)</f>
        <v>0</v>
      </c>
    </row>
    <row r="695" spans="1:13" ht="16" thickBot="1" x14ac:dyDescent="0.25">
      <c r="A695" s="7">
        <v>2</v>
      </c>
      <c r="B695">
        <f>IF(ISBLANK(G695),"",VLOOKUP(H695,code!B:C,2,FALSE))</f>
        <v>2</v>
      </c>
      <c r="C695">
        <f t="shared" si="20"/>
        <v>0</v>
      </c>
      <c r="D695">
        <v>2018</v>
      </c>
      <c r="E695">
        <v>209807</v>
      </c>
      <c r="F695" t="s">
        <v>194</v>
      </c>
      <c r="G695" t="s">
        <v>284</v>
      </c>
      <c r="H695" t="s">
        <v>10</v>
      </c>
      <c r="I695">
        <v>424177</v>
      </c>
      <c r="J695">
        <f>I695/VLOOKUP($D695,CPI!$P$16:$R$22,3,FALSE)</f>
        <v>512319.1295289491</v>
      </c>
      <c r="K695">
        <f t="shared" si="21"/>
        <v>0</v>
      </c>
      <c r="L695" s="3" cm="1">
        <f t="array" ref="L695">IF($C695=0,INDEX('24&amp;25'!$L:$L,MATCH($D695&amp;$B695&amp;$E695,'24&amp;25'!$B:$B&amp;'24&amp;25'!$A:$A&amp;'24&amp;25'!$C:$C,0)),INDEX('24&amp;25'!$M:$M,MATCH($D695&amp;$B695&amp;$E695,'24&amp;25'!$B:$B&amp;'24&amp;25'!$A:$A&amp;'24&amp;25'!$C:$C,0)))</f>
        <v>0</v>
      </c>
      <c r="M695">
        <f>L695/VLOOKUP($D695,CPI!$P$16:$R$22,3,FALSE)</f>
        <v>0</v>
      </c>
    </row>
    <row r="696" spans="1:13" ht="16" thickBot="1" x14ac:dyDescent="0.25">
      <c r="A696" s="7">
        <v>2</v>
      </c>
      <c r="B696">
        <f>IF(ISBLANK(G696),"",VLOOKUP(H696,code!B:C,2,FALSE))</f>
        <v>8</v>
      </c>
      <c r="C696">
        <f t="shared" si="20"/>
        <v>0</v>
      </c>
      <c r="D696">
        <v>2018</v>
      </c>
      <c r="E696">
        <v>209807</v>
      </c>
      <c r="F696" t="s">
        <v>194</v>
      </c>
      <c r="G696" t="s">
        <v>284</v>
      </c>
      <c r="H696" t="s">
        <v>16</v>
      </c>
      <c r="I696">
        <v>1316115</v>
      </c>
      <c r="J696">
        <f>I696/VLOOKUP($D696,CPI!$P$16:$R$22,3,FALSE)</f>
        <v>1589597.9535901118</v>
      </c>
      <c r="K696">
        <f t="shared" si="21"/>
        <v>0</v>
      </c>
      <c r="L696" s="3" cm="1">
        <f t="array" ref="L696">IF($C696=0,INDEX('24&amp;25'!$L:$L,MATCH($D696&amp;$B696&amp;$E696,'24&amp;25'!$B:$B&amp;'24&amp;25'!$A:$A&amp;'24&amp;25'!$C:$C,0)),INDEX('24&amp;25'!$M:$M,MATCH($D696&amp;$B696&amp;$E696,'24&amp;25'!$B:$B&amp;'24&amp;25'!$A:$A&amp;'24&amp;25'!$C:$C,0)))</f>
        <v>0</v>
      </c>
      <c r="M696">
        <f>L696/VLOOKUP($D696,CPI!$P$16:$R$22,3,FALSE)</f>
        <v>0</v>
      </c>
    </row>
    <row r="697" spans="1:13" ht="16" thickBot="1" x14ac:dyDescent="0.25">
      <c r="A697" s="7">
        <v>2</v>
      </c>
      <c r="B697">
        <f>IF(ISBLANK(G697),"",VLOOKUP(H697,code!B:C,2,FALSE))</f>
        <v>20</v>
      </c>
      <c r="C697">
        <f t="shared" si="20"/>
        <v>0</v>
      </c>
      <c r="D697">
        <v>2018</v>
      </c>
      <c r="E697">
        <v>209807</v>
      </c>
      <c r="F697" t="s">
        <v>194</v>
      </c>
      <c r="G697" t="s">
        <v>284</v>
      </c>
      <c r="H697" t="s">
        <v>28</v>
      </c>
      <c r="I697">
        <v>0</v>
      </c>
      <c r="J697">
        <f>I697/VLOOKUP($D697,CPI!$P$16:$R$22,3,FALSE)</f>
        <v>0</v>
      </c>
      <c r="K697">
        <f t="shared" si="21"/>
        <v>0</v>
      </c>
      <c r="L697" s="3" cm="1">
        <f t="array" ref="L697">IF($C697=0,INDEX('24&amp;25'!$L:$L,MATCH($D697&amp;$B697&amp;$E697,'24&amp;25'!$B:$B&amp;'24&amp;25'!$A:$A&amp;'24&amp;25'!$C:$C,0)),INDEX('24&amp;25'!$M:$M,MATCH($D697&amp;$B697&amp;$E697,'24&amp;25'!$B:$B&amp;'24&amp;25'!$A:$A&amp;'24&amp;25'!$C:$C,0)))</f>
        <v>0</v>
      </c>
      <c r="M697">
        <f>L697/VLOOKUP($D697,CPI!$P$16:$R$22,3,FALSE)</f>
        <v>0</v>
      </c>
    </row>
    <row r="698" spans="1:13" ht="16" thickBot="1" x14ac:dyDescent="0.25">
      <c r="A698" s="7">
        <v>2</v>
      </c>
      <c r="B698">
        <f>IF(ISBLANK(G698),"",VLOOKUP(H698,code!B:C,2,FALSE))</f>
        <v>21</v>
      </c>
      <c r="C698">
        <f t="shared" si="20"/>
        <v>0</v>
      </c>
      <c r="D698">
        <v>2018</v>
      </c>
      <c r="E698">
        <v>209807</v>
      </c>
      <c r="F698" t="s">
        <v>194</v>
      </c>
      <c r="G698" t="s">
        <v>284</v>
      </c>
      <c r="H698" t="s">
        <v>30</v>
      </c>
      <c r="I698">
        <v>0</v>
      </c>
      <c r="J698">
        <f>I698/VLOOKUP($D698,CPI!$P$16:$R$22,3,FALSE)</f>
        <v>0</v>
      </c>
      <c r="K698">
        <f t="shared" si="21"/>
        <v>0</v>
      </c>
      <c r="L698" s="3" cm="1">
        <f t="array" ref="L698">IF($C698=0,INDEX('24&amp;25'!$L:$L,MATCH($D698&amp;$B698&amp;$E698,'24&amp;25'!$B:$B&amp;'24&amp;25'!$A:$A&amp;'24&amp;25'!$C:$C,0)),INDEX('24&amp;25'!$M:$M,MATCH($D698&amp;$B698&amp;$E698,'24&amp;25'!$B:$B&amp;'24&amp;25'!$A:$A&amp;'24&amp;25'!$C:$C,0)))</f>
        <v>0</v>
      </c>
      <c r="M698">
        <f>L698/VLOOKUP($D698,CPI!$P$16:$R$22,3,FALSE)</f>
        <v>0</v>
      </c>
    </row>
    <row r="699" spans="1:13" ht="16" thickBot="1" x14ac:dyDescent="0.25">
      <c r="A699" s="7">
        <v>2</v>
      </c>
      <c r="B699">
        <f>IF(ISBLANK(G699),"",VLOOKUP(H699,code!B:C,2,FALSE))</f>
        <v>2</v>
      </c>
      <c r="C699">
        <f t="shared" si="20"/>
        <v>1</v>
      </c>
      <c r="D699">
        <v>2018</v>
      </c>
      <c r="E699">
        <v>209807</v>
      </c>
      <c r="F699" t="s">
        <v>194</v>
      </c>
      <c r="G699" t="s">
        <v>285</v>
      </c>
      <c r="H699" t="s">
        <v>10</v>
      </c>
      <c r="I699">
        <v>38684</v>
      </c>
      <c r="J699">
        <f>I699/VLOOKUP($D699,CPI!$P$16:$R$22,3,FALSE)</f>
        <v>46722.36638643271</v>
      </c>
      <c r="K699">
        <f t="shared" si="21"/>
        <v>0</v>
      </c>
      <c r="L699" s="3" cm="1">
        <f t="array" ref="L699">IF($C699=0,INDEX('24&amp;25'!$L:$L,MATCH($D699&amp;$B699&amp;$E699,'24&amp;25'!$B:$B&amp;'24&amp;25'!$A:$A&amp;'24&amp;25'!$C:$C,0)),INDEX('24&amp;25'!$M:$M,MATCH($D699&amp;$B699&amp;$E699,'24&amp;25'!$B:$B&amp;'24&amp;25'!$A:$A&amp;'24&amp;25'!$C:$C,0)))</f>
        <v>0</v>
      </c>
      <c r="M699">
        <f>L699/VLOOKUP($D699,CPI!$P$16:$R$22,3,FALSE)</f>
        <v>0</v>
      </c>
    </row>
    <row r="700" spans="1:13" ht="16" thickBot="1" x14ac:dyDescent="0.25">
      <c r="A700" s="7">
        <v>2</v>
      </c>
      <c r="B700">
        <f>IF(ISBLANK(G700),"",VLOOKUP(H700,code!B:C,2,FALSE))</f>
        <v>9</v>
      </c>
      <c r="C700">
        <f t="shared" si="20"/>
        <v>1</v>
      </c>
      <c r="D700">
        <v>2018</v>
      </c>
      <c r="E700">
        <v>209807</v>
      </c>
      <c r="F700" t="s">
        <v>194</v>
      </c>
      <c r="G700" t="s">
        <v>285</v>
      </c>
      <c r="H700" t="s">
        <v>17</v>
      </c>
      <c r="I700">
        <v>0</v>
      </c>
      <c r="J700">
        <f>I700/VLOOKUP($D700,CPI!$P$16:$R$22,3,FALSE)</f>
        <v>0</v>
      </c>
      <c r="K700">
        <f t="shared" si="21"/>
        <v>0</v>
      </c>
      <c r="L700" s="3" cm="1">
        <f t="array" ref="L700">IF($C700=0,INDEX('24&amp;25'!$L:$L,MATCH($D700&amp;$B700&amp;$E700,'24&amp;25'!$B:$B&amp;'24&amp;25'!$A:$A&amp;'24&amp;25'!$C:$C,0)),INDEX('24&amp;25'!$M:$M,MATCH($D700&amp;$B700&amp;$E700,'24&amp;25'!$B:$B&amp;'24&amp;25'!$A:$A&amp;'24&amp;25'!$C:$C,0)))</f>
        <v>0</v>
      </c>
      <c r="M700">
        <f>L700/VLOOKUP($D700,CPI!$P$16:$R$22,3,FALSE)</f>
        <v>0</v>
      </c>
    </row>
    <row r="701" spans="1:13" ht="16" thickBot="1" x14ac:dyDescent="0.25">
      <c r="A701" s="7">
        <v>2</v>
      </c>
      <c r="B701">
        <f>IF(ISBLANK(G701),"",VLOOKUP(H701,code!B:C,2,FALSE))</f>
        <v>17</v>
      </c>
      <c r="C701">
        <f t="shared" si="20"/>
        <v>1</v>
      </c>
      <c r="D701">
        <v>2018</v>
      </c>
      <c r="E701">
        <v>209807</v>
      </c>
      <c r="F701" t="s">
        <v>194</v>
      </c>
      <c r="G701" t="s">
        <v>285</v>
      </c>
      <c r="H701" t="s">
        <v>25</v>
      </c>
      <c r="I701">
        <v>0</v>
      </c>
      <c r="J701">
        <f>I701/VLOOKUP($D701,CPI!$P$16:$R$22,3,FALSE)</f>
        <v>0</v>
      </c>
      <c r="K701">
        <f t="shared" si="21"/>
        <v>0</v>
      </c>
      <c r="L701" s="3" cm="1">
        <f t="array" ref="L701">IF($C701=0,INDEX('24&amp;25'!$L:$L,MATCH($D701&amp;$B701&amp;$E701,'24&amp;25'!$B:$B&amp;'24&amp;25'!$A:$A&amp;'24&amp;25'!$C:$C,0)),INDEX('24&amp;25'!$M:$M,MATCH($D701&amp;$B701&amp;$E701,'24&amp;25'!$B:$B&amp;'24&amp;25'!$A:$A&amp;'24&amp;25'!$C:$C,0)))</f>
        <v>0</v>
      </c>
      <c r="M701">
        <f>L701/VLOOKUP($D701,CPI!$P$16:$R$22,3,FALSE)</f>
        <v>0</v>
      </c>
    </row>
    <row r="702" spans="1:13" ht="16" thickBot="1" x14ac:dyDescent="0.25">
      <c r="A702" s="7">
        <v>2</v>
      </c>
      <c r="B702">
        <f>IF(ISBLANK(G702),"",VLOOKUP(H702,code!B:C,2,FALSE))</f>
        <v>18</v>
      </c>
      <c r="C702">
        <f t="shared" si="20"/>
        <v>1</v>
      </c>
      <c r="D702">
        <v>2018</v>
      </c>
      <c r="E702">
        <v>209807</v>
      </c>
      <c r="F702" t="s">
        <v>194</v>
      </c>
      <c r="G702" t="s">
        <v>285</v>
      </c>
      <c r="H702" t="s">
        <v>26</v>
      </c>
      <c r="I702">
        <v>0</v>
      </c>
      <c r="J702">
        <f>I702/VLOOKUP($D702,CPI!$P$16:$R$22,3,FALSE)</f>
        <v>0</v>
      </c>
      <c r="K702">
        <f t="shared" si="21"/>
        <v>0</v>
      </c>
      <c r="L702" s="3" cm="1">
        <f t="array" ref="L702">IF($C702=0,INDEX('24&amp;25'!$L:$L,MATCH($D702&amp;$B702&amp;$E702,'24&amp;25'!$B:$B&amp;'24&amp;25'!$A:$A&amp;'24&amp;25'!$C:$C,0)),INDEX('24&amp;25'!$M:$M,MATCH($D702&amp;$B702&amp;$E702,'24&amp;25'!$B:$B&amp;'24&amp;25'!$A:$A&amp;'24&amp;25'!$C:$C,0)))</f>
        <v>0</v>
      </c>
      <c r="M702">
        <f>L702/VLOOKUP($D702,CPI!$P$16:$R$22,3,FALSE)</f>
        <v>0</v>
      </c>
    </row>
    <row r="703" spans="1:13" ht="16" thickBot="1" x14ac:dyDescent="0.25">
      <c r="A703" s="7">
        <v>2</v>
      </c>
      <c r="B703">
        <f>IF(ISBLANK(G703),"",VLOOKUP(H703,code!B:C,2,FALSE))</f>
        <v>20</v>
      </c>
      <c r="C703">
        <f t="shared" si="20"/>
        <v>1</v>
      </c>
      <c r="D703">
        <v>2018</v>
      </c>
      <c r="E703">
        <v>209807</v>
      </c>
      <c r="F703" t="s">
        <v>194</v>
      </c>
      <c r="G703" t="s">
        <v>285</v>
      </c>
      <c r="H703" t="s">
        <v>28</v>
      </c>
      <c r="I703">
        <v>0</v>
      </c>
      <c r="J703">
        <f>I703/VLOOKUP($D703,CPI!$P$16:$R$22,3,FALSE)</f>
        <v>0</v>
      </c>
      <c r="K703">
        <f t="shared" si="21"/>
        <v>0</v>
      </c>
      <c r="L703" s="3" cm="1">
        <f t="array" ref="L703">IF($C703=0,INDEX('24&amp;25'!$L:$L,MATCH($D703&amp;$B703&amp;$E703,'24&amp;25'!$B:$B&amp;'24&amp;25'!$A:$A&amp;'24&amp;25'!$C:$C,0)),INDEX('24&amp;25'!$M:$M,MATCH($D703&amp;$B703&amp;$E703,'24&amp;25'!$B:$B&amp;'24&amp;25'!$A:$A&amp;'24&amp;25'!$C:$C,0)))</f>
        <v>0</v>
      </c>
      <c r="M703">
        <f>L703/VLOOKUP($D703,CPI!$P$16:$R$22,3,FALSE)</f>
        <v>0</v>
      </c>
    </row>
    <row r="704" spans="1:13" ht="16" thickBot="1" x14ac:dyDescent="0.25">
      <c r="A704" s="7">
        <v>2</v>
      </c>
      <c r="B704">
        <f>IF(ISBLANK(G704),"",VLOOKUP(H704,code!B:C,2,FALSE))</f>
        <v>21</v>
      </c>
      <c r="C704">
        <f t="shared" si="20"/>
        <v>1</v>
      </c>
      <c r="D704">
        <v>2018</v>
      </c>
      <c r="E704">
        <v>209807</v>
      </c>
      <c r="F704" t="s">
        <v>194</v>
      </c>
      <c r="G704" t="s">
        <v>285</v>
      </c>
      <c r="H704" t="s">
        <v>30</v>
      </c>
      <c r="I704">
        <v>0</v>
      </c>
      <c r="J704">
        <f>I704/VLOOKUP($D704,CPI!$P$16:$R$22,3,FALSE)</f>
        <v>0</v>
      </c>
      <c r="K704">
        <f t="shared" si="21"/>
        <v>0</v>
      </c>
      <c r="L704" s="3" cm="1">
        <f t="array" ref="L704">IF($C704=0,INDEX('24&amp;25'!$L:$L,MATCH($D704&amp;$B704&amp;$E704,'24&amp;25'!$B:$B&amp;'24&amp;25'!$A:$A&amp;'24&amp;25'!$C:$C,0)),INDEX('24&amp;25'!$M:$M,MATCH($D704&amp;$B704&amp;$E704,'24&amp;25'!$B:$B&amp;'24&amp;25'!$A:$A&amp;'24&amp;25'!$C:$C,0)))</f>
        <v>0</v>
      </c>
      <c r="M704">
        <f>L704/VLOOKUP($D704,CPI!$P$16:$R$22,3,FALSE)</f>
        <v>0</v>
      </c>
    </row>
    <row r="705" spans="1:13" ht="16" thickBot="1" x14ac:dyDescent="0.25">
      <c r="A705" s="7">
        <v>2</v>
      </c>
      <c r="B705">
        <f>IF(ISBLANK(G705),"",VLOOKUP(H705,code!B:C,2,FALSE))</f>
        <v>23</v>
      </c>
      <c r="C705">
        <f t="shared" si="20"/>
        <v>1</v>
      </c>
      <c r="D705">
        <v>2018</v>
      </c>
      <c r="E705">
        <v>209807</v>
      </c>
      <c r="F705" t="s">
        <v>194</v>
      </c>
      <c r="G705" t="s">
        <v>285</v>
      </c>
      <c r="H705" t="s">
        <v>33</v>
      </c>
      <c r="I705">
        <v>0</v>
      </c>
      <c r="J705">
        <f>I705/VLOOKUP($D705,CPI!$P$16:$R$22,3,FALSE)</f>
        <v>0</v>
      </c>
      <c r="K705">
        <f t="shared" si="21"/>
        <v>0</v>
      </c>
      <c r="L705" s="3" cm="1">
        <f t="array" ref="L705">IF($C705=0,INDEX('24&amp;25'!$L:$L,MATCH($D705&amp;$B705&amp;$E705,'24&amp;25'!$B:$B&amp;'24&amp;25'!$A:$A&amp;'24&amp;25'!$C:$C,0)),INDEX('24&amp;25'!$M:$M,MATCH($D705&amp;$B705&amp;$E705,'24&amp;25'!$B:$B&amp;'24&amp;25'!$A:$A&amp;'24&amp;25'!$C:$C,0)))</f>
        <v>0</v>
      </c>
      <c r="M705">
        <f>L705/VLOOKUP($D705,CPI!$P$16:$R$22,3,FALSE)</f>
        <v>0</v>
      </c>
    </row>
    <row r="706" spans="1:13" ht="16" thickBot="1" x14ac:dyDescent="0.25">
      <c r="A706" s="7">
        <v>2</v>
      </c>
      <c r="B706">
        <f>IF(ISBLANK(G706),"",VLOOKUP(H706,code!B:C,2,FALSE))</f>
        <v>2</v>
      </c>
      <c r="C706">
        <f t="shared" si="20"/>
        <v>0</v>
      </c>
      <c r="D706">
        <v>2019</v>
      </c>
      <c r="E706">
        <v>209807</v>
      </c>
      <c r="F706" t="s">
        <v>194</v>
      </c>
      <c r="G706" t="s">
        <v>284</v>
      </c>
      <c r="H706" t="s">
        <v>10</v>
      </c>
      <c r="I706">
        <v>713442</v>
      </c>
      <c r="J706">
        <f>I706/VLOOKUP($D706,CPI!$P$16:$R$22,3,FALSE)</f>
        <v>844195.87311884423</v>
      </c>
      <c r="K706">
        <f t="shared" si="21"/>
        <v>0</v>
      </c>
      <c r="L706" s="3" cm="1">
        <f t="array" ref="L706">IF($C706=0,INDEX('24&amp;25'!$L:$L,MATCH($D706&amp;$B706&amp;$E706,'24&amp;25'!$B:$B&amp;'24&amp;25'!$A:$A&amp;'24&amp;25'!$C:$C,0)),INDEX('24&amp;25'!$M:$M,MATCH($D706&amp;$B706&amp;$E706,'24&amp;25'!$B:$B&amp;'24&amp;25'!$A:$A&amp;'24&amp;25'!$C:$C,0)))</f>
        <v>0</v>
      </c>
      <c r="M706">
        <f>L706/VLOOKUP($D706,CPI!$P$16:$R$22,3,FALSE)</f>
        <v>0</v>
      </c>
    </row>
    <row r="707" spans="1:13" ht="16" thickBot="1" x14ac:dyDescent="0.25">
      <c r="A707" s="7">
        <v>2</v>
      </c>
      <c r="B707">
        <f>IF(ISBLANK(G707),"",VLOOKUP(H707,code!B:C,2,FALSE))</f>
        <v>8</v>
      </c>
      <c r="C707">
        <f t="shared" ref="C707:C770" si="22">IF(ISBLANK(G707),"",IF(MID(G707,1,1)="M",0,1))</f>
        <v>0</v>
      </c>
      <c r="D707">
        <v>2019</v>
      </c>
      <c r="E707">
        <v>209807</v>
      </c>
      <c r="F707" t="s">
        <v>194</v>
      </c>
      <c r="G707" t="s">
        <v>284</v>
      </c>
      <c r="H707" t="s">
        <v>16</v>
      </c>
      <c r="I707">
        <v>1275635</v>
      </c>
      <c r="J707">
        <f>I707/VLOOKUP($D707,CPI!$P$16:$R$22,3,FALSE)</f>
        <v>1509423.0541599134</v>
      </c>
      <c r="K707">
        <f t="shared" ref="K707:K770" si="23">IF(ISBLANK(G707),"",IF(D707=2021,1,0))</f>
        <v>0</v>
      </c>
      <c r="L707" s="3" cm="1">
        <f t="array" ref="L707">IF($C707=0,INDEX('24&amp;25'!$L:$L,MATCH($D707&amp;$B707&amp;$E707,'24&amp;25'!$B:$B&amp;'24&amp;25'!$A:$A&amp;'24&amp;25'!$C:$C,0)),INDEX('24&amp;25'!$M:$M,MATCH($D707&amp;$B707&amp;$E707,'24&amp;25'!$B:$B&amp;'24&amp;25'!$A:$A&amp;'24&amp;25'!$C:$C,0)))</f>
        <v>0</v>
      </c>
      <c r="M707">
        <f>L707/VLOOKUP($D707,CPI!$P$16:$R$22,3,FALSE)</f>
        <v>0</v>
      </c>
    </row>
    <row r="708" spans="1:13" ht="16" thickBot="1" x14ac:dyDescent="0.25">
      <c r="A708" s="7">
        <v>2</v>
      </c>
      <c r="B708">
        <f>IF(ISBLANK(G708),"",VLOOKUP(H708,code!B:C,2,FALSE))</f>
        <v>20</v>
      </c>
      <c r="C708">
        <f t="shared" si="22"/>
        <v>0</v>
      </c>
      <c r="D708">
        <v>2019</v>
      </c>
      <c r="E708">
        <v>209807</v>
      </c>
      <c r="F708" t="s">
        <v>194</v>
      </c>
      <c r="G708" t="s">
        <v>284</v>
      </c>
      <c r="H708" t="s">
        <v>28</v>
      </c>
      <c r="I708">
        <v>0</v>
      </c>
      <c r="J708">
        <f>I708/VLOOKUP($D708,CPI!$P$16:$R$22,3,FALSE)</f>
        <v>0</v>
      </c>
      <c r="K708">
        <f t="shared" si="23"/>
        <v>0</v>
      </c>
      <c r="L708" s="3" cm="1">
        <f t="array" ref="L708">IF($C708=0,INDEX('24&amp;25'!$L:$L,MATCH($D708&amp;$B708&amp;$E708,'24&amp;25'!$B:$B&amp;'24&amp;25'!$A:$A&amp;'24&amp;25'!$C:$C,0)),INDEX('24&amp;25'!$M:$M,MATCH($D708&amp;$B708&amp;$E708,'24&amp;25'!$B:$B&amp;'24&amp;25'!$A:$A&amp;'24&amp;25'!$C:$C,0)))</f>
        <v>0</v>
      </c>
      <c r="M708">
        <f>L708/VLOOKUP($D708,CPI!$P$16:$R$22,3,FALSE)</f>
        <v>0</v>
      </c>
    </row>
    <row r="709" spans="1:13" ht="16" thickBot="1" x14ac:dyDescent="0.25">
      <c r="A709" s="7">
        <v>2</v>
      </c>
      <c r="B709">
        <f>IF(ISBLANK(G709),"",VLOOKUP(H709,code!B:C,2,FALSE))</f>
        <v>21</v>
      </c>
      <c r="C709">
        <f t="shared" si="22"/>
        <v>0</v>
      </c>
      <c r="D709">
        <v>2019</v>
      </c>
      <c r="E709">
        <v>209807</v>
      </c>
      <c r="F709" t="s">
        <v>194</v>
      </c>
      <c r="G709" t="s">
        <v>284</v>
      </c>
      <c r="H709" t="s">
        <v>30</v>
      </c>
      <c r="I709">
        <v>0</v>
      </c>
      <c r="J709">
        <f>I709/VLOOKUP($D709,CPI!$P$16:$R$22,3,FALSE)</f>
        <v>0</v>
      </c>
      <c r="K709">
        <f t="shared" si="23"/>
        <v>0</v>
      </c>
      <c r="L709" s="3" cm="1">
        <f t="array" ref="L709">IF($C709=0,INDEX('24&amp;25'!$L:$L,MATCH($D709&amp;$B709&amp;$E709,'24&amp;25'!$B:$B&amp;'24&amp;25'!$A:$A&amp;'24&amp;25'!$C:$C,0)),INDEX('24&amp;25'!$M:$M,MATCH($D709&amp;$B709&amp;$E709,'24&amp;25'!$B:$B&amp;'24&amp;25'!$A:$A&amp;'24&amp;25'!$C:$C,0)))</f>
        <v>0</v>
      </c>
      <c r="M709">
        <f>L709/VLOOKUP($D709,CPI!$P$16:$R$22,3,FALSE)</f>
        <v>0</v>
      </c>
    </row>
    <row r="710" spans="1:13" ht="16" thickBot="1" x14ac:dyDescent="0.25">
      <c r="A710" s="7">
        <v>2</v>
      </c>
      <c r="B710">
        <f>IF(ISBLANK(G710),"",VLOOKUP(H710,code!B:C,2,FALSE))</f>
        <v>2</v>
      </c>
      <c r="C710">
        <f t="shared" si="22"/>
        <v>1</v>
      </c>
      <c r="D710">
        <v>2019</v>
      </c>
      <c r="E710">
        <v>209807</v>
      </c>
      <c r="F710" t="s">
        <v>194</v>
      </c>
      <c r="G710" t="s">
        <v>285</v>
      </c>
      <c r="H710" t="s">
        <v>10</v>
      </c>
      <c r="I710">
        <v>153536</v>
      </c>
      <c r="J710">
        <f>I710/VLOOKUP($D710,CPI!$P$16:$R$22,3,FALSE)</f>
        <v>181674.83492025262</v>
      </c>
      <c r="K710">
        <f t="shared" si="23"/>
        <v>0</v>
      </c>
      <c r="L710" s="3" cm="1">
        <f t="array" ref="L710">IF($C710=0,INDEX('24&amp;25'!$L:$L,MATCH($D710&amp;$B710&amp;$E710,'24&amp;25'!$B:$B&amp;'24&amp;25'!$A:$A&amp;'24&amp;25'!$C:$C,0)),INDEX('24&amp;25'!$M:$M,MATCH($D710&amp;$B710&amp;$E710,'24&amp;25'!$B:$B&amp;'24&amp;25'!$A:$A&amp;'24&amp;25'!$C:$C,0)))</f>
        <v>0</v>
      </c>
      <c r="M710">
        <f>L710/VLOOKUP($D710,CPI!$P$16:$R$22,3,FALSE)</f>
        <v>0</v>
      </c>
    </row>
    <row r="711" spans="1:13" ht="16" thickBot="1" x14ac:dyDescent="0.25">
      <c r="A711" s="7">
        <v>2</v>
      </c>
      <c r="B711">
        <f>IF(ISBLANK(G711),"",VLOOKUP(H711,code!B:C,2,FALSE))</f>
        <v>9</v>
      </c>
      <c r="C711">
        <f t="shared" si="22"/>
        <v>1</v>
      </c>
      <c r="D711">
        <v>2019</v>
      </c>
      <c r="E711">
        <v>209807</v>
      </c>
      <c r="F711" t="s">
        <v>194</v>
      </c>
      <c r="G711" t="s">
        <v>285</v>
      </c>
      <c r="H711" t="s">
        <v>17</v>
      </c>
      <c r="I711">
        <v>0</v>
      </c>
      <c r="J711">
        <f>I711/VLOOKUP($D711,CPI!$P$16:$R$22,3,FALSE)</f>
        <v>0</v>
      </c>
      <c r="K711">
        <f t="shared" si="23"/>
        <v>0</v>
      </c>
      <c r="L711" s="3" cm="1">
        <f t="array" ref="L711">IF($C711=0,INDEX('24&amp;25'!$L:$L,MATCH($D711&amp;$B711&amp;$E711,'24&amp;25'!$B:$B&amp;'24&amp;25'!$A:$A&amp;'24&amp;25'!$C:$C,0)),INDEX('24&amp;25'!$M:$M,MATCH($D711&amp;$B711&amp;$E711,'24&amp;25'!$B:$B&amp;'24&amp;25'!$A:$A&amp;'24&amp;25'!$C:$C,0)))</f>
        <v>0</v>
      </c>
      <c r="M711">
        <f>L711/VLOOKUP($D711,CPI!$P$16:$R$22,3,FALSE)</f>
        <v>0</v>
      </c>
    </row>
    <row r="712" spans="1:13" ht="16" thickBot="1" x14ac:dyDescent="0.25">
      <c r="A712" s="7">
        <v>2</v>
      </c>
      <c r="B712">
        <f>IF(ISBLANK(G712),"",VLOOKUP(H712,code!B:C,2,FALSE))</f>
        <v>17</v>
      </c>
      <c r="C712">
        <f t="shared" si="22"/>
        <v>1</v>
      </c>
      <c r="D712">
        <v>2019</v>
      </c>
      <c r="E712">
        <v>209807</v>
      </c>
      <c r="F712" t="s">
        <v>194</v>
      </c>
      <c r="G712" t="s">
        <v>285</v>
      </c>
      <c r="H712" t="s">
        <v>25</v>
      </c>
      <c r="I712">
        <v>0</v>
      </c>
      <c r="J712">
        <f>I712/VLOOKUP($D712,CPI!$P$16:$R$22,3,FALSE)</f>
        <v>0</v>
      </c>
      <c r="K712">
        <f t="shared" si="23"/>
        <v>0</v>
      </c>
      <c r="L712" s="3" cm="1">
        <f t="array" ref="L712">IF($C712=0,INDEX('24&amp;25'!$L:$L,MATCH($D712&amp;$B712&amp;$E712,'24&amp;25'!$B:$B&amp;'24&amp;25'!$A:$A&amp;'24&amp;25'!$C:$C,0)),INDEX('24&amp;25'!$M:$M,MATCH($D712&amp;$B712&amp;$E712,'24&amp;25'!$B:$B&amp;'24&amp;25'!$A:$A&amp;'24&amp;25'!$C:$C,0)))</f>
        <v>0</v>
      </c>
      <c r="M712">
        <f>L712/VLOOKUP($D712,CPI!$P$16:$R$22,3,FALSE)</f>
        <v>0</v>
      </c>
    </row>
    <row r="713" spans="1:13" ht="16" thickBot="1" x14ac:dyDescent="0.25">
      <c r="A713" s="7">
        <v>2</v>
      </c>
      <c r="B713">
        <f>IF(ISBLANK(G713),"",VLOOKUP(H713,code!B:C,2,FALSE))</f>
        <v>18</v>
      </c>
      <c r="C713">
        <f t="shared" si="22"/>
        <v>1</v>
      </c>
      <c r="D713">
        <v>2019</v>
      </c>
      <c r="E713">
        <v>209807</v>
      </c>
      <c r="F713" t="s">
        <v>194</v>
      </c>
      <c r="G713" t="s">
        <v>285</v>
      </c>
      <c r="H713" t="s">
        <v>26</v>
      </c>
      <c r="I713">
        <v>0</v>
      </c>
      <c r="J713">
        <f>I713/VLOOKUP($D713,CPI!$P$16:$R$22,3,FALSE)</f>
        <v>0</v>
      </c>
      <c r="K713">
        <f t="shared" si="23"/>
        <v>0</v>
      </c>
      <c r="L713" s="3" cm="1">
        <f t="array" ref="L713">IF($C713=0,INDEX('24&amp;25'!$L:$L,MATCH($D713&amp;$B713&amp;$E713,'24&amp;25'!$B:$B&amp;'24&amp;25'!$A:$A&amp;'24&amp;25'!$C:$C,0)),INDEX('24&amp;25'!$M:$M,MATCH($D713&amp;$B713&amp;$E713,'24&amp;25'!$B:$B&amp;'24&amp;25'!$A:$A&amp;'24&amp;25'!$C:$C,0)))</f>
        <v>0</v>
      </c>
      <c r="M713">
        <f>L713/VLOOKUP($D713,CPI!$P$16:$R$22,3,FALSE)</f>
        <v>0</v>
      </c>
    </row>
    <row r="714" spans="1:13" ht="16" thickBot="1" x14ac:dyDescent="0.25">
      <c r="A714" s="7">
        <v>2</v>
      </c>
      <c r="B714">
        <f>IF(ISBLANK(G714),"",VLOOKUP(H714,code!B:C,2,FALSE))</f>
        <v>20</v>
      </c>
      <c r="C714">
        <f t="shared" si="22"/>
        <v>1</v>
      </c>
      <c r="D714">
        <v>2019</v>
      </c>
      <c r="E714">
        <v>209807</v>
      </c>
      <c r="F714" t="s">
        <v>194</v>
      </c>
      <c r="G714" t="s">
        <v>285</v>
      </c>
      <c r="H714" t="s">
        <v>28</v>
      </c>
      <c r="I714">
        <v>0</v>
      </c>
      <c r="J714">
        <f>I714/VLOOKUP($D714,CPI!$P$16:$R$22,3,FALSE)</f>
        <v>0</v>
      </c>
      <c r="K714">
        <f t="shared" si="23"/>
        <v>0</v>
      </c>
      <c r="L714" s="3" cm="1">
        <f t="array" ref="L714">IF($C714=0,INDEX('24&amp;25'!$L:$L,MATCH($D714&amp;$B714&amp;$E714,'24&amp;25'!$B:$B&amp;'24&amp;25'!$A:$A&amp;'24&amp;25'!$C:$C,0)),INDEX('24&amp;25'!$M:$M,MATCH($D714&amp;$B714&amp;$E714,'24&amp;25'!$B:$B&amp;'24&amp;25'!$A:$A&amp;'24&amp;25'!$C:$C,0)))</f>
        <v>0</v>
      </c>
      <c r="M714">
        <f>L714/VLOOKUP($D714,CPI!$P$16:$R$22,3,FALSE)</f>
        <v>0</v>
      </c>
    </row>
    <row r="715" spans="1:13" ht="16" thickBot="1" x14ac:dyDescent="0.25">
      <c r="A715" s="7">
        <v>2</v>
      </c>
      <c r="B715">
        <f>IF(ISBLANK(G715),"",VLOOKUP(H715,code!B:C,2,FALSE))</f>
        <v>21</v>
      </c>
      <c r="C715">
        <f t="shared" si="22"/>
        <v>1</v>
      </c>
      <c r="D715">
        <v>2019</v>
      </c>
      <c r="E715">
        <v>209807</v>
      </c>
      <c r="F715" t="s">
        <v>194</v>
      </c>
      <c r="G715" t="s">
        <v>285</v>
      </c>
      <c r="H715" t="s">
        <v>30</v>
      </c>
      <c r="I715">
        <v>0</v>
      </c>
      <c r="J715">
        <f>I715/VLOOKUP($D715,CPI!$P$16:$R$22,3,FALSE)</f>
        <v>0</v>
      </c>
      <c r="K715">
        <f t="shared" si="23"/>
        <v>0</v>
      </c>
      <c r="L715" s="3" cm="1">
        <f t="array" ref="L715">IF($C715=0,INDEX('24&amp;25'!$L:$L,MATCH($D715&amp;$B715&amp;$E715,'24&amp;25'!$B:$B&amp;'24&amp;25'!$A:$A&amp;'24&amp;25'!$C:$C,0)),INDEX('24&amp;25'!$M:$M,MATCH($D715&amp;$B715&amp;$E715,'24&amp;25'!$B:$B&amp;'24&amp;25'!$A:$A&amp;'24&amp;25'!$C:$C,0)))</f>
        <v>0</v>
      </c>
      <c r="M715">
        <f>L715/VLOOKUP($D715,CPI!$P$16:$R$22,3,FALSE)</f>
        <v>0</v>
      </c>
    </row>
    <row r="716" spans="1:13" ht="16" thickBot="1" x14ac:dyDescent="0.25">
      <c r="A716" s="7">
        <v>2</v>
      </c>
      <c r="B716">
        <f>IF(ISBLANK(G716),"",VLOOKUP(H716,code!B:C,2,FALSE))</f>
        <v>23</v>
      </c>
      <c r="C716">
        <f t="shared" si="22"/>
        <v>1</v>
      </c>
      <c r="D716">
        <v>2019</v>
      </c>
      <c r="E716">
        <v>209807</v>
      </c>
      <c r="F716" t="s">
        <v>194</v>
      </c>
      <c r="G716" t="s">
        <v>285</v>
      </c>
      <c r="H716" t="s">
        <v>33</v>
      </c>
      <c r="I716">
        <v>4407</v>
      </c>
      <c r="J716">
        <f>I716/VLOOKUP($D716,CPI!$P$16:$R$22,3,FALSE)</f>
        <v>5214.6792771307919</v>
      </c>
      <c r="K716">
        <f t="shared" si="23"/>
        <v>0</v>
      </c>
      <c r="L716" s="3" cm="1">
        <f t="array" ref="L716">IF($C716=0,INDEX('24&amp;25'!$L:$L,MATCH($D716&amp;$B716&amp;$E716,'24&amp;25'!$B:$B&amp;'24&amp;25'!$A:$A&amp;'24&amp;25'!$C:$C,0)),INDEX('24&amp;25'!$M:$M,MATCH($D716&amp;$B716&amp;$E716,'24&amp;25'!$B:$B&amp;'24&amp;25'!$A:$A&amp;'24&amp;25'!$C:$C,0)))</f>
        <v>0</v>
      </c>
      <c r="M716">
        <f>L716/VLOOKUP($D716,CPI!$P$16:$R$22,3,FALSE)</f>
        <v>0</v>
      </c>
    </row>
    <row r="717" spans="1:13" ht="16" thickBot="1" x14ac:dyDescent="0.25">
      <c r="A717" s="7">
        <v>2</v>
      </c>
      <c r="B717">
        <f>IF(ISBLANK(G717),"",VLOOKUP(H717,code!B:C,2,FALSE))</f>
        <v>2</v>
      </c>
      <c r="C717">
        <f t="shared" si="22"/>
        <v>0</v>
      </c>
      <c r="D717">
        <v>2020</v>
      </c>
      <c r="E717">
        <v>209807</v>
      </c>
      <c r="F717" t="s">
        <v>194</v>
      </c>
      <c r="G717" t="s">
        <v>284</v>
      </c>
      <c r="H717" t="s">
        <v>10</v>
      </c>
      <c r="I717">
        <v>638022</v>
      </c>
      <c r="J717">
        <f>I717/VLOOKUP($D717,CPI!$P$16:$R$22,3,FALSE)</f>
        <v>743326.75846907438</v>
      </c>
      <c r="K717">
        <f t="shared" si="23"/>
        <v>0</v>
      </c>
      <c r="L717" s="3" cm="1">
        <f t="array" ref="L717">IF($C717=0,INDEX('24&amp;25'!$L:$L,MATCH($D717&amp;$B717&amp;$E717,'24&amp;25'!$B:$B&amp;'24&amp;25'!$A:$A&amp;'24&amp;25'!$C:$C,0)),INDEX('24&amp;25'!$M:$M,MATCH($D717&amp;$B717&amp;$E717,'24&amp;25'!$B:$B&amp;'24&amp;25'!$A:$A&amp;'24&amp;25'!$C:$C,0)))</f>
        <v>5028</v>
      </c>
      <c r="M717">
        <f>L717/VLOOKUP($D717,CPI!$P$16:$R$22,3,FALSE)</f>
        <v>5857.8653112000939</v>
      </c>
    </row>
    <row r="718" spans="1:13" ht="16" thickBot="1" x14ac:dyDescent="0.25">
      <c r="A718" s="7">
        <v>2</v>
      </c>
      <c r="B718">
        <f>IF(ISBLANK(G718),"",VLOOKUP(H718,code!B:C,2,FALSE))</f>
        <v>8</v>
      </c>
      <c r="C718">
        <f t="shared" si="22"/>
        <v>0</v>
      </c>
      <c r="D718">
        <v>2020</v>
      </c>
      <c r="E718">
        <v>209807</v>
      </c>
      <c r="F718" t="s">
        <v>194</v>
      </c>
      <c r="G718" t="s">
        <v>284</v>
      </c>
      <c r="H718" t="s">
        <v>16</v>
      </c>
      <c r="I718">
        <v>1359992</v>
      </c>
      <c r="J718">
        <f>I718/VLOOKUP($D718,CPI!$P$16:$R$22,3,FALSE)</f>
        <v>1584457.0326789257</v>
      </c>
      <c r="K718">
        <f t="shared" si="23"/>
        <v>0</v>
      </c>
      <c r="L718" s="3" cm="1">
        <f t="array" ref="L718">IF($C718=0,INDEX('24&amp;25'!$L:$L,MATCH($D718&amp;$B718&amp;$E718,'24&amp;25'!$B:$B&amp;'24&amp;25'!$A:$A&amp;'24&amp;25'!$C:$C,0)),INDEX('24&amp;25'!$M:$M,MATCH($D718&amp;$B718&amp;$E718,'24&amp;25'!$B:$B&amp;'24&amp;25'!$A:$A&amp;'24&amp;25'!$C:$C,0)))</f>
        <v>22411</v>
      </c>
      <c r="M718">
        <f>L718/VLOOKUP($D718,CPI!$P$16:$R$22,3,FALSE)</f>
        <v>26109.9084107608</v>
      </c>
    </row>
    <row r="719" spans="1:13" ht="16" thickBot="1" x14ac:dyDescent="0.25">
      <c r="A719" s="7">
        <v>2</v>
      </c>
      <c r="B719">
        <f>IF(ISBLANK(G719),"",VLOOKUP(H719,code!B:C,2,FALSE))</f>
        <v>20</v>
      </c>
      <c r="C719">
        <f t="shared" si="22"/>
        <v>0</v>
      </c>
      <c r="D719">
        <v>2020</v>
      </c>
      <c r="E719">
        <v>209807</v>
      </c>
      <c r="F719" t="s">
        <v>194</v>
      </c>
      <c r="G719" t="s">
        <v>284</v>
      </c>
      <c r="H719" t="s">
        <v>28</v>
      </c>
      <c r="I719">
        <v>0</v>
      </c>
      <c r="J719">
        <f>I719/VLOOKUP($D719,CPI!$P$16:$R$22,3,FALSE)</f>
        <v>0</v>
      </c>
      <c r="K719">
        <f t="shared" si="23"/>
        <v>0</v>
      </c>
      <c r="L719" s="3" cm="1">
        <f t="array" ref="L719">IF($C719=0,INDEX('24&amp;25'!$L:$L,MATCH($D719&amp;$B719&amp;$E719,'24&amp;25'!$B:$B&amp;'24&amp;25'!$A:$A&amp;'24&amp;25'!$C:$C,0)),INDEX('24&amp;25'!$M:$M,MATCH($D719&amp;$B719&amp;$E719,'24&amp;25'!$B:$B&amp;'24&amp;25'!$A:$A&amp;'24&amp;25'!$C:$C,0)))</f>
        <v>0</v>
      </c>
      <c r="M719">
        <f>L719/VLOOKUP($D719,CPI!$P$16:$R$22,3,FALSE)</f>
        <v>0</v>
      </c>
    </row>
    <row r="720" spans="1:13" ht="16" thickBot="1" x14ac:dyDescent="0.25">
      <c r="A720" s="7">
        <v>2</v>
      </c>
      <c r="B720">
        <f>IF(ISBLANK(G720),"",VLOOKUP(H720,code!B:C,2,FALSE))</f>
        <v>21</v>
      </c>
      <c r="C720">
        <f t="shared" si="22"/>
        <v>0</v>
      </c>
      <c r="D720">
        <v>2020</v>
      </c>
      <c r="E720">
        <v>209807</v>
      </c>
      <c r="F720" t="s">
        <v>194</v>
      </c>
      <c r="G720" t="s">
        <v>284</v>
      </c>
      <c r="H720" t="s">
        <v>30</v>
      </c>
      <c r="I720">
        <v>0</v>
      </c>
      <c r="J720">
        <f>I720/VLOOKUP($D720,CPI!$P$16:$R$22,3,FALSE)</f>
        <v>0</v>
      </c>
      <c r="K720">
        <f t="shared" si="23"/>
        <v>0</v>
      </c>
      <c r="L720" s="3" cm="1">
        <f t="array" ref="L720">IF($C720=0,INDEX('24&amp;25'!$L:$L,MATCH($D720&amp;$B720&amp;$E720,'24&amp;25'!$B:$B&amp;'24&amp;25'!$A:$A&amp;'24&amp;25'!$C:$C,0)),INDEX('24&amp;25'!$M:$M,MATCH($D720&amp;$B720&amp;$E720,'24&amp;25'!$B:$B&amp;'24&amp;25'!$A:$A&amp;'24&amp;25'!$C:$C,0)))</f>
        <v>0</v>
      </c>
      <c r="M720">
        <f>L720/VLOOKUP($D720,CPI!$P$16:$R$22,3,FALSE)</f>
        <v>0</v>
      </c>
    </row>
    <row r="721" spans="1:13" ht="16" thickBot="1" x14ac:dyDescent="0.25">
      <c r="A721" s="7">
        <v>2</v>
      </c>
      <c r="B721">
        <f>IF(ISBLANK(G721),"",VLOOKUP(H721,code!B:C,2,FALSE))</f>
        <v>2</v>
      </c>
      <c r="C721">
        <f t="shared" si="22"/>
        <v>1</v>
      </c>
      <c r="D721">
        <v>2020</v>
      </c>
      <c r="E721">
        <v>209807</v>
      </c>
      <c r="F721" t="s">
        <v>194</v>
      </c>
      <c r="G721" t="s">
        <v>285</v>
      </c>
      <c r="H721" t="s">
        <v>10</v>
      </c>
      <c r="I721">
        <v>118087</v>
      </c>
      <c r="J721">
        <f>I721/VLOOKUP($D721,CPI!$P$16:$R$22,3,FALSE)</f>
        <v>137577.11634918168</v>
      </c>
      <c r="K721">
        <f t="shared" si="23"/>
        <v>0</v>
      </c>
      <c r="L721" s="3" cm="1">
        <f t="array" ref="L721">IF($C721=0,INDEX('24&amp;25'!$L:$L,MATCH($D721&amp;$B721&amp;$E721,'24&amp;25'!$B:$B&amp;'24&amp;25'!$A:$A&amp;'24&amp;25'!$C:$C,0)),INDEX('24&amp;25'!$M:$M,MATCH($D721&amp;$B721&amp;$E721,'24&amp;25'!$B:$B&amp;'24&amp;25'!$A:$A&amp;'24&amp;25'!$C:$C,0)))</f>
        <v>16881</v>
      </c>
      <c r="M721">
        <f>L721/VLOOKUP($D721,CPI!$P$16:$R$22,3,FALSE)</f>
        <v>19667.188607471915</v>
      </c>
    </row>
    <row r="722" spans="1:13" ht="16" thickBot="1" x14ac:dyDescent="0.25">
      <c r="A722" s="7">
        <v>2</v>
      </c>
      <c r="B722">
        <f>IF(ISBLANK(G722),"",VLOOKUP(H722,code!B:C,2,FALSE))</f>
        <v>9</v>
      </c>
      <c r="C722">
        <f t="shared" si="22"/>
        <v>1</v>
      </c>
      <c r="D722">
        <v>2020</v>
      </c>
      <c r="E722">
        <v>209807</v>
      </c>
      <c r="F722" t="s">
        <v>194</v>
      </c>
      <c r="G722" t="s">
        <v>285</v>
      </c>
      <c r="H722" t="s">
        <v>17</v>
      </c>
      <c r="I722">
        <v>0</v>
      </c>
      <c r="J722">
        <f>I722/VLOOKUP($D722,CPI!$P$16:$R$22,3,FALSE)</f>
        <v>0</v>
      </c>
      <c r="K722">
        <f t="shared" si="23"/>
        <v>0</v>
      </c>
      <c r="L722" s="3" cm="1">
        <f t="array" ref="L722">IF($C722=0,INDEX('24&amp;25'!$L:$L,MATCH($D722&amp;$B722&amp;$E722,'24&amp;25'!$B:$B&amp;'24&amp;25'!$A:$A&amp;'24&amp;25'!$C:$C,0)),INDEX('24&amp;25'!$M:$M,MATCH($D722&amp;$B722&amp;$E722,'24&amp;25'!$B:$B&amp;'24&amp;25'!$A:$A&amp;'24&amp;25'!$C:$C,0)))</f>
        <v>0</v>
      </c>
      <c r="M722">
        <f>L722/VLOOKUP($D722,CPI!$P$16:$R$22,3,FALSE)</f>
        <v>0</v>
      </c>
    </row>
    <row r="723" spans="1:13" ht="16" thickBot="1" x14ac:dyDescent="0.25">
      <c r="A723" s="7">
        <v>2</v>
      </c>
      <c r="B723">
        <f>IF(ISBLANK(G723),"",VLOOKUP(H723,code!B:C,2,FALSE))</f>
        <v>17</v>
      </c>
      <c r="C723">
        <f t="shared" si="22"/>
        <v>1</v>
      </c>
      <c r="D723">
        <v>2020</v>
      </c>
      <c r="E723">
        <v>209807</v>
      </c>
      <c r="F723" t="s">
        <v>194</v>
      </c>
      <c r="G723" t="s">
        <v>285</v>
      </c>
      <c r="H723" t="s">
        <v>25</v>
      </c>
      <c r="I723">
        <v>0</v>
      </c>
      <c r="J723">
        <f>I723/VLOOKUP($D723,CPI!$P$16:$R$22,3,FALSE)</f>
        <v>0</v>
      </c>
      <c r="K723">
        <f t="shared" si="23"/>
        <v>0</v>
      </c>
      <c r="L723" s="3" cm="1">
        <f t="array" ref="L723">IF($C723=0,INDEX('24&amp;25'!$L:$L,MATCH($D723&amp;$B723&amp;$E723,'24&amp;25'!$B:$B&amp;'24&amp;25'!$A:$A&amp;'24&amp;25'!$C:$C,0)),INDEX('24&amp;25'!$M:$M,MATCH($D723&amp;$B723&amp;$E723,'24&amp;25'!$B:$B&amp;'24&amp;25'!$A:$A&amp;'24&amp;25'!$C:$C,0)))</f>
        <v>0</v>
      </c>
      <c r="M723">
        <f>L723/VLOOKUP($D723,CPI!$P$16:$R$22,3,FALSE)</f>
        <v>0</v>
      </c>
    </row>
    <row r="724" spans="1:13" ht="16" thickBot="1" x14ac:dyDescent="0.25">
      <c r="A724" s="7">
        <v>2</v>
      </c>
      <c r="B724">
        <f>IF(ISBLANK(G724),"",VLOOKUP(H724,code!B:C,2,FALSE))</f>
        <v>18</v>
      </c>
      <c r="C724">
        <f t="shared" si="22"/>
        <v>1</v>
      </c>
      <c r="D724">
        <v>2020</v>
      </c>
      <c r="E724">
        <v>209807</v>
      </c>
      <c r="F724" t="s">
        <v>194</v>
      </c>
      <c r="G724" t="s">
        <v>285</v>
      </c>
      <c r="H724" t="s">
        <v>26</v>
      </c>
      <c r="I724">
        <v>0</v>
      </c>
      <c r="J724">
        <f>I724/VLOOKUP($D724,CPI!$P$16:$R$22,3,FALSE)</f>
        <v>0</v>
      </c>
      <c r="K724">
        <f t="shared" si="23"/>
        <v>0</v>
      </c>
      <c r="L724" s="3" cm="1">
        <f t="array" ref="L724">IF($C724=0,INDEX('24&amp;25'!$L:$L,MATCH($D724&amp;$B724&amp;$E724,'24&amp;25'!$B:$B&amp;'24&amp;25'!$A:$A&amp;'24&amp;25'!$C:$C,0)),INDEX('24&amp;25'!$M:$M,MATCH($D724&amp;$B724&amp;$E724,'24&amp;25'!$B:$B&amp;'24&amp;25'!$A:$A&amp;'24&amp;25'!$C:$C,0)))</f>
        <v>0</v>
      </c>
      <c r="M724">
        <f>L724/VLOOKUP($D724,CPI!$P$16:$R$22,3,FALSE)</f>
        <v>0</v>
      </c>
    </row>
    <row r="725" spans="1:13" ht="16" thickBot="1" x14ac:dyDescent="0.25">
      <c r="A725" s="7">
        <v>2</v>
      </c>
      <c r="B725">
        <f>IF(ISBLANK(G725),"",VLOOKUP(H725,code!B:C,2,FALSE))</f>
        <v>20</v>
      </c>
      <c r="C725">
        <f t="shared" si="22"/>
        <v>1</v>
      </c>
      <c r="D725">
        <v>2020</v>
      </c>
      <c r="E725">
        <v>209807</v>
      </c>
      <c r="F725" t="s">
        <v>194</v>
      </c>
      <c r="G725" t="s">
        <v>285</v>
      </c>
      <c r="H725" t="s">
        <v>28</v>
      </c>
      <c r="I725">
        <v>0</v>
      </c>
      <c r="J725">
        <f>I725/VLOOKUP($D725,CPI!$P$16:$R$22,3,FALSE)</f>
        <v>0</v>
      </c>
      <c r="K725">
        <f t="shared" si="23"/>
        <v>0</v>
      </c>
      <c r="L725" s="3" cm="1">
        <f t="array" ref="L725">IF($C725=0,INDEX('24&amp;25'!$L:$L,MATCH($D725&amp;$B725&amp;$E725,'24&amp;25'!$B:$B&amp;'24&amp;25'!$A:$A&amp;'24&amp;25'!$C:$C,0)),INDEX('24&amp;25'!$M:$M,MATCH($D725&amp;$B725&amp;$E725,'24&amp;25'!$B:$B&amp;'24&amp;25'!$A:$A&amp;'24&amp;25'!$C:$C,0)))</f>
        <v>0</v>
      </c>
      <c r="M725">
        <f>L725/VLOOKUP($D725,CPI!$P$16:$R$22,3,FALSE)</f>
        <v>0</v>
      </c>
    </row>
    <row r="726" spans="1:13" ht="16" thickBot="1" x14ac:dyDescent="0.25">
      <c r="A726" s="7">
        <v>2</v>
      </c>
      <c r="B726">
        <f>IF(ISBLANK(G726),"",VLOOKUP(H726,code!B:C,2,FALSE))</f>
        <v>21</v>
      </c>
      <c r="C726">
        <f t="shared" si="22"/>
        <v>1</v>
      </c>
      <c r="D726">
        <v>2020</v>
      </c>
      <c r="E726">
        <v>209807</v>
      </c>
      <c r="F726" t="s">
        <v>194</v>
      </c>
      <c r="G726" t="s">
        <v>285</v>
      </c>
      <c r="H726" t="s">
        <v>30</v>
      </c>
      <c r="I726">
        <v>0</v>
      </c>
      <c r="J726">
        <f>I726/VLOOKUP($D726,CPI!$P$16:$R$22,3,FALSE)</f>
        <v>0</v>
      </c>
      <c r="K726">
        <f t="shared" si="23"/>
        <v>0</v>
      </c>
      <c r="L726" s="3" cm="1">
        <f t="array" ref="L726">IF($C726=0,INDEX('24&amp;25'!$L:$L,MATCH($D726&amp;$B726&amp;$E726,'24&amp;25'!$B:$B&amp;'24&amp;25'!$A:$A&amp;'24&amp;25'!$C:$C,0)),INDEX('24&amp;25'!$M:$M,MATCH($D726&amp;$B726&amp;$E726,'24&amp;25'!$B:$B&amp;'24&amp;25'!$A:$A&amp;'24&amp;25'!$C:$C,0)))</f>
        <v>0</v>
      </c>
      <c r="M726">
        <f>L726/VLOOKUP($D726,CPI!$P$16:$R$22,3,FALSE)</f>
        <v>0</v>
      </c>
    </row>
    <row r="727" spans="1:13" ht="16" thickBot="1" x14ac:dyDescent="0.25">
      <c r="A727" s="7">
        <v>2</v>
      </c>
      <c r="B727">
        <f>IF(ISBLANK(G727),"",VLOOKUP(H727,code!B:C,2,FALSE))</f>
        <v>23</v>
      </c>
      <c r="C727">
        <f t="shared" si="22"/>
        <v>1</v>
      </c>
      <c r="D727">
        <v>2020</v>
      </c>
      <c r="E727">
        <v>209807</v>
      </c>
      <c r="F727" t="s">
        <v>194</v>
      </c>
      <c r="G727" t="s">
        <v>285</v>
      </c>
      <c r="H727" t="s">
        <v>33</v>
      </c>
      <c r="I727">
        <v>6434</v>
      </c>
      <c r="J727">
        <f>I727/VLOOKUP($D727,CPI!$P$16:$R$22,3,FALSE)</f>
        <v>7495.9239085643203</v>
      </c>
      <c r="K727">
        <f t="shared" si="23"/>
        <v>0</v>
      </c>
      <c r="L727" s="3" cm="1">
        <f t="array" ref="L727">IF($C727=0,INDEX('24&amp;25'!$L:$L,MATCH($D727&amp;$B727&amp;$E727,'24&amp;25'!$B:$B&amp;'24&amp;25'!$A:$A&amp;'24&amp;25'!$C:$C,0)),INDEX('24&amp;25'!$M:$M,MATCH($D727&amp;$B727&amp;$E727,'24&amp;25'!$B:$B&amp;'24&amp;25'!$A:$A&amp;'24&amp;25'!$C:$C,0)))</f>
        <v>0</v>
      </c>
      <c r="M727">
        <f>L727/VLOOKUP($D727,CPI!$P$16:$R$22,3,FALSE)</f>
        <v>0</v>
      </c>
    </row>
    <row r="728" spans="1:13" ht="16" thickBot="1" x14ac:dyDescent="0.25">
      <c r="A728" s="7">
        <v>2</v>
      </c>
      <c r="B728">
        <f>IF(ISBLANK(G728),"",VLOOKUP(H728,code!B:C,2,FALSE))</f>
        <v>2</v>
      </c>
      <c r="C728">
        <f t="shared" si="22"/>
        <v>0</v>
      </c>
      <c r="D728">
        <v>2021</v>
      </c>
      <c r="E728">
        <v>209807</v>
      </c>
      <c r="F728" t="s">
        <v>194</v>
      </c>
      <c r="G728" t="s">
        <v>284</v>
      </c>
      <c r="H728" t="s">
        <v>10</v>
      </c>
      <c r="I728">
        <v>273073</v>
      </c>
      <c r="J728">
        <f>I728/VLOOKUP($D728,CPI!$P$16:$R$22,3,FALSE)</f>
        <v>310985.60915331729</v>
      </c>
      <c r="K728">
        <f t="shared" si="23"/>
        <v>1</v>
      </c>
      <c r="L728" s="3" cm="1">
        <f t="array" ref="L728">IF($C728=0,INDEX('24&amp;25'!$L:$L,MATCH($D728&amp;$B728&amp;$E728,'24&amp;25'!$B:$B&amp;'24&amp;25'!$A:$A&amp;'24&amp;25'!$C:$C,0)),INDEX('24&amp;25'!$M:$M,MATCH($D728&amp;$B728&amp;$E728,'24&amp;25'!$B:$B&amp;'24&amp;25'!$A:$A&amp;'24&amp;25'!$C:$C,0)))</f>
        <v>1131</v>
      </c>
      <c r="M728">
        <f>L728/VLOOKUP($D728,CPI!$P$16:$R$22,3,FALSE)</f>
        <v>1288.024535389445</v>
      </c>
    </row>
    <row r="729" spans="1:13" ht="16" thickBot="1" x14ac:dyDescent="0.25">
      <c r="A729" s="7">
        <v>2</v>
      </c>
      <c r="B729">
        <f>IF(ISBLANK(G729),"",VLOOKUP(H729,code!B:C,2,FALSE))</f>
        <v>8</v>
      </c>
      <c r="C729">
        <f t="shared" si="22"/>
        <v>0</v>
      </c>
      <c r="D729">
        <v>2021</v>
      </c>
      <c r="E729">
        <v>209807</v>
      </c>
      <c r="F729" t="s">
        <v>194</v>
      </c>
      <c r="G729" t="s">
        <v>284</v>
      </c>
      <c r="H729" t="s">
        <v>16</v>
      </c>
      <c r="I729">
        <v>73819</v>
      </c>
      <c r="J729">
        <f>I729/VLOOKUP($D729,CPI!$P$16:$R$22,3,FALSE)</f>
        <v>84067.801218314271</v>
      </c>
      <c r="K729">
        <f t="shared" si="23"/>
        <v>1</v>
      </c>
      <c r="L729" s="3" cm="1">
        <f t="array" ref="L729">IF($C729=0,INDEX('24&amp;25'!$L:$L,MATCH($D729&amp;$B729&amp;$E729,'24&amp;25'!$B:$B&amp;'24&amp;25'!$A:$A&amp;'24&amp;25'!$C:$C,0)),INDEX('24&amp;25'!$M:$M,MATCH($D729&amp;$B729&amp;$E729,'24&amp;25'!$B:$B&amp;'24&amp;25'!$A:$A&amp;'24&amp;25'!$C:$C,0)))</f>
        <v>106</v>
      </c>
      <c r="M729">
        <f>L729/VLOOKUP($D729,CPI!$P$16:$R$22,3,FALSE)</f>
        <v>120.7167115395943</v>
      </c>
    </row>
    <row r="730" spans="1:13" ht="16" thickBot="1" x14ac:dyDescent="0.25">
      <c r="A730" s="7">
        <v>2</v>
      </c>
      <c r="B730">
        <f>IF(ISBLANK(G730),"",VLOOKUP(H730,code!B:C,2,FALSE))</f>
        <v>20</v>
      </c>
      <c r="C730">
        <f t="shared" si="22"/>
        <v>0</v>
      </c>
      <c r="D730">
        <v>2021</v>
      </c>
      <c r="E730">
        <v>209807</v>
      </c>
      <c r="F730" t="s">
        <v>194</v>
      </c>
      <c r="G730" t="s">
        <v>284</v>
      </c>
      <c r="H730" t="s">
        <v>28</v>
      </c>
      <c r="I730">
        <v>0</v>
      </c>
      <c r="J730">
        <f>I730/VLOOKUP($D730,CPI!$P$16:$R$22,3,FALSE)</f>
        <v>0</v>
      </c>
      <c r="K730">
        <f t="shared" si="23"/>
        <v>1</v>
      </c>
      <c r="L730" s="3" cm="1">
        <f t="array" ref="L730">IF($C730=0,INDEX('24&amp;25'!$L:$L,MATCH($D730&amp;$B730&amp;$E730,'24&amp;25'!$B:$B&amp;'24&amp;25'!$A:$A&amp;'24&amp;25'!$C:$C,0)),INDEX('24&amp;25'!$M:$M,MATCH($D730&amp;$B730&amp;$E730,'24&amp;25'!$B:$B&amp;'24&amp;25'!$A:$A&amp;'24&amp;25'!$C:$C,0)))</f>
        <v>0</v>
      </c>
      <c r="M730">
        <f>L730/VLOOKUP($D730,CPI!$P$16:$R$22,3,FALSE)</f>
        <v>0</v>
      </c>
    </row>
    <row r="731" spans="1:13" ht="16" thickBot="1" x14ac:dyDescent="0.25">
      <c r="A731" s="7">
        <v>2</v>
      </c>
      <c r="B731">
        <f>IF(ISBLANK(G731),"",VLOOKUP(H731,code!B:C,2,FALSE))</f>
        <v>21</v>
      </c>
      <c r="C731">
        <f t="shared" si="22"/>
        <v>0</v>
      </c>
      <c r="D731">
        <v>2021</v>
      </c>
      <c r="E731">
        <v>209807</v>
      </c>
      <c r="F731" t="s">
        <v>194</v>
      </c>
      <c r="G731" t="s">
        <v>284</v>
      </c>
      <c r="H731" t="s">
        <v>30</v>
      </c>
      <c r="I731">
        <v>0</v>
      </c>
      <c r="J731">
        <f>I731/VLOOKUP($D731,CPI!$P$16:$R$22,3,FALSE)</f>
        <v>0</v>
      </c>
      <c r="K731">
        <f t="shared" si="23"/>
        <v>1</v>
      </c>
      <c r="L731" s="3" cm="1">
        <f t="array" ref="L731">IF($C731=0,INDEX('24&amp;25'!$L:$L,MATCH($D731&amp;$B731&amp;$E731,'24&amp;25'!$B:$B&amp;'24&amp;25'!$A:$A&amp;'24&amp;25'!$C:$C,0)),INDEX('24&amp;25'!$M:$M,MATCH($D731&amp;$B731&amp;$E731,'24&amp;25'!$B:$B&amp;'24&amp;25'!$A:$A&amp;'24&amp;25'!$C:$C,0)))</f>
        <v>0</v>
      </c>
      <c r="M731">
        <f>L731/VLOOKUP($D731,CPI!$P$16:$R$22,3,FALSE)</f>
        <v>0</v>
      </c>
    </row>
    <row r="732" spans="1:13" ht="16" thickBot="1" x14ac:dyDescent="0.25">
      <c r="A732" s="7">
        <v>2</v>
      </c>
      <c r="B732">
        <f>IF(ISBLANK(G732),"",VLOOKUP(H732,code!B:C,2,FALSE))</f>
        <v>2</v>
      </c>
      <c r="C732">
        <f t="shared" si="22"/>
        <v>1</v>
      </c>
      <c r="D732">
        <v>2021</v>
      </c>
      <c r="E732">
        <v>209807</v>
      </c>
      <c r="F732" t="s">
        <v>194</v>
      </c>
      <c r="G732" t="s">
        <v>285</v>
      </c>
      <c r="H732" t="s">
        <v>10</v>
      </c>
      <c r="I732">
        <v>20379</v>
      </c>
      <c r="J732">
        <f>I732/VLOOKUP($D732,CPI!$P$16:$R$22,3,FALSE)</f>
        <v>23208.357211937662</v>
      </c>
      <c r="K732">
        <f t="shared" si="23"/>
        <v>1</v>
      </c>
      <c r="L732" s="3" cm="1">
        <f t="array" ref="L732">IF($C732=0,INDEX('24&amp;25'!$L:$L,MATCH($D732&amp;$B732&amp;$E732,'24&amp;25'!$B:$B&amp;'24&amp;25'!$A:$A&amp;'24&amp;25'!$C:$C,0)),INDEX('24&amp;25'!$M:$M,MATCH($D732&amp;$B732&amp;$E732,'24&amp;25'!$B:$B&amp;'24&amp;25'!$A:$A&amp;'24&amp;25'!$C:$C,0)))</f>
        <v>11824</v>
      </c>
      <c r="M732">
        <f>L732/VLOOKUP($D732,CPI!$P$16:$R$22,3,FALSE)</f>
        <v>13465.607521171349</v>
      </c>
    </row>
    <row r="733" spans="1:13" ht="16" thickBot="1" x14ac:dyDescent="0.25">
      <c r="A733" s="7">
        <v>2</v>
      </c>
      <c r="B733">
        <f>IF(ISBLANK(G733),"",VLOOKUP(H733,code!B:C,2,FALSE))</f>
        <v>9</v>
      </c>
      <c r="C733">
        <f t="shared" si="22"/>
        <v>1</v>
      </c>
      <c r="D733">
        <v>2021</v>
      </c>
      <c r="E733">
        <v>209807</v>
      </c>
      <c r="F733" t="s">
        <v>194</v>
      </c>
      <c r="G733" t="s">
        <v>285</v>
      </c>
      <c r="H733" t="s">
        <v>17</v>
      </c>
      <c r="I733">
        <v>7050</v>
      </c>
      <c r="J733">
        <f>I733/VLOOKUP($D733,CPI!$P$16:$R$22,3,FALSE)</f>
        <v>8028.8001542843385</v>
      </c>
      <c r="K733">
        <f t="shared" si="23"/>
        <v>1</v>
      </c>
      <c r="L733" s="3" cm="1">
        <f t="array" ref="L733">IF($C733=0,INDEX('24&amp;25'!$L:$L,MATCH($D733&amp;$B733&amp;$E733,'24&amp;25'!$B:$B&amp;'24&amp;25'!$A:$A&amp;'24&amp;25'!$C:$C,0)),INDEX('24&amp;25'!$M:$M,MATCH($D733&amp;$B733&amp;$E733,'24&amp;25'!$B:$B&amp;'24&amp;25'!$A:$A&amp;'24&amp;25'!$C:$C,0)))</f>
        <v>0</v>
      </c>
      <c r="M733">
        <f>L733/VLOOKUP($D733,CPI!$P$16:$R$22,3,FALSE)</f>
        <v>0</v>
      </c>
    </row>
    <row r="734" spans="1:13" ht="16" thickBot="1" x14ac:dyDescent="0.25">
      <c r="A734" s="7">
        <v>2</v>
      </c>
      <c r="B734">
        <f>IF(ISBLANK(G734),"",VLOOKUP(H734,code!B:C,2,FALSE))</f>
        <v>17</v>
      </c>
      <c r="C734">
        <f t="shared" si="22"/>
        <v>1</v>
      </c>
      <c r="D734">
        <v>2021</v>
      </c>
      <c r="E734">
        <v>209807</v>
      </c>
      <c r="F734" t="s">
        <v>194</v>
      </c>
      <c r="G734" t="s">
        <v>285</v>
      </c>
      <c r="H734" t="s">
        <v>25</v>
      </c>
      <c r="I734">
        <v>42581</v>
      </c>
      <c r="J734">
        <f>I734/VLOOKUP($D734,CPI!$P$16:$R$22,3,FALSE)</f>
        <v>48492.814094976085</v>
      </c>
      <c r="K734">
        <f t="shared" si="23"/>
        <v>1</v>
      </c>
      <c r="L734" s="3" cm="1">
        <f t="array" ref="L734">IF($C734=0,INDEX('24&amp;25'!$L:$L,MATCH($D734&amp;$B734&amp;$E734,'24&amp;25'!$B:$B&amp;'24&amp;25'!$A:$A&amp;'24&amp;25'!$C:$C,0)),INDEX('24&amp;25'!$M:$M,MATCH($D734&amp;$B734&amp;$E734,'24&amp;25'!$B:$B&amp;'24&amp;25'!$A:$A&amp;'24&amp;25'!$C:$C,0)))</f>
        <v>0</v>
      </c>
      <c r="M734">
        <f>L734/VLOOKUP($D734,CPI!$P$16:$R$22,3,FALSE)</f>
        <v>0</v>
      </c>
    </row>
    <row r="735" spans="1:13" ht="16" thickBot="1" x14ac:dyDescent="0.25">
      <c r="A735" s="7">
        <v>2</v>
      </c>
      <c r="B735">
        <f>IF(ISBLANK(G735),"",VLOOKUP(H735,code!B:C,2,FALSE))</f>
        <v>18</v>
      </c>
      <c r="C735">
        <f t="shared" si="22"/>
        <v>1</v>
      </c>
      <c r="D735">
        <v>2021</v>
      </c>
      <c r="E735">
        <v>209807</v>
      </c>
      <c r="F735" t="s">
        <v>194</v>
      </c>
      <c r="G735" t="s">
        <v>285</v>
      </c>
      <c r="H735" t="s">
        <v>26</v>
      </c>
      <c r="I735">
        <v>31476</v>
      </c>
      <c r="J735">
        <f>I735/VLOOKUP($D735,CPI!$P$16:$R$22,3,FALSE)</f>
        <v>35846.030305851607</v>
      </c>
      <c r="K735">
        <f t="shared" si="23"/>
        <v>1</v>
      </c>
      <c r="L735" s="3" cm="1">
        <f t="array" ref="L735">IF($C735=0,INDEX('24&amp;25'!$L:$L,MATCH($D735&amp;$B735&amp;$E735,'24&amp;25'!$B:$B&amp;'24&amp;25'!$A:$A&amp;'24&amp;25'!$C:$C,0)),INDEX('24&amp;25'!$M:$M,MATCH($D735&amp;$B735&amp;$E735,'24&amp;25'!$B:$B&amp;'24&amp;25'!$A:$A&amp;'24&amp;25'!$C:$C,0)))</f>
        <v>0</v>
      </c>
      <c r="M735">
        <f>L735/VLOOKUP($D735,CPI!$P$16:$R$22,3,FALSE)</f>
        <v>0</v>
      </c>
    </row>
    <row r="736" spans="1:13" ht="16" thickBot="1" x14ac:dyDescent="0.25">
      <c r="A736" s="7">
        <v>2</v>
      </c>
      <c r="B736">
        <f>IF(ISBLANK(G736),"",VLOOKUP(H736,code!B:C,2,FALSE))</f>
        <v>20</v>
      </c>
      <c r="C736">
        <f t="shared" si="22"/>
        <v>1</v>
      </c>
      <c r="D736">
        <v>2021</v>
      </c>
      <c r="E736">
        <v>209807</v>
      </c>
      <c r="F736" t="s">
        <v>194</v>
      </c>
      <c r="G736" t="s">
        <v>285</v>
      </c>
      <c r="H736" t="s">
        <v>28</v>
      </c>
      <c r="I736">
        <v>8420</v>
      </c>
      <c r="J736">
        <f>I736/VLOOKUP($D736,CPI!$P$16:$R$22,3,FALSE)</f>
        <v>9589.0067090885295</v>
      </c>
      <c r="K736">
        <f t="shared" si="23"/>
        <v>1</v>
      </c>
      <c r="L736" s="3" cm="1">
        <f t="array" ref="L736">IF($C736=0,INDEX('24&amp;25'!$L:$L,MATCH($D736&amp;$B736&amp;$E736,'24&amp;25'!$B:$B&amp;'24&amp;25'!$A:$A&amp;'24&amp;25'!$C:$C,0)),INDEX('24&amp;25'!$M:$M,MATCH($D736&amp;$B736&amp;$E736,'24&amp;25'!$B:$B&amp;'24&amp;25'!$A:$A&amp;'24&amp;25'!$C:$C,0)))</f>
        <v>0</v>
      </c>
      <c r="M736">
        <f>L736/VLOOKUP($D736,CPI!$P$16:$R$22,3,FALSE)</f>
        <v>0</v>
      </c>
    </row>
    <row r="737" spans="1:13" ht="16" thickBot="1" x14ac:dyDescent="0.25">
      <c r="A737" s="7">
        <v>2</v>
      </c>
      <c r="B737">
        <f>IF(ISBLANK(G737),"",VLOOKUP(H737,code!B:C,2,FALSE))</f>
        <v>21</v>
      </c>
      <c r="C737">
        <f t="shared" si="22"/>
        <v>1</v>
      </c>
      <c r="D737">
        <v>2021</v>
      </c>
      <c r="E737">
        <v>209807</v>
      </c>
      <c r="F737" t="s">
        <v>194</v>
      </c>
      <c r="G737" t="s">
        <v>285</v>
      </c>
      <c r="H737" t="s">
        <v>30</v>
      </c>
      <c r="I737">
        <v>0</v>
      </c>
      <c r="J737">
        <f>I737/VLOOKUP($D737,CPI!$P$16:$R$22,3,FALSE)</f>
        <v>0</v>
      </c>
      <c r="K737">
        <f t="shared" si="23"/>
        <v>1</v>
      </c>
      <c r="L737" s="3" cm="1">
        <f t="array" ref="L737">IF($C737=0,INDEX('24&amp;25'!$L:$L,MATCH($D737&amp;$B737&amp;$E737,'24&amp;25'!$B:$B&amp;'24&amp;25'!$A:$A&amp;'24&amp;25'!$C:$C,0)),INDEX('24&amp;25'!$M:$M,MATCH($D737&amp;$B737&amp;$E737,'24&amp;25'!$B:$B&amp;'24&amp;25'!$A:$A&amp;'24&amp;25'!$C:$C,0)))</f>
        <v>0</v>
      </c>
      <c r="M737">
        <f>L737/VLOOKUP($D737,CPI!$P$16:$R$22,3,FALSE)</f>
        <v>0</v>
      </c>
    </row>
    <row r="738" spans="1:13" ht="16" thickBot="1" x14ac:dyDescent="0.25">
      <c r="A738" s="7">
        <v>2</v>
      </c>
      <c r="B738">
        <f>IF(ISBLANK(G738),"",VLOOKUP(H738,code!B:C,2,FALSE))</f>
        <v>23</v>
      </c>
      <c r="C738">
        <f t="shared" si="22"/>
        <v>1</v>
      </c>
      <c r="D738">
        <v>2021</v>
      </c>
      <c r="E738">
        <v>209807</v>
      </c>
      <c r="F738" t="s">
        <v>194</v>
      </c>
      <c r="G738" t="s">
        <v>285</v>
      </c>
      <c r="H738" t="s">
        <v>33</v>
      </c>
      <c r="I738">
        <v>8700</v>
      </c>
      <c r="J738">
        <f>I738/VLOOKUP($D738,CPI!$P$16:$R$22,3,FALSE)</f>
        <v>9907.881041457269</v>
      </c>
      <c r="K738">
        <f t="shared" si="23"/>
        <v>1</v>
      </c>
      <c r="L738" s="3" cm="1">
        <f t="array" ref="L738">IF($C738=0,INDEX('24&amp;25'!$L:$L,MATCH($D738&amp;$B738&amp;$E738,'24&amp;25'!$B:$B&amp;'24&amp;25'!$A:$A&amp;'24&amp;25'!$C:$C,0)),INDEX('24&amp;25'!$M:$M,MATCH($D738&amp;$B738&amp;$E738,'24&amp;25'!$B:$B&amp;'24&amp;25'!$A:$A&amp;'24&amp;25'!$C:$C,0)))</f>
        <v>390</v>
      </c>
      <c r="M738">
        <f>L738/VLOOKUP($D738,CPI!$P$16:$R$22,3,FALSE)</f>
        <v>444.14639151360171</v>
      </c>
    </row>
    <row r="739" spans="1:13" ht="16" thickBot="1" x14ac:dyDescent="0.25">
      <c r="A739" s="7">
        <v>2</v>
      </c>
      <c r="B739">
        <f>IF(ISBLANK(G739),"",VLOOKUP(H739,code!B:C,2,FALSE))</f>
        <v>2</v>
      </c>
      <c r="C739">
        <f t="shared" si="22"/>
        <v>0</v>
      </c>
      <c r="D739">
        <v>2022</v>
      </c>
      <c r="E739">
        <v>209807</v>
      </c>
      <c r="F739" t="s">
        <v>194</v>
      </c>
      <c r="G739" t="s">
        <v>284</v>
      </c>
      <c r="H739" t="s">
        <v>10</v>
      </c>
      <c r="I739">
        <v>462349</v>
      </c>
      <c r="J739">
        <f>I739/VLOOKUP($D739,CPI!$P$16:$R$22,3,FALSE)</f>
        <v>491301.44930236693</v>
      </c>
      <c r="K739">
        <f t="shared" si="23"/>
        <v>0</v>
      </c>
      <c r="L739" s="3" cm="1">
        <f t="array" ref="L739">IF($C739=0,INDEX('24&amp;25'!$L:$L,MATCH($D739&amp;$B739&amp;$E739,'24&amp;25'!$B:$B&amp;'24&amp;25'!$A:$A&amp;'24&amp;25'!$C:$C,0)),INDEX('24&amp;25'!$M:$M,MATCH($D739&amp;$B739&amp;$E739,'24&amp;25'!$B:$B&amp;'24&amp;25'!$A:$A&amp;'24&amp;25'!$C:$C,0)))</f>
        <v>340822</v>
      </c>
      <c r="M739">
        <f>L739/VLOOKUP($D739,CPI!$P$16:$R$22,3,FALSE)</f>
        <v>362164.38784150349</v>
      </c>
    </row>
    <row r="740" spans="1:13" ht="16" thickBot="1" x14ac:dyDescent="0.25">
      <c r="A740" s="7">
        <v>2</v>
      </c>
      <c r="B740">
        <f>IF(ISBLANK(G740),"",VLOOKUP(H740,code!B:C,2,FALSE))</f>
        <v>8</v>
      </c>
      <c r="C740">
        <f t="shared" si="22"/>
        <v>0</v>
      </c>
      <c r="D740">
        <v>2022</v>
      </c>
      <c r="E740">
        <v>209807</v>
      </c>
      <c r="F740" t="s">
        <v>194</v>
      </c>
      <c r="G740" t="s">
        <v>284</v>
      </c>
      <c r="H740" t="s">
        <v>16</v>
      </c>
      <c r="I740">
        <v>858520</v>
      </c>
      <c r="J740">
        <f>I740/VLOOKUP($D740,CPI!$P$16:$R$22,3,FALSE)</f>
        <v>912280.81007002946</v>
      </c>
      <c r="K740">
        <f t="shared" si="23"/>
        <v>0</v>
      </c>
      <c r="L740" s="3" cm="1">
        <f t="array" ref="L740">IF($C740=0,INDEX('24&amp;25'!$L:$L,MATCH($D740&amp;$B740&amp;$E740,'24&amp;25'!$B:$B&amp;'24&amp;25'!$A:$A&amp;'24&amp;25'!$C:$C,0)),INDEX('24&amp;25'!$M:$M,MATCH($D740&amp;$B740&amp;$E740,'24&amp;25'!$B:$B&amp;'24&amp;25'!$A:$A&amp;'24&amp;25'!$C:$C,0)))</f>
        <v>589636</v>
      </c>
      <c r="M740">
        <f>L740/VLOOKUP($D740,CPI!$P$16:$R$22,3,FALSE)</f>
        <v>626559.20389327197</v>
      </c>
    </row>
    <row r="741" spans="1:13" ht="16" thickBot="1" x14ac:dyDescent="0.25">
      <c r="A741" s="7">
        <v>2</v>
      </c>
      <c r="B741">
        <f>IF(ISBLANK(G741),"",VLOOKUP(H741,code!B:C,2,FALSE))</f>
        <v>20</v>
      </c>
      <c r="C741">
        <f t="shared" si="22"/>
        <v>0</v>
      </c>
      <c r="D741">
        <v>2022</v>
      </c>
      <c r="E741">
        <v>209807</v>
      </c>
      <c r="F741" t="s">
        <v>194</v>
      </c>
      <c r="G741" t="s">
        <v>284</v>
      </c>
      <c r="H741" t="s">
        <v>28</v>
      </c>
      <c r="I741">
        <v>0</v>
      </c>
      <c r="J741">
        <f>I741/VLOOKUP($D741,CPI!$P$16:$R$22,3,FALSE)</f>
        <v>0</v>
      </c>
      <c r="K741">
        <f t="shared" si="23"/>
        <v>0</v>
      </c>
      <c r="L741" s="3" cm="1">
        <f t="array" ref="L741">IF($C741=0,INDEX('24&amp;25'!$L:$L,MATCH($D741&amp;$B741&amp;$E741,'24&amp;25'!$B:$B&amp;'24&amp;25'!$A:$A&amp;'24&amp;25'!$C:$C,0)),INDEX('24&amp;25'!$M:$M,MATCH($D741&amp;$B741&amp;$E741,'24&amp;25'!$B:$B&amp;'24&amp;25'!$A:$A&amp;'24&amp;25'!$C:$C,0)))</f>
        <v>43224</v>
      </c>
      <c r="M741">
        <f>L741/VLOOKUP($D741,CPI!$P$16:$R$22,3,FALSE)</f>
        <v>45930.701363354325</v>
      </c>
    </row>
    <row r="742" spans="1:13" ht="16" thickBot="1" x14ac:dyDescent="0.25">
      <c r="A742" s="7">
        <v>2</v>
      </c>
      <c r="B742">
        <f>IF(ISBLANK(G742),"",VLOOKUP(H742,code!B:C,2,FALSE))</f>
        <v>21</v>
      </c>
      <c r="C742">
        <f t="shared" si="22"/>
        <v>0</v>
      </c>
      <c r="D742">
        <v>2022</v>
      </c>
      <c r="E742">
        <v>209807</v>
      </c>
      <c r="F742" t="s">
        <v>194</v>
      </c>
      <c r="G742" t="s">
        <v>284</v>
      </c>
      <c r="H742" t="s">
        <v>30</v>
      </c>
      <c r="I742">
        <v>0</v>
      </c>
      <c r="J742">
        <f>I742/VLOOKUP($D742,CPI!$P$16:$R$22,3,FALSE)</f>
        <v>0</v>
      </c>
      <c r="K742">
        <f t="shared" si="23"/>
        <v>0</v>
      </c>
      <c r="L742" s="3" cm="1">
        <f t="array" ref="L742">IF($C742=0,INDEX('24&amp;25'!$L:$L,MATCH($D742&amp;$B742&amp;$E742,'24&amp;25'!$B:$B&amp;'24&amp;25'!$A:$A&amp;'24&amp;25'!$C:$C,0)),INDEX('24&amp;25'!$M:$M,MATCH($D742&amp;$B742&amp;$E742,'24&amp;25'!$B:$B&amp;'24&amp;25'!$A:$A&amp;'24&amp;25'!$C:$C,0)))</f>
        <v>50614</v>
      </c>
      <c r="M742">
        <f>L742/VLOOKUP($D742,CPI!$P$16:$R$22,3,FALSE)</f>
        <v>53783.465639570968</v>
      </c>
    </row>
    <row r="743" spans="1:13" ht="16" thickBot="1" x14ac:dyDescent="0.25">
      <c r="A743" s="7">
        <v>2</v>
      </c>
      <c r="B743">
        <f>IF(ISBLANK(G743),"",VLOOKUP(H743,code!B:C,2,FALSE))</f>
        <v>2</v>
      </c>
      <c r="C743">
        <f t="shared" si="22"/>
        <v>1</v>
      </c>
      <c r="D743">
        <v>2022</v>
      </c>
      <c r="E743">
        <v>209807</v>
      </c>
      <c r="F743" t="s">
        <v>194</v>
      </c>
      <c r="G743" t="s">
        <v>285</v>
      </c>
      <c r="H743" t="s">
        <v>10</v>
      </c>
      <c r="I743">
        <v>178893</v>
      </c>
      <c r="J743">
        <f>I743/VLOOKUP($D743,CPI!$P$16:$R$22,3,FALSE)</f>
        <v>190095.33960287212</v>
      </c>
      <c r="K743">
        <f t="shared" si="23"/>
        <v>0</v>
      </c>
      <c r="L743" s="3" cm="1">
        <f t="array" ref="L743">IF($C743=0,INDEX('24&amp;25'!$L:$L,MATCH($D743&amp;$B743&amp;$E743,'24&amp;25'!$B:$B&amp;'24&amp;25'!$A:$A&amp;'24&amp;25'!$C:$C,0)),INDEX('24&amp;25'!$M:$M,MATCH($D743&amp;$B743&amp;$E743,'24&amp;25'!$B:$B&amp;'24&amp;25'!$A:$A&amp;'24&amp;25'!$C:$C,0)))</f>
        <v>290592</v>
      </c>
      <c r="M743">
        <f>L743/VLOOKUP($D743,CPI!$P$16:$R$22,3,FALSE)</f>
        <v>308788.96841060196</v>
      </c>
    </row>
    <row r="744" spans="1:13" ht="16" thickBot="1" x14ac:dyDescent="0.25">
      <c r="A744" s="7">
        <v>2</v>
      </c>
      <c r="B744">
        <f>IF(ISBLANK(G744),"",VLOOKUP(H744,code!B:C,2,FALSE))</f>
        <v>9</v>
      </c>
      <c r="C744">
        <f t="shared" si="22"/>
        <v>1</v>
      </c>
      <c r="D744">
        <v>2022</v>
      </c>
      <c r="E744">
        <v>209807</v>
      </c>
      <c r="F744" t="s">
        <v>194</v>
      </c>
      <c r="G744" t="s">
        <v>285</v>
      </c>
      <c r="H744" t="s">
        <v>17</v>
      </c>
      <c r="I744">
        <v>2700</v>
      </c>
      <c r="J744">
        <f>I744/VLOOKUP($D744,CPI!$P$16:$R$22,3,FALSE)</f>
        <v>2869.0749047070303</v>
      </c>
      <c r="K744">
        <f t="shared" si="23"/>
        <v>0</v>
      </c>
      <c r="L744" s="3" cm="1">
        <f t="array" ref="L744">IF($C744=0,INDEX('24&amp;25'!$L:$L,MATCH($D744&amp;$B744&amp;$E744,'24&amp;25'!$B:$B&amp;'24&amp;25'!$A:$A&amp;'24&amp;25'!$C:$C,0)),INDEX('24&amp;25'!$M:$M,MATCH($D744&amp;$B744&amp;$E744,'24&amp;25'!$B:$B&amp;'24&amp;25'!$A:$A&amp;'24&amp;25'!$C:$C,0)))</f>
        <v>45398</v>
      </c>
      <c r="M744">
        <f>L744/VLOOKUP($D744,CPI!$P$16:$R$22,3,FALSE)</f>
        <v>48240.837971811023</v>
      </c>
    </row>
    <row r="745" spans="1:13" ht="16" thickBot="1" x14ac:dyDescent="0.25">
      <c r="A745" s="7">
        <v>2</v>
      </c>
      <c r="B745">
        <f>IF(ISBLANK(G745),"",VLOOKUP(H745,code!B:C,2,FALSE))</f>
        <v>17</v>
      </c>
      <c r="C745">
        <f t="shared" si="22"/>
        <v>1</v>
      </c>
      <c r="D745">
        <v>2022</v>
      </c>
      <c r="E745">
        <v>209807</v>
      </c>
      <c r="F745" t="s">
        <v>194</v>
      </c>
      <c r="G745" t="s">
        <v>285</v>
      </c>
      <c r="H745" t="s">
        <v>25</v>
      </c>
      <c r="I745">
        <v>12700</v>
      </c>
      <c r="J745">
        <f>I745/VLOOKUP($D745,CPI!$P$16:$R$22,3,FALSE)</f>
        <v>13495.278255473808</v>
      </c>
      <c r="K745">
        <f t="shared" si="23"/>
        <v>0</v>
      </c>
      <c r="L745" s="3" cm="1">
        <f t="array" ref="L745">IF($C745=0,INDEX('24&amp;25'!$L:$L,MATCH($D745&amp;$B745&amp;$E745,'24&amp;25'!$B:$B&amp;'24&amp;25'!$A:$A&amp;'24&amp;25'!$C:$C,0)),INDEX('24&amp;25'!$M:$M,MATCH($D745&amp;$B745&amp;$E745,'24&amp;25'!$B:$B&amp;'24&amp;25'!$A:$A&amp;'24&amp;25'!$C:$C,0)))</f>
        <v>104967</v>
      </c>
      <c r="M745">
        <f>L745/VLOOKUP($D745,CPI!$P$16:$R$22,3,FALSE)</f>
        <v>111540.06871199365</v>
      </c>
    </row>
    <row r="746" spans="1:13" ht="16" thickBot="1" x14ac:dyDescent="0.25">
      <c r="A746" s="7">
        <v>2</v>
      </c>
      <c r="B746">
        <f>IF(ISBLANK(G746),"",VLOOKUP(H746,code!B:C,2,FALSE))</f>
        <v>18</v>
      </c>
      <c r="C746">
        <f t="shared" si="22"/>
        <v>1</v>
      </c>
      <c r="D746">
        <v>2022</v>
      </c>
      <c r="E746">
        <v>209807</v>
      </c>
      <c r="F746" t="s">
        <v>194</v>
      </c>
      <c r="G746" t="s">
        <v>285</v>
      </c>
      <c r="H746" t="s">
        <v>26</v>
      </c>
      <c r="I746">
        <v>20622</v>
      </c>
      <c r="J746">
        <f>I746/VLOOKUP($D746,CPI!$P$16:$R$22,3,FALSE)</f>
        <v>21913.356549951252</v>
      </c>
      <c r="K746">
        <f t="shared" si="23"/>
        <v>0</v>
      </c>
      <c r="L746" s="3" cm="1">
        <f t="array" ref="L746">IF($C746=0,INDEX('24&amp;25'!$L:$L,MATCH($D746&amp;$B746&amp;$E746,'24&amp;25'!$B:$B&amp;'24&amp;25'!$A:$A&amp;'24&amp;25'!$C:$C,0)),INDEX('24&amp;25'!$M:$M,MATCH($D746&amp;$B746&amp;$E746,'24&amp;25'!$B:$B&amp;'24&amp;25'!$A:$A&amp;'24&amp;25'!$C:$C,0)))</f>
        <v>110610</v>
      </c>
      <c r="M746">
        <f>L746/VLOOKUP($D746,CPI!$P$16:$R$22,3,FALSE)</f>
        <v>117536.43526283134</v>
      </c>
    </row>
    <row r="747" spans="1:13" ht="16" thickBot="1" x14ac:dyDescent="0.25">
      <c r="A747" s="7">
        <v>2</v>
      </c>
      <c r="B747">
        <f>IF(ISBLANK(G747),"",VLOOKUP(H747,code!B:C,2,FALSE))</f>
        <v>20</v>
      </c>
      <c r="C747">
        <f t="shared" si="22"/>
        <v>1</v>
      </c>
      <c r="D747">
        <v>2022</v>
      </c>
      <c r="E747">
        <v>209807</v>
      </c>
      <c r="F747" t="s">
        <v>194</v>
      </c>
      <c r="G747" t="s">
        <v>285</v>
      </c>
      <c r="H747" t="s">
        <v>28</v>
      </c>
      <c r="I747">
        <v>9021</v>
      </c>
      <c r="J747">
        <f>I747/VLOOKUP($D747,CPI!$P$16:$R$22,3,FALSE)</f>
        <v>9585.8980427267106</v>
      </c>
      <c r="K747">
        <f t="shared" si="23"/>
        <v>0</v>
      </c>
      <c r="L747" s="3" cm="1">
        <f t="array" ref="L747">IF($C747=0,INDEX('24&amp;25'!$L:$L,MATCH($D747&amp;$B747&amp;$E747,'24&amp;25'!$B:$B&amp;'24&amp;25'!$A:$A&amp;'24&amp;25'!$C:$C,0)),INDEX('24&amp;25'!$M:$M,MATCH($D747&amp;$B747&amp;$E747,'24&amp;25'!$B:$B&amp;'24&amp;25'!$A:$A&amp;'24&amp;25'!$C:$C,0)))</f>
        <v>45268</v>
      </c>
      <c r="M747">
        <f>L747/VLOOKUP($D747,CPI!$P$16:$R$22,3,FALSE)</f>
        <v>48102.697328251052</v>
      </c>
    </row>
    <row r="748" spans="1:13" ht="16" thickBot="1" x14ac:dyDescent="0.25">
      <c r="A748" s="7">
        <v>2</v>
      </c>
      <c r="B748">
        <f>IF(ISBLANK(G748),"",VLOOKUP(H748,code!B:C,2,FALSE))</f>
        <v>21</v>
      </c>
      <c r="C748">
        <f t="shared" si="22"/>
        <v>1</v>
      </c>
      <c r="D748">
        <v>2022</v>
      </c>
      <c r="E748">
        <v>209807</v>
      </c>
      <c r="F748" t="s">
        <v>194</v>
      </c>
      <c r="G748" t="s">
        <v>285</v>
      </c>
      <c r="H748" t="s">
        <v>30</v>
      </c>
      <c r="I748">
        <v>984</v>
      </c>
      <c r="J748">
        <f>I748/VLOOKUP($D748,CPI!$P$16:$R$22,3,FALSE)</f>
        <v>1045.618409715451</v>
      </c>
      <c r="K748">
        <f t="shared" si="23"/>
        <v>0</v>
      </c>
      <c r="L748" s="3" cm="1">
        <f t="array" ref="L748">IF($C748=0,INDEX('24&amp;25'!$L:$L,MATCH($D748&amp;$B748&amp;$E748,'24&amp;25'!$B:$B&amp;'24&amp;25'!$A:$A&amp;'24&amp;25'!$C:$C,0)),INDEX('24&amp;25'!$M:$M,MATCH($D748&amp;$B748&amp;$E748,'24&amp;25'!$B:$B&amp;'24&amp;25'!$A:$A&amp;'24&amp;25'!$C:$C,0)))</f>
        <v>49144</v>
      </c>
      <c r="M748">
        <f>L748/VLOOKUP($D748,CPI!$P$16:$R$22,3,FALSE)</f>
        <v>52221.413747008257</v>
      </c>
    </row>
    <row r="749" spans="1:13" ht="16" thickBot="1" x14ac:dyDescent="0.25">
      <c r="A749" s="7">
        <v>2</v>
      </c>
      <c r="B749">
        <f>IF(ISBLANK(G749),"",VLOOKUP(H749,code!B:C,2,FALSE))</f>
        <v>23</v>
      </c>
      <c r="C749">
        <f t="shared" si="22"/>
        <v>1</v>
      </c>
      <c r="D749">
        <v>2022</v>
      </c>
      <c r="E749">
        <v>209807</v>
      </c>
      <c r="F749" t="s">
        <v>194</v>
      </c>
      <c r="G749" t="s">
        <v>285</v>
      </c>
      <c r="H749" t="s">
        <v>33</v>
      </c>
      <c r="I749">
        <v>21747</v>
      </c>
      <c r="J749">
        <f>I749/VLOOKUP($D749,CPI!$P$16:$R$22,3,FALSE)</f>
        <v>23108.804426912513</v>
      </c>
      <c r="K749">
        <f t="shared" si="23"/>
        <v>0</v>
      </c>
      <c r="L749" s="3" cm="1">
        <f t="array" ref="L749">IF($C749=0,INDEX('24&amp;25'!$L:$L,MATCH($D749&amp;$B749&amp;$E749,'24&amp;25'!$B:$B&amp;'24&amp;25'!$A:$A&amp;'24&amp;25'!$C:$C,0)),INDEX('24&amp;25'!$M:$M,MATCH($D749&amp;$B749&amp;$E749,'24&amp;25'!$B:$B&amp;'24&amp;25'!$A:$A&amp;'24&amp;25'!$C:$C,0)))</f>
        <v>184818</v>
      </c>
      <c r="M749">
        <f>L749/VLOOKUP($D749,CPI!$P$16:$R$22,3,FALSE)</f>
        <v>196391.36508820145</v>
      </c>
    </row>
    <row r="750" spans="1:13" ht="16" thickBot="1" x14ac:dyDescent="0.25">
      <c r="A750" s="7">
        <v>2</v>
      </c>
      <c r="B750">
        <f>IF(ISBLANK(G750),"",VLOOKUP(H750,code!B:C,2,FALSE))</f>
        <v>2</v>
      </c>
      <c r="C750">
        <f t="shared" si="22"/>
        <v>0</v>
      </c>
      <c r="D750">
        <v>2023</v>
      </c>
      <c r="E750">
        <v>209807</v>
      </c>
      <c r="F750" t="s">
        <v>194</v>
      </c>
      <c r="G750" t="s">
        <v>284</v>
      </c>
      <c r="H750" t="s">
        <v>10</v>
      </c>
      <c r="I750">
        <v>174934</v>
      </c>
      <c r="J750">
        <f>I750/VLOOKUP($D750,CPI!$P$16:$R$22,3,FALSE)</f>
        <v>174934</v>
      </c>
      <c r="K750">
        <f t="shared" si="23"/>
        <v>0</v>
      </c>
      <c r="L750" s="3" cm="1">
        <f t="array" ref="L750">IF($C750=0,INDEX('24&amp;25'!$L:$L,MATCH($D750&amp;$B750&amp;$E750,'24&amp;25'!$B:$B&amp;'24&amp;25'!$A:$A&amp;'24&amp;25'!$C:$C,0)),INDEX('24&amp;25'!$M:$M,MATCH($D750&amp;$B750&amp;$E750,'24&amp;25'!$B:$B&amp;'24&amp;25'!$A:$A&amp;'24&amp;25'!$C:$C,0)))</f>
        <v>29022</v>
      </c>
      <c r="M750">
        <f>L750/VLOOKUP($D750,CPI!$P$16:$R$22,3,FALSE)</f>
        <v>29022</v>
      </c>
    </row>
    <row r="751" spans="1:13" ht="16" thickBot="1" x14ac:dyDescent="0.25">
      <c r="A751" s="7">
        <v>2</v>
      </c>
      <c r="B751">
        <f>IF(ISBLANK(G751),"",VLOOKUP(H751,code!B:C,2,FALSE))</f>
        <v>8</v>
      </c>
      <c r="C751">
        <f t="shared" si="22"/>
        <v>0</v>
      </c>
      <c r="D751">
        <v>2023</v>
      </c>
      <c r="E751">
        <v>209807</v>
      </c>
      <c r="F751" t="s">
        <v>194</v>
      </c>
      <c r="G751" t="s">
        <v>284</v>
      </c>
      <c r="H751" t="s">
        <v>16</v>
      </c>
      <c r="I751">
        <v>1138696</v>
      </c>
      <c r="J751">
        <f>I751/VLOOKUP($D751,CPI!$P$16:$R$22,3,FALSE)</f>
        <v>1138696</v>
      </c>
      <c r="K751">
        <f t="shared" si="23"/>
        <v>0</v>
      </c>
      <c r="L751" s="3" cm="1">
        <f t="array" ref="L751">IF($C751=0,INDEX('24&amp;25'!$L:$L,MATCH($D751&amp;$B751&amp;$E751,'24&amp;25'!$B:$B&amp;'24&amp;25'!$A:$A&amp;'24&amp;25'!$C:$C,0)),INDEX('24&amp;25'!$M:$M,MATCH($D751&amp;$B751&amp;$E751,'24&amp;25'!$B:$B&amp;'24&amp;25'!$A:$A&amp;'24&amp;25'!$C:$C,0)))</f>
        <v>241676</v>
      </c>
      <c r="M751">
        <f>L751/VLOOKUP($D751,CPI!$P$16:$R$22,3,FALSE)</f>
        <v>241676</v>
      </c>
    </row>
    <row r="752" spans="1:13" ht="16" thickBot="1" x14ac:dyDescent="0.25">
      <c r="A752" s="7">
        <v>2</v>
      </c>
      <c r="B752">
        <f>IF(ISBLANK(G752),"",VLOOKUP(H752,code!B:C,2,FALSE))</f>
        <v>20</v>
      </c>
      <c r="C752">
        <f t="shared" si="22"/>
        <v>0</v>
      </c>
      <c r="D752">
        <v>2023</v>
      </c>
      <c r="E752">
        <v>209807</v>
      </c>
      <c r="F752" t="s">
        <v>194</v>
      </c>
      <c r="G752" t="s">
        <v>284</v>
      </c>
      <c r="H752" t="s">
        <v>28</v>
      </c>
      <c r="I752">
        <v>960</v>
      </c>
      <c r="J752">
        <f>I752/VLOOKUP($D752,CPI!$P$16:$R$22,3,FALSE)</f>
        <v>960</v>
      </c>
      <c r="K752">
        <f t="shared" si="23"/>
        <v>0</v>
      </c>
      <c r="L752" s="3" cm="1">
        <f t="array" ref="L752">IF($C752=0,INDEX('24&amp;25'!$L:$L,MATCH($D752&amp;$B752&amp;$E752,'24&amp;25'!$B:$B&amp;'24&amp;25'!$A:$A&amp;'24&amp;25'!$C:$C,0)),INDEX('24&amp;25'!$M:$M,MATCH($D752&amp;$B752&amp;$E752,'24&amp;25'!$B:$B&amp;'24&amp;25'!$A:$A&amp;'24&amp;25'!$C:$C,0)))</f>
        <v>0</v>
      </c>
      <c r="M752">
        <f>L752/VLOOKUP($D752,CPI!$P$16:$R$22,3,FALSE)</f>
        <v>0</v>
      </c>
    </row>
    <row r="753" spans="1:13" ht="16" thickBot="1" x14ac:dyDescent="0.25">
      <c r="A753" s="7">
        <v>2</v>
      </c>
      <c r="B753">
        <f>IF(ISBLANK(G753),"",VLOOKUP(H753,code!B:C,2,FALSE))</f>
        <v>21</v>
      </c>
      <c r="C753">
        <f t="shared" si="22"/>
        <v>0</v>
      </c>
      <c r="D753">
        <v>2023</v>
      </c>
      <c r="E753">
        <v>209807</v>
      </c>
      <c r="F753" t="s">
        <v>194</v>
      </c>
      <c r="G753" t="s">
        <v>284</v>
      </c>
      <c r="H753" t="s">
        <v>31</v>
      </c>
      <c r="I753">
        <v>7998</v>
      </c>
      <c r="J753">
        <f>I753/VLOOKUP($D753,CPI!$P$16:$R$22,3,FALSE)</f>
        <v>7998</v>
      </c>
      <c r="K753">
        <f t="shared" si="23"/>
        <v>0</v>
      </c>
      <c r="L753" s="3" cm="1">
        <f t="array" ref="L753">IF($C753=0,INDEX('24&amp;25'!$L:$L,MATCH($D753&amp;$B753&amp;$E753,'24&amp;25'!$B:$B&amp;'24&amp;25'!$A:$A&amp;'24&amp;25'!$C:$C,0)),INDEX('24&amp;25'!$M:$M,MATCH($D753&amp;$B753&amp;$E753,'24&amp;25'!$B:$B&amp;'24&amp;25'!$A:$A&amp;'24&amp;25'!$C:$C,0)))</f>
        <v>24330</v>
      </c>
      <c r="M753">
        <f>L753/VLOOKUP($D753,CPI!$P$16:$R$22,3,FALSE)</f>
        <v>24330</v>
      </c>
    </row>
    <row r="754" spans="1:13" ht="16" thickBot="1" x14ac:dyDescent="0.25">
      <c r="A754" s="7">
        <v>2</v>
      </c>
      <c r="B754">
        <f>IF(ISBLANK(G754),"",VLOOKUP(H754,code!B:C,2,FALSE))</f>
        <v>2</v>
      </c>
      <c r="C754">
        <f t="shared" si="22"/>
        <v>1</v>
      </c>
      <c r="D754">
        <v>2023</v>
      </c>
      <c r="E754">
        <v>209807</v>
      </c>
      <c r="F754" t="s">
        <v>194</v>
      </c>
      <c r="G754" t="s">
        <v>285</v>
      </c>
      <c r="H754" t="s">
        <v>10</v>
      </c>
      <c r="I754">
        <v>350896</v>
      </c>
      <c r="J754">
        <f>I754/VLOOKUP($D754,CPI!$P$16:$R$22,3,FALSE)</f>
        <v>350896</v>
      </c>
      <c r="K754">
        <f t="shared" si="23"/>
        <v>0</v>
      </c>
      <c r="L754" s="3" cm="1">
        <f t="array" ref="L754">IF($C754=0,INDEX('24&amp;25'!$L:$L,MATCH($D754&amp;$B754&amp;$E754,'24&amp;25'!$B:$B&amp;'24&amp;25'!$A:$A&amp;'24&amp;25'!$C:$C,0)),INDEX('24&amp;25'!$M:$M,MATCH($D754&amp;$B754&amp;$E754,'24&amp;25'!$B:$B&amp;'24&amp;25'!$A:$A&amp;'24&amp;25'!$C:$C,0)))</f>
        <v>9370</v>
      </c>
      <c r="M754">
        <f>L754/VLOOKUP($D754,CPI!$P$16:$R$22,3,FALSE)</f>
        <v>9370</v>
      </c>
    </row>
    <row r="755" spans="1:13" ht="16" thickBot="1" x14ac:dyDescent="0.25">
      <c r="A755" s="7">
        <v>2</v>
      </c>
      <c r="B755">
        <f>IF(ISBLANK(G755),"",VLOOKUP(H755,code!B:C,2,FALSE))</f>
        <v>9</v>
      </c>
      <c r="C755">
        <f t="shared" si="22"/>
        <v>1</v>
      </c>
      <c r="D755">
        <v>2023</v>
      </c>
      <c r="E755">
        <v>209807</v>
      </c>
      <c r="F755" t="s">
        <v>194</v>
      </c>
      <c r="G755" t="s">
        <v>285</v>
      </c>
      <c r="H755" t="s">
        <v>17</v>
      </c>
      <c r="I755">
        <v>45026</v>
      </c>
      <c r="J755">
        <f>I755/VLOOKUP($D755,CPI!$P$16:$R$22,3,FALSE)</f>
        <v>45026</v>
      </c>
      <c r="K755">
        <f t="shared" si="23"/>
        <v>0</v>
      </c>
      <c r="L755" s="3" cm="1">
        <f t="array" ref="L755">IF($C755=0,INDEX('24&amp;25'!$L:$L,MATCH($D755&amp;$B755&amp;$E755,'24&amp;25'!$B:$B&amp;'24&amp;25'!$A:$A&amp;'24&amp;25'!$C:$C,0)),INDEX('24&amp;25'!$M:$M,MATCH($D755&amp;$B755&amp;$E755,'24&amp;25'!$B:$B&amp;'24&amp;25'!$A:$A&amp;'24&amp;25'!$C:$C,0)))</f>
        <v>20820</v>
      </c>
      <c r="M755">
        <f>L755/VLOOKUP($D755,CPI!$P$16:$R$22,3,FALSE)</f>
        <v>20820</v>
      </c>
    </row>
    <row r="756" spans="1:13" ht="16" thickBot="1" x14ac:dyDescent="0.25">
      <c r="A756" s="7">
        <v>2</v>
      </c>
      <c r="B756">
        <f>IF(ISBLANK(G756),"",VLOOKUP(H756,code!B:C,2,FALSE))</f>
        <v>17</v>
      </c>
      <c r="C756">
        <f t="shared" si="22"/>
        <v>1</v>
      </c>
      <c r="D756">
        <v>2023</v>
      </c>
      <c r="E756">
        <v>209807</v>
      </c>
      <c r="F756" t="s">
        <v>194</v>
      </c>
      <c r="G756" t="s">
        <v>285</v>
      </c>
      <c r="H756" t="s">
        <v>25</v>
      </c>
      <c r="I756">
        <v>5799</v>
      </c>
      <c r="J756">
        <f>I756/VLOOKUP($D756,CPI!$P$16:$R$22,3,FALSE)</f>
        <v>5799</v>
      </c>
      <c r="K756">
        <f t="shared" si="23"/>
        <v>0</v>
      </c>
      <c r="L756" s="3" cm="1">
        <f t="array" ref="L756">IF($C756=0,INDEX('24&amp;25'!$L:$L,MATCH($D756&amp;$B756&amp;$E756,'24&amp;25'!$B:$B&amp;'24&amp;25'!$A:$A&amp;'24&amp;25'!$C:$C,0)),INDEX('24&amp;25'!$M:$M,MATCH($D756&amp;$B756&amp;$E756,'24&amp;25'!$B:$B&amp;'24&amp;25'!$A:$A&amp;'24&amp;25'!$C:$C,0)))</f>
        <v>24345</v>
      </c>
      <c r="M756">
        <f>L756/VLOOKUP($D756,CPI!$P$16:$R$22,3,FALSE)</f>
        <v>24345</v>
      </c>
    </row>
    <row r="757" spans="1:13" ht="16" thickBot="1" x14ac:dyDescent="0.25">
      <c r="A757" s="7">
        <v>2</v>
      </c>
      <c r="B757">
        <f>IF(ISBLANK(G757),"",VLOOKUP(H757,code!B:C,2,FALSE))</f>
        <v>18</v>
      </c>
      <c r="C757">
        <f t="shared" si="22"/>
        <v>1</v>
      </c>
      <c r="D757">
        <v>2023</v>
      </c>
      <c r="E757">
        <v>209807</v>
      </c>
      <c r="F757" t="s">
        <v>194</v>
      </c>
      <c r="G757" t="s">
        <v>285</v>
      </c>
      <c r="H757" t="s">
        <v>26</v>
      </c>
      <c r="I757">
        <v>97534</v>
      </c>
      <c r="J757">
        <f>I757/VLOOKUP($D757,CPI!$P$16:$R$22,3,FALSE)</f>
        <v>97534</v>
      </c>
      <c r="K757">
        <f t="shared" si="23"/>
        <v>0</v>
      </c>
      <c r="L757" s="3" cm="1">
        <f t="array" ref="L757">IF($C757=0,INDEX('24&amp;25'!$L:$L,MATCH($D757&amp;$B757&amp;$E757,'24&amp;25'!$B:$B&amp;'24&amp;25'!$A:$A&amp;'24&amp;25'!$C:$C,0)),INDEX('24&amp;25'!$M:$M,MATCH($D757&amp;$B757&amp;$E757,'24&amp;25'!$B:$B&amp;'24&amp;25'!$A:$A&amp;'24&amp;25'!$C:$C,0)))</f>
        <v>97</v>
      </c>
      <c r="M757">
        <f>L757/VLOOKUP($D757,CPI!$P$16:$R$22,3,FALSE)</f>
        <v>97</v>
      </c>
    </row>
    <row r="758" spans="1:13" ht="16" thickBot="1" x14ac:dyDescent="0.25">
      <c r="A758" s="7">
        <v>2</v>
      </c>
      <c r="B758">
        <f>IF(ISBLANK(G758),"",VLOOKUP(H758,code!B:C,2,FALSE))</f>
        <v>20</v>
      </c>
      <c r="C758">
        <f t="shared" si="22"/>
        <v>1</v>
      </c>
      <c r="D758">
        <v>2023</v>
      </c>
      <c r="E758">
        <v>209807</v>
      </c>
      <c r="F758" t="s">
        <v>194</v>
      </c>
      <c r="G758" t="s">
        <v>285</v>
      </c>
      <c r="H758" t="s">
        <v>28</v>
      </c>
      <c r="I758">
        <v>6000</v>
      </c>
      <c r="J758">
        <f>I758/VLOOKUP($D758,CPI!$P$16:$R$22,3,FALSE)</f>
        <v>6000</v>
      </c>
      <c r="K758">
        <f t="shared" si="23"/>
        <v>0</v>
      </c>
      <c r="L758" s="3" cm="1">
        <f t="array" ref="L758">IF($C758=0,INDEX('24&amp;25'!$L:$L,MATCH($D758&amp;$B758&amp;$E758,'24&amp;25'!$B:$B&amp;'24&amp;25'!$A:$A&amp;'24&amp;25'!$C:$C,0)),INDEX('24&amp;25'!$M:$M,MATCH($D758&amp;$B758&amp;$E758,'24&amp;25'!$B:$B&amp;'24&amp;25'!$A:$A&amp;'24&amp;25'!$C:$C,0)))</f>
        <v>0</v>
      </c>
      <c r="M758">
        <f>L758/VLOOKUP($D758,CPI!$P$16:$R$22,3,FALSE)</f>
        <v>0</v>
      </c>
    </row>
    <row r="759" spans="1:13" ht="16" thickBot="1" x14ac:dyDescent="0.25">
      <c r="A759" s="7">
        <v>2</v>
      </c>
      <c r="B759">
        <f>IF(ISBLANK(G759),"",VLOOKUP(H759,code!B:C,2,FALSE))</f>
        <v>21</v>
      </c>
      <c r="C759">
        <f t="shared" si="22"/>
        <v>1</v>
      </c>
      <c r="D759">
        <v>2023</v>
      </c>
      <c r="E759">
        <v>209807</v>
      </c>
      <c r="F759" t="s">
        <v>194</v>
      </c>
      <c r="G759" t="s">
        <v>285</v>
      </c>
      <c r="H759" t="s">
        <v>31</v>
      </c>
      <c r="I759">
        <v>998</v>
      </c>
      <c r="J759">
        <f>I759/VLOOKUP($D759,CPI!$P$16:$R$22,3,FALSE)</f>
        <v>998</v>
      </c>
      <c r="K759">
        <f t="shared" si="23"/>
        <v>0</v>
      </c>
      <c r="L759" s="3" cm="1">
        <f t="array" ref="L759">IF($C759=0,INDEX('24&amp;25'!$L:$L,MATCH($D759&amp;$B759&amp;$E759,'24&amp;25'!$B:$B&amp;'24&amp;25'!$A:$A&amp;'24&amp;25'!$C:$C,0)),INDEX('24&amp;25'!$M:$M,MATCH($D759&amp;$B759&amp;$E759,'24&amp;25'!$B:$B&amp;'24&amp;25'!$A:$A&amp;'24&amp;25'!$C:$C,0)))</f>
        <v>35080</v>
      </c>
      <c r="M759">
        <f>L759/VLOOKUP($D759,CPI!$P$16:$R$22,3,FALSE)</f>
        <v>35080</v>
      </c>
    </row>
    <row r="760" spans="1:13" ht="16" thickBot="1" x14ac:dyDescent="0.25">
      <c r="A760" s="7">
        <v>2</v>
      </c>
      <c r="B760">
        <f>IF(ISBLANK(G760),"",VLOOKUP(H760,code!B:C,2,FALSE))</f>
        <v>23</v>
      </c>
      <c r="C760">
        <f t="shared" si="22"/>
        <v>1</v>
      </c>
      <c r="D760">
        <v>2023</v>
      </c>
      <c r="E760">
        <v>209807</v>
      </c>
      <c r="F760" t="s">
        <v>194</v>
      </c>
      <c r="G760" t="s">
        <v>285</v>
      </c>
      <c r="H760" t="s">
        <v>33</v>
      </c>
      <c r="I760">
        <v>27819</v>
      </c>
      <c r="J760">
        <f>I760/VLOOKUP($D760,CPI!$P$16:$R$22,3,FALSE)</f>
        <v>27819</v>
      </c>
      <c r="K760">
        <f t="shared" si="23"/>
        <v>0</v>
      </c>
      <c r="L760" s="3" cm="1">
        <f t="array" ref="L760">IF($C760=0,INDEX('24&amp;25'!$L:$L,MATCH($D760&amp;$B760&amp;$E760,'24&amp;25'!$B:$B&amp;'24&amp;25'!$A:$A&amp;'24&amp;25'!$C:$C,0)),INDEX('24&amp;25'!$M:$M,MATCH($D760&amp;$B760&amp;$E760,'24&amp;25'!$B:$B&amp;'24&amp;25'!$A:$A&amp;'24&amp;25'!$C:$C,0)))</f>
        <v>13789</v>
      </c>
      <c r="M760">
        <f>L760/VLOOKUP($D760,CPI!$P$16:$R$22,3,FALSE)</f>
        <v>13789</v>
      </c>
    </row>
    <row r="761" spans="1:13" ht="16" thickBot="1" x14ac:dyDescent="0.25">
      <c r="A761" s="7">
        <v>2</v>
      </c>
      <c r="B761">
        <f>IF(ISBLANK(G761),"",VLOOKUP(H761,code!B:C,2,FALSE))</f>
        <v>2</v>
      </c>
      <c r="C761">
        <f t="shared" si="22"/>
        <v>0</v>
      </c>
      <c r="D761">
        <v>2017</v>
      </c>
      <c r="E761">
        <v>230782</v>
      </c>
      <c r="F761" t="s">
        <v>255</v>
      </c>
      <c r="G761" t="s">
        <v>284</v>
      </c>
      <c r="H761" t="s">
        <v>10</v>
      </c>
      <c r="I761">
        <v>592500</v>
      </c>
      <c r="J761">
        <f>I761/VLOOKUP($D761,CPI!$P$16:$R$22,3,FALSE)</f>
        <v>731749.03103770153</v>
      </c>
      <c r="K761">
        <f t="shared" si="23"/>
        <v>0</v>
      </c>
      <c r="L761" s="3" cm="1">
        <f t="array" ref="L761">IF($C761=0,INDEX('24&amp;25'!$L:$L,MATCH($D761&amp;$B761&amp;$E761,'24&amp;25'!$B:$B&amp;'24&amp;25'!$A:$A&amp;'24&amp;25'!$C:$C,0)),INDEX('24&amp;25'!$M:$M,MATCH($D761&amp;$B761&amp;$E761,'24&amp;25'!$B:$B&amp;'24&amp;25'!$A:$A&amp;'24&amp;25'!$C:$C,0)))</f>
        <v>48049</v>
      </c>
      <c r="M761">
        <f>L761/VLOOKUP($D761,CPI!$P$16:$R$22,3,FALSE)</f>
        <v>59341.450113638013</v>
      </c>
    </row>
    <row r="762" spans="1:13" ht="16" thickBot="1" x14ac:dyDescent="0.25">
      <c r="A762" s="7">
        <v>2</v>
      </c>
      <c r="B762">
        <f>IF(ISBLANK(G762),"",VLOOKUP(H762,code!B:C,2,FALSE))</f>
        <v>8</v>
      </c>
      <c r="C762">
        <f t="shared" si="22"/>
        <v>0</v>
      </c>
      <c r="D762">
        <v>2017</v>
      </c>
      <c r="E762">
        <v>230782</v>
      </c>
      <c r="F762" t="s">
        <v>255</v>
      </c>
      <c r="G762" t="s">
        <v>284</v>
      </c>
      <c r="H762" t="s">
        <v>16</v>
      </c>
      <c r="I762">
        <v>560716</v>
      </c>
      <c r="J762">
        <f>I762/VLOOKUP($D762,CPI!$P$16:$R$22,3,FALSE)</f>
        <v>692495.17246807739</v>
      </c>
      <c r="K762">
        <f t="shared" si="23"/>
        <v>0</v>
      </c>
      <c r="L762" s="3" cm="1">
        <f t="array" ref="L762">IF($C762=0,INDEX('24&amp;25'!$L:$L,MATCH($D762&amp;$B762&amp;$E762,'24&amp;25'!$B:$B&amp;'24&amp;25'!$A:$A&amp;'24&amp;25'!$C:$C,0)),INDEX('24&amp;25'!$M:$M,MATCH($D762&amp;$B762&amp;$E762,'24&amp;25'!$B:$B&amp;'24&amp;25'!$A:$A&amp;'24&amp;25'!$C:$C,0)))</f>
        <v>52913</v>
      </c>
      <c r="M762">
        <f>L762/VLOOKUP($D762,CPI!$P$16:$R$22,3,FALSE)</f>
        <v>65348.584775186333</v>
      </c>
    </row>
    <row r="763" spans="1:13" ht="16" thickBot="1" x14ac:dyDescent="0.25">
      <c r="A763" s="7">
        <v>2</v>
      </c>
      <c r="B763">
        <f>IF(ISBLANK(G763),"",VLOOKUP(H763,code!B:C,2,FALSE))</f>
        <v>9</v>
      </c>
      <c r="C763">
        <f t="shared" si="22"/>
        <v>0</v>
      </c>
      <c r="D763">
        <v>2017</v>
      </c>
      <c r="E763">
        <v>230782</v>
      </c>
      <c r="F763" t="s">
        <v>255</v>
      </c>
      <c r="G763" t="s">
        <v>284</v>
      </c>
      <c r="H763" t="s">
        <v>17</v>
      </c>
      <c r="I763">
        <v>50873</v>
      </c>
      <c r="J763">
        <f>I763/VLOOKUP($D763,CPI!$P$16:$R$22,3,FALSE)</f>
        <v>62829.14507338564</v>
      </c>
      <c r="K763">
        <f t="shared" si="23"/>
        <v>0</v>
      </c>
      <c r="L763" s="3" cm="1">
        <f t="array" ref="L763">IF($C763=0,INDEX('24&amp;25'!$L:$L,MATCH($D763&amp;$B763&amp;$E763,'24&amp;25'!$B:$B&amp;'24&amp;25'!$A:$A&amp;'24&amp;25'!$C:$C,0)),INDEX('24&amp;25'!$M:$M,MATCH($D763&amp;$B763&amp;$E763,'24&amp;25'!$B:$B&amp;'24&amp;25'!$A:$A&amp;'24&amp;25'!$C:$C,0)))</f>
        <v>0</v>
      </c>
      <c r="M763">
        <f>L763/VLOOKUP($D763,CPI!$P$16:$R$22,3,FALSE)</f>
        <v>0</v>
      </c>
    </row>
    <row r="764" spans="1:13" ht="16" thickBot="1" x14ac:dyDescent="0.25">
      <c r="A764" s="7">
        <v>2</v>
      </c>
      <c r="B764">
        <f>IF(ISBLANK(G764),"",VLOOKUP(H764,code!B:C,2,FALSE))</f>
        <v>20</v>
      </c>
      <c r="C764">
        <f t="shared" si="22"/>
        <v>0</v>
      </c>
      <c r="D764">
        <v>2017</v>
      </c>
      <c r="E764">
        <v>230782</v>
      </c>
      <c r="F764" t="s">
        <v>255</v>
      </c>
      <c r="G764" t="s">
        <v>284</v>
      </c>
      <c r="H764" t="s">
        <v>28</v>
      </c>
      <c r="I764">
        <v>0</v>
      </c>
      <c r="J764">
        <f>I764/VLOOKUP($D764,CPI!$P$16:$R$22,3,FALSE)</f>
        <v>0</v>
      </c>
      <c r="K764">
        <f t="shared" si="23"/>
        <v>0</v>
      </c>
      <c r="L764" s="3" cm="1">
        <f t="array" ref="L764">IF($C764=0,INDEX('24&amp;25'!$L:$L,MATCH($D764&amp;$B764&amp;$E764,'24&amp;25'!$B:$B&amp;'24&amp;25'!$A:$A&amp;'24&amp;25'!$C:$C,0)),INDEX('24&amp;25'!$M:$M,MATCH($D764&amp;$B764&amp;$E764,'24&amp;25'!$B:$B&amp;'24&amp;25'!$A:$A&amp;'24&amp;25'!$C:$C,0)))</f>
        <v>49</v>
      </c>
      <c r="M764">
        <f>L764/VLOOKUP($D764,CPI!$P$16:$R$22,3,FALSE)</f>
        <v>60.51595362168333</v>
      </c>
    </row>
    <row r="765" spans="1:13" ht="16" thickBot="1" x14ac:dyDescent="0.25">
      <c r="A765" s="7">
        <v>2</v>
      </c>
      <c r="B765">
        <f>IF(ISBLANK(G765),"",VLOOKUP(H765,code!B:C,2,FALSE))</f>
        <v>21</v>
      </c>
      <c r="C765">
        <f t="shared" si="22"/>
        <v>0</v>
      </c>
      <c r="D765">
        <v>2017</v>
      </c>
      <c r="E765">
        <v>230782</v>
      </c>
      <c r="F765" t="s">
        <v>255</v>
      </c>
      <c r="G765" t="s">
        <v>284</v>
      </c>
      <c r="H765" t="s">
        <v>30</v>
      </c>
      <c r="I765">
        <v>5458</v>
      </c>
      <c r="J765">
        <f>I765/VLOOKUP($D765,CPI!$P$16:$R$22,3,FALSE)</f>
        <v>6740.736221778523</v>
      </c>
      <c r="K765">
        <f t="shared" si="23"/>
        <v>0</v>
      </c>
      <c r="L765" s="3" cm="1">
        <f t="array" ref="L765">IF($C765=0,INDEX('24&amp;25'!$L:$L,MATCH($D765&amp;$B765&amp;$E765,'24&amp;25'!$B:$B&amp;'24&amp;25'!$A:$A&amp;'24&amp;25'!$C:$C,0)),INDEX('24&amp;25'!$M:$M,MATCH($D765&amp;$B765&amp;$E765,'24&amp;25'!$B:$B&amp;'24&amp;25'!$A:$A&amp;'24&amp;25'!$C:$C,0)))</f>
        <v>0</v>
      </c>
      <c r="M765">
        <f>L765/VLOOKUP($D765,CPI!$P$16:$R$22,3,FALSE)</f>
        <v>0</v>
      </c>
    </row>
    <row r="766" spans="1:13" ht="16" thickBot="1" x14ac:dyDescent="0.25">
      <c r="A766" s="7">
        <v>2</v>
      </c>
      <c r="B766">
        <f>IF(ISBLANK(G766),"",VLOOKUP(H766,code!B:C,2,FALSE))</f>
        <v>2</v>
      </c>
      <c r="C766">
        <f t="shared" si="22"/>
        <v>1</v>
      </c>
      <c r="D766">
        <v>2017</v>
      </c>
      <c r="E766">
        <v>230782</v>
      </c>
      <c r="F766" t="s">
        <v>255</v>
      </c>
      <c r="G766" t="s">
        <v>285</v>
      </c>
      <c r="H766" t="s">
        <v>10</v>
      </c>
      <c r="I766">
        <v>43668</v>
      </c>
      <c r="J766">
        <f>I766/VLOOKUP($D766,CPI!$P$16:$R$22,3,FALSE)</f>
        <v>53930.82985207485</v>
      </c>
      <c r="K766">
        <f t="shared" si="23"/>
        <v>0</v>
      </c>
      <c r="L766" s="3" cm="1">
        <f t="array" ref="L766">IF($C766=0,INDEX('24&amp;25'!$L:$L,MATCH($D766&amp;$B766&amp;$E766,'24&amp;25'!$B:$B&amp;'24&amp;25'!$A:$A&amp;'24&amp;25'!$C:$C,0)),INDEX('24&amp;25'!$M:$M,MATCH($D766&amp;$B766&amp;$E766,'24&amp;25'!$B:$B&amp;'24&amp;25'!$A:$A&amp;'24&amp;25'!$C:$C,0)))</f>
        <v>6053</v>
      </c>
      <c r="M766">
        <f>L766/VLOOKUP($D766,CPI!$P$16:$R$22,3,FALSE)</f>
        <v>7475.5728014703918</v>
      </c>
    </row>
    <row r="767" spans="1:13" ht="16" thickBot="1" x14ac:dyDescent="0.25">
      <c r="A767" s="7">
        <v>2</v>
      </c>
      <c r="B767">
        <f>IF(ISBLANK(G767),"",VLOOKUP(H767,code!B:C,2,FALSE))</f>
        <v>9</v>
      </c>
      <c r="C767">
        <f t="shared" si="22"/>
        <v>1</v>
      </c>
      <c r="D767">
        <v>2017</v>
      </c>
      <c r="E767">
        <v>230782</v>
      </c>
      <c r="F767" t="s">
        <v>255</v>
      </c>
      <c r="G767" t="s">
        <v>285</v>
      </c>
      <c r="H767" t="s">
        <v>17</v>
      </c>
      <c r="I767">
        <v>72731</v>
      </c>
      <c r="J767">
        <f>I767/VLOOKUP($D767,CPI!$P$16:$R$22,3,FALSE)</f>
        <v>89824.200466503069</v>
      </c>
      <c r="K767">
        <f t="shared" si="23"/>
        <v>0</v>
      </c>
      <c r="L767" s="3" cm="1">
        <f t="array" ref="L767">IF($C767=0,INDEX('24&amp;25'!$L:$L,MATCH($D767&amp;$B767&amp;$E767,'24&amp;25'!$B:$B&amp;'24&amp;25'!$A:$A&amp;'24&amp;25'!$C:$C,0)),INDEX('24&amp;25'!$M:$M,MATCH($D767&amp;$B767&amp;$E767,'24&amp;25'!$B:$B&amp;'24&amp;25'!$A:$A&amp;'24&amp;25'!$C:$C,0)))</f>
        <v>0</v>
      </c>
      <c r="M767">
        <f>L767/VLOOKUP($D767,CPI!$P$16:$R$22,3,FALSE)</f>
        <v>0</v>
      </c>
    </row>
    <row r="768" spans="1:13" ht="16" thickBot="1" x14ac:dyDescent="0.25">
      <c r="A768" s="7">
        <v>2</v>
      </c>
      <c r="B768">
        <f>IF(ISBLANK(G768),"",VLOOKUP(H768,code!B:C,2,FALSE))</f>
        <v>17</v>
      </c>
      <c r="C768">
        <f t="shared" si="22"/>
        <v>1</v>
      </c>
      <c r="D768">
        <v>2017</v>
      </c>
      <c r="E768">
        <v>230782</v>
      </c>
      <c r="F768" t="s">
        <v>255</v>
      </c>
      <c r="G768" t="s">
        <v>285</v>
      </c>
      <c r="H768" t="s">
        <v>25</v>
      </c>
      <c r="I768">
        <v>23391</v>
      </c>
      <c r="J768">
        <f>I768/VLOOKUP($D768,CPI!$P$16:$R$22,3,FALSE)</f>
        <v>28888.340227852957</v>
      </c>
      <c r="K768">
        <f t="shared" si="23"/>
        <v>0</v>
      </c>
      <c r="L768" s="3" cm="1">
        <f t="array" ref="L768">IF($C768=0,INDEX('24&amp;25'!$L:$L,MATCH($D768&amp;$B768&amp;$E768,'24&amp;25'!$B:$B&amp;'24&amp;25'!$A:$A&amp;'24&amp;25'!$C:$C,0)),INDEX('24&amp;25'!$M:$M,MATCH($D768&amp;$B768&amp;$E768,'24&amp;25'!$B:$B&amp;'24&amp;25'!$A:$A&amp;'24&amp;25'!$C:$C,0)))</f>
        <v>7760</v>
      </c>
      <c r="M768">
        <f>L768/VLOOKUP($D768,CPI!$P$16:$R$22,3,FALSE)</f>
        <v>9583.7510225359729</v>
      </c>
    </row>
    <row r="769" spans="1:13" ht="16" thickBot="1" x14ac:dyDescent="0.25">
      <c r="A769" s="7">
        <v>2</v>
      </c>
      <c r="B769">
        <f>IF(ISBLANK(G769),"",VLOOKUP(H769,code!B:C,2,FALSE))</f>
        <v>18</v>
      </c>
      <c r="C769">
        <f t="shared" si="22"/>
        <v>1</v>
      </c>
      <c r="D769">
        <v>2017</v>
      </c>
      <c r="E769">
        <v>230782</v>
      </c>
      <c r="F769" t="s">
        <v>255</v>
      </c>
      <c r="G769" t="s">
        <v>285</v>
      </c>
      <c r="H769" t="s">
        <v>26</v>
      </c>
      <c r="I769">
        <v>12290</v>
      </c>
      <c r="J769">
        <f>I769/VLOOKUP($D769,CPI!$P$16:$R$22,3,FALSE)</f>
        <v>15178.389183887513</v>
      </c>
      <c r="K769">
        <f t="shared" si="23"/>
        <v>0</v>
      </c>
      <c r="L769" s="3" cm="1">
        <f t="array" ref="L769">IF($C769=0,INDEX('24&amp;25'!$L:$L,MATCH($D769&amp;$B769&amp;$E769,'24&amp;25'!$B:$B&amp;'24&amp;25'!$A:$A&amp;'24&amp;25'!$C:$C,0)),INDEX('24&amp;25'!$M:$M,MATCH($D769&amp;$B769&amp;$E769,'24&amp;25'!$B:$B&amp;'24&amp;25'!$A:$A&amp;'24&amp;25'!$C:$C,0)))</f>
        <v>4430</v>
      </c>
      <c r="M769">
        <f>L769/VLOOKUP($D769,CPI!$P$16:$R$22,3,FALSE)</f>
        <v>5471.1362151848398</v>
      </c>
    </row>
    <row r="770" spans="1:13" ht="16" thickBot="1" x14ac:dyDescent="0.25">
      <c r="A770" s="7">
        <v>2</v>
      </c>
      <c r="B770">
        <f>IF(ISBLANK(G770),"",VLOOKUP(H770,code!B:C,2,FALSE))</f>
        <v>20</v>
      </c>
      <c r="C770">
        <f t="shared" si="22"/>
        <v>1</v>
      </c>
      <c r="D770">
        <v>2017</v>
      </c>
      <c r="E770">
        <v>230782</v>
      </c>
      <c r="F770" t="s">
        <v>255</v>
      </c>
      <c r="G770" t="s">
        <v>285</v>
      </c>
      <c r="H770" t="s">
        <v>28</v>
      </c>
      <c r="I770">
        <v>0</v>
      </c>
      <c r="J770">
        <f>I770/VLOOKUP($D770,CPI!$P$16:$R$22,3,FALSE)</f>
        <v>0</v>
      </c>
      <c r="K770">
        <f t="shared" si="23"/>
        <v>0</v>
      </c>
      <c r="L770" s="3" cm="1">
        <f t="array" ref="L770">IF($C770=0,INDEX('24&amp;25'!$L:$L,MATCH($D770&amp;$B770&amp;$E770,'24&amp;25'!$B:$B&amp;'24&amp;25'!$A:$A&amp;'24&amp;25'!$C:$C,0)),INDEX('24&amp;25'!$M:$M,MATCH($D770&amp;$B770&amp;$E770,'24&amp;25'!$B:$B&amp;'24&amp;25'!$A:$A&amp;'24&amp;25'!$C:$C,0)))</f>
        <v>49</v>
      </c>
      <c r="M770">
        <f>L770/VLOOKUP($D770,CPI!$P$16:$R$22,3,FALSE)</f>
        <v>60.51595362168333</v>
      </c>
    </row>
    <row r="771" spans="1:13" ht="16" thickBot="1" x14ac:dyDescent="0.25">
      <c r="A771" s="7">
        <v>2</v>
      </c>
      <c r="B771">
        <f>IF(ISBLANK(G771),"",VLOOKUP(H771,code!B:C,2,FALSE))</f>
        <v>21</v>
      </c>
      <c r="C771">
        <f t="shared" ref="C771:C834" si="24">IF(ISBLANK(G771),"",IF(MID(G771,1,1)="M",0,1))</f>
        <v>1</v>
      </c>
      <c r="D771">
        <v>2017</v>
      </c>
      <c r="E771">
        <v>230782</v>
      </c>
      <c r="F771" t="s">
        <v>255</v>
      </c>
      <c r="G771" t="s">
        <v>285</v>
      </c>
      <c r="H771" t="s">
        <v>30</v>
      </c>
      <c r="I771">
        <v>5457</v>
      </c>
      <c r="J771">
        <f>I771/VLOOKUP($D771,CPI!$P$16:$R$22,3,FALSE)</f>
        <v>6739.5012023168565</v>
      </c>
      <c r="K771">
        <f t="shared" ref="K771:K834" si="25">IF(ISBLANK(G771),"",IF(D771=2021,1,0))</f>
        <v>0</v>
      </c>
      <c r="L771" s="3" cm="1">
        <f t="array" ref="L771">IF($C771=0,INDEX('24&amp;25'!$L:$L,MATCH($D771&amp;$B771&amp;$E771,'24&amp;25'!$B:$B&amp;'24&amp;25'!$A:$A&amp;'24&amp;25'!$C:$C,0)),INDEX('24&amp;25'!$M:$M,MATCH($D771&amp;$B771&amp;$E771,'24&amp;25'!$B:$B&amp;'24&amp;25'!$A:$A&amp;'24&amp;25'!$C:$C,0)))</f>
        <v>0</v>
      </c>
      <c r="M771">
        <f>L771/VLOOKUP($D771,CPI!$P$16:$R$22,3,FALSE)</f>
        <v>0</v>
      </c>
    </row>
    <row r="772" spans="1:13" ht="16" thickBot="1" x14ac:dyDescent="0.25">
      <c r="A772" s="7">
        <v>2</v>
      </c>
      <c r="B772">
        <f>IF(ISBLANK(G772),"",VLOOKUP(H772,code!B:C,2,FALSE))</f>
        <v>23</v>
      </c>
      <c r="C772">
        <f t="shared" si="24"/>
        <v>1</v>
      </c>
      <c r="D772">
        <v>2017</v>
      </c>
      <c r="E772">
        <v>230782</v>
      </c>
      <c r="F772" t="s">
        <v>255</v>
      </c>
      <c r="G772" t="s">
        <v>285</v>
      </c>
      <c r="H772" t="s">
        <v>33</v>
      </c>
      <c r="I772">
        <v>21453</v>
      </c>
      <c r="J772">
        <f>I772/VLOOKUP($D772,CPI!$P$16:$R$22,3,FALSE)</f>
        <v>26494.872511142297</v>
      </c>
      <c r="K772">
        <f t="shared" si="25"/>
        <v>0</v>
      </c>
      <c r="L772" s="3" cm="1">
        <f t="array" ref="L772">IF($C772=0,INDEX('24&amp;25'!$L:$L,MATCH($D772&amp;$B772&amp;$E772,'24&amp;25'!$B:$B&amp;'24&amp;25'!$A:$A&amp;'24&amp;25'!$C:$C,0)),INDEX('24&amp;25'!$M:$M,MATCH($D772&amp;$B772&amp;$E772,'24&amp;25'!$B:$B&amp;'24&amp;25'!$A:$A&amp;'24&amp;25'!$C:$C,0)))</f>
        <v>7690</v>
      </c>
      <c r="M772">
        <f>L772/VLOOKUP($D772,CPI!$P$16:$R$22,3,FALSE)</f>
        <v>9497.2996602192816</v>
      </c>
    </row>
    <row r="773" spans="1:13" ht="16" thickBot="1" x14ac:dyDescent="0.25">
      <c r="A773" s="7">
        <v>2</v>
      </c>
      <c r="B773">
        <f>IF(ISBLANK(G773),"",VLOOKUP(H773,code!B:C,2,FALSE))</f>
        <v>2</v>
      </c>
      <c r="C773">
        <f t="shared" si="24"/>
        <v>0</v>
      </c>
      <c r="D773">
        <v>2018</v>
      </c>
      <c r="E773">
        <v>230782</v>
      </c>
      <c r="F773" t="s">
        <v>255</v>
      </c>
      <c r="G773" t="s">
        <v>284</v>
      </c>
      <c r="H773" t="s">
        <v>10</v>
      </c>
      <c r="I773">
        <v>772226</v>
      </c>
      <c r="J773">
        <f>I773/VLOOKUP($D773,CPI!$P$16:$R$22,3,FALSE)</f>
        <v>932691.19287378201</v>
      </c>
      <c r="K773">
        <f t="shared" si="25"/>
        <v>0</v>
      </c>
      <c r="L773" s="3" cm="1">
        <f t="array" ref="L773">IF($C773=0,INDEX('24&amp;25'!$L:$L,MATCH($D773&amp;$B773&amp;$E773,'24&amp;25'!$B:$B&amp;'24&amp;25'!$A:$A&amp;'24&amp;25'!$C:$C,0)),INDEX('24&amp;25'!$M:$M,MATCH($D773&amp;$B773&amp;$E773,'24&amp;25'!$B:$B&amp;'24&amp;25'!$A:$A&amp;'24&amp;25'!$C:$C,0)))</f>
        <v>38608</v>
      </c>
      <c r="M773">
        <f>L773/VLOOKUP($D773,CPI!$P$16:$R$22,3,FALSE)</f>
        <v>46630.573918090013</v>
      </c>
    </row>
    <row r="774" spans="1:13" ht="16" thickBot="1" x14ac:dyDescent="0.25">
      <c r="A774" s="7">
        <v>2</v>
      </c>
      <c r="B774">
        <f>IF(ISBLANK(G774),"",VLOOKUP(H774,code!B:C,2,FALSE))</f>
        <v>8</v>
      </c>
      <c r="C774">
        <f t="shared" si="24"/>
        <v>0</v>
      </c>
      <c r="D774">
        <v>2018</v>
      </c>
      <c r="E774">
        <v>230782</v>
      </c>
      <c r="F774" t="s">
        <v>255</v>
      </c>
      <c r="G774" t="s">
        <v>284</v>
      </c>
      <c r="H774" t="s">
        <v>16</v>
      </c>
      <c r="I774">
        <v>1046166</v>
      </c>
      <c r="J774">
        <f>I774/VLOOKUP($D774,CPI!$P$16:$R$22,3,FALSE)</f>
        <v>1263554.7294237607</v>
      </c>
      <c r="K774">
        <f t="shared" si="25"/>
        <v>0</v>
      </c>
      <c r="L774" s="3" cm="1">
        <f t="array" ref="L774">IF($C774=0,INDEX('24&amp;25'!$L:$L,MATCH($D774&amp;$B774&amp;$E774,'24&amp;25'!$B:$B&amp;'24&amp;25'!$A:$A&amp;'24&amp;25'!$C:$C,0)),INDEX('24&amp;25'!$M:$M,MATCH($D774&amp;$B774&amp;$E774,'24&amp;25'!$B:$B&amp;'24&amp;25'!$A:$A&amp;'24&amp;25'!$C:$C,0)))</f>
        <v>58255</v>
      </c>
      <c r="M774">
        <f>L774/VLOOKUP($D774,CPI!$P$16:$R$22,3,FALSE)</f>
        <v>70360.134780313238</v>
      </c>
    </row>
    <row r="775" spans="1:13" ht="16" thickBot="1" x14ac:dyDescent="0.25">
      <c r="A775" s="7">
        <v>2</v>
      </c>
      <c r="B775">
        <f>IF(ISBLANK(G775),"",VLOOKUP(H775,code!B:C,2,FALSE))</f>
        <v>9</v>
      </c>
      <c r="C775">
        <f t="shared" si="24"/>
        <v>0</v>
      </c>
      <c r="D775">
        <v>2018</v>
      </c>
      <c r="E775">
        <v>230782</v>
      </c>
      <c r="F775" t="s">
        <v>255</v>
      </c>
      <c r="G775" t="s">
        <v>284</v>
      </c>
      <c r="H775" t="s">
        <v>17</v>
      </c>
      <c r="I775">
        <v>61450</v>
      </c>
      <c r="J775">
        <f>I775/VLOOKUP($D775,CPI!$P$16:$R$22,3,FALSE)</f>
        <v>74219.041837614772</v>
      </c>
      <c r="K775">
        <f t="shared" si="25"/>
        <v>0</v>
      </c>
      <c r="L775" s="3" cm="1">
        <f t="array" ref="L775">IF($C775=0,INDEX('24&amp;25'!$L:$L,MATCH($D775&amp;$B775&amp;$E775,'24&amp;25'!$B:$B&amp;'24&amp;25'!$A:$A&amp;'24&amp;25'!$C:$C,0)),INDEX('24&amp;25'!$M:$M,MATCH($D775&amp;$B775&amp;$E775,'24&amp;25'!$B:$B&amp;'24&amp;25'!$A:$A&amp;'24&amp;25'!$C:$C,0)))</f>
        <v>685</v>
      </c>
      <c r="M775">
        <f>L775/VLOOKUP($D775,CPI!$P$16:$R$22,3,FALSE)</f>
        <v>827.34001072035994</v>
      </c>
    </row>
    <row r="776" spans="1:13" ht="16" thickBot="1" x14ac:dyDescent="0.25">
      <c r="A776" s="7">
        <v>2</v>
      </c>
      <c r="B776">
        <f>IF(ISBLANK(G776),"",VLOOKUP(H776,code!B:C,2,FALSE))</f>
        <v>20</v>
      </c>
      <c r="C776">
        <f t="shared" si="24"/>
        <v>0</v>
      </c>
      <c r="D776">
        <v>2018</v>
      </c>
      <c r="E776">
        <v>230782</v>
      </c>
      <c r="F776" t="s">
        <v>255</v>
      </c>
      <c r="G776" t="s">
        <v>284</v>
      </c>
      <c r="H776" t="s">
        <v>28</v>
      </c>
      <c r="I776">
        <v>0</v>
      </c>
      <c r="J776">
        <f>I776/VLOOKUP($D776,CPI!$P$16:$R$22,3,FALSE)</f>
        <v>0</v>
      </c>
      <c r="K776">
        <f t="shared" si="25"/>
        <v>0</v>
      </c>
      <c r="L776" s="3" cm="1">
        <f t="array" ref="L776">IF($C776=0,INDEX('24&amp;25'!$L:$L,MATCH($D776&amp;$B776&amp;$E776,'24&amp;25'!$B:$B&amp;'24&amp;25'!$A:$A&amp;'24&amp;25'!$C:$C,0)),INDEX('24&amp;25'!$M:$M,MATCH($D776&amp;$B776&amp;$E776,'24&amp;25'!$B:$B&amp;'24&amp;25'!$A:$A&amp;'24&amp;25'!$C:$C,0)))</f>
        <v>0</v>
      </c>
      <c r="M776">
        <f>L776/VLOOKUP($D776,CPI!$P$16:$R$22,3,FALSE)</f>
        <v>0</v>
      </c>
    </row>
    <row r="777" spans="1:13" ht="16" thickBot="1" x14ac:dyDescent="0.25">
      <c r="A777" s="7">
        <v>2</v>
      </c>
      <c r="B777">
        <f>IF(ISBLANK(G777),"",VLOOKUP(H777,code!B:C,2,FALSE))</f>
        <v>21</v>
      </c>
      <c r="C777">
        <f t="shared" si="24"/>
        <v>0</v>
      </c>
      <c r="D777">
        <v>2018</v>
      </c>
      <c r="E777">
        <v>230782</v>
      </c>
      <c r="F777" t="s">
        <v>255</v>
      </c>
      <c r="G777" t="s">
        <v>284</v>
      </c>
      <c r="H777" t="s">
        <v>30</v>
      </c>
      <c r="I777">
        <v>1750</v>
      </c>
      <c r="J777">
        <f>I777/VLOOKUP($D777,CPI!$P$16:$R$22,3,FALSE)</f>
        <v>2113.6423631542043</v>
      </c>
      <c r="K777">
        <f t="shared" si="25"/>
        <v>0</v>
      </c>
      <c r="L777" s="3" cm="1">
        <f t="array" ref="L777">IF($C777=0,INDEX('24&amp;25'!$L:$L,MATCH($D777&amp;$B777&amp;$E777,'24&amp;25'!$B:$B&amp;'24&amp;25'!$A:$A&amp;'24&amp;25'!$C:$C,0)),INDEX('24&amp;25'!$M:$M,MATCH($D777&amp;$B777&amp;$E777,'24&amp;25'!$B:$B&amp;'24&amp;25'!$A:$A&amp;'24&amp;25'!$C:$C,0)))</f>
        <v>0</v>
      </c>
      <c r="M777">
        <f>L777/VLOOKUP($D777,CPI!$P$16:$R$22,3,FALSE)</f>
        <v>0</v>
      </c>
    </row>
    <row r="778" spans="1:13" ht="16" thickBot="1" x14ac:dyDescent="0.25">
      <c r="A778" s="7">
        <v>2</v>
      </c>
      <c r="B778">
        <f>IF(ISBLANK(G778),"",VLOOKUP(H778,code!B:C,2,FALSE))</f>
        <v>2</v>
      </c>
      <c r="C778">
        <f t="shared" si="24"/>
        <v>1</v>
      </c>
      <c r="D778">
        <v>2018</v>
      </c>
      <c r="E778">
        <v>230782</v>
      </c>
      <c r="F778" t="s">
        <v>255</v>
      </c>
      <c r="G778" t="s">
        <v>285</v>
      </c>
      <c r="H778" t="s">
        <v>10</v>
      </c>
      <c r="I778">
        <v>62644</v>
      </c>
      <c r="J778">
        <f>I778/VLOOKUP($D778,CPI!$P$16:$R$22,3,FALSE)</f>
        <v>75661.149827103989</v>
      </c>
      <c r="K778">
        <f t="shared" si="25"/>
        <v>0</v>
      </c>
      <c r="L778" s="3" cm="1">
        <f t="array" ref="L778">IF($C778=0,INDEX('24&amp;25'!$L:$L,MATCH($D778&amp;$B778&amp;$E778,'24&amp;25'!$B:$B&amp;'24&amp;25'!$A:$A&amp;'24&amp;25'!$C:$C,0)),INDEX('24&amp;25'!$M:$M,MATCH($D778&amp;$B778&amp;$E778,'24&amp;25'!$B:$B&amp;'24&amp;25'!$A:$A&amp;'24&amp;25'!$C:$C,0)))</f>
        <v>2060</v>
      </c>
      <c r="M778">
        <f>L778/VLOOKUP($D778,CPI!$P$16:$R$22,3,FALSE)</f>
        <v>2488.0590103415207</v>
      </c>
    </row>
    <row r="779" spans="1:13" ht="16" thickBot="1" x14ac:dyDescent="0.25">
      <c r="A779" s="7">
        <v>2</v>
      </c>
      <c r="B779">
        <f>IF(ISBLANK(G779),"",VLOOKUP(H779,code!B:C,2,FALSE))</f>
        <v>9</v>
      </c>
      <c r="C779">
        <f t="shared" si="24"/>
        <v>1</v>
      </c>
      <c r="D779">
        <v>2018</v>
      </c>
      <c r="E779">
        <v>230782</v>
      </c>
      <c r="F779" t="s">
        <v>255</v>
      </c>
      <c r="G779" t="s">
        <v>285</v>
      </c>
      <c r="H779" t="s">
        <v>17</v>
      </c>
      <c r="I779">
        <v>51146</v>
      </c>
      <c r="J779">
        <f>I779/VLOOKUP($D779,CPI!$P$16:$R$22,3,FALSE)</f>
        <v>61773.915603362817</v>
      </c>
      <c r="K779">
        <f t="shared" si="25"/>
        <v>0</v>
      </c>
      <c r="L779" s="3" cm="1">
        <f t="array" ref="L779">IF($C779=0,INDEX('24&amp;25'!$L:$L,MATCH($D779&amp;$B779&amp;$E779,'24&amp;25'!$B:$B&amp;'24&amp;25'!$A:$A&amp;'24&amp;25'!$C:$C,0)),INDEX('24&amp;25'!$M:$M,MATCH($D779&amp;$B779&amp;$E779,'24&amp;25'!$B:$B&amp;'24&amp;25'!$A:$A&amp;'24&amp;25'!$C:$C,0)))</f>
        <v>686</v>
      </c>
      <c r="M779">
        <f>L779/VLOOKUP($D779,CPI!$P$16:$R$22,3,FALSE)</f>
        <v>828.54780635644806</v>
      </c>
    </row>
    <row r="780" spans="1:13" ht="16" thickBot="1" x14ac:dyDescent="0.25">
      <c r="A780" s="7">
        <v>2</v>
      </c>
      <c r="B780">
        <f>IF(ISBLANK(G780),"",VLOOKUP(H780,code!B:C,2,FALSE))</f>
        <v>17</v>
      </c>
      <c r="C780">
        <f t="shared" si="24"/>
        <v>1</v>
      </c>
      <c r="D780">
        <v>2018</v>
      </c>
      <c r="E780">
        <v>230782</v>
      </c>
      <c r="F780" t="s">
        <v>255</v>
      </c>
      <c r="G780" t="s">
        <v>285</v>
      </c>
      <c r="H780" t="s">
        <v>25</v>
      </c>
      <c r="I780">
        <v>54683</v>
      </c>
      <c r="J780">
        <f>I780/VLOOKUP($D780,CPI!$P$16:$R$22,3,FALSE)</f>
        <v>66045.888768206481</v>
      </c>
      <c r="K780">
        <f t="shared" si="25"/>
        <v>0</v>
      </c>
      <c r="L780" s="3" cm="1">
        <f t="array" ref="L780">IF($C780=0,INDEX('24&amp;25'!$L:$L,MATCH($D780&amp;$B780&amp;$E780,'24&amp;25'!$B:$B&amp;'24&amp;25'!$A:$A&amp;'24&amp;25'!$C:$C,0)),INDEX('24&amp;25'!$M:$M,MATCH($D780&amp;$B780&amp;$E780,'24&amp;25'!$B:$B&amp;'24&amp;25'!$A:$A&amp;'24&amp;25'!$C:$C,0)))</f>
        <v>0</v>
      </c>
      <c r="M780">
        <f>L780/VLOOKUP($D780,CPI!$P$16:$R$22,3,FALSE)</f>
        <v>0</v>
      </c>
    </row>
    <row r="781" spans="1:13" ht="16" thickBot="1" x14ac:dyDescent="0.25">
      <c r="A781" s="7">
        <v>2</v>
      </c>
      <c r="B781">
        <f>IF(ISBLANK(G781),"",VLOOKUP(H781,code!B:C,2,FALSE))</f>
        <v>18</v>
      </c>
      <c r="C781">
        <f t="shared" si="24"/>
        <v>1</v>
      </c>
      <c r="D781">
        <v>2018</v>
      </c>
      <c r="E781">
        <v>230782</v>
      </c>
      <c r="F781" t="s">
        <v>255</v>
      </c>
      <c r="G781" t="s">
        <v>285</v>
      </c>
      <c r="H781" t="s">
        <v>26</v>
      </c>
      <c r="I781">
        <v>25721</v>
      </c>
      <c r="J781">
        <f>I781/VLOOKUP($D781,CPI!$P$16:$R$22,3,FALSE)</f>
        <v>31065.71155582245</v>
      </c>
      <c r="K781">
        <f t="shared" si="25"/>
        <v>0</v>
      </c>
      <c r="L781" s="3" cm="1">
        <f t="array" ref="L781">IF($C781=0,INDEX('24&amp;25'!$L:$L,MATCH($D781&amp;$B781&amp;$E781,'24&amp;25'!$B:$B&amp;'24&amp;25'!$A:$A&amp;'24&amp;25'!$C:$C,0)),INDEX('24&amp;25'!$M:$M,MATCH($D781&amp;$B781&amp;$E781,'24&amp;25'!$B:$B&amp;'24&amp;25'!$A:$A&amp;'24&amp;25'!$C:$C,0)))</f>
        <v>3647</v>
      </c>
      <c r="M781">
        <f>L781/VLOOKUP($D781,CPI!$P$16:$R$22,3,FALSE)</f>
        <v>4404.8306848133616</v>
      </c>
    </row>
    <row r="782" spans="1:13" ht="16" thickBot="1" x14ac:dyDescent="0.25">
      <c r="A782" s="7">
        <v>2</v>
      </c>
      <c r="B782">
        <f>IF(ISBLANK(G782),"",VLOOKUP(H782,code!B:C,2,FALSE))</f>
        <v>20</v>
      </c>
      <c r="C782">
        <f t="shared" si="24"/>
        <v>1</v>
      </c>
      <c r="D782">
        <v>2018</v>
      </c>
      <c r="E782">
        <v>230782</v>
      </c>
      <c r="F782" t="s">
        <v>255</v>
      </c>
      <c r="G782" t="s">
        <v>285</v>
      </c>
      <c r="H782" t="s">
        <v>28</v>
      </c>
      <c r="I782">
        <v>0</v>
      </c>
      <c r="J782">
        <f>I782/VLOOKUP($D782,CPI!$P$16:$R$22,3,FALSE)</f>
        <v>0</v>
      </c>
      <c r="K782">
        <f t="shared" si="25"/>
        <v>0</v>
      </c>
      <c r="L782" s="3" cm="1">
        <f t="array" ref="L782">IF($C782=0,INDEX('24&amp;25'!$L:$L,MATCH($D782&amp;$B782&amp;$E782,'24&amp;25'!$B:$B&amp;'24&amp;25'!$A:$A&amp;'24&amp;25'!$C:$C,0)),INDEX('24&amp;25'!$M:$M,MATCH($D782&amp;$B782&amp;$E782,'24&amp;25'!$B:$B&amp;'24&amp;25'!$A:$A&amp;'24&amp;25'!$C:$C,0)))</f>
        <v>5656</v>
      </c>
      <c r="M782">
        <f>L782/VLOOKUP($D782,CPI!$P$16:$R$22,3,FALSE)</f>
        <v>6831.292117714388</v>
      </c>
    </row>
    <row r="783" spans="1:13" ht="16" thickBot="1" x14ac:dyDescent="0.25">
      <c r="A783" s="7">
        <v>2</v>
      </c>
      <c r="B783">
        <f>IF(ISBLANK(G783),"",VLOOKUP(H783,code!B:C,2,FALSE))</f>
        <v>21</v>
      </c>
      <c r="C783">
        <f t="shared" si="24"/>
        <v>1</v>
      </c>
      <c r="D783">
        <v>2018</v>
      </c>
      <c r="E783">
        <v>230782</v>
      </c>
      <c r="F783" t="s">
        <v>255</v>
      </c>
      <c r="G783" t="s">
        <v>285</v>
      </c>
      <c r="H783" t="s">
        <v>30</v>
      </c>
      <c r="I783">
        <v>1250</v>
      </c>
      <c r="J783">
        <f>I783/VLOOKUP($D783,CPI!$P$16:$R$22,3,FALSE)</f>
        <v>1509.744545110146</v>
      </c>
      <c r="K783">
        <f t="shared" si="25"/>
        <v>0</v>
      </c>
      <c r="L783" s="3" cm="1">
        <f t="array" ref="L783">IF($C783=0,INDEX('24&amp;25'!$L:$L,MATCH($D783&amp;$B783&amp;$E783,'24&amp;25'!$B:$B&amp;'24&amp;25'!$A:$A&amp;'24&amp;25'!$C:$C,0)),INDEX('24&amp;25'!$M:$M,MATCH($D783&amp;$B783&amp;$E783,'24&amp;25'!$B:$B&amp;'24&amp;25'!$A:$A&amp;'24&amp;25'!$C:$C,0)))</f>
        <v>0</v>
      </c>
      <c r="M783">
        <f>L783/VLOOKUP($D783,CPI!$P$16:$R$22,3,FALSE)</f>
        <v>0</v>
      </c>
    </row>
    <row r="784" spans="1:13" ht="16" thickBot="1" x14ac:dyDescent="0.25">
      <c r="A784" s="7">
        <v>2</v>
      </c>
      <c r="B784">
        <f>IF(ISBLANK(G784),"",VLOOKUP(H784,code!B:C,2,FALSE))</f>
        <v>23</v>
      </c>
      <c r="C784">
        <f t="shared" si="24"/>
        <v>1</v>
      </c>
      <c r="D784">
        <v>2018</v>
      </c>
      <c r="E784">
        <v>230782</v>
      </c>
      <c r="F784" t="s">
        <v>255</v>
      </c>
      <c r="G784" t="s">
        <v>285</v>
      </c>
      <c r="H784" t="s">
        <v>33</v>
      </c>
      <c r="I784">
        <v>22621</v>
      </c>
      <c r="J784">
        <f>I784/VLOOKUP($D784,CPI!$P$16:$R$22,3,FALSE)</f>
        <v>27321.545083949288</v>
      </c>
      <c r="K784">
        <f t="shared" si="25"/>
        <v>0</v>
      </c>
      <c r="L784" s="3" cm="1">
        <f t="array" ref="L784">IF($C784=0,INDEX('24&amp;25'!$L:$L,MATCH($D784&amp;$B784&amp;$E784,'24&amp;25'!$B:$B&amp;'24&amp;25'!$A:$A&amp;'24&amp;25'!$C:$C,0)),INDEX('24&amp;25'!$M:$M,MATCH($D784&amp;$B784&amp;$E784,'24&amp;25'!$B:$B&amp;'24&amp;25'!$A:$A&amp;'24&amp;25'!$C:$C,0)))</f>
        <v>5162</v>
      </c>
      <c r="M784">
        <f>L784/VLOOKUP($D784,CPI!$P$16:$R$22,3,FALSE)</f>
        <v>6234.6410734868587</v>
      </c>
    </row>
    <row r="785" spans="1:13" ht="16" thickBot="1" x14ac:dyDescent="0.25">
      <c r="A785" s="7">
        <v>2</v>
      </c>
      <c r="B785">
        <f>IF(ISBLANK(G785),"",VLOOKUP(H785,code!B:C,2,FALSE))</f>
        <v>2</v>
      </c>
      <c r="C785">
        <f t="shared" si="24"/>
        <v>0</v>
      </c>
      <c r="D785">
        <v>2019</v>
      </c>
      <c r="E785">
        <v>230782</v>
      </c>
      <c r="F785" t="s">
        <v>255</v>
      </c>
      <c r="G785" t="s">
        <v>284</v>
      </c>
      <c r="H785" t="s">
        <v>10</v>
      </c>
      <c r="I785">
        <v>734549</v>
      </c>
      <c r="J785">
        <f>I785/VLOOKUP($D785,CPI!$P$16:$R$22,3,FALSE)</f>
        <v>869171.19317838585</v>
      </c>
      <c r="K785">
        <f t="shared" si="25"/>
        <v>0</v>
      </c>
      <c r="L785" s="3" cm="1">
        <f t="array" ref="L785">IF($C785=0,INDEX('24&amp;25'!$L:$L,MATCH($D785&amp;$B785&amp;$E785,'24&amp;25'!$B:$B&amp;'24&amp;25'!$A:$A&amp;'24&amp;25'!$C:$C,0)),INDEX('24&amp;25'!$M:$M,MATCH($D785&amp;$B785&amp;$E785,'24&amp;25'!$B:$B&amp;'24&amp;25'!$A:$A&amp;'24&amp;25'!$C:$C,0)))</f>
        <v>49523</v>
      </c>
      <c r="M785">
        <f>L785/VLOOKUP($D785,CPI!$P$16:$R$22,3,FALSE)</f>
        <v>58599.174459121445</v>
      </c>
    </row>
    <row r="786" spans="1:13" ht="16" thickBot="1" x14ac:dyDescent="0.25">
      <c r="A786" s="7">
        <v>2</v>
      </c>
      <c r="B786">
        <f>IF(ISBLANK(G786),"",VLOOKUP(H786,code!B:C,2,FALSE))</f>
        <v>8</v>
      </c>
      <c r="C786">
        <f t="shared" si="24"/>
        <v>0</v>
      </c>
      <c r="D786">
        <v>2019</v>
      </c>
      <c r="E786">
        <v>230782</v>
      </c>
      <c r="F786" t="s">
        <v>255</v>
      </c>
      <c r="G786" t="s">
        <v>284</v>
      </c>
      <c r="H786" t="s">
        <v>16</v>
      </c>
      <c r="I786">
        <v>1121517</v>
      </c>
      <c r="J786">
        <f>I786/VLOOKUP($D786,CPI!$P$16:$R$22,3,FALSE)</f>
        <v>1327059.5549920341</v>
      </c>
      <c r="K786">
        <f t="shared" si="25"/>
        <v>0</v>
      </c>
      <c r="L786" s="3" cm="1">
        <f t="array" ref="L786">IF($C786=0,INDEX('24&amp;25'!$L:$L,MATCH($D786&amp;$B786&amp;$E786,'24&amp;25'!$B:$B&amp;'24&amp;25'!$A:$A&amp;'24&amp;25'!$C:$C,0)),INDEX('24&amp;25'!$M:$M,MATCH($D786&amp;$B786&amp;$E786,'24&amp;25'!$B:$B&amp;'24&amp;25'!$A:$A&amp;'24&amp;25'!$C:$C,0)))</f>
        <v>99389</v>
      </c>
      <c r="M786">
        <f>L786/VLOOKUP($D786,CPI!$P$16:$R$22,3,FALSE)</f>
        <v>117604.21118101936</v>
      </c>
    </row>
    <row r="787" spans="1:13" ht="16" thickBot="1" x14ac:dyDescent="0.25">
      <c r="A787" s="7">
        <v>2</v>
      </c>
      <c r="B787">
        <f>IF(ISBLANK(G787),"",VLOOKUP(H787,code!B:C,2,FALSE))</f>
        <v>9</v>
      </c>
      <c r="C787">
        <f t="shared" si="24"/>
        <v>0</v>
      </c>
      <c r="D787">
        <v>2019</v>
      </c>
      <c r="E787">
        <v>230782</v>
      </c>
      <c r="F787" t="s">
        <v>255</v>
      </c>
      <c r="G787" t="s">
        <v>284</v>
      </c>
      <c r="H787" t="s">
        <v>17</v>
      </c>
      <c r="I787">
        <v>67915</v>
      </c>
      <c r="J787">
        <f>I787/VLOOKUP($D787,CPI!$P$16:$R$22,3,FALSE)</f>
        <v>80361.911301642336</v>
      </c>
      <c r="K787">
        <f t="shared" si="25"/>
        <v>0</v>
      </c>
      <c r="L787" s="3" cm="1">
        <f t="array" ref="L787">IF($C787=0,INDEX('24&amp;25'!$L:$L,MATCH($D787&amp;$B787&amp;$E787,'24&amp;25'!$B:$B&amp;'24&amp;25'!$A:$A&amp;'24&amp;25'!$C:$C,0)),INDEX('24&amp;25'!$M:$M,MATCH($D787&amp;$B787&amp;$E787,'24&amp;25'!$B:$B&amp;'24&amp;25'!$A:$A&amp;'24&amp;25'!$C:$C,0)))</f>
        <v>1497</v>
      </c>
      <c r="M787">
        <f>L787/VLOOKUP($D787,CPI!$P$16:$R$22,3,FALSE)</f>
        <v>1771.3580389981385</v>
      </c>
    </row>
    <row r="788" spans="1:13" ht="16" thickBot="1" x14ac:dyDescent="0.25">
      <c r="A788" s="7">
        <v>2</v>
      </c>
      <c r="B788">
        <f>IF(ISBLANK(G788),"",VLOOKUP(H788,code!B:C,2,FALSE))</f>
        <v>20</v>
      </c>
      <c r="C788">
        <f t="shared" si="24"/>
        <v>0</v>
      </c>
      <c r="D788">
        <v>2019</v>
      </c>
      <c r="E788">
        <v>230782</v>
      </c>
      <c r="F788" t="s">
        <v>255</v>
      </c>
      <c r="G788" t="s">
        <v>284</v>
      </c>
      <c r="H788" t="s">
        <v>28</v>
      </c>
      <c r="I788">
        <v>0</v>
      </c>
      <c r="J788">
        <f>I788/VLOOKUP($D788,CPI!$P$16:$R$22,3,FALSE)</f>
        <v>0</v>
      </c>
      <c r="K788">
        <f t="shared" si="25"/>
        <v>0</v>
      </c>
      <c r="L788" s="3" cm="1">
        <f t="array" ref="L788">IF($C788=0,INDEX('24&amp;25'!$L:$L,MATCH($D788&amp;$B788&amp;$E788,'24&amp;25'!$B:$B&amp;'24&amp;25'!$A:$A&amp;'24&amp;25'!$C:$C,0)),INDEX('24&amp;25'!$M:$M,MATCH($D788&amp;$B788&amp;$E788,'24&amp;25'!$B:$B&amp;'24&amp;25'!$A:$A&amp;'24&amp;25'!$C:$C,0)))</f>
        <v>0</v>
      </c>
      <c r="M788">
        <f>L788/VLOOKUP($D788,CPI!$P$16:$R$22,3,FALSE)</f>
        <v>0</v>
      </c>
    </row>
    <row r="789" spans="1:13" ht="16" thickBot="1" x14ac:dyDescent="0.25">
      <c r="A789" s="7">
        <v>2</v>
      </c>
      <c r="B789">
        <f>IF(ISBLANK(G789),"",VLOOKUP(H789,code!B:C,2,FALSE))</f>
        <v>21</v>
      </c>
      <c r="C789">
        <f t="shared" si="24"/>
        <v>0</v>
      </c>
      <c r="D789">
        <v>2019</v>
      </c>
      <c r="E789">
        <v>230782</v>
      </c>
      <c r="F789" t="s">
        <v>255</v>
      </c>
      <c r="G789" t="s">
        <v>284</v>
      </c>
      <c r="H789" t="s">
        <v>30</v>
      </c>
      <c r="I789">
        <v>12792</v>
      </c>
      <c r="J789">
        <f>I789/VLOOKUP($D789,CPI!$P$16:$R$22,3,FALSE)</f>
        <v>15136.414184946016</v>
      </c>
      <c r="K789">
        <f t="shared" si="25"/>
        <v>0</v>
      </c>
      <c r="L789" s="3" cm="1">
        <f t="array" ref="L789">IF($C789=0,INDEX('24&amp;25'!$L:$L,MATCH($D789&amp;$B789&amp;$E789,'24&amp;25'!$B:$B&amp;'24&amp;25'!$A:$A&amp;'24&amp;25'!$C:$C,0)),INDEX('24&amp;25'!$M:$M,MATCH($D789&amp;$B789&amp;$E789,'24&amp;25'!$B:$B&amp;'24&amp;25'!$A:$A&amp;'24&amp;25'!$C:$C,0)))</f>
        <v>0</v>
      </c>
      <c r="M789">
        <f>L789/VLOOKUP($D789,CPI!$P$16:$R$22,3,FALSE)</f>
        <v>0</v>
      </c>
    </row>
    <row r="790" spans="1:13" ht="16" thickBot="1" x14ac:dyDescent="0.25">
      <c r="A790" s="7">
        <v>2</v>
      </c>
      <c r="B790">
        <f>IF(ISBLANK(G790),"",VLOOKUP(H790,code!B:C,2,FALSE))</f>
        <v>2</v>
      </c>
      <c r="C790">
        <f t="shared" si="24"/>
        <v>1</v>
      </c>
      <c r="D790">
        <v>2019</v>
      </c>
      <c r="E790">
        <v>230782</v>
      </c>
      <c r="F790" t="s">
        <v>255</v>
      </c>
      <c r="G790" t="s">
        <v>285</v>
      </c>
      <c r="H790" t="s">
        <v>10</v>
      </c>
      <c r="I790">
        <v>48492</v>
      </c>
      <c r="J790">
        <f>I790/VLOOKUP($D790,CPI!$P$16:$R$22,3,FALSE)</f>
        <v>57379.221126985787</v>
      </c>
      <c r="K790">
        <f t="shared" si="25"/>
        <v>0</v>
      </c>
      <c r="L790" s="3" cm="1">
        <f t="array" ref="L790">IF($C790=0,INDEX('24&amp;25'!$L:$L,MATCH($D790&amp;$B790&amp;$E790,'24&amp;25'!$B:$B&amp;'24&amp;25'!$A:$A&amp;'24&amp;25'!$C:$C,0)),INDEX('24&amp;25'!$M:$M,MATCH($D790&amp;$B790&amp;$E790,'24&amp;25'!$B:$B&amp;'24&amp;25'!$A:$A&amp;'24&amp;25'!$C:$C,0)))</f>
        <v>7416</v>
      </c>
      <c r="M790">
        <f>L790/VLOOKUP($D790,CPI!$P$16:$R$22,3,FALSE)</f>
        <v>8775.1444336741442</v>
      </c>
    </row>
    <row r="791" spans="1:13" ht="16" thickBot="1" x14ac:dyDescent="0.25">
      <c r="A791" s="7">
        <v>2</v>
      </c>
      <c r="B791">
        <f>IF(ISBLANK(G791),"",VLOOKUP(H791,code!B:C,2,FALSE))</f>
        <v>9</v>
      </c>
      <c r="C791">
        <f t="shared" si="24"/>
        <v>1</v>
      </c>
      <c r="D791">
        <v>2019</v>
      </c>
      <c r="E791">
        <v>230782</v>
      </c>
      <c r="F791" t="s">
        <v>255</v>
      </c>
      <c r="G791" t="s">
        <v>285</v>
      </c>
      <c r="H791" t="s">
        <v>17</v>
      </c>
      <c r="I791">
        <v>52300</v>
      </c>
      <c r="J791">
        <f>I791/VLOOKUP($D791,CPI!$P$16:$R$22,3,FALSE)</f>
        <v>61885.120534136695</v>
      </c>
      <c r="K791">
        <f t="shared" si="25"/>
        <v>0</v>
      </c>
      <c r="L791" s="3" cm="1">
        <f t="array" ref="L791">IF($C791=0,INDEX('24&amp;25'!$L:$L,MATCH($D791&amp;$B791&amp;$E791,'24&amp;25'!$B:$B&amp;'24&amp;25'!$A:$A&amp;'24&amp;25'!$C:$C,0)),INDEX('24&amp;25'!$M:$M,MATCH($D791&amp;$B791&amp;$E791,'24&amp;25'!$B:$B&amp;'24&amp;25'!$A:$A&amp;'24&amp;25'!$C:$C,0)))</f>
        <v>0</v>
      </c>
      <c r="M791">
        <f>L791/VLOOKUP($D791,CPI!$P$16:$R$22,3,FALSE)</f>
        <v>0</v>
      </c>
    </row>
    <row r="792" spans="1:13" ht="16" thickBot="1" x14ac:dyDescent="0.25">
      <c r="A792" s="7">
        <v>2</v>
      </c>
      <c r="B792">
        <f>IF(ISBLANK(G792),"",VLOOKUP(H792,code!B:C,2,FALSE))</f>
        <v>17</v>
      </c>
      <c r="C792">
        <f t="shared" si="24"/>
        <v>1</v>
      </c>
      <c r="D792">
        <v>2019</v>
      </c>
      <c r="E792">
        <v>230782</v>
      </c>
      <c r="F792" t="s">
        <v>255</v>
      </c>
      <c r="G792" t="s">
        <v>285</v>
      </c>
      <c r="H792" t="s">
        <v>25</v>
      </c>
      <c r="I792">
        <v>60393</v>
      </c>
      <c r="J792">
        <f>I792/VLOOKUP($D792,CPI!$P$16:$R$22,3,FALSE)</f>
        <v>71461.34004623552</v>
      </c>
      <c r="K792">
        <f t="shared" si="25"/>
        <v>0</v>
      </c>
      <c r="L792" s="3" cm="1">
        <f t="array" ref="L792">IF($C792=0,INDEX('24&amp;25'!$L:$L,MATCH($D792&amp;$B792&amp;$E792,'24&amp;25'!$B:$B&amp;'24&amp;25'!$A:$A&amp;'24&amp;25'!$C:$C,0)),INDEX('24&amp;25'!$M:$M,MATCH($D792&amp;$B792&amp;$E792,'24&amp;25'!$B:$B&amp;'24&amp;25'!$A:$A&amp;'24&amp;25'!$C:$C,0)))</f>
        <v>9510</v>
      </c>
      <c r="M792">
        <f>L792/VLOOKUP($D792,CPI!$P$16:$R$22,3,FALSE)</f>
        <v>11252.915798845888</v>
      </c>
    </row>
    <row r="793" spans="1:13" ht="16" thickBot="1" x14ac:dyDescent="0.25">
      <c r="A793" s="7">
        <v>2</v>
      </c>
      <c r="B793">
        <f>IF(ISBLANK(G793),"",VLOOKUP(H793,code!B:C,2,FALSE))</f>
        <v>18</v>
      </c>
      <c r="C793">
        <f t="shared" si="24"/>
        <v>1</v>
      </c>
      <c r="D793">
        <v>2019</v>
      </c>
      <c r="E793">
        <v>230782</v>
      </c>
      <c r="F793" t="s">
        <v>255</v>
      </c>
      <c r="G793" t="s">
        <v>285</v>
      </c>
      <c r="H793" t="s">
        <v>26</v>
      </c>
      <c r="I793">
        <v>51300</v>
      </c>
      <c r="J793">
        <f>I793/VLOOKUP($D793,CPI!$P$16:$R$22,3,FALSE)</f>
        <v>60701.848630998327</v>
      </c>
      <c r="K793">
        <f t="shared" si="25"/>
        <v>0</v>
      </c>
      <c r="L793" s="3" cm="1">
        <f t="array" ref="L793">IF($C793=0,INDEX('24&amp;25'!$L:$L,MATCH($D793&amp;$B793&amp;$E793,'24&amp;25'!$B:$B&amp;'24&amp;25'!$A:$A&amp;'24&amp;25'!$C:$C,0)),INDEX('24&amp;25'!$M:$M,MATCH($D793&amp;$B793&amp;$E793,'24&amp;25'!$B:$B&amp;'24&amp;25'!$A:$A&amp;'24&amp;25'!$C:$C,0)))</f>
        <v>980</v>
      </c>
      <c r="M793">
        <f>L793/VLOOKUP($D793,CPI!$P$16:$R$22,3,FALSE)</f>
        <v>1159.6064650756016</v>
      </c>
    </row>
    <row r="794" spans="1:13" ht="16" thickBot="1" x14ac:dyDescent="0.25">
      <c r="A794" s="7">
        <v>2</v>
      </c>
      <c r="B794">
        <f>IF(ISBLANK(G794),"",VLOOKUP(H794,code!B:C,2,FALSE))</f>
        <v>20</v>
      </c>
      <c r="C794">
        <f t="shared" si="24"/>
        <v>1</v>
      </c>
      <c r="D794">
        <v>2019</v>
      </c>
      <c r="E794">
        <v>230782</v>
      </c>
      <c r="F794" t="s">
        <v>255</v>
      </c>
      <c r="G794" t="s">
        <v>285</v>
      </c>
      <c r="H794" t="s">
        <v>28</v>
      </c>
      <c r="I794">
        <v>2820</v>
      </c>
      <c r="J794">
        <f>I794/VLOOKUP($D794,CPI!$P$16:$R$22,3,FALSE)</f>
        <v>3336.8267668502008</v>
      </c>
      <c r="K794">
        <f t="shared" si="25"/>
        <v>0</v>
      </c>
      <c r="L794" s="3" cm="1">
        <f t="array" ref="L794">IF($C794=0,INDEX('24&amp;25'!$L:$L,MATCH($D794&amp;$B794&amp;$E794,'24&amp;25'!$B:$B&amp;'24&amp;25'!$A:$A&amp;'24&amp;25'!$C:$C,0)),INDEX('24&amp;25'!$M:$M,MATCH($D794&amp;$B794&amp;$E794,'24&amp;25'!$B:$B&amp;'24&amp;25'!$A:$A&amp;'24&amp;25'!$C:$C,0)))</f>
        <v>0</v>
      </c>
      <c r="M794">
        <f>L794/VLOOKUP($D794,CPI!$P$16:$R$22,3,FALSE)</f>
        <v>0</v>
      </c>
    </row>
    <row r="795" spans="1:13" ht="16" thickBot="1" x14ac:dyDescent="0.25">
      <c r="A795" s="7">
        <v>2</v>
      </c>
      <c r="B795">
        <f>IF(ISBLANK(G795),"",VLOOKUP(H795,code!B:C,2,FALSE))</f>
        <v>21</v>
      </c>
      <c r="C795">
        <f t="shared" si="24"/>
        <v>1</v>
      </c>
      <c r="D795">
        <v>2019</v>
      </c>
      <c r="E795">
        <v>230782</v>
      </c>
      <c r="F795" t="s">
        <v>255</v>
      </c>
      <c r="G795" t="s">
        <v>285</v>
      </c>
      <c r="H795" t="s">
        <v>30</v>
      </c>
      <c r="I795">
        <v>1604</v>
      </c>
      <c r="J795">
        <f>I795/VLOOKUP($D795,CPI!$P$16:$R$22,3,FALSE)</f>
        <v>1897.9681326339439</v>
      </c>
      <c r="K795">
        <f t="shared" si="25"/>
        <v>0</v>
      </c>
      <c r="L795" s="3" cm="1">
        <f t="array" ref="L795">IF($C795=0,INDEX('24&amp;25'!$L:$L,MATCH($D795&amp;$B795&amp;$E795,'24&amp;25'!$B:$B&amp;'24&amp;25'!$A:$A&amp;'24&amp;25'!$C:$C,0)),INDEX('24&amp;25'!$M:$M,MATCH($D795&amp;$B795&amp;$E795,'24&amp;25'!$B:$B&amp;'24&amp;25'!$A:$A&amp;'24&amp;25'!$C:$C,0)))</f>
        <v>0</v>
      </c>
      <c r="M795">
        <f>L795/VLOOKUP($D795,CPI!$P$16:$R$22,3,FALSE)</f>
        <v>0</v>
      </c>
    </row>
    <row r="796" spans="1:13" ht="16" thickBot="1" x14ac:dyDescent="0.25">
      <c r="A796" s="7">
        <v>2</v>
      </c>
      <c r="B796">
        <f>IF(ISBLANK(G796),"",VLOOKUP(H796,code!B:C,2,FALSE))</f>
        <v>23</v>
      </c>
      <c r="C796">
        <f t="shared" si="24"/>
        <v>1</v>
      </c>
      <c r="D796">
        <v>2019</v>
      </c>
      <c r="E796">
        <v>230782</v>
      </c>
      <c r="F796" t="s">
        <v>255</v>
      </c>
      <c r="G796" t="s">
        <v>285</v>
      </c>
      <c r="H796" t="s">
        <v>33</v>
      </c>
      <c r="I796">
        <v>21807</v>
      </c>
      <c r="J796">
        <f>I796/VLOOKUP($D796,CPI!$P$16:$R$22,3,FALSE)</f>
        <v>25803.610391738413</v>
      </c>
      <c r="K796">
        <f t="shared" si="25"/>
        <v>0</v>
      </c>
      <c r="L796" s="3" cm="1">
        <f t="array" ref="L796">IF($C796=0,INDEX('24&amp;25'!$L:$L,MATCH($D796&amp;$B796&amp;$E796,'24&amp;25'!$B:$B&amp;'24&amp;25'!$A:$A&amp;'24&amp;25'!$C:$C,0)),INDEX('24&amp;25'!$M:$M,MATCH($D796&amp;$B796&amp;$E796,'24&amp;25'!$B:$B&amp;'24&amp;25'!$A:$A&amp;'24&amp;25'!$C:$C,0)))</f>
        <v>6860</v>
      </c>
      <c r="M796">
        <f>L796/VLOOKUP($D796,CPI!$P$16:$R$22,3,FALSE)</f>
        <v>8117.2452555292111</v>
      </c>
    </row>
    <row r="797" spans="1:13" ht="16" thickBot="1" x14ac:dyDescent="0.25">
      <c r="A797" s="7">
        <v>2</v>
      </c>
      <c r="B797">
        <f>IF(ISBLANK(G797),"",VLOOKUP(H797,code!B:C,2,FALSE))</f>
        <v>2</v>
      </c>
      <c r="C797">
        <f t="shared" si="24"/>
        <v>0</v>
      </c>
      <c r="D797">
        <v>2020</v>
      </c>
      <c r="E797">
        <v>230782</v>
      </c>
      <c r="F797" t="s">
        <v>255</v>
      </c>
      <c r="G797" t="s">
        <v>284</v>
      </c>
      <c r="H797" t="s">
        <v>10</v>
      </c>
      <c r="I797">
        <v>630475</v>
      </c>
      <c r="J797">
        <f>I797/VLOOKUP($D797,CPI!$P$16:$R$22,3,FALSE)</f>
        <v>734534.13525832922</v>
      </c>
      <c r="K797">
        <f t="shared" si="25"/>
        <v>0</v>
      </c>
      <c r="L797" s="3" cm="1">
        <f t="array" ref="L797">IF($C797=0,INDEX('24&amp;25'!$L:$L,MATCH($D797&amp;$B797&amp;$E797,'24&amp;25'!$B:$B&amp;'24&amp;25'!$A:$A&amp;'24&amp;25'!$C:$C,0)),INDEX('24&amp;25'!$M:$M,MATCH($D797&amp;$B797&amp;$E797,'24&amp;25'!$B:$B&amp;'24&amp;25'!$A:$A&amp;'24&amp;25'!$C:$C,0)))</f>
        <v>43219</v>
      </c>
      <c r="M797">
        <f>L797/VLOOKUP($D797,CPI!$P$16:$R$22,3,FALSE)</f>
        <v>50352.243612720136</v>
      </c>
    </row>
    <row r="798" spans="1:13" ht="16" thickBot="1" x14ac:dyDescent="0.25">
      <c r="A798" s="7">
        <v>2</v>
      </c>
      <c r="B798">
        <f>IF(ISBLANK(G798),"",VLOOKUP(H798,code!B:C,2,FALSE))</f>
        <v>8</v>
      </c>
      <c r="C798">
        <f t="shared" si="24"/>
        <v>0</v>
      </c>
      <c r="D798">
        <v>2020</v>
      </c>
      <c r="E798">
        <v>230782</v>
      </c>
      <c r="F798" t="s">
        <v>255</v>
      </c>
      <c r="G798" t="s">
        <v>284</v>
      </c>
      <c r="H798" t="s">
        <v>16</v>
      </c>
      <c r="I798">
        <v>1398111</v>
      </c>
      <c r="J798">
        <f>I798/VLOOKUP($D798,CPI!$P$16:$R$22,3,FALSE)</f>
        <v>1628867.5274676362</v>
      </c>
      <c r="K798">
        <f t="shared" si="25"/>
        <v>0</v>
      </c>
      <c r="L798" s="3" cm="1">
        <f t="array" ref="L798">IF($C798=0,INDEX('24&amp;25'!$L:$L,MATCH($D798&amp;$B798&amp;$E798,'24&amp;25'!$B:$B&amp;'24&amp;25'!$A:$A&amp;'24&amp;25'!$C:$C,0)),INDEX('24&amp;25'!$M:$M,MATCH($D798&amp;$B798&amp;$E798,'24&amp;25'!$B:$B&amp;'24&amp;25'!$A:$A&amp;'24&amp;25'!$C:$C,0)))</f>
        <v>97785</v>
      </c>
      <c r="M798">
        <f>L798/VLOOKUP($D798,CPI!$P$16:$R$22,3,FALSE)</f>
        <v>113924.29583446722</v>
      </c>
    </row>
    <row r="799" spans="1:13" ht="16" thickBot="1" x14ac:dyDescent="0.25">
      <c r="A799" s="7">
        <v>2</v>
      </c>
      <c r="B799">
        <f>IF(ISBLANK(G799),"",VLOOKUP(H799,code!B:C,2,FALSE))</f>
        <v>9</v>
      </c>
      <c r="C799">
        <f t="shared" si="24"/>
        <v>0</v>
      </c>
      <c r="D799">
        <v>2020</v>
      </c>
      <c r="E799">
        <v>230782</v>
      </c>
      <c r="F799" t="s">
        <v>255</v>
      </c>
      <c r="G799" t="s">
        <v>284</v>
      </c>
      <c r="H799" t="s">
        <v>17</v>
      </c>
      <c r="I799">
        <v>31739</v>
      </c>
      <c r="J799">
        <f>I799/VLOOKUP($D799,CPI!$P$16:$R$22,3,FALSE)</f>
        <v>36977.483514753338</v>
      </c>
      <c r="K799">
        <f t="shared" si="25"/>
        <v>0</v>
      </c>
      <c r="L799" s="3" cm="1">
        <f t="array" ref="L799">IF($C799=0,INDEX('24&amp;25'!$L:$L,MATCH($D799&amp;$B799&amp;$E799,'24&amp;25'!$B:$B&amp;'24&amp;25'!$A:$A&amp;'24&amp;25'!$C:$C,0)),INDEX('24&amp;25'!$M:$M,MATCH($D799&amp;$B799&amp;$E799,'24&amp;25'!$B:$B&amp;'24&amp;25'!$A:$A&amp;'24&amp;25'!$C:$C,0)))</f>
        <v>771</v>
      </c>
      <c r="M799">
        <f>L799/VLOOKUP($D799,CPI!$P$16:$R$22,3,FALSE)</f>
        <v>898.25261633557523</v>
      </c>
    </row>
    <row r="800" spans="1:13" ht="16" thickBot="1" x14ac:dyDescent="0.25">
      <c r="A800" s="7">
        <v>2</v>
      </c>
      <c r="B800">
        <f>IF(ISBLANK(G800),"",VLOOKUP(H800,code!B:C,2,FALSE))</f>
        <v>20</v>
      </c>
      <c r="C800">
        <f t="shared" si="24"/>
        <v>0</v>
      </c>
      <c r="D800">
        <v>2020</v>
      </c>
      <c r="E800">
        <v>230782</v>
      </c>
      <c r="F800" t="s">
        <v>255</v>
      </c>
      <c r="G800" t="s">
        <v>284</v>
      </c>
      <c r="H800" t="s">
        <v>28</v>
      </c>
      <c r="I800">
        <v>4744</v>
      </c>
      <c r="J800">
        <f>I800/VLOOKUP($D800,CPI!$P$16:$R$22,3,FALSE)</f>
        <v>5526.9914551179882</v>
      </c>
      <c r="K800">
        <f t="shared" si="25"/>
        <v>0</v>
      </c>
      <c r="L800" s="3" cm="1">
        <f t="array" ref="L800">IF($C800=0,INDEX('24&amp;25'!$L:$L,MATCH($D800&amp;$B800&amp;$E800,'24&amp;25'!$B:$B&amp;'24&amp;25'!$A:$A&amp;'24&amp;25'!$C:$C,0)),INDEX('24&amp;25'!$M:$M,MATCH($D800&amp;$B800&amp;$E800,'24&amp;25'!$B:$B&amp;'24&amp;25'!$A:$A&amp;'24&amp;25'!$C:$C,0)))</f>
        <v>0</v>
      </c>
      <c r="M800">
        <f>L800/VLOOKUP($D800,CPI!$P$16:$R$22,3,FALSE)</f>
        <v>0</v>
      </c>
    </row>
    <row r="801" spans="1:13" ht="16" thickBot="1" x14ac:dyDescent="0.25">
      <c r="A801" s="7">
        <v>2</v>
      </c>
      <c r="B801">
        <f>IF(ISBLANK(G801),"",VLOOKUP(H801,code!B:C,2,FALSE))</f>
        <v>21</v>
      </c>
      <c r="C801">
        <f t="shared" si="24"/>
        <v>0</v>
      </c>
      <c r="D801">
        <v>2020</v>
      </c>
      <c r="E801">
        <v>230782</v>
      </c>
      <c r="F801" t="s">
        <v>255</v>
      </c>
      <c r="G801" t="s">
        <v>284</v>
      </c>
      <c r="H801" t="s">
        <v>30</v>
      </c>
      <c r="I801">
        <v>500</v>
      </c>
      <c r="J801">
        <f>I801/VLOOKUP($D801,CPI!$P$16:$R$22,3,FALSE)</f>
        <v>582.52439451074918</v>
      </c>
      <c r="K801">
        <f t="shared" si="25"/>
        <v>0</v>
      </c>
      <c r="L801" s="3" cm="1">
        <f t="array" ref="L801">IF($C801=0,INDEX('24&amp;25'!$L:$L,MATCH($D801&amp;$B801&amp;$E801,'24&amp;25'!$B:$B&amp;'24&amp;25'!$A:$A&amp;'24&amp;25'!$C:$C,0)),INDEX('24&amp;25'!$M:$M,MATCH($D801&amp;$B801&amp;$E801,'24&amp;25'!$B:$B&amp;'24&amp;25'!$A:$A&amp;'24&amp;25'!$C:$C,0)))</f>
        <v>0</v>
      </c>
      <c r="M801">
        <f>L801/VLOOKUP($D801,CPI!$P$16:$R$22,3,FALSE)</f>
        <v>0</v>
      </c>
    </row>
    <row r="802" spans="1:13" ht="16" thickBot="1" x14ac:dyDescent="0.25">
      <c r="A802" s="7">
        <v>2</v>
      </c>
      <c r="B802">
        <f>IF(ISBLANK(G802),"",VLOOKUP(H802,code!B:C,2,FALSE))</f>
        <v>2</v>
      </c>
      <c r="C802">
        <f t="shared" si="24"/>
        <v>1</v>
      </c>
      <c r="D802">
        <v>2020</v>
      </c>
      <c r="E802">
        <v>230782</v>
      </c>
      <c r="F802" t="s">
        <v>255</v>
      </c>
      <c r="G802" t="s">
        <v>285</v>
      </c>
      <c r="H802" t="s">
        <v>10</v>
      </c>
      <c r="I802">
        <v>80030</v>
      </c>
      <c r="J802">
        <f>I802/VLOOKUP($D802,CPI!$P$16:$R$22,3,FALSE)</f>
        <v>93238.854585390509</v>
      </c>
      <c r="K802">
        <f t="shared" si="25"/>
        <v>0</v>
      </c>
      <c r="L802" s="3" cm="1">
        <f t="array" ref="L802">IF($C802=0,INDEX('24&amp;25'!$L:$L,MATCH($D802&amp;$B802&amp;$E802,'24&amp;25'!$B:$B&amp;'24&amp;25'!$A:$A&amp;'24&amp;25'!$C:$C,0)),INDEX('24&amp;25'!$M:$M,MATCH($D802&amp;$B802&amp;$E802,'24&amp;25'!$B:$B&amp;'24&amp;25'!$A:$A&amp;'24&amp;25'!$C:$C,0)))</f>
        <v>4399</v>
      </c>
      <c r="M802">
        <f>L802/VLOOKUP($D802,CPI!$P$16:$R$22,3,FALSE)</f>
        <v>5125.0496229055716</v>
      </c>
    </row>
    <row r="803" spans="1:13" ht="16" thickBot="1" x14ac:dyDescent="0.25">
      <c r="A803" s="7">
        <v>2</v>
      </c>
      <c r="B803">
        <f>IF(ISBLANK(G803),"",VLOOKUP(H803,code!B:C,2,FALSE))</f>
        <v>9</v>
      </c>
      <c r="C803">
        <f t="shared" si="24"/>
        <v>1</v>
      </c>
      <c r="D803">
        <v>2020</v>
      </c>
      <c r="E803">
        <v>230782</v>
      </c>
      <c r="F803" t="s">
        <v>255</v>
      </c>
      <c r="G803" t="s">
        <v>285</v>
      </c>
      <c r="H803" t="s">
        <v>17</v>
      </c>
      <c r="I803">
        <v>29802</v>
      </c>
      <c r="J803">
        <f>I803/VLOOKUP($D803,CPI!$P$16:$R$22,3,FALSE)</f>
        <v>34720.784010418691</v>
      </c>
      <c r="K803">
        <f t="shared" si="25"/>
        <v>0</v>
      </c>
      <c r="L803" s="3" cm="1">
        <f t="array" ref="L803">IF($C803=0,INDEX('24&amp;25'!$L:$L,MATCH($D803&amp;$B803&amp;$E803,'24&amp;25'!$B:$B&amp;'24&amp;25'!$A:$A&amp;'24&amp;25'!$C:$C,0)),INDEX('24&amp;25'!$M:$M,MATCH($D803&amp;$B803&amp;$E803,'24&amp;25'!$B:$B&amp;'24&amp;25'!$A:$A&amp;'24&amp;25'!$C:$C,0)))</f>
        <v>771</v>
      </c>
      <c r="M803">
        <f>L803/VLOOKUP($D803,CPI!$P$16:$R$22,3,FALSE)</f>
        <v>898.25261633557523</v>
      </c>
    </row>
    <row r="804" spans="1:13" ht="16" thickBot="1" x14ac:dyDescent="0.25">
      <c r="A804" s="7">
        <v>2</v>
      </c>
      <c r="B804">
        <f>IF(ISBLANK(G804),"",VLOOKUP(H804,code!B:C,2,FALSE))</f>
        <v>17</v>
      </c>
      <c r="C804">
        <f t="shared" si="24"/>
        <v>1</v>
      </c>
      <c r="D804">
        <v>2020</v>
      </c>
      <c r="E804">
        <v>230782</v>
      </c>
      <c r="F804" t="s">
        <v>255</v>
      </c>
      <c r="G804" t="s">
        <v>285</v>
      </c>
      <c r="H804" t="s">
        <v>25</v>
      </c>
      <c r="I804">
        <v>46509</v>
      </c>
      <c r="J804">
        <f>I804/VLOOKUP($D804,CPI!$P$16:$R$22,3,FALSE)</f>
        <v>54185.254128600864</v>
      </c>
      <c r="K804">
        <f t="shared" si="25"/>
        <v>0</v>
      </c>
      <c r="L804" s="3" cm="1">
        <f t="array" ref="L804">IF($C804=0,INDEX('24&amp;25'!$L:$L,MATCH($D804&amp;$B804&amp;$E804,'24&amp;25'!$B:$B&amp;'24&amp;25'!$A:$A&amp;'24&amp;25'!$C:$C,0)),INDEX('24&amp;25'!$M:$M,MATCH($D804&amp;$B804&amp;$E804,'24&amp;25'!$B:$B&amp;'24&amp;25'!$A:$A&amp;'24&amp;25'!$C:$C,0)))</f>
        <v>19881</v>
      </c>
      <c r="M804">
        <f>L804/VLOOKUP($D804,CPI!$P$16:$R$22,3,FALSE)</f>
        <v>23162.33497453641</v>
      </c>
    </row>
    <row r="805" spans="1:13" ht="16" thickBot="1" x14ac:dyDescent="0.25">
      <c r="A805" s="7">
        <v>2</v>
      </c>
      <c r="B805">
        <f>IF(ISBLANK(G805),"",VLOOKUP(H805,code!B:C,2,FALSE))</f>
        <v>18</v>
      </c>
      <c r="C805">
        <f t="shared" si="24"/>
        <v>1</v>
      </c>
      <c r="D805">
        <v>2020</v>
      </c>
      <c r="E805">
        <v>230782</v>
      </c>
      <c r="F805" t="s">
        <v>255</v>
      </c>
      <c r="G805" t="s">
        <v>285</v>
      </c>
      <c r="H805" t="s">
        <v>26</v>
      </c>
      <c r="I805">
        <v>9200</v>
      </c>
      <c r="J805">
        <f>I805/VLOOKUP($D805,CPI!$P$16:$R$22,3,FALSE)</f>
        <v>10718.448858997785</v>
      </c>
      <c r="K805">
        <f t="shared" si="25"/>
        <v>0</v>
      </c>
      <c r="L805" s="3" cm="1">
        <f t="array" ref="L805">IF($C805=0,INDEX('24&amp;25'!$L:$L,MATCH($D805&amp;$B805&amp;$E805,'24&amp;25'!$B:$B&amp;'24&amp;25'!$A:$A&amp;'24&amp;25'!$C:$C,0)),INDEX('24&amp;25'!$M:$M,MATCH($D805&amp;$B805&amp;$E805,'24&amp;25'!$B:$B&amp;'24&amp;25'!$A:$A&amp;'24&amp;25'!$C:$C,0)))</f>
        <v>1771</v>
      </c>
      <c r="M805">
        <f>L805/VLOOKUP($D805,CPI!$P$16:$R$22,3,FALSE)</f>
        <v>2063.3014053570737</v>
      </c>
    </row>
    <row r="806" spans="1:13" ht="16" thickBot="1" x14ac:dyDescent="0.25">
      <c r="A806" s="7">
        <v>2</v>
      </c>
      <c r="B806">
        <f>IF(ISBLANK(G806),"",VLOOKUP(H806,code!B:C,2,FALSE))</f>
        <v>20</v>
      </c>
      <c r="C806">
        <f t="shared" si="24"/>
        <v>1</v>
      </c>
      <c r="D806">
        <v>2020</v>
      </c>
      <c r="E806">
        <v>230782</v>
      </c>
      <c r="F806" t="s">
        <v>255</v>
      </c>
      <c r="G806" t="s">
        <v>285</v>
      </c>
      <c r="H806" t="s">
        <v>28</v>
      </c>
      <c r="I806">
        <v>0</v>
      </c>
      <c r="J806">
        <f>I806/VLOOKUP($D806,CPI!$P$16:$R$22,3,FALSE)</f>
        <v>0</v>
      </c>
      <c r="K806">
        <f t="shared" si="25"/>
        <v>0</v>
      </c>
      <c r="L806" s="3" cm="1">
        <f t="array" ref="L806">IF($C806=0,INDEX('24&amp;25'!$L:$L,MATCH($D806&amp;$B806&amp;$E806,'24&amp;25'!$B:$B&amp;'24&amp;25'!$A:$A&amp;'24&amp;25'!$C:$C,0)),INDEX('24&amp;25'!$M:$M,MATCH($D806&amp;$B806&amp;$E806,'24&amp;25'!$B:$B&amp;'24&amp;25'!$A:$A&amp;'24&amp;25'!$C:$C,0)))</f>
        <v>0</v>
      </c>
      <c r="M806">
        <f>L806/VLOOKUP($D806,CPI!$P$16:$R$22,3,FALSE)</f>
        <v>0</v>
      </c>
    </row>
    <row r="807" spans="1:13" ht="16" thickBot="1" x14ac:dyDescent="0.25">
      <c r="A807" s="7">
        <v>2</v>
      </c>
      <c r="B807">
        <f>IF(ISBLANK(G807),"",VLOOKUP(H807,code!B:C,2,FALSE))</f>
        <v>21</v>
      </c>
      <c r="C807">
        <f t="shared" si="24"/>
        <v>1</v>
      </c>
      <c r="D807">
        <v>2020</v>
      </c>
      <c r="E807">
        <v>230782</v>
      </c>
      <c r="F807" t="s">
        <v>255</v>
      </c>
      <c r="G807" t="s">
        <v>285</v>
      </c>
      <c r="H807" t="s">
        <v>30</v>
      </c>
      <c r="I807">
        <v>2903</v>
      </c>
      <c r="J807">
        <f>I807/VLOOKUP($D807,CPI!$P$16:$R$22,3,FALSE)</f>
        <v>3382.1366345294095</v>
      </c>
      <c r="K807">
        <f t="shared" si="25"/>
        <v>0</v>
      </c>
      <c r="L807" s="3" cm="1">
        <f t="array" ref="L807">IF($C807=0,INDEX('24&amp;25'!$L:$L,MATCH($D807&amp;$B807&amp;$E807,'24&amp;25'!$B:$B&amp;'24&amp;25'!$A:$A&amp;'24&amp;25'!$C:$C,0)),INDEX('24&amp;25'!$M:$M,MATCH($D807&amp;$B807&amp;$E807,'24&amp;25'!$B:$B&amp;'24&amp;25'!$A:$A&amp;'24&amp;25'!$C:$C,0)))</f>
        <v>0</v>
      </c>
      <c r="M807">
        <f>L807/VLOOKUP($D807,CPI!$P$16:$R$22,3,FALSE)</f>
        <v>0</v>
      </c>
    </row>
    <row r="808" spans="1:13" ht="16" thickBot="1" x14ac:dyDescent="0.25">
      <c r="A808" s="7">
        <v>2</v>
      </c>
      <c r="B808">
        <f>IF(ISBLANK(G808),"",VLOOKUP(H808,code!B:C,2,FALSE))</f>
        <v>23</v>
      </c>
      <c r="C808">
        <f t="shared" si="24"/>
        <v>1</v>
      </c>
      <c r="D808">
        <v>2020</v>
      </c>
      <c r="E808">
        <v>230782</v>
      </c>
      <c r="F808" t="s">
        <v>255</v>
      </c>
      <c r="G808" t="s">
        <v>285</v>
      </c>
      <c r="H808" t="s">
        <v>33</v>
      </c>
      <c r="I808">
        <v>28559</v>
      </c>
      <c r="J808">
        <f>I808/VLOOKUP($D808,CPI!$P$16:$R$22,3,FALSE)</f>
        <v>33272.628365664968</v>
      </c>
      <c r="K808">
        <f t="shared" si="25"/>
        <v>0</v>
      </c>
      <c r="L808" s="3" cm="1">
        <f t="array" ref="L808">IF($C808=0,INDEX('24&amp;25'!$L:$L,MATCH($D808&amp;$B808&amp;$E808,'24&amp;25'!$B:$B&amp;'24&amp;25'!$A:$A&amp;'24&amp;25'!$C:$C,0)),INDEX('24&amp;25'!$M:$M,MATCH($D808&amp;$B808&amp;$E808,'24&amp;25'!$B:$B&amp;'24&amp;25'!$A:$A&amp;'24&amp;25'!$C:$C,0)))</f>
        <v>6464</v>
      </c>
      <c r="M808">
        <f>L808/VLOOKUP($D808,CPI!$P$16:$R$22,3,FALSE)</f>
        <v>7530.8753722349657</v>
      </c>
    </row>
    <row r="809" spans="1:13" ht="16" thickBot="1" x14ac:dyDescent="0.25">
      <c r="A809" s="7">
        <v>2</v>
      </c>
      <c r="B809">
        <f>IF(ISBLANK(G809),"",VLOOKUP(H809,code!B:C,2,FALSE))</f>
        <v>2</v>
      </c>
      <c r="C809">
        <f t="shared" si="24"/>
        <v>0</v>
      </c>
      <c r="D809">
        <v>2021</v>
      </c>
      <c r="E809">
        <v>230782</v>
      </c>
      <c r="F809" t="s">
        <v>255</v>
      </c>
      <c r="G809" t="s">
        <v>284</v>
      </c>
      <c r="H809" t="s">
        <v>10</v>
      </c>
      <c r="I809">
        <v>182883</v>
      </c>
      <c r="J809">
        <f>I809/VLOOKUP($D809,CPI!$P$16:$R$22,3,FALSE)</f>
        <v>208273.90902354365</v>
      </c>
      <c r="K809">
        <f t="shared" si="25"/>
        <v>1</v>
      </c>
      <c r="L809" s="3" cm="1">
        <f t="array" ref="L809">IF($C809=0,INDEX('24&amp;25'!$L:$L,MATCH($D809&amp;$B809&amp;$E809,'24&amp;25'!$B:$B&amp;'24&amp;25'!$A:$A&amp;'24&amp;25'!$C:$C,0)),INDEX('24&amp;25'!$M:$M,MATCH($D809&amp;$B809&amp;$E809,'24&amp;25'!$B:$B&amp;'24&amp;25'!$A:$A&amp;'24&amp;25'!$C:$C,0)))</f>
        <v>49704</v>
      </c>
      <c r="M809">
        <f>L809/VLOOKUP($D809,CPI!$P$16:$R$22,3,FALSE)</f>
        <v>56604.749343056559</v>
      </c>
    </row>
    <row r="810" spans="1:13" ht="16" thickBot="1" x14ac:dyDescent="0.25">
      <c r="A810" s="7">
        <v>2</v>
      </c>
      <c r="B810">
        <f>IF(ISBLANK(G810),"",VLOOKUP(H810,code!B:C,2,FALSE))</f>
        <v>8</v>
      </c>
      <c r="C810">
        <f t="shared" si="24"/>
        <v>0</v>
      </c>
      <c r="D810">
        <v>2021</v>
      </c>
      <c r="E810">
        <v>230782</v>
      </c>
      <c r="F810" t="s">
        <v>255</v>
      </c>
      <c r="G810" t="s">
        <v>284</v>
      </c>
      <c r="H810" t="s">
        <v>16</v>
      </c>
      <c r="I810">
        <v>175587</v>
      </c>
      <c r="J810">
        <f>I810/VLOOKUP($D810,CPI!$P$16:$R$22,3,FALSE)</f>
        <v>199964.95499153534</v>
      </c>
      <c r="K810">
        <f t="shared" si="25"/>
        <v>1</v>
      </c>
      <c r="L810" s="3" cm="1">
        <f t="array" ref="L810">IF($C810=0,INDEX('24&amp;25'!$L:$L,MATCH($D810&amp;$B810&amp;$E810,'24&amp;25'!$B:$B&amp;'24&amp;25'!$A:$A&amp;'24&amp;25'!$C:$C,0)),INDEX('24&amp;25'!$M:$M,MATCH($D810&amp;$B810&amp;$E810,'24&amp;25'!$B:$B&amp;'24&amp;25'!$A:$A&amp;'24&amp;25'!$C:$C,0)))</f>
        <v>77097</v>
      </c>
      <c r="M810">
        <f>L810/VLOOKUP($D810,CPI!$P$16:$R$22,3,FALSE)</f>
        <v>87800.90858083115</v>
      </c>
    </row>
    <row r="811" spans="1:13" ht="16" thickBot="1" x14ac:dyDescent="0.25">
      <c r="A811" s="7">
        <v>2</v>
      </c>
      <c r="B811">
        <f>IF(ISBLANK(G811),"",VLOOKUP(H811,code!B:C,2,FALSE))</f>
        <v>9</v>
      </c>
      <c r="C811">
        <f t="shared" si="24"/>
        <v>0</v>
      </c>
      <c r="D811">
        <v>2021</v>
      </c>
      <c r="E811">
        <v>230782</v>
      </c>
      <c r="F811" t="s">
        <v>255</v>
      </c>
      <c r="G811" t="s">
        <v>284</v>
      </c>
      <c r="H811" t="s">
        <v>17</v>
      </c>
      <c r="I811">
        <v>0</v>
      </c>
      <c r="J811">
        <f>I811/VLOOKUP($D811,CPI!$P$16:$R$22,3,FALSE)</f>
        <v>0</v>
      </c>
      <c r="K811">
        <f t="shared" si="25"/>
        <v>1</v>
      </c>
      <c r="L811" s="3" cm="1">
        <f t="array" ref="L811">IF($C811=0,INDEX('24&amp;25'!$L:$L,MATCH($D811&amp;$B811&amp;$E811,'24&amp;25'!$B:$B&amp;'24&amp;25'!$A:$A&amp;'24&amp;25'!$C:$C,0)),INDEX('24&amp;25'!$M:$M,MATCH($D811&amp;$B811&amp;$E811,'24&amp;25'!$B:$B&amp;'24&amp;25'!$A:$A&amp;'24&amp;25'!$C:$C,0)))</f>
        <v>0</v>
      </c>
      <c r="M811">
        <f>L811/VLOOKUP($D811,CPI!$P$16:$R$22,3,FALSE)</f>
        <v>0</v>
      </c>
    </row>
    <row r="812" spans="1:13" ht="16" thickBot="1" x14ac:dyDescent="0.25">
      <c r="A812" s="7">
        <v>2</v>
      </c>
      <c r="B812">
        <f>IF(ISBLANK(G812),"",VLOOKUP(H812,code!B:C,2,FALSE))</f>
        <v>20</v>
      </c>
      <c r="C812">
        <f t="shared" si="24"/>
        <v>0</v>
      </c>
      <c r="D812">
        <v>2021</v>
      </c>
      <c r="E812">
        <v>230782</v>
      </c>
      <c r="F812" t="s">
        <v>255</v>
      </c>
      <c r="G812" t="s">
        <v>284</v>
      </c>
      <c r="H812" t="s">
        <v>28</v>
      </c>
      <c r="I812">
        <v>0</v>
      </c>
      <c r="J812">
        <f>I812/VLOOKUP($D812,CPI!$P$16:$R$22,3,FALSE)</f>
        <v>0</v>
      </c>
      <c r="K812">
        <f t="shared" si="25"/>
        <v>1</v>
      </c>
      <c r="L812" s="3" cm="1">
        <f t="array" ref="L812">IF($C812=0,INDEX('24&amp;25'!$L:$L,MATCH($D812&amp;$B812&amp;$E812,'24&amp;25'!$B:$B&amp;'24&amp;25'!$A:$A&amp;'24&amp;25'!$C:$C,0)),INDEX('24&amp;25'!$M:$M,MATCH($D812&amp;$B812&amp;$E812,'24&amp;25'!$B:$B&amp;'24&amp;25'!$A:$A&amp;'24&amp;25'!$C:$C,0)))</f>
        <v>0</v>
      </c>
      <c r="M812">
        <f>L812/VLOOKUP($D812,CPI!$P$16:$R$22,3,FALSE)</f>
        <v>0</v>
      </c>
    </row>
    <row r="813" spans="1:13" ht="16" thickBot="1" x14ac:dyDescent="0.25">
      <c r="A813" s="7">
        <v>2</v>
      </c>
      <c r="B813">
        <f>IF(ISBLANK(G813),"",VLOOKUP(H813,code!B:C,2,FALSE))</f>
        <v>21</v>
      </c>
      <c r="C813">
        <f t="shared" si="24"/>
        <v>0</v>
      </c>
      <c r="D813">
        <v>2021</v>
      </c>
      <c r="E813">
        <v>230782</v>
      </c>
      <c r="F813" t="s">
        <v>255</v>
      </c>
      <c r="G813" t="s">
        <v>284</v>
      </c>
      <c r="H813" t="s">
        <v>30</v>
      </c>
      <c r="I813">
        <v>3699</v>
      </c>
      <c r="J813">
        <f>I813/VLOOKUP($D813,CPI!$P$16:$R$22,3,FALSE)</f>
        <v>4212.5576979713142</v>
      </c>
      <c r="K813">
        <f t="shared" si="25"/>
        <v>1</v>
      </c>
      <c r="L813" s="3" cm="1">
        <f t="array" ref="L813">IF($C813=0,INDEX('24&amp;25'!$L:$L,MATCH($D813&amp;$B813&amp;$E813,'24&amp;25'!$B:$B&amp;'24&amp;25'!$A:$A&amp;'24&amp;25'!$C:$C,0)),INDEX('24&amp;25'!$M:$M,MATCH($D813&amp;$B813&amp;$E813,'24&amp;25'!$B:$B&amp;'24&amp;25'!$A:$A&amp;'24&amp;25'!$C:$C,0)))</f>
        <v>0</v>
      </c>
      <c r="M813">
        <f>L813/VLOOKUP($D813,CPI!$P$16:$R$22,3,FALSE)</f>
        <v>0</v>
      </c>
    </row>
    <row r="814" spans="1:13" ht="16" thickBot="1" x14ac:dyDescent="0.25">
      <c r="A814" s="7">
        <v>2</v>
      </c>
      <c r="B814">
        <f>IF(ISBLANK(G814),"",VLOOKUP(H814,code!B:C,2,FALSE))</f>
        <v>2</v>
      </c>
      <c r="C814">
        <f t="shared" si="24"/>
        <v>1</v>
      </c>
      <c r="D814">
        <v>2021</v>
      </c>
      <c r="E814">
        <v>230782</v>
      </c>
      <c r="F814" t="s">
        <v>255</v>
      </c>
      <c r="G814" t="s">
        <v>285</v>
      </c>
      <c r="H814" t="s">
        <v>10</v>
      </c>
      <c r="I814">
        <v>43152</v>
      </c>
      <c r="J814">
        <f>I814/VLOOKUP($D814,CPI!$P$16:$R$22,3,FALSE)</f>
        <v>49143.089965628053</v>
      </c>
      <c r="K814">
        <f t="shared" si="25"/>
        <v>1</v>
      </c>
      <c r="L814" s="3" cm="1">
        <f t="array" ref="L814">IF($C814=0,INDEX('24&amp;25'!$L:$L,MATCH($D814&amp;$B814&amp;$E814,'24&amp;25'!$B:$B&amp;'24&amp;25'!$A:$A&amp;'24&amp;25'!$C:$C,0)),INDEX('24&amp;25'!$M:$M,MATCH($D814&amp;$B814&amp;$E814,'24&amp;25'!$B:$B&amp;'24&amp;25'!$A:$A&amp;'24&amp;25'!$C:$C,0)))</f>
        <v>1593</v>
      </c>
      <c r="M814">
        <f>L814/VLOOKUP($D814,CPI!$P$16:$R$22,3,FALSE)</f>
        <v>1814.1671837978654</v>
      </c>
    </row>
    <row r="815" spans="1:13" ht="16" thickBot="1" x14ac:dyDescent="0.25">
      <c r="A815" s="7">
        <v>2</v>
      </c>
      <c r="B815">
        <f>IF(ISBLANK(G815),"",VLOOKUP(H815,code!B:C,2,FALSE))</f>
        <v>9</v>
      </c>
      <c r="C815">
        <f t="shared" si="24"/>
        <v>1</v>
      </c>
      <c r="D815">
        <v>2021</v>
      </c>
      <c r="E815">
        <v>230782</v>
      </c>
      <c r="F815" t="s">
        <v>255</v>
      </c>
      <c r="G815" t="s">
        <v>285</v>
      </c>
      <c r="H815" t="s">
        <v>17</v>
      </c>
      <c r="I815">
        <v>1115</v>
      </c>
      <c r="J815">
        <f>I815/VLOOKUP($D815,CPI!$P$16:$R$22,3,FALSE)</f>
        <v>1269.803144968374</v>
      </c>
      <c r="K815">
        <f t="shared" si="25"/>
        <v>1</v>
      </c>
      <c r="L815" s="3" cm="1">
        <f t="array" ref="L815">IF($C815=0,INDEX('24&amp;25'!$L:$L,MATCH($D815&amp;$B815&amp;$E815,'24&amp;25'!$B:$B&amp;'24&amp;25'!$A:$A&amp;'24&amp;25'!$C:$C,0)),INDEX('24&amp;25'!$M:$M,MATCH($D815&amp;$B815&amp;$E815,'24&amp;25'!$B:$B&amp;'24&amp;25'!$A:$A&amp;'24&amp;25'!$C:$C,0)))</f>
        <v>0</v>
      </c>
      <c r="M815">
        <f>L815/VLOOKUP($D815,CPI!$P$16:$R$22,3,FALSE)</f>
        <v>0</v>
      </c>
    </row>
    <row r="816" spans="1:13" ht="16" thickBot="1" x14ac:dyDescent="0.25">
      <c r="A816" s="7">
        <v>2</v>
      </c>
      <c r="B816">
        <f>IF(ISBLANK(G816),"",VLOOKUP(H816,code!B:C,2,FALSE))</f>
        <v>17</v>
      </c>
      <c r="C816">
        <f t="shared" si="24"/>
        <v>1</v>
      </c>
      <c r="D816">
        <v>2021</v>
      </c>
      <c r="E816">
        <v>230782</v>
      </c>
      <c r="F816" t="s">
        <v>255</v>
      </c>
      <c r="G816" t="s">
        <v>285</v>
      </c>
      <c r="H816" t="s">
        <v>25</v>
      </c>
      <c r="I816">
        <v>2777</v>
      </c>
      <c r="J816">
        <f>I816/VLOOKUP($D816,CPI!$P$16:$R$22,3,FALSE)</f>
        <v>3162.5500749571074</v>
      </c>
      <c r="K816">
        <f t="shared" si="25"/>
        <v>1</v>
      </c>
      <c r="L816" s="3" cm="1">
        <f t="array" ref="L816">IF($C816=0,INDEX('24&amp;25'!$L:$L,MATCH($D816&amp;$B816&amp;$E816,'24&amp;25'!$B:$B&amp;'24&amp;25'!$A:$A&amp;'24&amp;25'!$C:$C,0)),INDEX('24&amp;25'!$M:$M,MATCH($D816&amp;$B816&amp;$E816,'24&amp;25'!$B:$B&amp;'24&amp;25'!$A:$A&amp;'24&amp;25'!$C:$C,0)))</f>
        <v>2675</v>
      </c>
      <c r="M816">
        <f>L816/VLOOKUP($D816,CPI!$P$16:$R$22,3,FALSE)</f>
        <v>3046.3887110227806</v>
      </c>
    </row>
    <row r="817" spans="1:13" ht="16" thickBot="1" x14ac:dyDescent="0.25">
      <c r="A817" s="7">
        <v>2</v>
      </c>
      <c r="B817">
        <f>IF(ISBLANK(G817),"",VLOOKUP(H817,code!B:C,2,FALSE))</f>
        <v>18</v>
      </c>
      <c r="C817">
        <f t="shared" si="24"/>
        <v>1</v>
      </c>
      <c r="D817">
        <v>2021</v>
      </c>
      <c r="E817">
        <v>230782</v>
      </c>
      <c r="F817" t="s">
        <v>255</v>
      </c>
      <c r="G817" t="s">
        <v>285</v>
      </c>
      <c r="H817" t="s">
        <v>26</v>
      </c>
      <c r="I817">
        <v>6516</v>
      </c>
      <c r="J817">
        <f>I817/VLOOKUP($D817,CPI!$P$16:$R$22,3,FALSE)</f>
        <v>7420.6612489810987</v>
      </c>
      <c r="K817">
        <f t="shared" si="25"/>
        <v>1</v>
      </c>
      <c r="L817" s="3" cm="1">
        <f t="array" ref="L817">IF($C817=0,INDEX('24&amp;25'!$L:$L,MATCH($D817&amp;$B817&amp;$E817,'24&amp;25'!$B:$B&amp;'24&amp;25'!$A:$A&amp;'24&amp;25'!$C:$C,0)),INDEX('24&amp;25'!$M:$M,MATCH($D817&amp;$B817&amp;$E817,'24&amp;25'!$B:$B&amp;'24&amp;25'!$A:$A&amp;'24&amp;25'!$C:$C,0)))</f>
        <v>0</v>
      </c>
      <c r="M817">
        <f>L817/VLOOKUP($D817,CPI!$P$16:$R$22,3,FALSE)</f>
        <v>0</v>
      </c>
    </row>
    <row r="818" spans="1:13" ht="16" thickBot="1" x14ac:dyDescent="0.25">
      <c r="A818" s="7">
        <v>2</v>
      </c>
      <c r="B818">
        <f>IF(ISBLANK(G818),"",VLOOKUP(H818,code!B:C,2,FALSE))</f>
        <v>20</v>
      </c>
      <c r="C818">
        <f t="shared" si="24"/>
        <v>1</v>
      </c>
      <c r="D818">
        <v>2021</v>
      </c>
      <c r="E818">
        <v>230782</v>
      </c>
      <c r="F818" t="s">
        <v>255</v>
      </c>
      <c r="G818" t="s">
        <v>285</v>
      </c>
      <c r="H818" t="s">
        <v>28</v>
      </c>
      <c r="I818">
        <v>0</v>
      </c>
      <c r="J818">
        <f>I818/VLOOKUP($D818,CPI!$P$16:$R$22,3,FALSE)</f>
        <v>0</v>
      </c>
      <c r="K818">
        <f t="shared" si="25"/>
        <v>1</v>
      </c>
      <c r="L818" s="3" cm="1">
        <f t="array" ref="L818">IF($C818=0,INDEX('24&amp;25'!$L:$L,MATCH($D818&amp;$B818&amp;$E818,'24&amp;25'!$B:$B&amp;'24&amp;25'!$A:$A&amp;'24&amp;25'!$C:$C,0)),INDEX('24&amp;25'!$M:$M,MATCH($D818&amp;$B818&amp;$E818,'24&amp;25'!$B:$B&amp;'24&amp;25'!$A:$A&amp;'24&amp;25'!$C:$C,0)))</f>
        <v>0</v>
      </c>
      <c r="M818">
        <f>L818/VLOOKUP($D818,CPI!$P$16:$R$22,3,FALSE)</f>
        <v>0</v>
      </c>
    </row>
    <row r="819" spans="1:13" ht="16" thickBot="1" x14ac:dyDescent="0.25">
      <c r="A819" s="7">
        <v>2</v>
      </c>
      <c r="B819">
        <f>IF(ISBLANK(G819),"",VLOOKUP(H819,code!B:C,2,FALSE))</f>
        <v>21</v>
      </c>
      <c r="C819">
        <f t="shared" si="24"/>
        <v>1</v>
      </c>
      <c r="D819">
        <v>2021</v>
      </c>
      <c r="E819">
        <v>230782</v>
      </c>
      <c r="F819" t="s">
        <v>255</v>
      </c>
      <c r="G819" t="s">
        <v>285</v>
      </c>
      <c r="H819" t="s">
        <v>30</v>
      </c>
      <c r="I819">
        <v>3699</v>
      </c>
      <c r="J819">
        <f>I819/VLOOKUP($D819,CPI!$P$16:$R$22,3,FALSE)</f>
        <v>4212.5576979713142</v>
      </c>
      <c r="K819">
        <f t="shared" si="25"/>
        <v>1</v>
      </c>
      <c r="L819" s="3" cm="1">
        <f t="array" ref="L819">IF($C819=0,INDEX('24&amp;25'!$L:$L,MATCH($D819&amp;$B819&amp;$E819,'24&amp;25'!$B:$B&amp;'24&amp;25'!$A:$A&amp;'24&amp;25'!$C:$C,0)),INDEX('24&amp;25'!$M:$M,MATCH($D819&amp;$B819&amp;$E819,'24&amp;25'!$B:$B&amp;'24&amp;25'!$A:$A&amp;'24&amp;25'!$C:$C,0)))</f>
        <v>0</v>
      </c>
      <c r="M819">
        <f>L819/VLOOKUP($D819,CPI!$P$16:$R$22,3,FALSE)</f>
        <v>0</v>
      </c>
    </row>
    <row r="820" spans="1:13" ht="16" thickBot="1" x14ac:dyDescent="0.25">
      <c r="A820" s="7">
        <v>2</v>
      </c>
      <c r="B820">
        <f>IF(ISBLANK(G820),"",VLOOKUP(H820,code!B:C,2,FALSE))</f>
        <v>23</v>
      </c>
      <c r="C820">
        <f t="shared" si="24"/>
        <v>1</v>
      </c>
      <c r="D820">
        <v>2021</v>
      </c>
      <c r="E820">
        <v>230782</v>
      </c>
      <c r="F820" t="s">
        <v>255</v>
      </c>
      <c r="G820" t="s">
        <v>285</v>
      </c>
      <c r="H820" t="s">
        <v>33</v>
      </c>
      <c r="I820">
        <v>0</v>
      </c>
      <c r="J820">
        <f>I820/VLOOKUP($D820,CPI!$P$16:$R$22,3,FALSE)</f>
        <v>0</v>
      </c>
      <c r="K820">
        <f t="shared" si="25"/>
        <v>1</v>
      </c>
      <c r="L820" s="3" cm="1">
        <f t="array" ref="L820">IF($C820=0,INDEX('24&amp;25'!$L:$L,MATCH($D820&amp;$B820&amp;$E820,'24&amp;25'!$B:$B&amp;'24&amp;25'!$A:$A&amp;'24&amp;25'!$C:$C,0)),INDEX('24&amp;25'!$M:$M,MATCH($D820&amp;$B820&amp;$E820,'24&amp;25'!$B:$B&amp;'24&amp;25'!$A:$A&amp;'24&amp;25'!$C:$C,0)))</f>
        <v>0</v>
      </c>
      <c r="M820">
        <f>L820/VLOOKUP($D820,CPI!$P$16:$R$22,3,FALSE)</f>
        <v>0</v>
      </c>
    </row>
    <row r="821" spans="1:13" ht="16" thickBot="1" x14ac:dyDescent="0.25">
      <c r="A821" s="7">
        <v>2</v>
      </c>
      <c r="B821">
        <f>IF(ISBLANK(G821),"",VLOOKUP(H821,code!B:C,2,FALSE))</f>
        <v>2</v>
      </c>
      <c r="C821">
        <f t="shared" si="24"/>
        <v>0</v>
      </c>
      <c r="D821">
        <v>2022</v>
      </c>
      <c r="E821">
        <v>230782</v>
      </c>
      <c r="F821" t="s">
        <v>255</v>
      </c>
      <c r="G821" t="s">
        <v>284</v>
      </c>
      <c r="H821" t="s">
        <v>10</v>
      </c>
      <c r="I821">
        <v>942581</v>
      </c>
      <c r="J821">
        <f>I821/VLOOKUP($D821,CPI!$P$16:$R$22,3,FALSE)</f>
        <v>1001605.7380569101</v>
      </c>
      <c r="K821">
        <f t="shared" si="25"/>
        <v>0</v>
      </c>
      <c r="L821" s="3" cm="1">
        <f t="array" ref="L821">IF($C821=0,INDEX('24&amp;25'!$L:$L,MATCH($D821&amp;$B821&amp;$E821,'24&amp;25'!$B:$B&amp;'24&amp;25'!$A:$A&amp;'24&amp;25'!$C:$C,0)),INDEX('24&amp;25'!$M:$M,MATCH($D821&amp;$B821&amp;$E821,'24&amp;25'!$B:$B&amp;'24&amp;25'!$A:$A&amp;'24&amp;25'!$C:$C,0)))</f>
        <v>62763</v>
      </c>
      <c r="M821">
        <f>L821/VLOOKUP($D821,CPI!$P$16:$R$22,3,FALSE)</f>
        <v>66693.24009041753</v>
      </c>
    </row>
    <row r="822" spans="1:13" ht="16" thickBot="1" x14ac:dyDescent="0.25">
      <c r="A822" s="7">
        <v>2</v>
      </c>
      <c r="B822">
        <f>IF(ISBLANK(G822),"",VLOOKUP(H822,code!B:C,2,FALSE))</f>
        <v>8</v>
      </c>
      <c r="C822">
        <f t="shared" si="24"/>
        <v>0</v>
      </c>
      <c r="D822">
        <v>2022</v>
      </c>
      <c r="E822">
        <v>230782</v>
      </c>
      <c r="F822" t="s">
        <v>255</v>
      </c>
      <c r="G822" t="s">
        <v>284</v>
      </c>
      <c r="H822" t="s">
        <v>16</v>
      </c>
      <c r="I822">
        <v>940972</v>
      </c>
      <c r="J822">
        <f>I822/VLOOKUP($D822,CPI!$P$16:$R$22,3,FALSE)</f>
        <v>999895.98193777166</v>
      </c>
      <c r="K822">
        <f t="shared" si="25"/>
        <v>0</v>
      </c>
      <c r="L822" s="3" cm="1">
        <f t="array" ref="L822">IF($C822=0,INDEX('24&amp;25'!$L:$L,MATCH($D822&amp;$B822&amp;$E822,'24&amp;25'!$B:$B&amp;'24&amp;25'!$A:$A&amp;'24&amp;25'!$C:$C,0)),INDEX('24&amp;25'!$M:$M,MATCH($D822&amp;$B822&amp;$E822,'24&amp;25'!$B:$B&amp;'24&amp;25'!$A:$A&amp;'24&amp;25'!$C:$C,0)))</f>
        <v>118590</v>
      </c>
      <c r="M822">
        <f>L822/VLOOKUP($D822,CPI!$P$16:$R$22,3,FALSE)</f>
        <v>126016.14553674322</v>
      </c>
    </row>
    <row r="823" spans="1:13" ht="16" thickBot="1" x14ac:dyDescent="0.25">
      <c r="A823" s="7">
        <v>2</v>
      </c>
      <c r="B823">
        <f>IF(ISBLANK(G823),"",VLOOKUP(H823,code!B:C,2,FALSE))</f>
        <v>9</v>
      </c>
      <c r="C823">
        <f t="shared" si="24"/>
        <v>0</v>
      </c>
      <c r="D823">
        <v>2022</v>
      </c>
      <c r="E823">
        <v>230782</v>
      </c>
      <c r="F823" t="s">
        <v>255</v>
      </c>
      <c r="G823" t="s">
        <v>284</v>
      </c>
      <c r="H823" t="s">
        <v>17</v>
      </c>
      <c r="I823">
        <v>85255</v>
      </c>
      <c r="J823">
        <f>I823/VLOOKUP($D823,CPI!$P$16:$R$22,3,FALSE)</f>
        <v>90593.696666962162</v>
      </c>
      <c r="K823">
        <f t="shared" si="25"/>
        <v>0</v>
      </c>
      <c r="L823" s="3" cm="1">
        <f t="array" ref="L823">IF($C823=0,INDEX('24&amp;25'!$L:$L,MATCH($D823&amp;$B823&amp;$E823,'24&amp;25'!$B:$B&amp;'24&amp;25'!$A:$A&amp;'24&amp;25'!$C:$C,0)),INDEX('24&amp;25'!$M:$M,MATCH($D823&amp;$B823&amp;$E823,'24&amp;25'!$B:$B&amp;'24&amp;25'!$A:$A&amp;'24&amp;25'!$C:$C,0)))</f>
        <v>0</v>
      </c>
      <c r="M823">
        <f>L823/VLOOKUP($D823,CPI!$P$16:$R$22,3,FALSE)</f>
        <v>0</v>
      </c>
    </row>
    <row r="824" spans="1:13" ht="16" thickBot="1" x14ac:dyDescent="0.25">
      <c r="A824" s="7">
        <v>2</v>
      </c>
      <c r="B824">
        <f>IF(ISBLANK(G824),"",VLOOKUP(H824,code!B:C,2,FALSE))</f>
        <v>20</v>
      </c>
      <c r="C824">
        <f t="shared" si="24"/>
        <v>0</v>
      </c>
      <c r="D824">
        <v>2022</v>
      </c>
      <c r="E824">
        <v>230782</v>
      </c>
      <c r="F824" t="s">
        <v>255</v>
      </c>
      <c r="G824" t="s">
        <v>284</v>
      </c>
      <c r="H824" t="s">
        <v>28</v>
      </c>
      <c r="I824">
        <v>8965</v>
      </c>
      <c r="J824">
        <f>I824/VLOOKUP($D824,CPI!$P$16:$R$22,3,FALSE)</f>
        <v>9526.3913039624167</v>
      </c>
      <c r="K824">
        <f t="shared" si="25"/>
        <v>0</v>
      </c>
      <c r="L824" s="3" cm="1">
        <f t="array" ref="L824">IF($C824=0,INDEX('24&amp;25'!$L:$L,MATCH($D824&amp;$B824&amp;$E824,'24&amp;25'!$B:$B&amp;'24&amp;25'!$A:$A&amp;'24&amp;25'!$C:$C,0)),INDEX('24&amp;25'!$M:$M,MATCH($D824&amp;$B824&amp;$E824,'24&amp;25'!$B:$B&amp;'24&amp;25'!$A:$A&amp;'24&amp;25'!$C:$C,0)))</f>
        <v>0</v>
      </c>
      <c r="M824">
        <f>L824/VLOOKUP($D824,CPI!$P$16:$R$22,3,FALSE)</f>
        <v>0</v>
      </c>
    </row>
    <row r="825" spans="1:13" ht="16" thickBot="1" x14ac:dyDescent="0.25">
      <c r="A825" s="7">
        <v>2</v>
      </c>
      <c r="B825">
        <f>IF(ISBLANK(G825),"",VLOOKUP(H825,code!B:C,2,FALSE))</f>
        <v>21</v>
      </c>
      <c r="C825">
        <f t="shared" si="24"/>
        <v>0</v>
      </c>
      <c r="D825">
        <v>2022</v>
      </c>
      <c r="E825">
        <v>230782</v>
      </c>
      <c r="F825" t="s">
        <v>255</v>
      </c>
      <c r="G825" t="s">
        <v>284</v>
      </c>
      <c r="H825" t="s">
        <v>30</v>
      </c>
      <c r="I825">
        <v>22406</v>
      </c>
      <c r="J825">
        <f>I825/VLOOKUP($D825,CPI!$P$16:$R$22,3,FALSE)</f>
        <v>23809.071227728044</v>
      </c>
      <c r="K825">
        <f t="shared" si="25"/>
        <v>0</v>
      </c>
      <c r="L825" s="3" cm="1">
        <f t="array" ref="L825">IF($C825=0,INDEX('24&amp;25'!$L:$L,MATCH($D825&amp;$B825&amp;$E825,'24&amp;25'!$B:$B&amp;'24&amp;25'!$A:$A&amp;'24&amp;25'!$C:$C,0)),INDEX('24&amp;25'!$M:$M,MATCH($D825&amp;$B825&amp;$E825,'24&amp;25'!$B:$B&amp;'24&amp;25'!$A:$A&amp;'24&amp;25'!$C:$C,0)))</f>
        <v>70</v>
      </c>
      <c r="M825">
        <f>L825/VLOOKUP($D825,CPI!$P$16:$R$22,3,FALSE)</f>
        <v>74.383423455367449</v>
      </c>
    </row>
    <row r="826" spans="1:13" ht="16" thickBot="1" x14ac:dyDescent="0.25">
      <c r="A826" s="7">
        <v>2</v>
      </c>
      <c r="B826">
        <f>IF(ISBLANK(G826),"",VLOOKUP(H826,code!B:C,2,FALSE))</f>
        <v>2</v>
      </c>
      <c r="C826">
        <f t="shared" si="24"/>
        <v>1</v>
      </c>
      <c r="D826">
        <v>2022</v>
      </c>
      <c r="E826">
        <v>230782</v>
      </c>
      <c r="F826" t="s">
        <v>255</v>
      </c>
      <c r="G826" t="s">
        <v>285</v>
      </c>
      <c r="H826" t="s">
        <v>10</v>
      </c>
      <c r="I826">
        <v>56513</v>
      </c>
      <c r="J826">
        <f>I826/VLOOKUP($D826,CPI!$P$16:$R$22,3,FALSE)</f>
        <v>60051.862996188291</v>
      </c>
      <c r="K826">
        <f t="shared" si="25"/>
        <v>0</v>
      </c>
      <c r="L826" s="3" cm="1">
        <f t="array" ref="L826">IF($C826=0,INDEX('24&amp;25'!$L:$L,MATCH($D826&amp;$B826&amp;$E826,'24&amp;25'!$B:$B&amp;'24&amp;25'!$A:$A&amp;'24&amp;25'!$C:$C,0)),INDEX('24&amp;25'!$M:$M,MATCH($D826&amp;$B826&amp;$E826,'24&amp;25'!$B:$B&amp;'24&amp;25'!$A:$A&amp;'24&amp;25'!$C:$C,0)))</f>
        <v>26759</v>
      </c>
      <c r="M826">
        <f>L826/VLOOKUP($D826,CPI!$P$16:$R$22,3,FALSE)</f>
        <v>28434.657546316823</v>
      </c>
    </row>
    <row r="827" spans="1:13" ht="16" thickBot="1" x14ac:dyDescent="0.25">
      <c r="A827" s="7">
        <v>2</v>
      </c>
      <c r="B827">
        <f>IF(ISBLANK(G827),"",VLOOKUP(H827,code!B:C,2,FALSE))</f>
        <v>9</v>
      </c>
      <c r="C827">
        <f t="shared" si="24"/>
        <v>1</v>
      </c>
      <c r="D827">
        <v>2022</v>
      </c>
      <c r="E827">
        <v>230782</v>
      </c>
      <c r="F827" t="s">
        <v>255</v>
      </c>
      <c r="G827" t="s">
        <v>285</v>
      </c>
      <c r="H827" t="s">
        <v>17</v>
      </c>
      <c r="I827">
        <v>76628</v>
      </c>
      <c r="J827">
        <f>I827/VLOOKUP($D827,CPI!$P$16:$R$22,3,FALSE)</f>
        <v>81426.471036255665</v>
      </c>
      <c r="K827">
        <f t="shared" si="25"/>
        <v>0</v>
      </c>
      <c r="L827" s="3" cm="1">
        <f t="array" ref="L827">IF($C827=0,INDEX('24&amp;25'!$L:$L,MATCH($D827&amp;$B827&amp;$E827,'24&amp;25'!$B:$B&amp;'24&amp;25'!$A:$A&amp;'24&amp;25'!$C:$C,0)),INDEX('24&amp;25'!$M:$M,MATCH($D827&amp;$B827&amp;$E827,'24&amp;25'!$B:$B&amp;'24&amp;25'!$A:$A&amp;'24&amp;25'!$C:$C,0)))</f>
        <v>0</v>
      </c>
      <c r="M827">
        <f>L827/VLOOKUP($D827,CPI!$P$16:$R$22,3,FALSE)</f>
        <v>0</v>
      </c>
    </row>
    <row r="828" spans="1:13" ht="16" thickBot="1" x14ac:dyDescent="0.25">
      <c r="A828" s="7">
        <v>2</v>
      </c>
      <c r="B828">
        <f>IF(ISBLANK(G828),"",VLOOKUP(H828,code!B:C,2,FALSE))</f>
        <v>17</v>
      </c>
      <c r="C828">
        <f t="shared" si="24"/>
        <v>1</v>
      </c>
      <c r="D828">
        <v>2022</v>
      </c>
      <c r="E828">
        <v>230782</v>
      </c>
      <c r="F828" t="s">
        <v>255</v>
      </c>
      <c r="G828" t="s">
        <v>285</v>
      </c>
      <c r="H828" t="s">
        <v>25</v>
      </c>
      <c r="I828">
        <v>69835</v>
      </c>
      <c r="J828">
        <f>I828/VLOOKUP($D828,CPI!$P$16:$R$22,3,FALSE)</f>
        <v>74208.091100079793</v>
      </c>
      <c r="K828">
        <f t="shared" si="25"/>
        <v>0</v>
      </c>
      <c r="L828" s="3" cm="1">
        <f t="array" ref="L828">IF($C828=0,INDEX('24&amp;25'!$L:$L,MATCH($D828&amp;$B828&amp;$E828,'24&amp;25'!$B:$B&amp;'24&amp;25'!$A:$A&amp;'24&amp;25'!$C:$C,0)),INDEX('24&amp;25'!$M:$M,MATCH($D828&amp;$B828&amp;$E828,'24&amp;25'!$B:$B&amp;'24&amp;25'!$A:$A&amp;'24&amp;25'!$C:$C,0)))</f>
        <v>6897</v>
      </c>
      <c r="M828">
        <f>L828/VLOOKUP($D828,CPI!$P$16:$R$22,3,FALSE)</f>
        <v>7328.8924510238467</v>
      </c>
    </row>
    <row r="829" spans="1:13" ht="16" thickBot="1" x14ac:dyDescent="0.25">
      <c r="A829" s="7">
        <v>2</v>
      </c>
      <c r="B829">
        <f>IF(ISBLANK(G829),"",VLOOKUP(H829,code!B:C,2,FALSE))</f>
        <v>18</v>
      </c>
      <c r="C829">
        <f t="shared" si="24"/>
        <v>1</v>
      </c>
      <c r="D829">
        <v>2022</v>
      </c>
      <c r="E829">
        <v>230782</v>
      </c>
      <c r="F829" t="s">
        <v>255</v>
      </c>
      <c r="G829" t="s">
        <v>285</v>
      </c>
      <c r="H829" t="s">
        <v>26</v>
      </c>
      <c r="I829">
        <v>60179</v>
      </c>
      <c r="J829">
        <f>I829/VLOOKUP($D829,CPI!$P$16:$R$22,3,FALSE)</f>
        <v>63947.429144579393</v>
      </c>
      <c r="K829">
        <f t="shared" si="25"/>
        <v>0</v>
      </c>
      <c r="L829" s="3" cm="1">
        <f t="array" ref="L829">IF($C829=0,INDEX('24&amp;25'!$L:$L,MATCH($D829&amp;$B829&amp;$E829,'24&amp;25'!$B:$B&amp;'24&amp;25'!$A:$A&amp;'24&amp;25'!$C:$C,0)),INDEX('24&amp;25'!$M:$M,MATCH($D829&amp;$B829&amp;$E829,'24&amp;25'!$B:$B&amp;'24&amp;25'!$A:$A&amp;'24&amp;25'!$C:$C,0)))</f>
        <v>4422</v>
      </c>
      <c r="M829">
        <f>L829/VLOOKUP($D829,CPI!$P$16:$R$22,3,FALSE)</f>
        <v>4698.9071217090695</v>
      </c>
    </row>
    <row r="830" spans="1:13" ht="16" thickBot="1" x14ac:dyDescent="0.25">
      <c r="A830" s="7">
        <v>2</v>
      </c>
      <c r="B830">
        <f>IF(ISBLANK(G830),"",VLOOKUP(H830,code!B:C,2,FALSE))</f>
        <v>20</v>
      </c>
      <c r="C830">
        <f t="shared" si="24"/>
        <v>1</v>
      </c>
      <c r="D830">
        <v>2022</v>
      </c>
      <c r="E830">
        <v>230782</v>
      </c>
      <c r="F830" t="s">
        <v>255</v>
      </c>
      <c r="G830" t="s">
        <v>285</v>
      </c>
      <c r="H830" t="s">
        <v>28</v>
      </c>
      <c r="I830">
        <v>2515</v>
      </c>
      <c r="J830">
        <f>I830/VLOOKUP($D830,CPI!$P$16:$R$22,3,FALSE)</f>
        <v>2672.4901427178447</v>
      </c>
      <c r="K830">
        <f t="shared" si="25"/>
        <v>0</v>
      </c>
      <c r="L830" s="3" cm="1">
        <f t="array" ref="L830">IF($C830=0,INDEX('24&amp;25'!$L:$L,MATCH($D830&amp;$B830&amp;$E830,'24&amp;25'!$B:$B&amp;'24&amp;25'!$A:$A&amp;'24&amp;25'!$C:$C,0)),INDEX('24&amp;25'!$M:$M,MATCH($D830&amp;$B830&amp;$E830,'24&amp;25'!$B:$B&amp;'24&amp;25'!$A:$A&amp;'24&amp;25'!$C:$C,0)))</f>
        <v>0</v>
      </c>
      <c r="M830">
        <f>L830/VLOOKUP($D830,CPI!$P$16:$R$22,3,FALSE)</f>
        <v>0</v>
      </c>
    </row>
    <row r="831" spans="1:13" ht="16" thickBot="1" x14ac:dyDescent="0.25">
      <c r="A831" s="7">
        <v>2</v>
      </c>
      <c r="B831">
        <f>IF(ISBLANK(G831),"",VLOOKUP(H831,code!B:C,2,FALSE))</f>
        <v>21</v>
      </c>
      <c r="C831">
        <f t="shared" si="24"/>
        <v>1</v>
      </c>
      <c r="D831">
        <v>2022</v>
      </c>
      <c r="E831">
        <v>230782</v>
      </c>
      <c r="F831" t="s">
        <v>255</v>
      </c>
      <c r="G831" t="s">
        <v>285</v>
      </c>
      <c r="H831" t="s">
        <v>30</v>
      </c>
      <c r="I831">
        <v>9680</v>
      </c>
      <c r="J831">
        <f>I831/VLOOKUP($D831,CPI!$P$16:$R$22,3,FALSE)</f>
        <v>10286.164843542241</v>
      </c>
      <c r="K831">
        <f t="shared" si="25"/>
        <v>0</v>
      </c>
      <c r="L831" s="3" cm="1">
        <f t="array" ref="L831">IF($C831=0,INDEX('24&amp;25'!$L:$L,MATCH($D831&amp;$B831&amp;$E831,'24&amp;25'!$B:$B&amp;'24&amp;25'!$A:$A&amp;'24&amp;25'!$C:$C,0)),INDEX('24&amp;25'!$M:$M,MATCH($D831&amp;$B831&amp;$E831,'24&amp;25'!$B:$B&amp;'24&amp;25'!$A:$A&amp;'24&amp;25'!$C:$C,0)))</f>
        <v>70</v>
      </c>
      <c r="M831">
        <f>L831/VLOOKUP($D831,CPI!$P$16:$R$22,3,FALSE)</f>
        <v>74.383423455367449</v>
      </c>
    </row>
    <row r="832" spans="1:13" ht="16" thickBot="1" x14ac:dyDescent="0.25">
      <c r="A832" s="7">
        <v>2</v>
      </c>
      <c r="B832">
        <f>IF(ISBLANK(G832),"",VLOOKUP(H832,code!B:C,2,FALSE))</f>
        <v>23</v>
      </c>
      <c r="C832">
        <f t="shared" si="24"/>
        <v>1</v>
      </c>
      <c r="D832">
        <v>2022</v>
      </c>
      <c r="E832">
        <v>230782</v>
      </c>
      <c r="F832" t="s">
        <v>255</v>
      </c>
      <c r="G832" t="s">
        <v>285</v>
      </c>
      <c r="H832" t="s">
        <v>33</v>
      </c>
      <c r="I832">
        <v>19934</v>
      </c>
      <c r="J832">
        <f>I832/VLOOKUP($D832,CPI!$P$16:$R$22,3,FALSE)</f>
        <v>21182.273759418495</v>
      </c>
      <c r="K832">
        <f t="shared" si="25"/>
        <v>0</v>
      </c>
      <c r="L832" s="3" cm="1">
        <f t="array" ref="L832">IF($C832=0,INDEX('24&amp;25'!$L:$L,MATCH($D832&amp;$B832&amp;$E832,'24&amp;25'!$B:$B&amp;'24&amp;25'!$A:$A&amp;'24&amp;25'!$C:$C,0)),INDEX('24&amp;25'!$M:$M,MATCH($D832&amp;$B832&amp;$E832,'24&amp;25'!$B:$B&amp;'24&amp;25'!$A:$A&amp;'24&amp;25'!$C:$C,0)))</f>
        <v>2394</v>
      </c>
      <c r="M832">
        <f>L832/VLOOKUP($D832,CPI!$P$16:$R$22,3,FALSE)</f>
        <v>2543.9130821735666</v>
      </c>
    </row>
    <row r="833" spans="1:13" ht="16" thickBot="1" x14ac:dyDescent="0.25">
      <c r="A833" s="7">
        <v>2</v>
      </c>
      <c r="B833">
        <f>IF(ISBLANK(G833),"",VLOOKUP(H833,code!B:C,2,FALSE))</f>
        <v>2</v>
      </c>
      <c r="C833">
        <f t="shared" si="24"/>
        <v>0</v>
      </c>
      <c r="D833">
        <v>2023</v>
      </c>
      <c r="E833">
        <v>230782</v>
      </c>
      <c r="F833" t="s">
        <v>255</v>
      </c>
      <c r="G833" t="s">
        <v>284</v>
      </c>
      <c r="H833" t="s">
        <v>10</v>
      </c>
      <c r="I833">
        <v>723827</v>
      </c>
      <c r="J833">
        <f>I833/VLOOKUP($D833,CPI!$P$16:$R$22,3,FALSE)</f>
        <v>723827</v>
      </c>
      <c r="K833">
        <f t="shared" si="25"/>
        <v>0</v>
      </c>
      <c r="L833" s="3" cm="1">
        <f t="array" ref="L833">IF($C833=0,INDEX('24&amp;25'!$L:$L,MATCH($D833&amp;$B833&amp;$E833,'24&amp;25'!$B:$B&amp;'24&amp;25'!$A:$A&amp;'24&amp;25'!$C:$C,0)),INDEX('24&amp;25'!$M:$M,MATCH($D833&amp;$B833&amp;$E833,'24&amp;25'!$B:$B&amp;'24&amp;25'!$A:$A&amp;'24&amp;25'!$C:$C,0)))</f>
        <v>52168</v>
      </c>
      <c r="M833">
        <f>L833/VLOOKUP($D833,CPI!$P$16:$R$22,3,FALSE)</f>
        <v>52168</v>
      </c>
    </row>
    <row r="834" spans="1:13" ht="16" thickBot="1" x14ac:dyDescent="0.25">
      <c r="A834" s="7">
        <v>2</v>
      </c>
      <c r="B834">
        <f>IF(ISBLANK(G834),"",VLOOKUP(H834,code!B:C,2,FALSE))</f>
        <v>8</v>
      </c>
      <c r="C834">
        <f t="shared" si="24"/>
        <v>0</v>
      </c>
      <c r="D834">
        <v>2023</v>
      </c>
      <c r="E834">
        <v>230782</v>
      </c>
      <c r="F834" t="s">
        <v>255</v>
      </c>
      <c r="G834" t="s">
        <v>284</v>
      </c>
      <c r="H834" t="s">
        <v>16</v>
      </c>
      <c r="I834">
        <v>943622</v>
      </c>
      <c r="J834">
        <f>I834/VLOOKUP($D834,CPI!$P$16:$R$22,3,FALSE)</f>
        <v>943622</v>
      </c>
      <c r="K834">
        <f t="shared" si="25"/>
        <v>0</v>
      </c>
      <c r="L834" s="3" cm="1">
        <f t="array" ref="L834">IF($C834=0,INDEX('24&amp;25'!$L:$L,MATCH($D834&amp;$B834&amp;$E834,'24&amp;25'!$B:$B&amp;'24&amp;25'!$A:$A&amp;'24&amp;25'!$C:$C,0)),INDEX('24&amp;25'!$M:$M,MATCH($D834&amp;$B834&amp;$E834,'24&amp;25'!$B:$B&amp;'24&amp;25'!$A:$A&amp;'24&amp;25'!$C:$C,0)))</f>
        <v>157947</v>
      </c>
      <c r="M834">
        <f>L834/VLOOKUP($D834,CPI!$P$16:$R$22,3,FALSE)</f>
        <v>157947</v>
      </c>
    </row>
    <row r="835" spans="1:13" ht="16" thickBot="1" x14ac:dyDescent="0.25">
      <c r="A835" s="7">
        <v>2</v>
      </c>
      <c r="B835">
        <f>IF(ISBLANK(G835),"",VLOOKUP(H835,code!B:C,2,FALSE))</f>
        <v>9</v>
      </c>
      <c r="C835">
        <f t="shared" ref="C835:C844" si="26">IF(ISBLANK(G835),"",IF(MID(G835,1,1)="M",0,1))</f>
        <v>0</v>
      </c>
      <c r="D835">
        <v>2023</v>
      </c>
      <c r="E835">
        <v>230782</v>
      </c>
      <c r="F835" t="s">
        <v>255</v>
      </c>
      <c r="G835" t="s">
        <v>284</v>
      </c>
      <c r="H835" t="s">
        <v>17</v>
      </c>
      <c r="I835">
        <v>75770</v>
      </c>
      <c r="J835">
        <f>I835/VLOOKUP($D835,CPI!$P$16:$R$22,3,FALSE)</f>
        <v>75770</v>
      </c>
      <c r="K835">
        <f t="shared" ref="K835:K844" si="27">IF(ISBLANK(G835),"",IF(D835=2021,1,0))</f>
        <v>0</v>
      </c>
      <c r="L835" s="3" cm="1">
        <f t="array" ref="L835">IF($C835=0,INDEX('24&amp;25'!$L:$L,MATCH($D835&amp;$B835&amp;$E835,'24&amp;25'!$B:$B&amp;'24&amp;25'!$A:$A&amp;'24&amp;25'!$C:$C,0)),INDEX('24&amp;25'!$M:$M,MATCH($D835&amp;$B835&amp;$E835,'24&amp;25'!$B:$B&amp;'24&amp;25'!$A:$A&amp;'24&amp;25'!$C:$C,0)))</f>
        <v>0</v>
      </c>
      <c r="M835">
        <f>L835/VLOOKUP($D835,CPI!$P$16:$R$22,3,FALSE)</f>
        <v>0</v>
      </c>
    </row>
    <row r="836" spans="1:13" ht="16" thickBot="1" x14ac:dyDescent="0.25">
      <c r="A836" s="7">
        <v>2</v>
      </c>
      <c r="B836">
        <f>IF(ISBLANK(G836),"",VLOOKUP(H836,code!B:C,2,FALSE))</f>
        <v>20</v>
      </c>
      <c r="C836">
        <f t="shared" si="26"/>
        <v>0</v>
      </c>
      <c r="D836">
        <v>2023</v>
      </c>
      <c r="E836">
        <v>230782</v>
      </c>
      <c r="F836" t="s">
        <v>255</v>
      </c>
      <c r="G836" t="s">
        <v>284</v>
      </c>
      <c r="H836" t="s">
        <v>28</v>
      </c>
      <c r="I836">
        <v>6143</v>
      </c>
      <c r="J836">
        <f>I836/VLOOKUP($D836,CPI!$P$16:$R$22,3,FALSE)</f>
        <v>6143</v>
      </c>
      <c r="K836">
        <f t="shared" si="27"/>
        <v>0</v>
      </c>
      <c r="L836" s="3" cm="1">
        <f t="array" ref="L836">IF($C836=0,INDEX('24&amp;25'!$L:$L,MATCH($D836&amp;$B836&amp;$E836,'24&amp;25'!$B:$B&amp;'24&amp;25'!$A:$A&amp;'24&amp;25'!$C:$C,0)),INDEX('24&amp;25'!$M:$M,MATCH($D836&amp;$B836&amp;$E836,'24&amp;25'!$B:$B&amp;'24&amp;25'!$A:$A&amp;'24&amp;25'!$C:$C,0)))</f>
        <v>0</v>
      </c>
      <c r="M836">
        <f>L836/VLOOKUP($D836,CPI!$P$16:$R$22,3,FALSE)</f>
        <v>0</v>
      </c>
    </row>
    <row r="837" spans="1:13" ht="16" thickBot="1" x14ac:dyDescent="0.25">
      <c r="A837" s="7">
        <v>2</v>
      </c>
      <c r="B837">
        <f>IF(ISBLANK(G837),"",VLOOKUP(H837,code!B:C,2,FALSE))</f>
        <v>21</v>
      </c>
      <c r="C837">
        <f t="shared" si="26"/>
        <v>0</v>
      </c>
      <c r="D837">
        <v>2023</v>
      </c>
      <c r="E837">
        <v>230782</v>
      </c>
      <c r="F837" t="s">
        <v>255</v>
      </c>
      <c r="G837" t="s">
        <v>284</v>
      </c>
      <c r="H837" t="s">
        <v>31</v>
      </c>
      <c r="I837">
        <v>53405</v>
      </c>
      <c r="J837">
        <f>I837/VLOOKUP($D837,CPI!$P$16:$R$22,3,FALSE)</f>
        <v>53405</v>
      </c>
      <c r="K837">
        <f t="shared" si="27"/>
        <v>0</v>
      </c>
      <c r="L837" s="3" cm="1">
        <f t="array" ref="L837">IF($C837=0,INDEX('24&amp;25'!$L:$L,MATCH($D837&amp;$B837&amp;$E837,'24&amp;25'!$B:$B&amp;'24&amp;25'!$A:$A&amp;'24&amp;25'!$C:$C,0)),INDEX('24&amp;25'!$M:$M,MATCH($D837&amp;$B837&amp;$E837,'24&amp;25'!$B:$B&amp;'24&amp;25'!$A:$A&amp;'24&amp;25'!$C:$C,0)))</f>
        <v>0</v>
      </c>
      <c r="M837">
        <f>L837/VLOOKUP($D837,CPI!$P$16:$R$22,3,FALSE)</f>
        <v>0</v>
      </c>
    </row>
    <row r="838" spans="1:13" ht="16" thickBot="1" x14ac:dyDescent="0.25">
      <c r="A838" s="7">
        <v>2</v>
      </c>
      <c r="B838">
        <f>IF(ISBLANK(G838),"",VLOOKUP(H838,code!B:C,2,FALSE))</f>
        <v>2</v>
      </c>
      <c r="C838">
        <f t="shared" si="26"/>
        <v>1</v>
      </c>
      <c r="D838">
        <v>2023</v>
      </c>
      <c r="E838">
        <v>230782</v>
      </c>
      <c r="F838" t="s">
        <v>255</v>
      </c>
      <c r="G838" t="s">
        <v>285</v>
      </c>
      <c r="H838" t="s">
        <v>10</v>
      </c>
      <c r="I838">
        <v>67970</v>
      </c>
      <c r="J838">
        <f>I838/VLOOKUP($D838,CPI!$P$16:$R$22,3,FALSE)</f>
        <v>67970</v>
      </c>
      <c r="K838">
        <f t="shared" si="27"/>
        <v>0</v>
      </c>
      <c r="L838" s="3" cm="1">
        <f t="array" ref="L838">IF($C838=0,INDEX('24&amp;25'!$L:$L,MATCH($D838&amp;$B838&amp;$E838,'24&amp;25'!$B:$B&amp;'24&amp;25'!$A:$A&amp;'24&amp;25'!$C:$C,0)),INDEX('24&amp;25'!$M:$M,MATCH($D838&amp;$B838&amp;$E838,'24&amp;25'!$B:$B&amp;'24&amp;25'!$A:$A&amp;'24&amp;25'!$C:$C,0)))</f>
        <v>37474</v>
      </c>
      <c r="M838">
        <f>L838/VLOOKUP($D838,CPI!$P$16:$R$22,3,FALSE)</f>
        <v>37474</v>
      </c>
    </row>
    <row r="839" spans="1:13" ht="16" thickBot="1" x14ac:dyDescent="0.25">
      <c r="A839" s="7">
        <v>2</v>
      </c>
      <c r="B839">
        <f>IF(ISBLANK(G839),"",VLOOKUP(H839,code!B:C,2,FALSE))</f>
        <v>9</v>
      </c>
      <c r="C839">
        <f t="shared" si="26"/>
        <v>1</v>
      </c>
      <c r="D839">
        <v>2023</v>
      </c>
      <c r="E839">
        <v>230782</v>
      </c>
      <c r="F839" t="s">
        <v>255</v>
      </c>
      <c r="G839" t="s">
        <v>285</v>
      </c>
      <c r="H839" t="s">
        <v>17</v>
      </c>
      <c r="I839">
        <v>67459</v>
      </c>
      <c r="J839">
        <f>I839/VLOOKUP($D839,CPI!$P$16:$R$22,3,FALSE)</f>
        <v>67459</v>
      </c>
      <c r="K839">
        <f t="shared" si="27"/>
        <v>0</v>
      </c>
      <c r="L839" s="3" cm="1">
        <f t="array" ref="L839">IF($C839=0,INDEX('24&amp;25'!$L:$L,MATCH($D839&amp;$B839&amp;$E839,'24&amp;25'!$B:$B&amp;'24&amp;25'!$A:$A&amp;'24&amp;25'!$C:$C,0)),INDEX('24&amp;25'!$M:$M,MATCH($D839&amp;$B839&amp;$E839,'24&amp;25'!$B:$B&amp;'24&amp;25'!$A:$A&amp;'24&amp;25'!$C:$C,0)))</f>
        <v>0</v>
      </c>
      <c r="M839">
        <f>L839/VLOOKUP($D839,CPI!$P$16:$R$22,3,FALSE)</f>
        <v>0</v>
      </c>
    </row>
    <row r="840" spans="1:13" ht="16" thickBot="1" x14ac:dyDescent="0.25">
      <c r="A840" s="7">
        <v>2</v>
      </c>
      <c r="B840">
        <f>IF(ISBLANK(G840),"",VLOOKUP(H840,code!B:C,2,FALSE))</f>
        <v>17</v>
      </c>
      <c r="C840">
        <f t="shared" si="26"/>
        <v>1</v>
      </c>
      <c r="D840">
        <v>2023</v>
      </c>
      <c r="E840">
        <v>230782</v>
      </c>
      <c r="F840" t="s">
        <v>255</v>
      </c>
      <c r="G840" t="s">
        <v>285</v>
      </c>
      <c r="H840" t="s">
        <v>25</v>
      </c>
      <c r="I840">
        <v>75468</v>
      </c>
      <c r="J840">
        <f>I840/VLOOKUP($D840,CPI!$P$16:$R$22,3,FALSE)</f>
        <v>75468</v>
      </c>
      <c r="K840">
        <f t="shared" si="27"/>
        <v>0</v>
      </c>
      <c r="L840" s="3" cm="1">
        <f t="array" ref="L840">IF($C840=0,INDEX('24&amp;25'!$L:$L,MATCH($D840&amp;$B840&amp;$E840,'24&amp;25'!$B:$B&amp;'24&amp;25'!$A:$A&amp;'24&amp;25'!$C:$C,0)),INDEX('24&amp;25'!$M:$M,MATCH($D840&amp;$B840&amp;$E840,'24&amp;25'!$B:$B&amp;'24&amp;25'!$A:$A&amp;'24&amp;25'!$C:$C,0)))</f>
        <v>1014</v>
      </c>
      <c r="M840">
        <f>L840/VLOOKUP($D840,CPI!$P$16:$R$22,3,FALSE)</f>
        <v>1014</v>
      </c>
    </row>
    <row r="841" spans="1:13" ht="16" thickBot="1" x14ac:dyDescent="0.25">
      <c r="A841" s="7">
        <v>2</v>
      </c>
      <c r="B841">
        <f>IF(ISBLANK(G841),"",VLOOKUP(H841,code!B:C,2,FALSE))</f>
        <v>18</v>
      </c>
      <c r="C841">
        <f t="shared" si="26"/>
        <v>1</v>
      </c>
      <c r="D841">
        <v>2023</v>
      </c>
      <c r="E841">
        <v>230782</v>
      </c>
      <c r="F841" t="s">
        <v>255</v>
      </c>
      <c r="G841" t="s">
        <v>285</v>
      </c>
      <c r="H841" t="s">
        <v>26</v>
      </c>
      <c r="I841">
        <v>85276</v>
      </c>
      <c r="J841">
        <f>I841/VLOOKUP($D841,CPI!$P$16:$R$22,3,FALSE)</f>
        <v>85276</v>
      </c>
      <c r="K841">
        <f t="shared" si="27"/>
        <v>0</v>
      </c>
      <c r="L841" s="3" cm="1">
        <f t="array" ref="L841">IF($C841=0,INDEX('24&amp;25'!$L:$L,MATCH($D841&amp;$B841&amp;$E841,'24&amp;25'!$B:$B&amp;'24&amp;25'!$A:$A&amp;'24&amp;25'!$C:$C,0)),INDEX('24&amp;25'!$M:$M,MATCH($D841&amp;$B841&amp;$E841,'24&amp;25'!$B:$B&amp;'24&amp;25'!$A:$A&amp;'24&amp;25'!$C:$C,0)))</f>
        <v>833</v>
      </c>
      <c r="M841">
        <f>L841/VLOOKUP($D841,CPI!$P$16:$R$22,3,FALSE)</f>
        <v>833</v>
      </c>
    </row>
    <row r="842" spans="1:13" ht="16" thickBot="1" x14ac:dyDescent="0.25">
      <c r="A842" s="7">
        <v>2</v>
      </c>
      <c r="B842">
        <f>IF(ISBLANK(G842),"",VLOOKUP(H842,code!B:C,2,FALSE))</f>
        <v>20</v>
      </c>
      <c r="C842">
        <f t="shared" si="26"/>
        <v>1</v>
      </c>
      <c r="D842">
        <v>2023</v>
      </c>
      <c r="E842">
        <v>230782</v>
      </c>
      <c r="F842" t="s">
        <v>255</v>
      </c>
      <c r="G842" t="s">
        <v>285</v>
      </c>
      <c r="H842" t="s">
        <v>28</v>
      </c>
      <c r="I842">
        <v>33942</v>
      </c>
      <c r="J842">
        <f>I842/VLOOKUP($D842,CPI!$P$16:$R$22,3,FALSE)</f>
        <v>33942</v>
      </c>
      <c r="K842">
        <f t="shared" si="27"/>
        <v>0</v>
      </c>
      <c r="L842" s="3" cm="1">
        <f t="array" ref="L842">IF($C842=0,INDEX('24&amp;25'!$L:$L,MATCH($D842&amp;$B842&amp;$E842,'24&amp;25'!$B:$B&amp;'24&amp;25'!$A:$A&amp;'24&amp;25'!$C:$C,0)),INDEX('24&amp;25'!$M:$M,MATCH($D842&amp;$B842&amp;$E842,'24&amp;25'!$B:$B&amp;'24&amp;25'!$A:$A&amp;'24&amp;25'!$C:$C,0)))</f>
        <v>0</v>
      </c>
      <c r="M842">
        <f>L842/VLOOKUP($D842,CPI!$P$16:$R$22,3,FALSE)</f>
        <v>0</v>
      </c>
    </row>
    <row r="843" spans="1:13" ht="16" thickBot="1" x14ac:dyDescent="0.25">
      <c r="A843" s="7">
        <v>2</v>
      </c>
      <c r="B843">
        <f>IF(ISBLANK(G843),"",VLOOKUP(H843,code!B:C,2,FALSE))</f>
        <v>21</v>
      </c>
      <c r="C843">
        <f t="shared" si="26"/>
        <v>1</v>
      </c>
      <c r="D843">
        <v>2023</v>
      </c>
      <c r="E843">
        <v>230782</v>
      </c>
      <c r="F843" t="s">
        <v>255</v>
      </c>
      <c r="G843" t="s">
        <v>285</v>
      </c>
      <c r="H843" t="s">
        <v>31</v>
      </c>
      <c r="I843">
        <v>161</v>
      </c>
      <c r="J843">
        <f>I843/VLOOKUP($D843,CPI!$P$16:$R$22,3,FALSE)</f>
        <v>161</v>
      </c>
      <c r="K843">
        <f t="shared" si="27"/>
        <v>0</v>
      </c>
      <c r="L843" s="3" cm="1">
        <f t="array" ref="L843">IF($C843=0,INDEX('24&amp;25'!$L:$L,MATCH($D843&amp;$B843&amp;$E843,'24&amp;25'!$B:$B&amp;'24&amp;25'!$A:$A&amp;'24&amp;25'!$C:$C,0)),INDEX('24&amp;25'!$M:$M,MATCH($D843&amp;$B843&amp;$E843,'24&amp;25'!$B:$B&amp;'24&amp;25'!$A:$A&amp;'24&amp;25'!$C:$C,0)))</f>
        <v>0</v>
      </c>
      <c r="M843">
        <f>L843/VLOOKUP($D843,CPI!$P$16:$R$22,3,FALSE)</f>
        <v>0</v>
      </c>
    </row>
    <row r="844" spans="1:13" ht="16" thickBot="1" x14ac:dyDescent="0.25">
      <c r="A844" s="7">
        <v>2</v>
      </c>
      <c r="B844">
        <f>IF(ISBLANK(G844),"",VLOOKUP(H844,code!B:C,2,FALSE))</f>
        <v>23</v>
      </c>
      <c r="C844">
        <f t="shared" si="26"/>
        <v>1</v>
      </c>
      <c r="D844">
        <v>2023</v>
      </c>
      <c r="E844">
        <v>230782</v>
      </c>
      <c r="F844" t="s">
        <v>255</v>
      </c>
      <c r="G844" t="s">
        <v>285</v>
      </c>
      <c r="H844" t="s">
        <v>33</v>
      </c>
      <c r="I844">
        <v>26413</v>
      </c>
      <c r="J844">
        <f>I844/VLOOKUP($D844,CPI!$P$16:$R$22,3,FALSE)</f>
        <v>26413</v>
      </c>
      <c r="K844">
        <f t="shared" si="27"/>
        <v>0</v>
      </c>
      <c r="L844" s="3" cm="1">
        <f t="array" ref="L844">IF($C844=0,INDEX('24&amp;25'!$L:$L,MATCH($D844&amp;$B844&amp;$E844,'24&amp;25'!$B:$B&amp;'24&amp;25'!$A:$A&amp;'24&amp;25'!$C:$C,0)),INDEX('24&amp;25'!$M:$M,MATCH($D844&amp;$B844&amp;$E844,'24&amp;25'!$B:$B&amp;'24&amp;25'!$A:$A&amp;'24&amp;25'!$C:$C,0)))</f>
        <v>14462</v>
      </c>
      <c r="M844">
        <f>L844/VLOOKUP($D844,CPI!$P$16:$R$22,3,FALSE)</f>
        <v>14462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985B-D9A1-4BF8-871B-84B82489262F}">
  <dimension ref="A1:M598"/>
  <sheetViews>
    <sheetView tabSelected="1" topLeftCell="A574" workbookViewId="0">
      <selection activeCell="N596" sqref="N596"/>
    </sheetView>
  </sheetViews>
  <sheetFormatPr baseColWidth="10" defaultColWidth="8.83203125" defaultRowHeight="15" x14ac:dyDescent="0.2"/>
  <cols>
    <col min="5" max="5" width="23.6640625" customWidth="1"/>
    <col min="6" max="7" width="14.5" bestFit="1" customWidth="1"/>
    <col min="8" max="9" width="14.6640625" bestFit="1" customWidth="1"/>
    <col min="10" max="11" width="16.6640625" bestFit="1" customWidth="1"/>
    <col min="12" max="12" width="13.5" bestFit="1" customWidth="1"/>
    <col min="13" max="13" width="13.6640625" bestFit="1" customWidth="1"/>
  </cols>
  <sheetData>
    <row r="1" spans="1:13" x14ac:dyDescent="0.2">
      <c r="A1" s="5" t="s">
        <v>8</v>
      </c>
      <c r="B1" s="13" t="s">
        <v>0</v>
      </c>
      <c r="C1" s="13" t="s">
        <v>7</v>
      </c>
      <c r="D1" s="13" t="s">
        <v>1</v>
      </c>
      <c r="E1" s="14" t="s">
        <v>3</v>
      </c>
      <c r="F1" s="14" t="s">
        <v>275</v>
      </c>
      <c r="G1" s="14" t="s">
        <v>276</v>
      </c>
      <c r="H1" s="14" t="s">
        <v>277</v>
      </c>
      <c r="I1" s="14" t="s">
        <v>278</v>
      </c>
      <c r="J1" s="14" t="s">
        <v>279</v>
      </c>
      <c r="K1" s="14" t="s">
        <v>280</v>
      </c>
      <c r="L1" s="6" t="s">
        <v>281</v>
      </c>
      <c r="M1" s="6" t="s">
        <v>282</v>
      </c>
    </row>
    <row r="2" spans="1:13" x14ac:dyDescent="0.2">
      <c r="A2">
        <f>IF(ISBLANK(E2),"",VLOOKUP(E2,code!B:C,2,FALSE))</f>
        <v>2</v>
      </c>
      <c r="B2" s="13">
        <v>2017</v>
      </c>
      <c r="C2">
        <v>104179</v>
      </c>
      <c r="D2" t="s">
        <v>54</v>
      </c>
      <c r="E2" s="14" t="s">
        <v>10</v>
      </c>
      <c r="F2" s="14">
        <v>373154</v>
      </c>
      <c r="G2" s="14"/>
      <c r="H2" s="14">
        <v>193255</v>
      </c>
      <c r="I2" s="14"/>
      <c r="J2" s="14"/>
      <c r="K2" s="14"/>
      <c r="L2" s="18">
        <f>SUM(F2:G2)</f>
        <v>373154</v>
      </c>
      <c r="M2">
        <f>SUM(H2:I2)</f>
        <v>193255</v>
      </c>
    </row>
    <row r="3" spans="1:13" ht="17" thickBot="1" x14ac:dyDescent="0.25">
      <c r="A3">
        <f>IF(ISBLANK(E3),"",VLOOKUP(E3,code!B:C,2,FALSE))</f>
        <v>3</v>
      </c>
      <c r="B3">
        <v>2017</v>
      </c>
      <c r="C3">
        <v>104179</v>
      </c>
      <c r="D3" t="s">
        <v>54</v>
      </c>
      <c r="E3" t="s">
        <v>11</v>
      </c>
      <c r="F3" s="15"/>
      <c r="G3" s="16"/>
      <c r="H3" s="17"/>
      <c r="I3" s="17"/>
      <c r="J3" s="17"/>
      <c r="K3" s="17"/>
      <c r="L3" s="18">
        <f>SUM(F3:G3)</f>
        <v>0</v>
      </c>
      <c r="M3">
        <f>SUM(H3:I3)</f>
        <v>0</v>
      </c>
    </row>
    <row r="4" spans="1:13" ht="17" thickBot="1" x14ac:dyDescent="0.25">
      <c r="A4">
        <v>8</v>
      </c>
      <c r="B4">
        <v>2017</v>
      </c>
      <c r="C4">
        <v>104179</v>
      </c>
      <c r="D4" t="s">
        <v>54</v>
      </c>
      <c r="E4" t="s">
        <v>321</v>
      </c>
      <c r="F4" s="19">
        <v>1309151</v>
      </c>
      <c r="G4" s="19"/>
      <c r="H4" s="19"/>
      <c r="I4" s="17"/>
      <c r="J4" s="17"/>
      <c r="K4" s="17"/>
      <c r="L4" s="18">
        <f t="shared" ref="L4:L35" si="0">SUM(F4:G4)</f>
        <v>1309151</v>
      </c>
      <c r="M4">
        <f t="shared" ref="M4:M35" si="1">SUM(H4:I4)</f>
        <v>0</v>
      </c>
    </row>
    <row r="5" spans="1:13" ht="17" thickBot="1" x14ac:dyDescent="0.25">
      <c r="A5">
        <f>IF(ISBLANK(E5),"",VLOOKUP(E5,code!B:C,2,FALSE))</f>
        <v>9</v>
      </c>
      <c r="B5">
        <v>2017</v>
      </c>
      <c r="C5">
        <v>104179</v>
      </c>
      <c r="D5" t="s">
        <v>54</v>
      </c>
      <c r="E5" t="s">
        <v>17</v>
      </c>
      <c r="F5" s="17"/>
      <c r="G5" s="17"/>
      <c r="H5" s="17"/>
      <c r="I5" s="17"/>
      <c r="J5" s="17"/>
      <c r="K5" s="17"/>
      <c r="L5" s="18">
        <f t="shared" si="0"/>
        <v>0</v>
      </c>
      <c r="M5">
        <f t="shared" si="1"/>
        <v>0</v>
      </c>
    </row>
    <row r="6" spans="1:13" ht="17" thickBot="1" x14ac:dyDescent="0.25">
      <c r="A6">
        <f>IF(ISBLANK(E6),"",VLOOKUP(E6,code!B:C,2,FALSE))</f>
        <v>10</v>
      </c>
      <c r="B6">
        <v>2017</v>
      </c>
      <c r="C6">
        <v>104179</v>
      </c>
      <c r="D6" t="s">
        <v>54</v>
      </c>
      <c r="E6" t="s">
        <v>18</v>
      </c>
      <c r="F6" s="17"/>
      <c r="G6" s="17"/>
      <c r="H6" s="17"/>
      <c r="I6" s="17"/>
      <c r="J6" s="17"/>
      <c r="K6" s="17"/>
      <c r="L6" s="18">
        <f t="shared" si="0"/>
        <v>0</v>
      </c>
      <c r="M6">
        <f t="shared" si="1"/>
        <v>0</v>
      </c>
    </row>
    <row r="7" spans="1:13" ht="17" thickBot="1" x14ac:dyDescent="0.25">
      <c r="A7">
        <f>IF(ISBLANK(E7),"",VLOOKUP(E7,code!B:C,2,FALSE))</f>
        <v>17</v>
      </c>
      <c r="B7">
        <v>2017</v>
      </c>
      <c r="C7">
        <v>104179</v>
      </c>
      <c r="D7" t="s">
        <v>54</v>
      </c>
      <c r="E7" t="s">
        <v>25</v>
      </c>
      <c r="F7" s="17"/>
      <c r="G7" s="17"/>
      <c r="H7" s="17"/>
      <c r="I7" s="17"/>
      <c r="J7" s="17"/>
      <c r="K7" s="17"/>
      <c r="L7" s="18">
        <f t="shared" si="0"/>
        <v>0</v>
      </c>
      <c r="M7">
        <f t="shared" si="1"/>
        <v>0</v>
      </c>
    </row>
    <row r="8" spans="1:13" ht="17" thickBot="1" x14ac:dyDescent="0.25">
      <c r="A8">
        <f>IF(ISBLANK(E8),"",VLOOKUP(E8,code!B:C,2,FALSE))</f>
        <v>18</v>
      </c>
      <c r="B8">
        <v>2017</v>
      </c>
      <c r="C8">
        <v>104179</v>
      </c>
      <c r="D8" t="s">
        <v>54</v>
      </c>
      <c r="E8" t="s">
        <v>26</v>
      </c>
      <c r="F8" s="17"/>
      <c r="G8" s="17"/>
      <c r="H8" s="17">
        <v>7422</v>
      </c>
      <c r="I8" s="17"/>
      <c r="J8" s="17"/>
      <c r="K8" s="17"/>
      <c r="L8" s="18">
        <f t="shared" si="0"/>
        <v>0</v>
      </c>
      <c r="M8">
        <f t="shared" si="1"/>
        <v>7422</v>
      </c>
    </row>
    <row r="9" spans="1:13" ht="17" thickBot="1" x14ac:dyDescent="0.25">
      <c r="A9">
        <f>IF(ISBLANK(E9),"",VLOOKUP(E9,code!B:C,2,FALSE))</f>
        <v>19</v>
      </c>
      <c r="B9">
        <v>2017</v>
      </c>
      <c r="C9">
        <v>104179</v>
      </c>
      <c r="D9" t="s">
        <v>54</v>
      </c>
      <c r="E9" t="s">
        <v>27</v>
      </c>
      <c r="F9" s="17">
        <v>45379</v>
      </c>
      <c r="G9" s="17"/>
      <c r="H9" s="17">
        <v>45379</v>
      </c>
      <c r="I9" s="17"/>
      <c r="J9" s="17"/>
      <c r="K9" s="17"/>
      <c r="L9" s="18">
        <f t="shared" si="0"/>
        <v>45379</v>
      </c>
      <c r="M9">
        <f t="shared" si="1"/>
        <v>45379</v>
      </c>
    </row>
    <row r="10" spans="1:13" ht="17" thickBot="1" x14ac:dyDescent="0.25">
      <c r="A10">
        <f>IF(ISBLANK(E10),"",VLOOKUP(E10,code!B:C,2,FALSE))</f>
        <v>20</v>
      </c>
      <c r="B10">
        <v>2017</v>
      </c>
      <c r="C10">
        <v>104179</v>
      </c>
      <c r="D10" t="s">
        <v>54</v>
      </c>
      <c r="E10" t="s">
        <v>28</v>
      </c>
      <c r="F10" s="17"/>
      <c r="G10" s="17"/>
      <c r="H10" s="17"/>
      <c r="I10" s="17"/>
      <c r="J10" s="17"/>
      <c r="K10" s="17"/>
      <c r="L10" s="18">
        <f t="shared" si="0"/>
        <v>0</v>
      </c>
      <c r="M10">
        <f t="shared" si="1"/>
        <v>0</v>
      </c>
    </row>
    <row r="11" spans="1:13" ht="17" thickBot="1" x14ac:dyDescent="0.25">
      <c r="A11">
        <f>IF(ISBLANK(E11),"",VLOOKUP(E11,code!B:C,2,FALSE))</f>
        <v>21</v>
      </c>
      <c r="B11">
        <v>2017</v>
      </c>
      <c r="C11">
        <v>104179</v>
      </c>
      <c r="D11" t="s">
        <v>54</v>
      </c>
      <c r="E11" t="s">
        <v>30</v>
      </c>
      <c r="F11" s="15">
        <v>41582</v>
      </c>
      <c r="G11" s="15"/>
      <c r="H11" s="15">
        <v>40125</v>
      </c>
      <c r="I11" s="17"/>
      <c r="J11" s="17"/>
      <c r="K11" s="17"/>
      <c r="L11" s="18">
        <f t="shared" si="0"/>
        <v>41582</v>
      </c>
      <c r="M11">
        <f t="shared" si="1"/>
        <v>40125</v>
      </c>
    </row>
    <row r="12" spans="1:13" ht="17" thickBot="1" x14ac:dyDescent="0.25">
      <c r="A12">
        <f>IF(ISBLANK(E12),"",VLOOKUP(E12,code!B:C,2,FALSE))</f>
        <v>23</v>
      </c>
      <c r="B12">
        <v>2017</v>
      </c>
      <c r="C12">
        <v>104179</v>
      </c>
      <c r="D12" t="s">
        <v>54</v>
      </c>
      <c r="E12" t="s">
        <v>33</v>
      </c>
      <c r="F12" s="17"/>
      <c r="G12" s="17"/>
      <c r="H12" s="20">
        <v>64377</v>
      </c>
      <c r="I12" s="17"/>
      <c r="J12" s="17"/>
      <c r="K12" s="17"/>
      <c r="L12" s="18">
        <f t="shared" si="0"/>
        <v>0</v>
      </c>
      <c r="M12">
        <f t="shared" si="1"/>
        <v>64377</v>
      </c>
    </row>
    <row r="13" spans="1:13" ht="16" x14ac:dyDescent="0.2">
      <c r="A13">
        <f>IF(ISBLANK(E13),"",VLOOKUP(E13,code!B:C,2,FALSE))</f>
        <v>1</v>
      </c>
      <c r="B13">
        <v>2018</v>
      </c>
      <c r="C13">
        <v>104179</v>
      </c>
      <c r="D13" t="s">
        <v>54</v>
      </c>
      <c r="E13" t="s">
        <v>9</v>
      </c>
      <c r="F13" s="19">
        <v>51785</v>
      </c>
      <c r="G13" s="19"/>
      <c r="H13" s="19"/>
      <c r="I13" s="19"/>
      <c r="J13" s="18"/>
      <c r="L13" s="18">
        <f t="shared" si="0"/>
        <v>51785</v>
      </c>
      <c r="M13">
        <f t="shared" si="1"/>
        <v>0</v>
      </c>
    </row>
    <row r="14" spans="1:13" x14ac:dyDescent="0.2">
      <c r="A14">
        <f>IF(ISBLANK(E14),"",VLOOKUP(E14,code!B:C,2,FALSE))</f>
        <v>2</v>
      </c>
      <c r="B14">
        <v>2018</v>
      </c>
      <c r="C14">
        <v>104179</v>
      </c>
      <c r="D14" t="s">
        <v>54</v>
      </c>
      <c r="E14" t="s">
        <v>10</v>
      </c>
      <c r="F14" s="18">
        <v>417443</v>
      </c>
      <c r="H14" s="18">
        <v>191198</v>
      </c>
      <c r="J14" s="18"/>
      <c r="L14" s="18">
        <f t="shared" si="0"/>
        <v>417443</v>
      </c>
      <c r="M14">
        <f t="shared" si="1"/>
        <v>191198</v>
      </c>
    </row>
    <row r="15" spans="1:13" x14ac:dyDescent="0.2">
      <c r="A15">
        <f>IF(ISBLANK(E15),"",VLOOKUP(E15,code!B:C,2,FALSE))</f>
        <v>8</v>
      </c>
      <c r="B15">
        <v>2018</v>
      </c>
      <c r="C15">
        <v>104179</v>
      </c>
      <c r="D15" t="s">
        <v>54</v>
      </c>
      <c r="E15" t="s">
        <v>16</v>
      </c>
      <c r="F15" s="18">
        <v>1123651</v>
      </c>
      <c r="J15" s="18"/>
      <c r="L15" s="18">
        <f t="shared" si="0"/>
        <v>1123651</v>
      </c>
      <c r="M15">
        <f t="shared" si="1"/>
        <v>0</v>
      </c>
    </row>
    <row r="16" spans="1:13" x14ac:dyDescent="0.2">
      <c r="A16">
        <f>IF(ISBLANK(E16),"",VLOOKUP(E16,code!B:C,2,FALSE))</f>
        <v>21</v>
      </c>
      <c r="B16">
        <v>2018</v>
      </c>
      <c r="C16">
        <v>104179</v>
      </c>
      <c r="D16" t="s">
        <v>54</v>
      </c>
      <c r="E16" t="s">
        <v>30</v>
      </c>
      <c r="F16" s="18">
        <v>42786</v>
      </c>
      <c r="H16" s="18">
        <v>42786</v>
      </c>
      <c r="J16" s="18"/>
      <c r="L16" s="18">
        <f t="shared" si="0"/>
        <v>42786</v>
      </c>
      <c r="M16">
        <f t="shared" si="1"/>
        <v>42786</v>
      </c>
    </row>
    <row r="17" spans="1:13" x14ac:dyDescent="0.2">
      <c r="A17">
        <f>IF(ISBLANK(E17),"",VLOOKUP(E17,code!B:C,2,FALSE))</f>
        <v>3</v>
      </c>
      <c r="B17">
        <v>2018</v>
      </c>
      <c r="C17">
        <v>104179</v>
      </c>
      <c r="D17" t="s">
        <v>54</v>
      </c>
      <c r="E17" t="s">
        <v>11</v>
      </c>
      <c r="L17" s="18">
        <f t="shared" si="0"/>
        <v>0</v>
      </c>
      <c r="M17">
        <f t="shared" si="1"/>
        <v>0</v>
      </c>
    </row>
    <row r="18" spans="1:13" x14ac:dyDescent="0.2">
      <c r="A18">
        <f>IF(ISBLANK(E18),"",VLOOKUP(E18,code!B:C,2,FALSE))</f>
        <v>9</v>
      </c>
      <c r="B18">
        <v>2018</v>
      </c>
      <c r="C18">
        <v>104179</v>
      </c>
      <c r="D18" t="s">
        <v>54</v>
      </c>
      <c r="E18" t="s">
        <v>17</v>
      </c>
      <c r="L18" s="18">
        <f t="shared" si="0"/>
        <v>0</v>
      </c>
      <c r="M18">
        <f t="shared" si="1"/>
        <v>0</v>
      </c>
    </row>
    <row r="19" spans="1:13" x14ac:dyDescent="0.2">
      <c r="A19">
        <f>IF(ISBLANK(E19),"",VLOOKUP(E19,code!B:C,2,FALSE))</f>
        <v>10</v>
      </c>
      <c r="B19">
        <v>2018</v>
      </c>
      <c r="C19">
        <v>104179</v>
      </c>
      <c r="D19" t="s">
        <v>54</v>
      </c>
      <c r="E19" t="s">
        <v>18</v>
      </c>
      <c r="H19" s="18">
        <v>8631</v>
      </c>
      <c r="L19" s="18">
        <f t="shared" si="0"/>
        <v>0</v>
      </c>
      <c r="M19">
        <f t="shared" si="1"/>
        <v>8631</v>
      </c>
    </row>
    <row r="20" spans="1:13" x14ac:dyDescent="0.2">
      <c r="A20">
        <f>IF(ISBLANK(E20),"",VLOOKUP(E20,code!B:C,2,FALSE))</f>
        <v>17</v>
      </c>
      <c r="B20">
        <v>2018</v>
      </c>
      <c r="C20">
        <v>104179</v>
      </c>
      <c r="D20" t="s">
        <v>54</v>
      </c>
      <c r="E20" t="s">
        <v>25</v>
      </c>
      <c r="H20" s="18">
        <v>8631</v>
      </c>
      <c r="L20" s="18">
        <f t="shared" si="0"/>
        <v>0</v>
      </c>
      <c r="M20">
        <f t="shared" si="1"/>
        <v>8631</v>
      </c>
    </row>
    <row r="21" spans="1:13" x14ac:dyDescent="0.2">
      <c r="A21">
        <f>IF(ISBLANK(E21),"",VLOOKUP(E21,code!B:C,2,FALSE))</f>
        <v>18</v>
      </c>
      <c r="B21">
        <v>2018</v>
      </c>
      <c r="C21">
        <v>104179</v>
      </c>
      <c r="D21" t="s">
        <v>54</v>
      </c>
      <c r="E21" t="s">
        <v>26</v>
      </c>
      <c r="H21" s="18">
        <v>98345</v>
      </c>
      <c r="L21" s="18">
        <f t="shared" si="0"/>
        <v>0</v>
      </c>
      <c r="M21">
        <f t="shared" si="1"/>
        <v>98345</v>
      </c>
    </row>
    <row r="22" spans="1:13" x14ac:dyDescent="0.2">
      <c r="A22">
        <f>IF(ISBLANK(E22),"",VLOOKUP(E22,code!B:C,2,FALSE))</f>
        <v>19</v>
      </c>
      <c r="B22">
        <v>2018</v>
      </c>
      <c r="C22">
        <v>104179</v>
      </c>
      <c r="D22" t="s">
        <v>54</v>
      </c>
      <c r="E22" t="s">
        <v>27</v>
      </c>
      <c r="F22" s="18">
        <v>36235</v>
      </c>
      <c r="H22" s="18">
        <v>36235</v>
      </c>
      <c r="L22" s="18">
        <f t="shared" si="0"/>
        <v>36235</v>
      </c>
      <c r="M22">
        <f t="shared" si="1"/>
        <v>36235</v>
      </c>
    </row>
    <row r="23" spans="1:13" x14ac:dyDescent="0.2">
      <c r="A23">
        <f>IF(ISBLANK(E23),"",VLOOKUP(E23,code!B:C,2,FALSE))</f>
        <v>20</v>
      </c>
      <c r="B23">
        <v>2018</v>
      </c>
      <c r="C23">
        <v>104179</v>
      </c>
      <c r="D23" t="s">
        <v>54</v>
      </c>
      <c r="E23" t="s">
        <v>28</v>
      </c>
      <c r="L23" s="18">
        <f t="shared" si="0"/>
        <v>0</v>
      </c>
      <c r="M23">
        <f t="shared" si="1"/>
        <v>0</v>
      </c>
    </row>
    <row r="24" spans="1:13" x14ac:dyDescent="0.2">
      <c r="A24">
        <f>IF(ISBLANK(E24),"",VLOOKUP(E24,code!B:C,2,FALSE))</f>
        <v>23</v>
      </c>
      <c r="B24">
        <v>2018</v>
      </c>
      <c r="C24">
        <v>104179</v>
      </c>
      <c r="D24" t="s">
        <v>54</v>
      </c>
      <c r="E24" t="s">
        <v>33</v>
      </c>
      <c r="H24" s="18">
        <v>63753</v>
      </c>
      <c r="L24" s="18">
        <f t="shared" si="0"/>
        <v>0</v>
      </c>
      <c r="M24">
        <f t="shared" si="1"/>
        <v>63753</v>
      </c>
    </row>
    <row r="25" spans="1:13" x14ac:dyDescent="0.2">
      <c r="A25">
        <f>IF(ISBLANK(E25),"",VLOOKUP(E25,code!B:C,2,FALSE))</f>
        <v>1</v>
      </c>
      <c r="B25">
        <v>2019</v>
      </c>
      <c r="C25">
        <v>104179</v>
      </c>
      <c r="D25" t="s">
        <v>54</v>
      </c>
      <c r="E25" t="s">
        <v>9</v>
      </c>
      <c r="F25" s="18">
        <v>59903</v>
      </c>
      <c r="L25" s="18">
        <f t="shared" si="0"/>
        <v>59903</v>
      </c>
      <c r="M25">
        <f t="shared" si="1"/>
        <v>0</v>
      </c>
    </row>
    <row r="26" spans="1:13" x14ac:dyDescent="0.2">
      <c r="A26">
        <f>IF(ISBLANK(E26),"",VLOOKUP(E26,code!B:C,2,FALSE))</f>
        <v>2</v>
      </c>
      <c r="B26">
        <v>2019</v>
      </c>
      <c r="C26">
        <v>104179</v>
      </c>
      <c r="D26" t="s">
        <v>54</v>
      </c>
      <c r="E26" t="s">
        <v>10</v>
      </c>
      <c r="F26" s="18">
        <v>333115</v>
      </c>
      <c r="H26" s="18">
        <v>196383</v>
      </c>
      <c r="L26" s="18">
        <f t="shared" si="0"/>
        <v>333115</v>
      </c>
      <c r="M26">
        <f t="shared" si="1"/>
        <v>196383</v>
      </c>
    </row>
    <row r="27" spans="1:13" x14ac:dyDescent="0.2">
      <c r="A27">
        <f>IF(ISBLANK(E27),"",VLOOKUP(E27,code!B:C,2,FALSE))</f>
        <v>8</v>
      </c>
      <c r="B27">
        <v>2019</v>
      </c>
      <c r="C27">
        <v>104179</v>
      </c>
      <c r="D27" t="s">
        <v>54</v>
      </c>
      <c r="E27" t="s">
        <v>16</v>
      </c>
      <c r="F27" s="18">
        <v>1629077</v>
      </c>
      <c r="L27" s="18">
        <f t="shared" si="0"/>
        <v>1629077</v>
      </c>
      <c r="M27">
        <f t="shared" si="1"/>
        <v>0</v>
      </c>
    </row>
    <row r="28" spans="1:13" x14ac:dyDescent="0.2">
      <c r="A28">
        <f>IF(ISBLANK(E28),"",VLOOKUP(E28,code!B:C,2,FALSE))</f>
        <v>9</v>
      </c>
      <c r="B28">
        <v>2019</v>
      </c>
      <c r="C28">
        <v>104179</v>
      </c>
      <c r="D28" t="s">
        <v>54</v>
      </c>
      <c r="E28" t="s">
        <v>17</v>
      </c>
      <c r="L28" s="18">
        <f t="shared" si="0"/>
        <v>0</v>
      </c>
      <c r="M28">
        <f t="shared" si="1"/>
        <v>0</v>
      </c>
    </row>
    <row r="29" spans="1:13" x14ac:dyDescent="0.2">
      <c r="A29">
        <f>IF(ISBLANK(E29),"",VLOOKUP(E29,code!B:C,2,FALSE))</f>
        <v>20</v>
      </c>
      <c r="B29">
        <v>2019</v>
      </c>
      <c r="C29">
        <v>104179</v>
      </c>
      <c r="D29" t="s">
        <v>54</v>
      </c>
      <c r="E29" t="s">
        <v>28</v>
      </c>
      <c r="L29" s="18">
        <f t="shared" si="0"/>
        <v>0</v>
      </c>
      <c r="M29">
        <f t="shared" si="1"/>
        <v>0</v>
      </c>
    </row>
    <row r="30" spans="1:13" x14ac:dyDescent="0.2">
      <c r="A30">
        <f>IF(ISBLANK(E30),"",VLOOKUP(E30,code!B:C,2,FALSE))</f>
        <v>21</v>
      </c>
      <c r="B30">
        <v>2019</v>
      </c>
      <c r="C30">
        <v>104179</v>
      </c>
      <c r="D30" t="s">
        <v>54</v>
      </c>
      <c r="E30" t="s">
        <v>30</v>
      </c>
      <c r="F30" s="18">
        <v>51705</v>
      </c>
      <c r="H30" s="18">
        <v>50287</v>
      </c>
      <c r="L30" s="18">
        <f t="shared" si="0"/>
        <v>51705</v>
      </c>
      <c r="M30">
        <f t="shared" si="1"/>
        <v>50287</v>
      </c>
    </row>
    <row r="31" spans="1:13" x14ac:dyDescent="0.2">
      <c r="A31">
        <f>IF(ISBLANK(E31),"",VLOOKUP(E31,code!B:C,2,FALSE))</f>
        <v>3</v>
      </c>
      <c r="B31">
        <v>2019</v>
      </c>
      <c r="C31">
        <v>104179</v>
      </c>
      <c r="D31" t="s">
        <v>54</v>
      </c>
      <c r="E31" t="s">
        <v>11</v>
      </c>
      <c r="L31" s="18">
        <f t="shared" si="0"/>
        <v>0</v>
      </c>
      <c r="M31">
        <f t="shared" si="1"/>
        <v>0</v>
      </c>
    </row>
    <row r="32" spans="1:13" x14ac:dyDescent="0.2">
      <c r="A32">
        <f>IF(ISBLANK(E32),"",VLOOKUP(E32,code!B:C,2,FALSE))</f>
        <v>10</v>
      </c>
      <c r="B32">
        <v>2019</v>
      </c>
      <c r="C32">
        <v>104179</v>
      </c>
      <c r="D32" t="s">
        <v>54</v>
      </c>
      <c r="E32" t="s">
        <v>18</v>
      </c>
      <c r="H32" s="18">
        <v>26896</v>
      </c>
      <c r="L32" s="18">
        <f t="shared" si="0"/>
        <v>0</v>
      </c>
      <c r="M32">
        <f t="shared" si="1"/>
        <v>26896</v>
      </c>
    </row>
    <row r="33" spans="1:13" x14ac:dyDescent="0.2">
      <c r="A33">
        <f>IF(ISBLANK(E33),"",VLOOKUP(E33,code!B:C,2,FALSE))</f>
        <v>17</v>
      </c>
      <c r="B33">
        <v>2019</v>
      </c>
      <c r="C33">
        <v>104179</v>
      </c>
      <c r="D33" t="s">
        <v>54</v>
      </c>
      <c r="E33" t="s">
        <v>25</v>
      </c>
      <c r="H33" s="18">
        <v>26896</v>
      </c>
      <c r="L33" s="18">
        <f t="shared" si="0"/>
        <v>0</v>
      </c>
      <c r="M33">
        <f t="shared" si="1"/>
        <v>26896</v>
      </c>
    </row>
    <row r="34" spans="1:13" x14ac:dyDescent="0.2">
      <c r="A34">
        <f>IF(ISBLANK(E34),"",VLOOKUP(E34,code!B:C,2,FALSE))</f>
        <v>18</v>
      </c>
      <c r="B34">
        <v>2019</v>
      </c>
      <c r="C34">
        <v>104179</v>
      </c>
      <c r="D34" t="s">
        <v>54</v>
      </c>
      <c r="E34" t="s">
        <v>26</v>
      </c>
      <c r="H34" s="18">
        <v>82453</v>
      </c>
      <c r="L34" s="18">
        <f t="shared" si="0"/>
        <v>0</v>
      </c>
      <c r="M34">
        <f t="shared" si="1"/>
        <v>82453</v>
      </c>
    </row>
    <row r="35" spans="1:13" x14ac:dyDescent="0.2">
      <c r="A35">
        <f>IF(ISBLANK(E35),"",VLOOKUP(E35,code!B:C,2,FALSE))</f>
        <v>19</v>
      </c>
      <c r="B35">
        <v>2019</v>
      </c>
      <c r="C35">
        <v>104179</v>
      </c>
      <c r="D35" t="s">
        <v>54</v>
      </c>
      <c r="E35" t="s">
        <v>27</v>
      </c>
      <c r="F35" s="18">
        <v>32504</v>
      </c>
      <c r="H35" s="18">
        <v>32503</v>
      </c>
      <c r="L35" s="18">
        <f t="shared" si="0"/>
        <v>32504</v>
      </c>
      <c r="M35">
        <f t="shared" si="1"/>
        <v>32503</v>
      </c>
    </row>
    <row r="36" spans="1:13" x14ac:dyDescent="0.2">
      <c r="A36">
        <f>IF(ISBLANK(E36),"",VLOOKUP(E36,code!B:C,2,FALSE))</f>
        <v>23</v>
      </c>
      <c r="B36">
        <v>2019</v>
      </c>
      <c r="C36">
        <v>104179</v>
      </c>
      <c r="D36" t="s">
        <v>54</v>
      </c>
      <c r="E36" t="s">
        <v>33</v>
      </c>
      <c r="H36" s="18">
        <v>59296</v>
      </c>
      <c r="L36" s="18">
        <f t="shared" ref="L36:L91" si="2">SUM(F36:G36)</f>
        <v>0</v>
      </c>
      <c r="M36">
        <f t="shared" ref="M36:M91" si="3">SUM(H36:I36)</f>
        <v>59296</v>
      </c>
    </row>
    <row r="37" spans="1:13" x14ac:dyDescent="0.2">
      <c r="A37">
        <f>IF(ISBLANK(E37),"",VLOOKUP(E37,code!B:C,2,FALSE))</f>
        <v>1</v>
      </c>
      <c r="B37">
        <v>2020</v>
      </c>
      <c r="C37">
        <v>104179</v>
      </c>
      <c r="D37" t="s">
        <v>54</v>
      </c>
      <c r="E37" t="s">
        <v>9</v>
      </c>
      <c r="F37" s="18">
        <v>116863</v>
      </c>
      <c r="L37" s="18">
        <f t="shared" si="2"/>
        <v>116863</v>
      </c>
      <c r="M37">
        <f t="shared" si="3"/>
        <v>0</v>
      </c>
    </row>
    <row r="38" spans="1:13" x14ac:dyDescent="0.2">
      <c r="A38">
        <f>IF(ISBLANK(E38),"",VLOOKUP(E38,code!B:C,2,FALSE))</f>
        <v>2</v>
      </c>
      <c r="B38">
        <v>2020</v>
      </c>
      <c r="C38">
        <v>104179</v>
      </c>
      <c r="D38" t="s">
        <v>54</v>
      </c>
      <c r="E38" t="s">
        <v>10</v>
      </c>
      <c r="F38" s="18">
        <v>511905</v>
      </c>
      <c r="H38" s="18">
        <v>192847</v>
      </c>
      <c r="L38" s="18">
        <f t="shared" si="2"/>
        <v>511905</v>
      </c>
      <c r="M38">
        <f t="shared" si="3"/>
        <v>192847</v>
      </c>
    </row>
    <row r="39" spans="1:13" x14ac:dyDescent="0.2">
      <c r="A39">
        <f>IF(ISBLANK(E39),"",VLOOKUP(E39,code!B:C,2,FALSE))</f>
        <v>8</v>
      </c>
      <c r="B39">
        <v>2020</v>
      </c>
      <c r="C39">
        <v>104179</v>
      </c>
      <c r="D39" t="s">
        <v>54</v>
      </c>
      <c r="E39" t="s">
        <v>16</v>
      </c>
      <c r="F39" s="18">
        <v>1521384</v>
      </c>
      <c r="L39" s="18">
        <f t="shared" si="2"/>
        <v>1521384</v>
      </c>
      <c r="M39">
        <f t="shared" si="3"/>
        <v>0</v>
      </c>
    </row>
    <row r="40" spans="1:13" x14ac:dyDescent="0.2">
      <c r="A40">
        <f>IF(ISBLANK(E40),"",VLOOKUP(E40,code!B:C,2,FALSE))</f>
        <v>3</v>
      </c>
      <c r="B40">
        <v>2020</v>
      </c>
      <c r="C40">
        <v>104179</v>
      </c>
      <c r="D40" t="s">
        <v>54</v>
      </c>
      <c r="E40" t="s">
        <v>11</v>
      </c>
      <c r="H40" s="18">
        <v>26280</v>
      </c>
      <c r="L40" s="18">
        <f t="shared" si="2"/>
        <v>0</v>
      </c>
      <c r="M40">
        <f t="shared" si="3"/>
        <v>26280</v>
      </c>
    </row>
    <row r="41" spans="1:13" x14ac:dyDescent="0.2">
      <c r="A41">
        <f>IF(ISBLANK(E41),"",VLOOKUP(E41,code!B:C,2,FALSE))</f>
        <v>9</v>
      </c>
      <c r="B41">
        <v>2020</v>
      </c>
      <c r="C41">
        <v>104179</v>
      </c>
      <c r="D41" t="s">
        <v>54</v>
      </c>
      <c r="E41" t="s">
        <v>17</v>
      </c>
      <c r="L41" s="18">
        <f t="shared" si="2"/>
        <v>0</v>
      </c>
      <c r="M41">
        <f t="shared" si="3"/>
        <v>0</v>
      </c>
    </row>
    <row r="42" spans="1:13" x14ac:dyDescent="0.2">
      <c r="A42">
        <f>IF(ISBLANK(E42),"",VLOOKUP(E42,code!B:C,2,FALSE))</f>
        <v>10</v>
      </c>
      <c r="B42">
        <v>2020</v>
      </c>
      <c r="C42">
        <v>104179</v>
      </c>
      <c r="D42" t="s">
        <v>54</v>
      </c>
      <c r="E42" t="s">
        <v>18</v>
      </c>
      <c r="H42" s="18">
        <v>27923</v>
      </c>
      <c r="L42" s="18">
        <f t="shared" si="2"/>
        <v>0</v>
      </c>
      <c r="M42">
        <f t="shared" si="3"/>
        <v>27923</v>
      </c>
    </row>
    <row r="43" spans="1:13" x14ac:dyDescent="0.2">
      <c r="A43">
        <f>IF(ISBLANK(E43),"",VLOOKUP(E43,code!B:C,2,FALSE))</f>
        <v>17</v>
      </c>
      <c r="B43">
        <v>2020</v>
      </c>
      <c r="C43">
        <v>104179</v>
      </c>
      <c r="D43" t="s">
        <v>54</v>
      </c>
      <c r="E43" t="s">
        <v>25</v>
      </c>
      <c r="H43" s="18">
        <v>27923</v>
      </c>
      <c r="L43" s="18">
        <f t="shared" si="2"/>
        <v>0</v>
      </c>
      <c r="M43">
        <f t="shared" si="3"/>
        <v>27923</v>
      </c>
    </row>
    <row r="44" spans="1:13" x14ac:dyDescent="0.2">
      <c r="A44">
        <f>IF(ISBLANK(E44),"",VLOOKUP(E44,code!B:C,2,FALSE))</f>
        <v>18</v>
      </c>
      <c r="B44">
        <v>2020</v>
      </c>
      <c r="C44">
        <v>104179</v>
      </c>
      <c r="D44" t="s">
        <v>54</v>
      </c>
      <c r="E44" t="s">
        <v>26</v>
      </c>
      <c r="H44" s="18">
        <v>83643</v>
      </c>
      <c r="L44" s="18">
        <f t="shared" si="2"/>
        <v>0</v>
      </c>
      <c r="M44">
        <f t="shared" si="3"/>
        <v>83643</v>
      </c>
    </row>
    <row r="45" spans="1:13" x14ac:dyDescent="0.2">
      <c r="A45">
        <f>IF(ISBLANK(E45),"",VLOOKUP(E45,code!B:C,2,FALSE))</f>
        <v>19</v>
      </c>
      <c r="B45">
        <v>2020</v>
      </c>
      <c r="C45">
        <v>104179</v>
      </c>
      <c r="D45" t="s">
        <v>54</v>
      </c>
      <c r="E45" t="s">
        <v>27</v>
      </c>
      <c r="F45" s="18">
        <v>32522</v>
      </c>
      <c r="H45" s="18">
        <v>32521</v>
      </c>
      <c r="L45" s="18">
        <f t="shared" si="2"/>
        <v>32522</v>
      </c>
      <c r="M45">
        <f t="shared" si="3"/>
        <v>32521</v>
      </c>
    </row>
    <row r="46" spans="1:13" x14ac:dyDescent="0.2">
      <c r="A46">
        <f>IF(ISBLANK(E46),"",VLOOKUP(E46,code!B:C,2,FALSE))</f>
        <v>20</v>
      </c>
      <c r="B46">
        <v>2020</v>
      </c>
      <c r="C46">
        <v>104179</v>
      </c>
      <c r="D46" t="s">
        <v>54</v>
      </c>
      <c r="E46" t="s">
        <v>28</v>
      </c>
      <c r="H46">
        <v>788</v>
      </c>
      <c r="L46" s="18">
        <f t="shared" si="2"/>
        <v>0</v>
      </c>
      <c r="M46">
        <f t="shared" si="3"/>
        <v>788</v>
      </c>
    </row>
    <row r="47" spans="1:13" x14ac:dyDescent="0.2">
      <c r="A47">
        <f>IF(ISBLANK(E47),"",VLOOKUP(E47,code!B:C,2,FALSE))</f>
        <v>21</v>
      </c>
      <c r="B47">
        <v>2020</v>
      </c>
      <c r="C47">
        <v>104179</v>
      </c>
      <c r="D47" t="s">
        <v>54</v>
      </c>
      <c r="E47" t="s">
        <v>30</v>
      </c>
      <c r="F47" s="18">
        <v>53518</v>
      </c>
      <c r="H47" s="18">
        <v>52098</v>
      </c>
      <c r="L47" s="18">
        <f t="shared" si="2"/>
        <v>53518</v>
      </c>
      <c r="M47">
        <f t="shared" si="3"/>
        <v>52098</v>
      </c>
    </row>
    <row r="48" spans="1:13" x14ac:dyDescent="0.2">
      <c r="A48">
        <f>IF(ISBLANK(E48),"",VLOOKUP(E48,code!B:C,2,FALSE))</f>
        <v>23</v>
      </c>
      <c r="B48">
        <v>2020</v>
      </c>
      <c r="C48">
        <v>104179</v>
      </c>
      <c r="D48" t="s">
        <v>54</v>
      </c>
      <c r="E48" t="s">
        <v>33</v>
      </c>
      <c r="H48" s="18">
        <v>26280</v>
      </c>
      <c r="L48" s="18">
        <f t="shared" si="2"/>
        <v>0</v>
      </c>
      <c r="M48">
        <f t="shared" si="3"/>
        <v>26280</v>
      </c>
    </row>
    <row r="49" spans="1:13" x14ac:dyDescent="0.2">
      <c r="A49">
        <f>IF(ISBLANK(E49),"",VLOOKUP(E49,code!B:C,2,FALSE))</f>
        <v>1</v>
      </c>
      <c r="B49">
        <v>2021</v>
      </c>
      <c r="C49">
        <v>104179</v>
      </c>
      <c r="D49" t="s">
        <v>54</v>
      </c>
      <c r="E49" t="s">
        <v>9</v>
      </c>
      <c r="F49" s="18">
        <v>122942</v>
      </c>
      <c r="L49" s="18">
        <f t="shared" si="2"/>
        <v>122942</v>
      </c>
      <c r="M49">
        <f t="shared" si="3"/>
        <v>0</v>
      </c>
    </row>
    <row r="50" spans="1:13" x14ac:dyDescent="0.2">
      <c r="A50">
        <f>IF(ISBLANK(E50),"",VLOOKUP(E50,code!B:C,2,FALSE))</f>
        <v>2</v>
      </c>
      <c r="B50">
        <v>2021</v>
      </c>
      <c r="C50">
        <v>104179</v>
      </c>
      <c r="D50" t="s">
        <v>54</v>
      </c>
      <c r="E50" t="s">
        <v>10</v>
      </c>
      <c r="F50" s="18">
        <v>604505</v>
      </c>
      <c r="H50" s="18">
        <v>304167</v>
      </c>
      <c r="L50" s="18">
        <f t="shared" si="2"/>
        <v>604505</v>
      </c>
      <c r="M50">
        <f t="shared" si="3"/>
        <v>304167</v>
      </c>
    </row>
    <row r="51" spans="1:13" x14ac:dyDescent="0.2">
      <c r="A51">
        <f>IF(ISBLANK(E51),"",VLOOKUP(E51,code!B:C,2,FALSE))</f>
        <v>8</v>
      </c>
      <c r="B51">
        <v>2021</v>
      </c>
      <c r="C51">
        <v>104179</v>
      </c>
      <c r="D51" t="s">
        <v>54</v>
      </c>
      <c r="E51" t="s">
        <v>16</v>
      </c>
      <c r="F51" s="18">
        <v>2372160</v>
      </c>
      <c r="L51" s="18">
        <f t="shared" si="2"/>
        <v>2372160</v>
      </c>
      <c r="M51">
        <f t="shared" si="3"/>
        <v>0</v>
      </c>
    </row>
    <row r="52" spans="1:13" x14ac:dyDescent="0.2">
      <c r="A52">
        <v>3</v>
      </c>
      <c r="B52">
        <v>2021</v>
      </c>
      <c r="C52">
        <v>104179</v>
      </c>
      <c r="D52" t="s">
        <v>54</v>
      </c>
      <c r="E52" t="s">
        <v>290</v>
      </c>
      <c r="H52" s="18">
        <v>25758</v>
      </c>
      <c r="L52" s="18">
        <f t="shared" si="2"/>
        <v>0</v>
      </c>
      <c r="M52">
        <f t="shared" si="3"/>
        <v>25758</v>
      </c>
    </row>
    <row r="53" spans="1:13" x14ac:dyDescent="0.2">
      <c r="A53">
        <v>9</v>
      </c>
      <c r="B53">
        <v>2021</v>
      </c>
      <c r="C53">
        <v>104179</v>
      </c>
      <c r="D53" t="s">
        <v>54</v>
      </c>
      <c r="E53" t="s">
        <v>286</v>
      </c>
      <c r="L53" s="18">
        <f t="shared" si="2"/>
        <v>0</v>
      </c>
      <c r="M53">
        <f t="shared" si="3"/>
        <v>0</v>
      </c>
    </row>
    <row r="54" spans="1:13" x14ac:dyDescent="0.2">
      <c r="A54">
        <f>IF(ISBLANK(E54),"",VLOOKUP(E54,code!B:C,2,FALSE))</f>
        <v>10</v>
      </c>
      <c r="B54">
        <v>2021</v>
      </c>
      <c r="C54">
        <v>104179</v>
      </c>
      <c r="D54" t="s">
        <v>54</v>
      </c>
      <c r="E54" t="s">
        <v>18</v>
      </c>
      <c r="H54" s="18">
        <v>33930</v>
      </c>
      <c r="L54" s="18">
        <f t="shared" si="2"/>
        <v>0</v>
      </c>
      <c r="M54">
        <f t="shared" si="3"/>
        <v>33930</v>
      </c>
    </row>
    <row r="55" spans="1:13" x14ac:dyDescent="0.2">
      <c r="A55">
        <f>IF(ISBLANK(E55),"",VLOOKUP(E55,code!B:C,2,FALSE))</f>
        <v>17</v>
      </c>
      <c r="B55">
        <v>2021</v>
      </c>
      <c r="C55">
        <v>104179</v>
      </c>
      <c r="D55" t="s">
        <v>54</v>
      </c>
      <c r="E55" t="s">
        <v>25</v>
      </c>
      <c r="H55" s="18">
        <v>29999</v>
      </c>
      <c r="L55" s="18">
        <f t="shared" si="2"/>
        <v>0</v>
      </c>
      <c r="M55">
        <f t="shared" si="3"/>
        <v>29999</v>
      </c>
    </row>
    <row r="56" spans="1:13" x14ac:dyDescent="0.2">
      <c r="A56">
        <f>IF(ISBLANK(E56),"",VLOOKUP(E56,code!B:C,2,FALSE))</f>
        <v>18</v>
      </c>
      <c r="B56">
        <v>2021</v>
      </c>
      <c r="C56">
        <v>104179</v>
      </c>
      <c r="D56" t="s">
        <v>54</v>
      </c>
      <c r="E56" t="s">
        <v>26</v>
      </c>
      <c r="H56" s="18">
        <v>88129</v>
      </c>
      <c r="L56" s="18">
        <f t="shared" si="2"/>
        <v>0</v>
      </c>
      <c r="M56">
        <f t="shared" si="3"/>
        <v>88129</v>
      </c>
    </row>
    <row r="57" spans="1:13" x14ac:dyDescent="0.2">
      <c r="A57">
        <v>19</v>
      </c>
      <c r="B57">
        <v>2021</v>
      </c>
      <c r="C57">
        <v>104179</v>
      </c>
      <c r="D57" t="s">
        <v>54</v>
      </c>
      <c r="E57" t="s">
        <v>287</v>
      </c>
      <c r="F57" s="18">
        <v>29242</v>
      </c>
      <c r="H57" s="18">
        <v>29241</v>
      </c>
      <c r="L57" s="18">
        <f t="shared" si="2"/>
        <v>29242</v>
      </c>
      <c r="M57">
        <f t="shared" si="3"/>
        <v>29241</v>
      </c>
    </row>
    <row r="58" spans="1:13" x14ac:dyDescent="0.2">
      <c r="A58">
        <f>IF(ISBLANK(E58),"",VLOOKUP(E58,code!B:C,2,FALSE))</f>
        <v>20</v>
      </c>
      <c r="B58">
        <v>2021</v>
      </c>
      <c r="C58">
        <v>104179</v>
      </c>
      <c r="D58" t="s">
        <v>54</v>
      </c>
      <c r="E58" t="s">
        <v>28</v>
      </c>
      <c r="L58" s="18">
        <f t="shared" si="2"/>
        <v>0</v>
      </c>
      <c r="M58">
        <f t="shared" si="3"/>
        <v>0</v>
      </c>
    </row>
    <row r="59" spans="1:13" x14ac:dyDescent="0.2">
      <c r="A59">
        <v>21</v>
      </c>
      <c r="B59">
        <v>2021</v>
      </c>
      <c r="C59">
        <v>104179</v>
      </c>
      <c r="D59" t="s">
        <v>54</v>
      </c>
      <c r="E59" t="s">
        <v>288</v>
      </c>
      <c r="F59" s="18">
        <v>34677</v>
      </c>
      <c r="H59" s="18">
        <v>34983</v>
      </c>
      <c r="L59" s="18">
        <f t="shared" si="2"/>
        <v>34677</v>
      </c>
      <c r="M59">
        <f t="shared" si="3"/>
        <v>34983</v>
      </c>
    </row>
    <row r="60" spans="1:13" x14ac:dyDescent="0.2">
      <c r="A60">
        <f>IF(ISBLANK(E60),"",VLOOKUP(E60,code!B:C,2,FALSE))</f>
        <v>23</v>
      </c>
      <c r="B60">
        <v>2021</v>
      </c>
      <c r="C60">
        <v>104179</v>
      </c>
      <c r="D60" t="s">
        <v>54</v>
      </c>
      <c r="E60" t="s">
        <v>33</v>
      </c>
      <c r="H60" s="18">
        <v>25759</v>
      </c>
      <c r="L60" s="18">
        <f t="shared" si="2"/>
        <v>0</v>
      </c>
      <c r="M60">
        <f t="shared" si="3"/>
        <v>25759</v>
      </c>
    </row>
    <row r="61" spans="1:13" x14ac:dyDescent="0.2">
      <c r="A61">
        <f>IF(ISBLANK(E61),"",VLOOKUP(E61,code!B:C,2,FALSE))</f>
        <v>1</v>
      </c>
      <c r="B61">
        <v>2022</v>
      </c>
      <c r="C61">
        <v>104179</v>
      </c>
      <c r="D61" t="s">
        <v>54</v>
      </c>
      <c r="E61" t="s">
        <v>9</v>
      </c>
      <c r="F61" s="18">
        <v>122942</v>
      </c>
      <c r="L61" s="18">
        <f t="shared" si="2"/>
        <v>122942</v>
      </c>
      <c r="M61">
        <f t="shared" si="3"/>
        <v>0</v>
      </c>
    </row>
    <row r="62" spans="1:13" x14ac:dyDescent="0.2">
      <c r="A62">
        <f>IF(ISBLANK(E62),"",VLOOKUP(E62,code!B:C,2,FALSE))</f>
        <v>2</v>
      </c>
      <c r="B62">
        <v>2022</v>
      </c>
      <c r="C62">
        <v>104179</v>
      </c>
      <c r="D62" t="s">
        <v>54</v>
      </c>
      <c r="E62" t="s">
        <v>10</v>
      </c>
      <c r="F62" s="18">
        <v>604505</v>
      </c>
      <c r="H62" s="18">
        <v>304167</v>
      </c>
      <c r="L62" s="18">
        <f t="shared" si="2"/>
        <v>604505</v>
      </c>
      <c r="M62">
        <f t="shared" si="3"/>
        <v>304167</v>
      </c>
    </row>
    <row r="63" spans="1:13" x14ac:dyDescent="0.2">
      <c r="A63">
        <f>IF(ISBLANK(E63),"",VLOOKUP(E63,code!B:C,2,FALSE))</f>
        <v>8</v>
      </c>
      <c r="B63">
        <v>2022</v>
      </c>
      <c r="C63">
        <v>104179</v>
      </c>
      <c r="D63" t="s">
        <v>54</v>
      </c>
      <c r="E63" t="s">
        <v>16</v>
      </c>
      <c r="F63" s="18">
        <v>2372160</v>
      </c>
      <c r="L63" s="18">
        <f t="shared" si="2"/>
        <v>2372160</v>
      </c>
      <c r="M63">
        <f t="shared" si="3"/>
        <v>0</v>
      </c>
    </row>
    <row r="64" spans="1:13" x14ac:dyDescent="0.2">
      <c r="A64">
        <f>IF(ISBLANK(E64),"",VLOOKUP(E64,code!B:C,2,FALSE))</f>
        <v>3</v>
      </c>
      <c r="B64">
        <v>2022</v>
      </c>
      <c r="C64">
        <v>104179</v>
      </c>
      <c r="D64" t="s">
        <v>54</v>
      </c>
      <c r="E64" t="s">
        <v>11</v>
      </c>
      <c r="H64" s="18">
        <v>25758</v>
      </c>
      <c r="L64" s="18">
        <f t="shared" si="2"/>
        <v>0</v>
      </c>
      <c r="M64">
        <f t="shared" si="3"/>
        <v>25758</v>
      </c>
    </row>
    <row r="65" spans="1:13" x14ac:dyDescent="0.2">
      <c r="A65">
        <f>IF(ISBLANK(E65),"",VLOOKUP(E65,code!B:C,2,FALSE))</f>
        <v>9</v>
      </c>
      <c r="B65">
        <v>2022</v>
      </c>
      <c r="C65">
        <v>104179</v>
      </c>
      <c r="D65" t="s">
        <v>54</v>
      </c>
      <c r="E65" t="s">
        <v>17</v>
      </c>
      <c r="L65" s="18">
        <f t="shared" si="2"/>
        <v>0</v>
      </c>
      <c r="M65">
        <f t="shared" si="3"/>
        <v>0</v>
      </c>
    </row>
    <row r="66" spans="1:13" x14ac:dyDescent="0.2">
      <c r="A66">
        <f>IF(ISBLANK(E66),"",VLOOKUP(E66,code!B:C,2,FALSE))</f>
        <v>10</v>
      </c>
      <c r="B66">
        <v>2022</v>
      </c>
      <c r="C66">
        <v>104179</v>
      </c>
      <c r="D66" t="s">
        <v>54</v>
      </c>
      <c r="E66" t="s">
        <v>18</v>
      </c>
      <c r="H66" s="18">
        <v>33930</v>
      </c>
      <c r="L66" s="18">
        <f t="shared" si="2"/>
        <v>0</v>
      </c>
      <c r="M66">
        <f t="shared" si="3"/>
        <v>33930</v>
      </c>
    </row>
    <row r="67" spans="1:13" x14ac:dyDescent="0.2">
      <c r="A67">
        <f>IF(ISBLANK(E67),"",VLOOKUP(E67,code!B:C,2,FALSE))</f>
        <v>17</v>
      </c>
      <c r="B67">
        <v>2022</v>
      </c>
      <c r="C67">
        <v>104179</v>
      </c>
      <c r="D67" t="s">
        <v>54</v>
      </c>
      <c r="E67" t="s">
        <v>25</v>
      </c>
      <c r="H67" s="18">
        <v>29999</v>
      </c>
      <c r="L67" s="18">
        <f t="shared" si="2"/>
        <v>0</v>
      </c>
      <c r="M67">
        <f t="shared" si="3"/>
        <v>29999</v>
      </c>
    </row>
    <row r="68" spans="1:13" x14ac:dyDescent="0.2">
      <c r="A68">
        <f>IF(ISBLANK(E68),"",VLOOKUP(E68,code!B:C,2,FALSE))</f>
        <v>18</v>
      </c>
      <c r="B68">
        <v>2022</v>
      </c>
      <c r="C68">
        <v>104179</v>
      </c>
      <c r="D68" t="s">
        <v>54</v>
      </c>
      <c r="E68" t="s">
        <v>26</v>
      </c>
      <c r="H68" s="18">
        <v>88129</v>
      </c>
      <c r="L68" s="18">
        <f t="shared" si="2"/>
        <v>0</v>
      </c>
      <c r="M68">
        <f t="shared" si="3"/>
        <v>88129</v>
      </c>
    </row>
    <row r="69" spans="1:13" x14ac:dyDescent="0.2">
      <c r="A69">
        <f>IF(ISBLANK(E69),"",VLOOKUP(E69,code!B:C,2,FALSE))</f>
        <v>19</v>
      </c>
      <c r="B69">
        <v>2022</v>
      </c>
      <c r="C69">
        <v>104179</v>
      </c>
      <c r="D69" t="s">
        <v>54</v>
      </c>
      <c r="E69" t="s">
        <v>27</v>
      </c>
      <c r="F69" s="18">
        <v>29242</v>
      </c>
      <c r="H69" s="18">
        <v>29241</v>
      </c>
      <c r="L69" s="18">
        <f t="shared" si="2"/>
        <v>29242</v>
      </c>
      <c r="M69">
        <f t="shared" si="3"/>
        <v>29241</v>
      </c>
    </row>
    <row r="70" spans="1:13" x14ac:dyDescent="0.2">
      <c r="A70">
        <f>IF(ISBLANK(E70),"",VLOOKUP(E70,code!B:C,2,FALSE))</f>
        <v>20</v>
      </c>
      <c r="B70">
        <v>2022</v>
      </c>
      <c r="C70">
        <v>104179</v>
      </c>
      <c r="D70" t="s">
        <v>54</v>
      </c>
      <c r="E70" t="s">
        <v>28</v>
      </c>
      <c r="L70" s="18">
        <f t="shared" si="2"/>
        <v>0</v>
      </c>
      <c r="M70">
        <f t="shared" si="3"/>
        <v>0</v>
      </c>
    </row>
    <row r="71" spans="1:13" x14ac:dyDescent="0.2">
      <c r="A71">
        <f>IF(ISBLANK(E71),"",VLOOKUP(E71,code!B:C,2,FALSE))</f>
        <v>21</v>
      </c>
      <c r="B71">
        <v>2022</v>
      </c>
      <c r="C71">
        <v>104179</v>
      </c>
      <c r="D71" t="s">
        <v>54</v>
      </c>
      <c r="E71" t="s">
        <v>30</v>
      </c>
      <c r="F71" s="18">
        <v>34677</v>
      </c>
      <c r="H71" s="18">
        <v>34983</v>
      </c>
      <c r="L71" s="18">
        <f t="shared" si="2"/>
        <v>34677</v>
      </c>
      <c r="M71">
        <f t="shared" si="3"/>
        <v>34983</v>
      </c>
    </row>
    <row r="72" spans="1:13" x14ac:dyDescent="0.2">
      <c r="A72">
        <f>IF(ISBLANK(E72),"",VLOOKUP(E72,code!B:C,2,FALSE))</f>
        <v>23</v>
      </c>
      <c r="B72">
        <v>2022</v>
      </c>
      <c r="C72">
        <v>104179</v>
      </c>
      <c r="D72" t="s">
        <v>54</v>
      </c>
      <c r="E72" t="s">
        <v>33</v>
      </c>
      <c r="H72" s="18">
        <v>25759</v>
      </c>
      <c r="L72" s="18">
        <f t="shared" si="2"/>
        <v>0</v>
      </c>
      <c r="M72">
        <f t="shared" si="3"/>
        <v>25759</v>
      </c>
    </row>
    <row r="73" spans="1:13" x14ac:dyDescent="0.2">
      <c r="A73">
        <f>IF(ISBLANK(E73),"",VLOOKUP(E73,code!B:C,2,FALSE))</f>
        <v>1</v>
      </c>
      <c r="B73">
        <v>2023</v>
      </c>
      <c r="C73">
        <v>104179</v>
      </c>
      <c r="D73" t="s">
        <v>54</v>
      </c>
      <c r="E73" t="s">
        <v>9</v>
      </c>
      <c r="F73">
        <v>136549</v>
      </c>
      <c r="L73" s="18">
        <f t="shared" si="2"/>
        <v>136549</v>
      </c>
      <c r="M73">
        <f t="shared" si="3"/>
        <v>0</v>
      </c>
    </row>
    <row r="74" spans="1:13" x14ac:dyDescent="0.2">
      <c r="A74">
        <f>IF(ISBLANK(E74),"",VLOOKUP(E74,code!B:C,2,FALSE))</f>
        <v>2</v>
      </c>
      <c r="B74">
        <v>2023</v>
      </c>
      <c r="C74">
        <v>104179</v>
      </c>
      <c r="D74" t="s">
        <v>54</v>
      </c>
      <c r="E74" t="s">
        <v>10</v>
      </c>
      <c r="F74">
        <v>670769</v>
      </c>
      <c r="H74" s="18">
        <v>410725</v>
      </c>
      <c r="L74" s="18">
        <f t="shared" si="2"/>
        <v>670769</v>
      </c>
      <c r="M74">
        <f t="shared" si="3"/>
        <v>410725</v>
      </c>
    </row>
    <row r="75" spans="1:13" x14ac:dyDescent="0.2">
      <c r="A75">
        <f>IF(ISBLANK(E75),"",VLOOKUP(E75,code!B:C,2,FALSE))</f>
        <v>8</v>
      </c>
      <c r="B75">
        <v>2023</v>
      </c>
      <c r="C75">
        <v>104179</v>
      </c>
      <c r="D75" t="s">
        <v>54</v>
      </c>
      <c r="E75" t="s">
        <v>16</v>
      </c>
      <c r="F75">
        <v>2878759</v>
      </c>
      <c r="L75" s="18">
        <f t="shared" si="2"/>
        <v>2878759</v>
      </c>
      <c r="M75">
        <f t="shared" si="3"/>
        <v>0</v>
      </c>
    </row>
    <row r="76" spans="1:13" x14ac:dyDescent="0.2">
      <c r="A76">
        <f>IF(ISBLANK(E76),"",VLOOKUP(E76,code!B:C,2,FALSE))</f>
        <v>3</v>
      </c>
      <c r="B76">
        <v>2023</v>
      </c>
      <c r="C76">
        <v>104179</v>
      </c>
      <c r="D76" t="s">
        <v>54</v>
      </c>
      <c r="E76" t="s">
        <v>11</v>
      </c>
      <c r="H76">
        <v>31095</v>
      </c>
      <c r="L76" s="18">
        <f t="shared" si="2"/>
        <v>0</v>
      </c>
      <c r="M76">
        <f t="shared" si="3"/>
        <v>31095</v>
      </c>
    </row>
    <row r="77" spans="1:13" x14ac:dyDescent="0.2">
      <c r="A77">
        <f>IF(ISBLANK(E77),"",VLOOKUP(E77,code!B:C,2,FALSE))</f>
        <v>9</v>
      </c>
      <c r="B77">
        <v>2023</v>
      </c>
      <c r="C77">
        <v>104179</v>
      </c>
      <c r="D77" t="s">
        <v>54</v>
      </c>
      <c r="E77" t="s">
        <v>17</v>
      </c>
      <c r="L77" s="18">
        <f t="shared" si="2"/>
        <v>0</v>
      </c>
      <c r="M77">
        <f t="shared" si="3"/>
        <v>0</v>
      </c>
    </row>
    <row r="78" spans="1:13" x14ac:dyDescent="0.2">
      <c r="A78">
        <f>IF(ISBLANK(E78),"",VLOOKUP(E78,code!B:C,2,FALSE))</f>
        <v>10</v>
      </c>
      <c r="B78">
        <v>2023</v>
      </c>
      <c r="C78">
        <v>104179</v>
      </c>
      <c r="D78" t="s">
        <v>54</v>
      </c>
      <c r="E78" t="s">
        <v>18</v>
      </c>
      <c r="H78">
        <v>25937</v>
      </c>
      <c r="L78" s="18">
        <f t="shared" si="2"/>
        <v>0</v>
      </c>
      <c r="M78">
        <f t="shared" si="3"/>
        <v>25937</v>
      </c>
    </row>
    <row r="79" spans="1:13" x14ac:dyDescent="0.2">
      <c r="A79">
        <f>IF(ISBLANK(E79),"",VLOOKUP(E79,code!B:C,2,FALSE))</f>
        <v>17</v>
      </c>
      <c r="B79">
        <v>2023</v>
      </c>
      <c r="C79">
        <v>104179</v>
      </c>
      <c r="D79" t="s">
        <v>54</v>
      </c>
      <c r="E79" t="s">
        <v>25</v>
      </c>
      <c r="H79">
        <v>25937</v>
      </c>
      <c r="L79" s="18">
        <f t="shared" si="2"/>
        <v>0</v>
      </c>
      <c r="M79">
        <f t="shared" si="3"/>
        <v>25937</v>
      </c>
    </row>
    <row r="80" spans="1:13" x14ac:dyDescent="0.2">
      <c r="A80">
        <f>IF(ISBLANK(E80),"",VLOOKUP(E80,code!B:C,2,FALSE))</f>
        <v>18</v>
      </c>
      <c r="B80">
        <v>2023</v>
      </c>
      <c r="C80">
        <v>104179</v>
      </c>
      <c r="D80" t="s">
        <v>54</v>
      </c>
      <c r="E80" t="s">
        <v>26</v>
      </c>
      <c r="H80">
        <v>87201</v>
      </c>
      <c r="L80" s="18">
        <f t="shared" si="2"/>
        <v>0</v>
      </c>
      <c r="M80">
        <f t="shared" si="3"/>
        <v>87201</v>
      </c>
    </row>
    <row r="81" spans="1:13" x14ac:dyDescent="0.2">
      <c r="A81">
        <f>IF(ISBLANK(E81),"",VLOOKUP(E81,code!B:C,2,FALSE))</f>
        <v>19</v>
      </c>
      <c r="B81">
        <v>2023</v>
      </c>
      <c r="C81">
        <v>104179</v>
      </c>
      <c r="D81" t="s">
        <v>54</v>
      </c>
      <c r="E81" t="s">
        <v>27</v>
      </c>
      <c r="F81">
        <v>31096</v>
      </c>
      <c r="H81">
        <v>31095</v>
      </c>
      <c r="L81" s="18">
        <f t="shared" si="2"/>
        <v>31096</v>
      </c>
      <c r="M81">
        <f t="shared" si="3"/>
        <v>31095</v>
      </c>
    </row>
    <row r="82" spans="1:13" x14ac:dyDescent="0.2">
      <c r="A82">
        <f>IF(ISBLANK(E82),"",VLOOKUP(E82,code!B:C,2,FALSE))</f>
        <v>20</v>
      </c>
      <c r="B82">
        <v>2023</v>
      </c>
      <c r="C82">
        <v>104179</v>
      </c>
      <c r="D82" t="s">
        <v>54</v>
      </c>
      <c r="E82" t="s">
        <v>28</v>
      </c>
      <c r="F82">
        <v>2992</v>
      </c>
      <c r="L82" s="18">
        <f t="shared" si="2"/>
        <v>2992</v>
      </c>
      <c r="M82">
        <f t="shared" si="3"/>
        <v>0</v>
      </c>
    </row>
    <row r="83" spans="1:13" x14ac:dyDescent="0.2">
      <c r="A83">
        <f>IF(ISBLANK(E83),"",VLOOKUP(E83,code!B:C,2,FALSE))</f>
        <v>21</v>
      </c>
      <c r="B83">
        <v>2023</v>
      </c>
      <c r="C83">
        <v>104179</v>
      </c>
      <c r="D83" t="s">
        <v>54</v>
      </c>
      <c r="E83" t="s">
        <v>31</v>
      </c>
      <c r="F83">
        <v>47678</v>
      </c>
      <c r="H83">
        <v>42731</v>
      </c>
      <c r="L83" s="18">
        <f t="shared" si="2"/>
        <v>47678</v>
      </c>
      <c r="M83">
        <f t="shared" si="3"/>
        <v>42731</v>
      </c>
    </row>
    <row r="84" spans="1:13" x14ac:dyDescent="0.2">
      <c r="A84">
        <f>IF(ISBLANK(E84),"",VLOOKUP(E84,code!B:C,2,FALSE))</f>
        <v>23</v>
      </c>
      <c r="B84">
        <v>2023</v>
      </c>
      <c r="C84">
        <v>104179</v>
      </c>
      <c r="D84" t="s">
        <v>54</v>
      </c>
      <c r="E84" t="s">
        <v>33</v>
      </c>
      <c r="H84">
        <v>31096</v>
      </c>
      <c r="L84" s="18">
        <f t="shared" si="2"/>
        <v>0</v>
      </c>
      <c r="M84">
        <f t="shared" si="3"/>
        <v>31096</v>
      </c>
    </row>
    <row r="85" spans="1:13" x14ac:dyDescent="0.2">
      <c r="A85">
        <f>IF(ISBLANK(E85),"",VLOOKUP(E85,code!B:C,2,FALSE))</f>
        <v>1</v>
      </c>
      <c r="B85">
        <v>2017</v>
      </c>
      <c r="C85">
        <v>110635</v>
      </c>
      <c r="D85" t="s">
        <v>72</v>
      </c>
      <c r="E85" t="s">
        <v>9</v>
      </c>
      <c r="L85" s="18">
        <f t="shared" si="2"/>
        <v>0</v>
      </c>
      <c r="M85">
        <f t="shared" si="3"/>
        <v>0</v>
      </c>
    </row>
    <row r="86" spans="1:13" x14ac:dyDescent="0.2">
      <c r="A86">
        <f>IF(ISBLANK(E86),"",VLOOKUP(E86,code!B:C,2,FALSE))</f>
        <v>2</v>
      </c>
      <c r="B86">
        <v>2017</v>
      </c>
      <c r="C86">
        <v>110635</v>
      </c>
      <c r="D86" t="s">
        <v>72</v>
      </c>
      <c r="E86" t="s">
        <v>10</v>
      </c>
      <c r="F86" s="18">
        <v>321208</v>
      </c>
      <c r="H86" s="18">
        <v>286625</v>
      </c>
      <c r="L86" s="18">
        <f t="shared" si="2"/>
        <v>321208</v>
      </c>
      <c r="M86">
        <f t="shared" si="3"/>
        <v>286625</v>
      </c>
    </row>
    <row r="87" spans="1:13" x14ac:dyDescent="0.2">
      <c r="A87">
        <f>IF(ISBLANK(E87),"",VLOOKUP(E87,code!B:C,2,FALSE))</f>
        <v>8</v>
      </c>
      <c r="B87">
        <v>2017</v>
      </c>
      <c r="C87">
        <v>110635</v>
      </c>
      <c r="D87" t="s">
        <v>72</v>
      </c>
      <c r="E87" t="s">
        <v>16</v>
      </c>
      <c r="F87" s="18">
        <v>1190737</v>
      </c>
      <c r="L87" s="18">
        <f t="shared" si="2"/>
        <v>1190737</v>
      </c>
      <c r="M87">
        <f t="shared" si="3"/>
        <v>0</v>
      </c>
    </row>
    <row r="88" spans="1:13" x14ac:dyDescent="0.2">
      <c r="A88">
        <f>IF(ISBLANK(E88),"",VLOOKUP(E88,code!B:C,2,FALSE))</f>
        <v>3</v>
      </c>
      <c r="B88">
        <v>2017</v>
      </c>
      <c r="C88">
        <v>110635</v>
      </c>
      <c r="D88" t="s">
        <v>72</v>
      </c>
      <c r="E88" t="s">
        <v>11</v>
      </c>
      <c r="L88" s="18">
        <f t="shared" si="2"/>
        <v>0</v>
      </c>
      <c r="M88">
        <f t="shared" si="3"/>
        <v>0</v>
      </c>
    </row>
    <row r="89" spans="1:13" x14ac:dyDescent="0.2">
      <c r="A89">
        <f>IF(ISBLANK(E89),"",VLOOKUP(E89,code!B:C,2,FALSE))</f>
        <v>7</v>
      </c>
      <c r="B89">
        <v>2017</v>
      </c>
      <c r="C89">
        <v>110635</v>
      </c>
      <c r="D89" t="s">
        <v>72</v>
      </c>
      <c r="E89" t="s">
        <v>15</v>
      </c>
      <c r="L89" s="18">
        <f t="shared" si="2"/>
        <v>0</v>
      </c>
      <c r="M89">
        <f t="shared" si="3"/>
        <v>0</v>
      </c>
    </row>
    <row r="90" spans="1:13" x14ac:dyDescent="0.2">
      <c r="A90">
        <f>IF(ISBLANK(E90),"",VLOOKUP(E90,code!B:C,2,FALSE))</f>
        <v>9</v>
      </c>
      <c r="B90">
        <v>2017</v>
      </c>
      <c r="C90">
        <v>110635</v>
      </c>
      <c r="D90" t="s">
        <v>72</v>
      </c>
      <c r="E90" t="s">
        <v>17</v>
      </c>
      <c r="L90" s="18">
        <f t="shared" si="2"/>
        <v>0</v>
      </c>
      <c r="M90">
        <f t="shared" si="3"/>
        <v>0</v>
      </c>
    </row>
    <row r="91" spans="1:13" x14ac:dyDescent="0.2">
      <c r="A91">
        <f>IF(ISBLANK(E91),"",VLOOKUP(E91,code!B:C,2,FALSE))</f>
        <v>10</v>
      </c>
      <c r="B91">
        <v>2017</v>
      </c>
      <c r="C91">
        <v>110635</v>
      </c>
      <c r="D91" t="s">
        <v>72</v>
      </c>
      <c r="E91" t="s">
        <v>18</v>
      </c>
      <c r="L91" s="18">
        <f t="shared" si="2"/>
        <v>0</v>
      </c>
      <c r="M91">
        <f t="shared" si="3"/>
        <v>0</v>
      </c>
    </row>
    <row r="92" spans="1:13" x14ac:dyDescent="0.2">
      <c r="A92">
        <f>IF(ISBLANK(E92),"",VLOOKUP(E92,code!B:C,2,FALSE))</f>
        <v>12</v>
      </c>
      <c r="B92">
        <v>2017</v>
      </c>
      <c r="C92">
        <v>110635</v>
      </c>
      <c r="D92" t="s">
        <v>72</v>
      </c>
      <c r="E92" t="s">
        <v>20</v>
      </c>
      <c r="L92" s="18">
        <f t="shared" ref="L92:L136" si="4">SUM(F92:G92)</f>
        <v>0</v>
      </c>
      <c r="M92">
        <f t="shared" ref="M92:M136" si="5">SUM(H92:I92)</f>
        <v>0</v>
      </c>
    </row>
    <row r="93" spans="1:13" x14ac:dyDescent="0.2">
      <c r="A93">
        <f>IF(ISBLANK(E93),"",VLOOKUP(E93,code!B:C,2,FALSE))</f>
        <v>14</v>
      </c>
      <c r="B93">
        <v>2017</v>
      </c>
      <c r="C93">
        <v>110635</v>
      </c>
      <c r="D93" t="s">
        <v>72</v>
      </c>
      <c r="E93" t="s">
        <v>22</v>
      </c>
      <c r="H93" s="18">
        <v>26479</v>
      </c>
      <c r="L93" s="18">
        <f t="shared" si="4"/>
        <v>0</v>
      </c>
      <c r="M93">
        <f t="shared" si="5"/>
        <v>26479</v>
      </c>
    </row>
    <row r="94" spans="1:13" x14ac:dyDescent="0.2">
      <c r="A94">
        <f>IF(ISBLANK(E94),"",VLOOKUP(E94,code!B:C,2,FALSE))</f>
        <v>17</v>
      </c>
      <c r="B94">
        <v>2017</v>
      </c>
      <c r="C94">
        <v>110635</v>
      </c>
      <c r="D94" t="s">
        <v>72</v>
      </c>
      <c r="E94" t="s">
        <v>25</v>
      </c>
      <c r="L94" s="18">
        <f t="shared" si="4"/>
        <v>0</v>
      </c>
      <c r="M94">
        <f t="shared" si="5"/>
        <v>0</v>
      </c>
    </row>
    <row r="95" spans="1:13" x14ac:dyDescent="0.2">
      <c r="A95">
        <f>IF(ISBLANK(E95),"",VLOOKUP(E95,code!B:C,2,FALSE))</f>
        <v>18</v>
      </c>
      <c r="B95">
        <v>2017</v>
      </c>
      <c r="C95">
        <v>110635</v>
      </c>
      <c r="D95" t="s">
        <v>72</v>
      </c>
      <c r="E95" t="s">
        <v>26</v>
      </c>
      <c r="L95" s="18">
        <f t="shared" si="4"/>
        <v>0</v>
      </c>
      <c r="M95">
        <f t="shared" si="5"/>
        <v>0</v>
      </c>
    </row>
    <row r="96" spans="1:13" x14ac:dyDescent="0.2">
      <c r="A96">
        <f>IF(ISBLANK(E96),"",VLOOKUP(E96,code!B:C,2,FALSE))</f>
        <v>19</v>
      </c>
      <c r="B96">
        <v>2017</v>
      </c>
      <c r="C96">
        <v>110635</v>
      </c>
      <c r="D96" t="s">
        <v>72</v>
      </c>
      <c r="E96" t="s">
        <v>27</v>
      </c>
      <c r="L96" s="18">
        <f t="shared" si="4"/>
        <v>0</v>
      </c>
      <c r="M96">
        <f t="shared" si="5"/>
        <v>0</v>
      </c>
    </row>
    <row r="97" spans="1:13" x14ac:dyDescent="0.2">
      <c r="A97">
        <f>IF(ISBLANK(E97),"",VLOOKUP(E97,code!B:C,2,FALSE))</f>
        <v>20</v>
      </c>
      <c r="B97">
        <v>2017</v>
      </c>
      <c r="C97">
        <v>110635</v>
      </c>
      <c r="D97" t="s">
        <v>72</v>
      </c>
      <c r="E97" t="s">
        <v>28</v>
      </c>
      <c r="F97">
        <v>981</v>
      </c>
      <c r="H97" s="18">
        <v>2919</v>
      </c>
      <c r="L97" s="18">
        <f t="shared" si="4"/>
        <v>981</v>
      </c>
      <c r="M97">
        <f t="shared" si="5"/>
        <v>2919</v>
      </c>
    </row>
    <row r="98" spans="1:13" x14ac:dyDescent="0.2">
      <c r="A98">
        <f>IF(ISBLANK(E98),"",VLOOKUP(E98,code!B:C,2,FALSE))</f>
        <v>21</v>
      </c>
      <c r="B98">
        <v>2017</v>
      </c>
      <c r="C98">
        <v>110635</v>
      </c>
      <c r="D98" t="s">
        <v>72</v>
      </c>
      <c r="E98" t="s">
        <v>30</v>
      </c>
      <c r="L98" s="18">
        <f t="shared" si="4"/>
        <v>0</v>
      </c>
      <c r="M98">
        <f t="shared" si="5"/>
        <v>0</v>
      </c>
    </row>
    <row r="99" spans="1:13" x14ac:dyDescent="0.2">
      <c r="A99">
        <f>IF(ISBLANK(E99),"",VLOOKUP(E99,code!B:C,2,FALSE))</f>
        <v>23</v>
      </c>
      <c r="B99">
        <v>2017</v>
      </c>
      <c r="C99">
        <v>110635</v>
      </c>
      <c r="D99" t="s">
        <v>72</v>
      </c>
      <c r="E99" t="s">
        <v>33</v>
      </c>
      <c r="H99" s="18">
        <v>76784</v>
      </c>
      <c r="L99" s="18">
        <f t="shared" si="4"/>
        <v>0</v>
      </c>
      <c r="M99">
        <f t="shared" si="5"/>
        <v>76784</v>
      </c>
    </row>
    <row r="100" spans="1:13" x14ac:dyDescent="0.2">
      <c r="A100">
        <f>IF(ISBLANK(E100),"",VLOOKUP(E100,code!B:C,2,FALSE))</f>
        <v>24</v>
      </c>
      <c r="B100">
        <v>2017</v>
      </c>
      <c r="C100">
        <v>110635</v>
      </c>
      <c r="D100" t="s">
        <v>72</v>
      </c>
      <c r="E100" t="s">
        <v>34</v>
      </c>
      <c r="L100" s="18">
        <f t="shared" si="4"/>
        <v>0</v>
      </c>
      <c r="M100">
        <f t="shared" si="5"/>
        <v>0</v>
      </c>
    </row>
    <row r="101" spans="1:13" x14ac:dyDescent="0.2">
      <c r="A101">
        <f>IF(ISBLANK(E101),"",VLOOKUP(E101,code!B:C,2,FALSE))</f>
        <v>1</v>
      </c>
      <c r="B101">
        <v>2018</v>
      </c>
      <c r="C101">
        <v>110635</v>
      </c>
      <c r="D101" t="s">
        <v>72</v>
      </c>
      <c r="E101" t="s">
        <v>9</v>
      </c>
      <c r="L101" s="18">
        <f t="shared" si="4"/>
        <v>0</v>
      </c>
      <c r="M101">
        <f t="shared" si="5"/>
        <v>0</v>
      </c>
    </row>
    <row r="102" spans="1:13" x14ac:dyDescent="0.2">
      <c r="A102">
        <f>IF(ISBLANK(E102),"",VLOOKUP(E102,code!B:C,2,FALSE))</f>
        <v>2</v>
      </c>
      <c r="B102">
        <v>2018</v>
      </c>
      <c r="C102">
        <v>110635</v>
      </c>
      <c r="D102" t="s">
        <v>72</v>
      </c>
      <c r="E102" t="s">
        <v>10</v>
      </c>
      <c r="F102" s="18">
        <v>400997</v>
      </c>
      <c r="H102" s="18">
        <v>284311</v>
      </c>
      <c r="L102" s="18">
        <f t="shared" si="4"/>
        <v>400997</v>
      </c>
      <c r="M102">
        <f t="shared" si="5"/>
        <v>284311</v>
      </c>
    </row>
    <row r="103" spans="1:13" x14ac:dyDescent="0.2">
      <c r="A103">
        <f>IF(ISBLANK(E103),"",VLOOKUP(E103,code!B:C,2,FALSE))</f>
        <v>8</v>
      </c>
      <c r="B103">
        <v>2018</v>
      </c>
      <c r="C103">
        <v>110635</v>
      </c>
      <c r="D103" t="s">
        <v>72</v>
      </c>
      <c r="E103" t="s">
        <v>16</v>
      </c>
      <c r="F103" s="18">
        <v>2022594</v>
      </c>
      <c r="L103" s="18">
        <f t="shared" si="4"/>
        <v>2022594</v>
      </c>
      <c r="M103">
        <f t="shared" si="5"/>
        <v>0</v>
      </c>
    </row>
    <row r="104" spans="1:13" x14ac:dyDescent="0.2">
      <c r="A104">
        <f>IF(ISBLANK(E104),"",VLOOKUP(E104,code!B:C,2,FALSE))</f>
        <v>10</v>
      </c>
      <c r="B104">
        <v>2018</v>
      </c>
      <c r="C104">
        <v>110635</v>
      </c>
      <c r="D104" t="s">
        <v>72</v>
      </c>
      <c r="E104" t="s">
        <v>18</v>
      </c>
      <c r="H104">
        <v>202</v>
      </c>
      <c r="L104" s="18">
        <f t="shared" si="4"/>
        <v>0</v>
      </c>
      <c r="M104">
        <f t="shared" si="5"/>
        <v>202</v>
      </c>
    </row>
    <row r="105" spans="1:13" x14ac:dyDescent="0.2">
      <c r="A105">
        <f>IF(ISBLANK(E105),"",VLOOKUP(E105,code!B:C,2,FALSE))</f>
        <v>3</v>
      </c>
      <c r="B105">
        <v>2018</v>
      </c>
      <c r="C105">
        <v>110635</v>
      </c>
      <c r="D105" t="s">
        <v>72</v>
      </c>
      <c r="E105" t="s">
        <v>11</v>
      </c>
      <c r="L105" s="18">
        <f t="shared" si="4"/>
        <v>0</v>
      </c>
      <c r="M105">
        <f t="shared" si="5"/>
        <v>0</v>
      </c>
    </row>
    <row r="106" spans="1:13" x14ac:dyDescent="0.2">
      <c r="A106">
        <f>IF(ISBLANK(E106),"",VLOOKUP(E106,code!B:C,2,FALSE))</f>
        <v>7</v>
      </c>
      <c r="B106">
        <v>2018</v>
      </c>
      <c r="C106">
        <v>110635</v>
      </c>
      <c r="D106" t="s">
        <v>72</v>
      </c>
      <c r="E106" t="s">
        <v>15</v>
      </c>
      <c r="L106" s="18">
        <f t="shared" si="4"/>
        <v>0</v>
      </c>
      <c r="M106">
        <f t="shared" si="5"/>
        <v>0</v>
      </c>
    </row>
    <row r="107" spans="1:13" x14ac:dyDescent="0.2">
      <c r="A107">
        <f>IF(ISBLANK(E107),"",VLOOKUP(E107,code!B:C,2,FALSE))</f>
        <v>9</v>
      </c>
      <c r="B107">
        <v>2018</v>
      </c>
      <c r="C107">
        <v>110635</v>
      </c>
      <c r="D107" t="s">
        <v>72</v>
      </c>
      <c r="E107" t="s">
        <v>17</v>
      </c>
      <c r="L107" s="18">
        <f t="shared" si="4"/>
        <v>0</v>
      </c>
      <c r="M107">
        <f t="shared" si="5"/>
        <v>0</v>
      </c>
    </row>
    <row r="108" spans="1:13" x14ac:dyDescent="0.2">
      <c r="A108">
        <f>IF(ISBLANK(E108),"",VLOOKUP(E108,code!B:C,2,FALSE))</f>
        <v>12</v>
      </c>
      <c r="B108">
        <v>2018</v>
      </c>
      <c r="C108">
        <v>110635</v>
      </c>
      <c r="D108" t="s">
        <v>72</v>
      </c>
      <c r="E108" t="s">
        <v>20</v>
      </c>
      <c r="H108">
        <v>455</v>
      </c>
      <c r="L108" s="18">
        <f t="shared" si="4"/>
        <v>0</v>
      </c>
      <c r="M108">
        <f t="shared" si="5"/>
        <v>455</v>
      </c>
    </row>
    <row r="109" spans="1:13" x14ac:dyDescent="0.2">
      <c r="A109">
        <f>IF(ISBLANK(E109),"",VLOOKUP(E109,code!B:C,2,FALSE))</f>
        <v>14</v>
      </c>
      <c r="B109">
        <v>2018</v>
      </c>
      <c r="C109">
        <v>110635</v>
      </c>
      <c r="D109" t="s">
        <v>72</v>
      </c>
      <c r="E109" t="s">
        <v>22</v>
      </c>
      <c r="H109" s="18">
        <v>20412</v>
      </c>
      <c r="L109" s="18">
        <f t="shared" si="4"/>
        <v>0</v>
      </c>
      <c r="M109">
        <f t="shared" si="5"/>
        <v>20412</v>
      </c>
    </row>
    <row r="110" spans="1:13" x14ac:dyDescent="0.2">
      <c r="A110">
        <f>IF(ISBLANK(E110),"",VLOOKUP(E110,code!B:C,2,FALSE))</f>
        <v>17</v>
      </c>
      <c r="B110">
        <v>2018</v>
      </c>
      <c r="C110">
        <v>110635</v>
      </c>
      <c r="D110" t="s">
        <v>72</v>
      </c>
      <c r="E110" t="s">
        <v>25</v>
      </c>
      <c r="L110" s="18">
        <f t="shared" si="4"/>
        <v>0</v>
      </c>
      <c r="M110">
        <f t="shared" si="5"/>
        <v>0</v>
      </c>
    </row>
    <row r="111" spans="1:13" x14ac:dyDescent="0.2">
      <c r="A111">
        <f>IF(ISBLANK(E111),"",VLOOKUP(E111,code!B:C,2,FALSE))</f>
        <v>18</v>
      </c>
      <c r="B111">
        <v>2018</v>
      </c>
      <c r="C111">
        <v>110635</v>
      </c>
      <c r="D111" t="s">
        <v>72</v>
      </c>
      <c r="E111" t="s">
        <v>26</v>
      </c>
      <c r="L111" s="18">
        <f t="shared" si="4"/>
        <v>0</v>
      </c>
      <c r="M111">
        <f t="shared" si="5"/>
        <v>0</v>
      </c>
    </row>
    <row r="112" spans="1:13" x14ac:dyDescent="0.2">
      <c r="A112">
        <f>IF(ISBLANK(E112),"",VLOOKUP(E112,code!B:C,2,FALSE))</f>
        <v>19</v>
      </c>
      <c r="B112">
        <v>2018</v>
      </c>
      <c r="C112">
        <v>110635</v>
      </c>
      <c r="D112" t="s">
        <v>72</v>
      </c>
      <c r="E112" t="s">
        <v>27</v>
      </c>
      <c r="L112" s="18">
        <f t="shared" si="4"/>
        <v>0</v>
      </c>
      <c r="M112">
        <f t="shared" si="5"/>
        <v>0</v>
      </c>
    </row>
    <row r="113" spans="1:13" x14ac:dyDescent="0.2">
      <c r="A113">
        <f>IF(ISBLANK(E113),"",VLOOKUP(E113,code!B:C,2,FALSE))</f>
        <v>20</v>
      </c>
      <c r="B113">
        <v>2018</v>
      </c>
      <c r="C113">
        <v>110635</v>
      </c>
      <c r="D113" t="s">
        <v>72</v>
      </c>
      <c r="E113" t="s">
        <v>28</v>
      </c>
      <c r="F113" s="18">
        <v>6805</v>
      </c>
      <c r="H113" s="18">
        <v>3075</v>
      </c>
      <c r="L113" s="18">
        <f t="shared" si="4"/>
        <v>6805</v>
      </c>
      <c r="M113">
        <f t="shared" si="5"/>
        <v>3075</v>
      </c>
    </row>
    <row r="114" spans="1:13" x14ac:dyDescent="0.2">
      <c r="A114">
        <f>IF(ISBLANK(E114),"",VLOOKUP(E114,code!B:C,2,FALSE))</f>
        <v>21</v>
      </c>
      <c r="B114">
        <v>2018</v>
      </c>
      <c r="C114">
        <v>110635</v>
      </c>
      <c r="D114" t="s">
        <v>72</v>
      </c>
      <c r="E114" t="s">
        <v>30</v>
      </c>
      <c r="L114" s="18">
        <f t="shared" si="4"/>
        <v>0</v>
      </c>
      <c r="M114">
        <f t="shared" si="5"/>
        <v>0</v>
      </c>
    </row>
    <row r="115" spans="1:13" x14ac:dyDescent="0.2">
      <c r="A115">
        <f>IF(ISBLANK(E115),"",VLOOKUP(E115,code!B:C,2,FALSE))</f>
        <v>23</v>
      </c>
      <c r="B115">
        <v>2018</v>
      </c>
      <c r="C115">
        <v>110635</v>
      </c>
      <c r="D115" t="s">
        <v>72</v>
      </c>
      <c r="E115" t="s">
        <v>33</v>
      </c>
      <c r="H115" s="18">
        <v>87020</v>
      </c>
      <c r="L115" s="18">
        <f t="shared" si="4"/>
        <v>0</v>
      </c>
      <c r="M115">
        <f t="shared" si="5"/>
        <v>87020</v>
      </c>
    </row>
    <row r="116" spans="1:13" x14ac:dyDescent="0.2">
      <c r="A116">
        <f>IF(ISBLANK(E116),"",VLOOKUP(E116,code!B:C,2,FALSE))</f>
        <v>24</v>
      </c>
      <c r="B116">
        <v>2018</v>
      </c>
      <c r="C116">
        <v>110635</v>
      </c>
      <c r="D116" t="s">
        <v>72</v>
      </c>
      <c r="E116" t="s">
        <v>34</v>
      </c>
      <c r="L116" s="18">
        <f t="shared" si="4"/>
        <v>0</v>
      </c>
      <c r="M116">
        <f t="shared" si="5"/>
        <v>0</v>
      </c>
    </row>
    <row r="117" spans="1:13" x14ac:dyDescent="0.2">
      <c r="A117">
        <f>IF(ISBLANK(E117),"",VLOOKUP(E117,code!B:C,2,FALSE))</f>
        <v>1</v>
      </c>
      <c r="B117">
        <v>2019</v>
      </c>
      <c r="C117">
        <v>110635</v>
      </c>
      <c r="D117" t="s">
        <v>72</v>
      </c>
      <c r="E117" t="s">
        <v>9</v>
      </c>
      <c r="L117" s="18">
        <f t="shared" si="4"/>
        <v>0</v>
      </c>
      <c r="M117">
        <f t="shared" si="5"/>
        <v>0</v>
      </c>
    </row>
    <row r="118" spans="1:13" x14ac:dyDescent="0.2">
      <c r="A118">
        <f>IF(ISBLANK(E118),"",VLOOKUP(E118,code!B:C,2,FALSE))</f>
        <v>2</v>
      </c>
      <c r="B118">
        <v>2019</v>
      </c>
      <c r="C118">
        <v>110635</v>
      </c>
      <c r="D118" t="s">
        <v>72</v>
      </c>
      <c r="E118" t="s">
        <v>10</v>
      </c>
      <c r="F118" s="18">
        <v>397720</v>
      </c>
      <c r="H118" s="18">
        <v>323301</v>
      </c>
      <c r="L118" s="18">
        <f t="shared" si="4"/>
        <v>397720</v>
      </c>
      <c r="M118">
        <f t="shared" si="5"/>
        <v>323301</v>
      </c>
    </row>
    <row r="119" spans="1:13" x14ac:dyDescent="0.2">
      <c r="A119">
        <f>IF(ISBLANK(E119),"",VLOOKUP(E119,code!B:C,2,FALSE))</f>
        <v>8</v>
      </c>
      <c r="B119">
        <v>2019</v>
      </c>
      <c r="C119">
        <v>110635</v>
      </c>
      <c r="D119" t="s">
        <v>72</v>
      </c>
      <c r="E119" t="s">
        <v>16</v>
      </c>
      <c r="F119" s="18">
        <v>2005873</v>
      </c>
      <c r="L119" s="18">
        <f t="shared" si="4"/>
        <v>2005873</v>
      </c>
      <c r="M119">
        <f t="shared" si="5"/>
        <v>0</v>
      </c>
    </row>
    <row r="120" spans="1:13" x14ac:dyDescent="0.2">
      <c r="A120">
        <f>IF(ISBLANK(E120),"",VLOOKUP(E120,code!B:C,2,FALSE))</f>
        <v>3</v>
      </c>
      <c r="B120">
        <v>2019</v>
      </c>
      <c r="C120">
        <v>110635</v>
      </c>
      <c r="D120" t="s">
        <v>72</v>
      </c>
      <c r="E120" t="s">
        <v>11</v>
      </c>
      <c r="L120" s="18">
        <f t="shared" si="4"/>
        <v>0</v>
      </c>
      <c r="M120">
        <f t="shared" si="5"/>
        <v>0</v>
      </c>
    </row>
    <row r="121" spans="1:13" x14ac:dyDescent="0.2">
      <c r="A121">
        <f>IF(ISBLANK(E121),"",VLOOKUP(E121,code!B:C,2,FALSE))</f>
        <v>7</v>
      </c>
      <c r="B121">
        <v>2019</v>
      </c>
      <c r="C121">
        <v>110635</v>
      </c>
      <c r="D121" t="s">
        <v>72</v>
      </c>
      <c r="E121" t="s">
        <v>15</v>
      </c>
      <c r="H121">
        <v>178</v>
      </c>
      <c r="L121" s="18">
        <f t="shared" si="4"/>
        <v>0</v>
      </c>
      <c r="M121">
        <f t="shared" si="5"/>
        <v>178</v>
      </c>
    </row>
    <row r="122" spans="1:13" x14ac:dyDescent="0.2">
      <c r="A122">
        <f>IF(ISBLANK(E122),"",VLOOKUP(E122,code!B:C,2,FALSE))</f>
        <v>9</v>
      </c>
      <c r="B122">
        <v>2019</v>
      </c>
      <c r="C122">
        <v>110635</v>
      </c>
      <c r="D122" t="s">
        <v>72</v>
      </c>
      <c r="E122" t="s">
        <v>17</v>
      </c>
      <c r="H122">
        <v>213</v>
      </c>
      <c r="L122" s="18">
        <f t="shared" si="4"/>
        <v>0</v>
      </c>
      <c r="M122">
        <f t="shared" si="5"/>
        <v>213</v>
      </c>
    </row>
    <row r="123" spans="1:13" x14ac:dyDescent="0.2">
      <c r="A123">
        <f>IF(ISBLANK(E123),"",VLOOKUP(E123,code!B:C,2,FALSE))</f>
        <v>10</v>
      </c>
      <c r="B123">
        <v>2019</v>
      </c>
      <c r="C123">
        <v>110635</v>
      </c>
      <c r="D123" t="s">
        <v>72</v>
      </c>
      <c r="E123" t="s">
        <v>18</v>
      </c>
      <c r="H123" s="18">
        <v>3850</v>
      </c>
      <c r="L123" s="18">
        <f t="shared" si="4"/>
        <v>0</v>
      </c>
      <c r="M123">
        <f t="shared" si="5"/>
        <v>3850</v>
      </c>
    </row>
    <row r="124" spans="1:13" x14ac:dyDescent="0.2">
      <c r="A124">
        <f>IF(ISBLANK(E124),"",VLOOKUP(E124,code!B:C,2,FALSE))</f>
        <v>12</v>
      </c>
      <c r="B124">
        <v>2019</v>
      </c>
      <c r="C124">
        <v>110635</v>
      </c>
      <c r="D124" t="s">
        <v>72</v>
      </c>
      <c r="E124" t="s">
        <v>20</v>
      </c>
      <c r="L124" s="18">
        <f t="shared" si="4"/>
        <v>0</v>
      </c>
      <c r="M124">
        <f t="shared" si="5"/>
        <v>0</v>
      </c>
    </row>
    <row r="125" spans="1:13" x14ac:dyDescent="0.2">
      <c r="A125">
        <f>IF(ISBLANK(E125),"",VLOOKUP(E125,code!B:C,2,FALSE))</f>
        <v>14</v>
      </c>
      <c r="B125">
        <v>2019</v>
      </c>
      <c r="C125">
        <v>110635</v>
      </c>
      <c r="D125" t="s">
        <v>72</v>
      </c>
      <c r="E125" t="s">
        <v>22</v>
      </c>
      <c r="H125" s="18">
        <v>26078</v>
      </c>
      <c r="L125" s="18">
        <f t="shared" si="4"/>
        <v>0</v>
      </c>
      <c r="M125">
        <f t="shared" si="5"/>
        <v>26078</v>
      </c>
    </row>
    <row r="126" spans="1:13" x14ac:dyDescent="0.2">
      <c r="A126">
        <f>IF(ISBLANK(E126),"",VLOOKUP(E126,code!B:C,2,FALSE))</f>
        <v>17</v>
      </c>
      <c r="B126">
        <v>2019</v>
      </c>
      <c r="C126">
        <v>110635</v>
      </c>
      <c r="D126" t="s">
        <v>72</v>
      </c>
      <c r="E126" t="s">
        <v>25</v>
      </c>
      <c r="F126" s="18">
        <v>2204</v>
      </c>
      <c r="L126" s="18">
        <f t="shared" si="4"/>
        <v>2204</v>
      </c>
      <c r="M126">
        <f t="shared" si="5"/>
        <v>0</v>
      </c>
    </row>
    <row r="127" spans="1:13" x14ac:dyDescent="0.2">
      <c r="A127">
        <f>IF(ISBLANK(E127),"",VLOOKUP(E127,code!B:C,2,FALSE))</f>
        <v>18</v>
      </c>
      <c r="B127">
        <v>2019</v>
      </c>
      <c r="C127">
        <v>110635</v>
      </c>
      <c r="D127" t="s">
        <v>72</v>
      </c>
      <c r="E127" t="s">
        <v>26</v>
      </c>
      <c r="H127">
        <v>231</v>
      </c>
      <c r="L127" s="18">
        <f t="shared" si="4"/>
        <v>0</v>
      </c>
      <c r="M127">
        <f t="shared" si="5"/>
        <v>231</v>
      </c>
    </row>
    <row r="128" spans="1:13" x14ac:dyDescent="0.2">
      <c r="A128">
        <f>IF(ISBLANK(E128),"",VLOOKUP(E128,code!B:C,2,FALSE))</f>
        <v>19</v>
      </c>
      <c r="B128">
        <v>2019</v>
      </c>
      <c r="C128">
        <v>110635</v>
      </c>
      <c r="D128" t="s">
        <v>72</v>
      </c>
      <c r="E128" t="s">
        <v>27</v>
      </c>
      <c r="F128">
        <v>355</v>
      </c>
      <c r="L128" s="18">
        <f t="shared" si="4"/>
        <v>355</v>
      </c>
      <c r="M128">
        <f t="shared" si="5"/>
        <v>0</v>
      </c>
    </row>
    <row r="129" spans="1:13" x14ac:dyDescent="0.2">
      <c r="A129">
        <f>IF(ISBLANK(E129),"",VLOOKUP(E129,code!B:C,2,FALSE))</f>
        <v>20</v>
      </c>
      <c r="B129">
        <v>2019</v>
      </c>
      <c r="C129">
        <v>110635</v>
      </c>
      <c r="D129" t="s">
        <v>72</v>
      </c>
      <c r="E129" t="s">
        <v>28</v>
      </c>
      <c r="F129" s="18">
        <v>3398</v>
      </c>
      <c r="H129" s="18">
        <v>3066</v>
      </c>
      <c r="L129" s="18">
        <f t="shared" si="4"/>
        <v>3398</v>
      </c>
      <c r="M129">
        <f t="shared" si="5"/>
        <v>3066</v>
      </c>
    </row>
    <row r="130" spans="1:13" x14ac:dyDescent="0.2">
      <c r="A130">
        <f>IF(ISBLANK(E130),"",VLOOKUP(E130,code!B:C,2,FALSE))</f>
        <v>21</v>
      </c>
      <c r="B130">
        <v>2019</v>
      </c>
      <c r="C130">
        <v>110635</v>
      </c>
      <c r="D130" t="s">
        <v>72</v>
      </c>
      <c r="E130" t="s">
        <v>30</v>
      </c>
      <c r="F130" s="18">
        <v>1227</v>
      </c>
      <c r="H130" s="18">
        <v>1226</v>
      </c>
      <c r="L130" s="18">
        <f t="shared" si="4"/>
        <v>1227</v>
      </c>
      <c r="M130">
        <f t="shared" si="5"/>
        <v>1226</v>
      </c>
    </row>
    <row r="131" spans="1:13" x14ac:dyDescent="0.2">
      <c r="A131">
        <f>IF(ISBLANK(E131),"",VLOOKUP(E131,code!B:C,2,FALSE))</f>
        <v>23</v>
      </c>
      <c r="B131">
        <v>2019</v>
      </c>
      <c r="C131">
        <v>110635</v>
      </c>
      <c r="D131" t="s">
        <v>72</v>
      </c>
      <c r="E131" t="s">
        <v>33</v>
      </c>
      <c r="H131" s="18">
        <v>94801</v>
      </c>
      <c r="L131" s="18">
        <f t="shared" si="4"/>
        <v>0</v>
      </c>
      <c r="M131">
        <f t="shared" si="5"/>
        <v>94801</v>
      </c>
    </row>
    <row r="132" spans="1:13" x14ac:dyDescent="0.2">
      <c r="A132">
        <f>IF(ISBLANK(E132),"",VLOOKUP(E132,code!B:C,2,FALSE))</f>
        <v>24</v>
      </c>
      <c r="B132">
        <v>2019</v>
      </c>
      <c r="C132">
        <v>110635</v>
      </c>
      <c r="D132" t="s">
        <v>72</v>
      </c>
      <c r="E132" t="s">
        <v>34</v>
      </c>
      <c r="H132">
        <v>569</v>
      </c>
      <c r="L132" s="18">
        <f t="shared" si="4"/>
        <v>0</v>
      </c>
      <c r="M132">
        <f t="shared" si="5"/>
        <v>569</v>
      </c>
    </row>
    <row r="133" spans="1:13" x14ac:dyDescent="0.2">
      <c r="A133">
        <f>IF(ISBLANK(E133),"",VLOOKUP(E133,code!B:C,2,FALSE))</f>
        <v>1</v>
      </c>
      <c r="B133">
        <v>2020</v>
      </c>
      <c r="C133">
        <v>110635</v>
      </c>
      <c r="D133" t="s">
        <v>72</v>
      </c>
      <c r="E133" t="s">
        <v>9</v>
      </c>
      <c r="L133" s="18">
        <f t="shared" si="4"/>
        <v>0</v>
      </c>
      <c r="M133">
        <f t="shared" si="5"/>
        <v>0</v>
      </c>
    </row>
    <row r="134" spans="1:13" x14ac:dyDescent="0.2">
      <c r="A134">
        <f>IF(ISBLANK(E134),"",VLOOKUP(E134,code!B:C,2,FALSE))</f>
        <v>2</v>
      </c>
      <c r="B134">
        <v>2020</v>
      </c>
      <c r="C134">
        <v>110635</v>
      </c>
      <c r="D134" t="s">
        <v>72</v>
      </c>
      <c r="E134" t="s">
        <v>10</v>
      </c>
      <c r="F134" s="18">
        <v>482062</v>
      </c>
      <c r="H134" s="18">
        <v>300721</v>
      </c>
      <c r="L134" s="18">
        <f t="shared" si="4"/>
        <v>482062</v>
      </c>
      <c r="M134">
        <f t="shared" si="5"/>
        <v>300721</v>
      </c>
    </row>
    <row r="135" spans="1:13" x14ac:dyDescent="0.2">
      <c r="A135">
        <f>IF(ISBLANK(E135),"",VLOOKUP(E135,code!B:C,2,FALSE))</f>
        <v>8</v>
      </c>
      <c r="B135">
        <v>2020</v>
      </c>
      <c r="C135">
        <v>110635</v>
      </c>
      <c r="D135" t="s">
        <v>72</v>
      </c>
      <c r="E135" t="s">
        <v>16</v>
      </c>
      <c r="F135" s="18">
        <v>2043179</v>
      </c>
      <c r="L135" s="18">
        <f t="shared" si="4"/>
        <v>2043179</v>
      </c>
      <c r="M135">
        <f t="shared" si="5"/>
        <v>0</v>
      </c>
    </row>
    <row r="136" spans="1:13" x14ac:dyDescent="0.2">
      <c r="A136">
        <f>IF(ISBLANK(E136),"",VLOOKUP(E136,code!B:C,2,FALSE))</f>
        <v>10</v>
      </c>
      <c r="B136">
        <v>2020</v>
      </c>
      <c r="C136">
        <v>110635</v>
      </c>
      <c r="D136" t="s">
        <v>72</v>
      </c>
      <c r="E136" t="s">
        <v>18</v>
      </c>
      <c r="H136">
        <v>938</v>
      </c>
      <c r="L136" s="18">
        <f t="shared" si="4"/>
        <v>0</v>
      </c>
      <c r="M136">
        <f t="shared" si="5"/>
        <v>938</v>
      </c>
    </row>
    <row r="137" spans="1:13" x14ac:dyDescent="0.2">
      <c r="A137">
        <f>IF(ISBLANK(E137),"",VLOOKUP(E137,code!B:C,2,FALSE))</f>
        <v>3</v>
      </c>
      <c r="B137">
        <v>2020</v>
      </c>
      <c r="C137">
        <v>110635</v>
      </c>
      <c r="D137" t="s">
        <v>72</v>
      </c>
      <c r="E137" t="s">
        <v>11</v>
      </c>
      <c r="L137" s="18">
        <f t="shared" ref="L137:L179" si="6">SUM(F137:G137)</f>
        <v>0</v>
      </c>
      <c r="M137">
        <f t="shared" ref="M137:M179" si="7">SUM(H137:I137)</f>
        <v>0</v>
      </c>
    </row>
    <row r="138" spans="1:13" x14ac:dyDescent="0.2">
      <c r="A138">
        <f>IF(ISBLANK(E138),"",VLOOKUP(E138,code!B:C,2,FALSE))</f>
        <v>7</v>
      </c>
      <c r="B138">
        <v>2020</v>
      </c>
      <c r="C138">
        <v>110635</v>
      </c>
      <c r="D138" t="s">
        <v>72</v>
      </c>
      <c r="E138" t="s">
        <v>15</v>
      </c>
      <c r="L138" s="18">
        <f t="shared" si="6"/>
        <v>0</v>
      </c>
      <c r="M138">
        <f t="shared" si="7"/>
        <v>0</v>
      </c>
    </row>
    <row r="139" spans="1:13" x14ac:dyDescent="0.2">
      <c r="A139">
        <f>IF(ISBLANK(E139),"",VLOOKUP(E139,code!B:C,2,FALSE))</f>
        <v>9</v>
      </c>
      <c r="B139">
        <v>2020</v>
      </c>
      <c r="C139">
        <v>110635</v>
      </c>
      <c r="D139" t="s">
        <v>72</v>
      </c>
      <c r="E139" t="s">
        <v>17</v>
      </c>
      <c r="L139" s="18">
        <f t="shared" si="6"/>
        <v>0</v>
      </c>
      <c r="M139">
        <f t="shared" si="7"/>
        <v>0</v>
      </c>
    </row>
    <row r="140" spans="1:13" x14ac:dyDescent="0.2">
      <c r="A140">
        <f>IF(ISBLANK(E140),"",VLOOKUP(E140,code!B:C,2,FALSE))</f>
        <v>12</v>
      </c>
      <c r="B140">
        <v>2020</v>
      </c>
      <c r="C140">
        <v>110635</v>
      </c>
      <c r="D140" t="s">
        <v>72</v>
      </c>
      <c r="E140" t="s">
        <v>20</v>
      </c>
      <c r="L140" s="18">
        <f>SUM(F140:G140)</f>
        <v>0</v>
      </c>
      <c r="M140">
        <f t="shared" si="7"/>
        <v>0</v>
      </c>
    </row>
    <row r="141" spans="1:13" x14ac:dyDescent="0.2">
      <c r="A141">
        <f>IF(ISBLANK(E141),"",VLOOKUP(E141,code!B:C,2,FALSE))</f>
        <v>14</v>
      </c>
      <c r="B141">
        <v>2020</v>
      </c>
      <c r="C141">
        <v>110635</v>
      </c>
      <c r="D141" t="s">
        <v>72</v>
      </c>
      <c r="E141" t="s">
        <v>22</v>
      </c>
      <c r="H141" s="18">
        <v>47315</v>
      </c>
      <c r="L141" s="18">
        <f t="shared" si="6"/>
        <v>0</v>
      </c>
      <c r="M141">
        <f t="shared" si="7"/>
        <v>47315</v>
      </c>
    </row>
    <row r="142" spans="1:13" x14ac:dyDescent="0.2">
      <c r="A142">
        <f>IF(ISBLANK(E142),"",VLOOKUP(E142,code!B:C,2,FALSE))</f>
        <v>17</v>
      </c>
      <c r="B142">
        <v>2020</v>
      </c>
      <c r="C142">
        <v>110635</v>
      </c>
      <c r="D142" t="s">
        <v>72</v>
      </c>
      <c r="E142" t="s">
        <v>25</v>
      </c>
      <c r="F142" s="18">
        <v>2490</v>
      </c>
      <c r="L142" s="18">
        <f t="shared" si="6"/>
        <v>2490</v>
      </c>
      <c r="M142">
        <f t="shared" si="7"/>
        <v>0</v>
      </c>
    </row>
    <row r="143" spans="1:13" x14ac:dyDescent="0.2">
      <c r="A143">
        <f>IF(ISBLANK(E143),"",VLOOKUP(E143,code!B:C,2,FALSE))</f>
        <v>18</v>
      </c>
      <c r="B143">
        <v>2020</v>
      </c>
      <c r="C143">
        <v>110635</v>
      </c>
      <c r="D143" t="s">
        <v>72</v>
      </c>
      <c r="E143" t="s">
        <v>26</v>
      </c>
      <c r="L143" s="18">
        <f t="shared" si="6"/>
        <v>0</v>
      </c>
      <c r="M143">
        <f t="shared" si="7"/>
        <v>0</v>
      </c>
    </row>
    <row r="144" spans="1:13" x14ac:dyDescent="0.2">
      <c r="A144">
        <f>IF(ISBLANK(E144),"",VLOOKUP(E144,code!B:C,2,FALSE))</f>
        <v>19</v>
      </c>
      <c r="B144">
        <v>2020</v>
      </c>
      <c r="C144">
        <v>110635</v>
      </c>
      <c r="D144" t="s">
        <v>72</v>
      </c>
      <c r="E144" t="s">
        <v>27</v>
      </c>
      <c r="F144" s="18">
        <v>14213</v>
      </c>
      <c r="H144">
        <v>900</v>
      </c>
      <c r="L144" s="18">
        <f t="shared" si="6"/>
        <v>14213</v>
      </c>
      <c r="M144">
        <f t="shared" si="7"/>
        <v>900</v>
      </c>
    </row>
    <row r="145" spans="1:13" x14ac:dyDescent="0.2">
      <c r="A145">
        <f>IF(ISBLANK(E145),"",VLOOKUP(E145,code!B:C,2,FALSE))</f>
        <v>20</v>
      </c>
      <c r="B145">
        <v>2020</v>
      </c>
      <c r="C145">
        <v>110635</v>
      </c>
      <c r="D145" t="s">
        <v>72</v>
      </c>
      <c r="E145" t="s">
        <v>28</v>
      </c>
      <c r="F145" s="18">
        <v>3879</v>
      </c>
      <c r="H145" s="18">
        <v>3198</v>
      </c>
      <c r="L145" s="18">
        <f t="shared" si="6"/>
        <v>3879</v>
      </c>
      <c r="M145">
        <f t="shared" si="7"/>
        <v>3198</v>
      </c>
    </row>
    <row r="146" spans="1:13" x14ac:dyDescent="0.2">
      <c r="A146">
        <f>IF(ISBLANK(E146),"",VLOOKUP(E146,code!B:C,2,FALSE))</f>
        <v>21</v>
      </c>
      <c r="B146">
        <v>2020</v>
      </c>
      <c r="C146">
        <v>110635</v>
      </c>
      <c r="D146" t="s">
        <v>72</v>
      </c>
      <c r="E146" t="s">
        <v>30</v>
      </c>
      <c r="F146">
        <v>375</v>
      </c>
      <c r="H146">
        <v>375</v>
      </c>
      <c r="L146" s="18">
        <f t="shared" si="6"/>
        <v>375</v>
      </c>
      <c r="M146">
        <f t="shared" si="7"/>
        <v>375</v>
      </c>
    </row>
    <row r="147" spans="1:13" x14ac:dyDescent="0.2">
      <c r="A147">
        <f>IF(ISBLANK(E147),"",VLOOKUP(E147,code!B:C,2,FALSE))</f>
        <v>23</v>
      </c>
      <c r="B147">
        <v>2020</v>
      </c>
      <c r="C147">
        <v>110635</v>
      </c>
      <c r="D147" t="s">
        <v>72</v>
      </c>
      <c r="E147" t="s">
        <v>33</v>
      </c>
      <c r="H147" s="18">
        <v>94568</v>
      </c>
      <c r="L147" s="18">
        <f t="shared" si="6"/>
        <v>0</v>
      </c>
      <c r="M147">
        <f t="shared" si="7"/>
        <v>94568</v>
      </c>
    </row>
    <row r="148" spans="1:13" x14ac:dyDescent="0.2">
      <c r="A148">
        <f>IF(ISBLANK(E148),"",VLOOKUP(E148,code!B:C,2,FALSE))</f>
        <v>24</v>
      </c>
      <c r="B148">
        <v>2020</v>
      </c>
      <c r="C148">
        <v>110635</v>
      </c>
      <c r="D148" t="s">
        <v>72</v>
      </c>
      <c r="E148" t="s">
        <v>34</v>
      </c>
      <c r="H148" s="18">
        <v>1500</v>
      </c>
      <c r="L148" s="18">
        <f t="shared" si="6"/>
        <v>0</v>
      </c>
      <c r="M148">
        <f t="shared" si="7"/>
        <v>1500</v>
      </c>
    </row>
    <row r="149" spans="1:13" x14ac:dyDescent="0.2">
      <c r="A149">
        <f>IF(ISBLANK(E149),"",VLOOKUP(E149,code!B:C,2,FALSE))</f>
        <v>1</v>
      </c>
      <c r="B149">
        <v>2021</v>
      </c>
      <c r="C149">
        <v>110635</v>
      </c>
      <c r="D149" t="s">
        <v>72</v>
      </c>
      <c r="E149" t="s">
        <v>9</v>
      </c>
      <c r="L149" s="18">
        <f t="shared" si="6"/>
        <v>0</v>
      </c>
      <c r="M149">
        <f t="shared" si="7"/>
        <v>0</v>
      </c>
    </row>
    <row r="150" spans="1:13" x14ac:dyDescent="0.2">
      <c r="A150">
        <f>IF(ISBLANK(E150),"",VLOOKUP(E150,code!B:C,2,FALSE))</f>
        <v>2</v>
      </c>
      <c r="B150">
        <v>2021</v>
      </c>
      <c r="C150">
        <v>110635</v>
      </c>
      <c r="D150" t="s">
        <v>72</v>
      </c>
      <c r="E150" t="s">
        <v>10</v>
      </c>
      <c r="F150" s="18">
        <v>365585</v>
      </c>
      <c r="H150" s="18">
        <v>305776</v>
      </c>
      <c r="L150" s="18">
        <f t="shared" si="6"/>
        <v>365585</v>
      </c>
      <c r="M150">
        <f t="shared" si="7"/>
        <v>305776</v>
      </c>
    </row>
    <row r="151" spans="1:13" x14ac:dyDescent="0.2">
      <c r="A151">
        <f>IF(ISBLANK(E151),"",VLOOKUP(E151,code!B:C,2,FALSE))</f>
        <v>8</v>
      </c>
      <c r="B151">
        <v>2021</v>
      </c>
      <c r="C151">
        <v>110635</v>
      </c>
      <c r="D151" t="s">
        <v>72</v>
      </c>
      <c r="E151" t="s">
        <v>16</v>
      </c>
      <c r="F151" s="18">
        <v>1964425</v>
      </c>
      <c r="L151" s="18">
        <f t="shared" si="6"/>
        <v>1964425</v>
      </c>
      <c r="M151">
        <f t="shared" si="7"/>
        <v>0</v>
      </c>
    </row>
    <row r="152" spans="1:13" x14ac:dyDescent="0.2">
      <c r="A152">
        <f>IF(ISBLANK(E152),"",VLOOKUP(E152,code!B:C,2,FALSE))</f>
        <v>3</v>
      </c>
      <c r="B152">
        <v>2021</v>
      </c>
      <c r="C152">
        <v>110635</v>
      </c>
      <c r="D152" t="s">
        <v>72</v>
      </c>
      <c r="E152" t="s">
        <v>11</v>
      </c>
      <c r="L152" s="18">
        <f t="shared" si="6"/>
        <v>0</v>
      </c>
      <c r="M152">
        <f t="shared" si="7"/>
        <v>0</v>
      </c>
    </row>
    <row r="153" spans="1:13" x14ac:dyDescent="0.2">
      <c r="A153">
        <f>IF(ISBLANK(E153),"",VLOOKUP(E153,code!B:C,2,FALSE))</f>
        <v>7</v>
      </c>
      <c r="B153">
        <v>2021</v>
      </c>
      <c r="C153">
        <v>110635</v>
      </c>
      <c r="D153" t="s">
        <v>72</v>
      </c>
      <c r="E153" t="s">
        <v>15</v>
      </c>
      <c r="L153" s="18">
        <f t="shared" si="6"/>
        <v>0</v>
      </c>
      <c r="M153">
        <f t="shared" si="7"/>
        <v>0</v>
      </c>
    </row>
    <row r="154" spans="1:13" x14ac:dyDescent="0.2">
      <c r="A154">
        <f>IF(ISBLANK(E154),"",VLOOKUP(E154,code!B:C,2,FALSE))</f>
        <v>9</v>
      </c>
      <c r="B154">
        <v>2021</v>
      </c>
      <c r="C154">
        <v>110635</v>
      </c>
      <c r="D154" t="s">
        <v>72</v>
      </c>
      <c r="E154" t="s">
        <v>17</v>
      </c>
      <c r="L154" s="18">
        <f t="shared" si="6"/>
        <v>0</v>
      </c>
      <c r="M154">
        <f t="shared" si="7"/>
        <v>0</v>
      </c>
    </row>
    <row r="155" spans="1:13" x14ac:dyDescent="0.2">
      <c r="A155">
        <f>IF(ISBLANK(E155),"",VLOOKUP(E155,code!B:C,2,FALSE))</f>
        <v>10</v>
      </c>
      <c r="B155">
        <v>2021</v>
      </c>
      <c r="C155">
        <v>110635</v>
      </c>
      <c r="D155" t="s">
        <v>72</v>
      </c>
      <c r="E155" t="s">
        <v>18</v>
      </c>
      <c r="L155" s="18">
        <f t="shared" si="6"/>
        <v>0</v>
      </c>
      <c r="M155">
        <f t="shared" si="7"/>
        <v>0</v>
      </c>
    </row>
    <row r="156" spans="1:13" x14ac:dyDescent="0.2">
      <c r="A156">
        <f>IF(ISBLANK(E156),"",VLOOKUP(E156,code!B:C,2,FALSE))</f>
        <v>12</v>
      </c>
      <c r="B156">
        <v>2021</v>
      </c>
      <c r="C156">
        <v>110635</v>
      </c>
      <c r="D156" t="s">
        <v>72</v>
      </c>
      <c r="E156" t="s">
        <v>20</v>
      </c>
      <c r="L156" s="18">
        <f t="shared" si="6"/>
        <v>0</v>
      </c>
      <c r="M156">
        <f t="shared" si="7"/>
        <v>0</v>
      </c>
    </row>
    <row r="157" spans="1:13" x14ac:dyDescent="0.2">
      <c r="A157">
        <f>IF(ISBLANK(E157),"",VLOOKUP(E157,code!B:C,2,FALSE))</f>
        <v>14</v>
      </c>
      <c r="B157">
        <v>2021</v>
      </c>
      <c r="C157">
        <v>110635</v>
      </c>
      <c r="D157" t="s">
        <v>72</v>
      </c>
      <c r="E157" t="s">
        <v>22</v>
      </c>
      <c r="H157" s="18">
        <v>17735</v>
      </c>
      <c r="L157" s="18">
        <f t="shared" si="6"/>
        <v>0</v>
      </c>
      <c r="M157">
        <f t="shared" si="7"/>
        <v>17735</v>
      </c>
    </row>
    <row r="158" spans="1:13" x14ac:dyDescent="0.2">
      <c r="A158">
        <f>IF(ISBLANK(E158),"",VLOOKUP(E158,code!B:C,2,FALSE))</f>
        <v>17</v>
      </c>
      <c r="B158">
        <v>2021</v>
      </c>
      <c r="C158">
        <v>110635</v>
      </c>
      <c r="D158" t="s">
        <v>72</v>
      </c>
      <c r="E158" t="s">
        <v>25</v>
      </c>
      <c r="H158" s="18">
        <v>2810</v>
      </c>
      <c r="L158" s="18">
        <f t="shared" si="6"/>
        <v>0</v>
      </c>
      <c r="M158">
        <f t="shared" si="7"/>
        <v>2810</v>
      </c>
    </row>
    <row r="159" spans="1:13" x14ac:dyDescent="0.2">
      <c r="A159">
        <f>IF(ISBLANK(E159),"",VLOOKUP(E159,code!B:C,2,FALSE))</f>
        <v>18</v>
      </c>
      <c r="B159">
        <v>2021</v>
      </c>
      <c r="C159">
        <v>110635</v>
      </c>
      <c r="D159" t="s">
        <v>72</v>
      </c>
      <c r="E159" t="s">
        <v>26</v>
      </c>
      <c r="L159" s="18">
        <f t="shared" si="6"/>
        <v>0</v>
      </c>
      <c r="M159">
        <f t="shared" si="7"/>
        <v>0</v>
      </c>
    </row>
    <row r="160" spans="1:13" x14ac:dyDescent="0.2">
      <c r="A160">
        <f>IF(ISBLANK(E160),"",VLOOKUP(E160,code!B:C,2,FALSE))</f>
        <v>19</v>
      </c>
      <c r="B160">
        <v>2021</v>
      </c>
      <c r="C160">
        <v>110635</v>
      </c>
      <c r="D160" t="s">
        <v>72</v>
      </c>
      <c r="E160" t="s">
        <v>27</v>
      </c>
      <c r="L160" s="18">
        <f t="shared" si="6"/>
        <v>0</v>
      </c>
      <c r="M160">
        <f t="shared" si="7"/>
        <v>0</v>
      </c>
    </row>
    <row r="161" spans="1:13" x14ac:dyDescent="0.2">
      <c r="A161">
        <f>IF(ISBLANK(E161),"",VLOOKUP(E161,code!B:C,2,FALSE))</f>
        <v>20</v>
      </c>
      <c r="B161">
        <v>2021</v>
      </c>
      <c r="C161">
        <v>110635</v>
      </c>
      <c r="D161" t="s">
        <v>72</v>
      </c>
      <c r="E161" t="s">
        <v>28</v>
      </c>
      <c r="F161" s="18">
        <v>2321</v>
      </c>
      <c r="H161" s="18">
        <v>1477</v>
      </c>
      <c r="L161" s="18">
        <f t="shared" si="6"/>
        <v>2321</v>
      </c>
      <c r="M161">
        <f t="shared" si="7"/>
        <v>1477</v>
      </c>
    </row>
    <row r="162" spans="1:13" x14ac:dyDescent="0.2">
      <c r="A162">
        <f>IF(ISBLANK(E162),"",VLOOKUP(E162,code!B:C,2,FALSE))</f>
        <v>21</v>
      </c>
      <c r="B162">
        <v>2021</v>
      </c>
      <c r="C162">
        <v>110635</v>
      </c>
      <c r="D162" t="s">
        <v>72</v>
      </c>
      <c r="E162" t="s">
        <v>30</v>
      </c>
      <c r="L162" s="18">
        <f t="shared" si="6"/>
        <v>0</v>
      </c>
      <c r="M162">
        <f t="shared" si="7"/>
        <v>0</v>
      </c>
    </row>
    <row r="163" spans="1:13" x14ac:dyDescent="0.2">
      <c r="A163">
        <f>IF(ISBLANK(E163),"",VLOOKUP(E163,code!B:C,2,FALSE))</f>
        <v>23</v>
      </c>
      <c r="B163">
        <v>2021</v>
      </c>
      <c r="C163">
        <v>110635</v>
      </c>
      <c r="D163" t="s">
        <v>72</v>
      </c>
      <c r="E163" t="s">
        <v>33</v>
      </c>
      <c r="H163" s="18">
        <v>75888</v>
      </c>
      <c r="L163" s="18">
        <f t="shared" si="6"/>
        <v>0</v>
      </c>
      <c r="M163">
        <f t="shared" si="7"/>
        <v>75888</v>
      </c>
    </row>
    <row r="164" spans="1:13" x14ac:dyDescent="0.2">
      <c r="A164">
        <f>IF(ISBLANK(E164),"",VLOOKUP(E164,code!B:C,2,FALSE))</f>
        <v>24</v>
      </c>
      <c r="B164">
        <v>2021</v>
      </c>
      <c r="C164">
        <v>110635</v>
      </c>
      <c r="D164" t="s">
        <v>72</v>
      </c>
      <c r="E164" t="s">
        <v>34</v>
      </c>
      <c r="L164" s="18">
        <f t="shared" si="6"/>
        <v>0</v>
      </c>
      <c r="M164">
        <f t="shared" si="7"/>
        <v>0</v>
      </c>
    </row>
    <row r="165" spans="1:13" x14ac:dyDescent="0.2">
      <c r="A165">
        <f>IF(ISBLANK(E165),"",VLOOKUP(E165,code!B:C,2,FALSE))</f>
        <v>1</v>
      </c>
      <c r="B165">
        <v>2022</v>
      </c>
      <c r="C165">
        <v>110635</v>
      </c>
      <c r="D165" t="s">
        <v>72</v>
      </c>
      <c r="E165" t="s">
        <v>9</v>
      </c>
      <c r="L165" s="18">
        <f t="shared" si="6"/>
        <v>0</v>
      </c>
      <c r="M165">
        <f t="shared" si="7"/>
        <v>0</v>
      </c>
    </row>
    <row r="166" spans="1:13" x14ac:dyDescent="0.2">
      <c r="A166">
        <f>IF(ISBLANK(E166),"",VLOOKUP(E166,code!B:C,2,FALSE))</f>
        <v>2</v>
      </c>
      <c r="B166">
        <v>2022</v>
      </c>
      <c r="C166">
        <v>110635</v>
      </c>
      <c r="D166" t="s">
        <v>72</v>
      </c>
      <c r="E166" t="s">
        <v>10</v>
      </c>
      <c r="F166" s="18">
        <v>463891</v>
      </c>
      <c r="H166" s="18">
        <v>531477</v>
      </c>
      <c r="L166" s="18">
        <f t="shared" si="6"/>
        <v>463891</v>
      </c>
      <c r="M166">
        <f t="shared" si="7"/>
        <v>531477</v>
      </c>
    </row>
    <row r="167" spans="1:13" ht="15.75" customHeight="1" x14ac:dyDescent="0.2">
      <c r="A167">
        <f>IF(ISBLANK(E167),"",VLOOKUP(E167,code!B:C,2,FALSE))</f>
        <v>8</v>
      </c>
      <c r="B167">
        <v>2022</v>
      </c>
      <c r="C167">
        <v>110635</v>
      </c>
      <c r="D167" t="s">
        <v>72</v>
      </c>
      <c r="E167" t="s">
        <v>16</v>
      </c>
      <c r="F167" s="18">
        <v>2270163</v>
      </c>
      <c r="L167" s="18">
        <f t="shared" si="6"/>
        <v>2270163</v>
      </c>
      <c r="M167">
        <f t="shared" si="7"/>
        <v>0</v>
      </c>
    </row>
    <row r="168" spans="1:13" x14ac:dyDescent="0.2">
      <c r="A168">
        <f>IF(ISBLANK(E168),"",VLOOKUP(E168,code!B:C,2,FALSE))</f>
        <v>10</v>
      </c>
      <c r="B168">
        <v>2022</v>
      </c>
      <c r="C168">
        <v>110635</v>
      </c>
      <c r="D168" t="s">
        <v>72</v>
      </c>
      <c r="E168" t="s">
        <v>18</v>
      </c>
      <c r="H168" s="18">
        <v>4687</v>
      </c>
      <c r="L168" s="18">
        <f t="shared" si="6"/>
        <v>0</v>
      </c>
      <c r="M168">
        <f t="shared" si="7"/>
        <v>4687</v>
      </c>
    </row>
    <row r="169" spans="1:13" x14ac:dyDescent="0.2">
      <c r="A169">
        <f>IF(ISBLANK(E169),"",VLOOKUP(E169,code!B:C,2,FALSE))</f>
        <v>3</v>
      </c>
      <c r="B169">
        <v>2022</v>
      </c>
      <c r="C169">
        <v>110635</v>
      </c>
      <c r="D169" t="s">
        <v>72</v>
      </c>
      <c r="E169" t="s">
        <v>11</v>
      </c>
      <c r="L169" s="18">
        <f t="shared" si="6"/>
        <v>0</v>
      </c>
      <c r="M169">
        <f t="shared" si="7"/>
        <v>0</v>
      </c>
    </row>
    <row r="170" spans="1:13" x14ac:dyDescent="0.2">
      <c r="A170">
        <f>IF(ISBLANK(E170),"",VLOOKUP(E170,code!B:C,2,FALSE))</f>
        <v>7</v>
      </c>
      <c r="B170">
        <v>2022</v>
      </c>
      <c r="C170">
        <v>110635</v>
      </c>
      <c r="D170" t="s">
        <v>72</v>
      </c>
      <c r="E170" t="s">
        <v>15</v>
      </c>
      <c r="L170" s="18">
        <f t="shared" si="6"/>
        <v>0</v>
      </c>
      <c r="M170">
        <f t="shared" si="7"/>
        <v>0</v>
      </c>
    </row>
    <row r="171" spans="1:13" x14ac:dyDescent="0.2">
      <c r="A171">
        <f>IF(ISBLANK(E171),"",VLOOKUP(E171,code!B:C,2,FALSE))</f>
        <v>9</v>
      </c>
      <c r="B171">
        <v>2022</v>
      </c>
      <c r="C171">
        <v>110635</v>
      </c>
      <c r="D171" t="s">
        <v>72</v>
      </c>
      <c r="E171" t="s">
        <v>17</v>
      </c>
      <c r="L171" s="18">
        <f t="shared" si="6"/>
        <v>0</v>
      </c>
      <c r="M171">
        <f t="shared" si="7"/>
        <v>0</v>
      </c>
    </row>
    <row r="172" spans="1:13" x14ac:dyDescent="0.2">
      <c r="A172">
        <f>IF(ISBLANK(E172),"",VLOOKUP(E172,code!B:C,2,FALSE))</f>
        <v>12</v>
      </c>
      <c r="B172">
        <v>2022</v>
      </c>
      <c r="C172">
        <v>110635</v>
      </c>
      <c r="D172" t="s">
        <v>72</v>
      </c>
      <c r="E172" t="s">
        <v>20</v>
      </c>
      <c r="H172" s="18">
        <v>1928</v>
      </c>
      <c r="L172" s="18">
        <f t="shared" si="6"/>
        <v>0</v>
      </c>
      <c r="M172">
        <f t="shared" si="7"/>
        <v>1928</v>
      </c>
    </row>
    <row r="173" spans="1:13" x14ac:dyDescent="0.2">
      <c r="A173">
        <f>IF(ISBLANK(E173),"",VLOOKUP(E173,code!B:C,2,FALSE))</f>
        <v>14</v>
      </c>
      <c r="B173">
        <v>2022</v>
      </c>
      <c r="C173">
        <v>110635</v>
      </c>
      <c r="D173" t="s">
        <v>72</v>
      </c>
      <c r="E173" t="s">
        <v>22</v>
      </c>
      <c r="H173" s="18">
        <v>19495</v>
      </c>
      <c r="L173" s="18">
        <f t="shared" si="6"/>
        <v>0</v>
      </c>
      <c r="M173">
        <f t="shared" si="7"/>
        <v>19495</v>
      </c>
    </row>
    <row r="174" spans="1:13" x14ac:dyDescent="0.2">
      <c r="A174">
        <f>IF(ISBLANK(E174),"",VLOOKUP(E174,code!B:C,2,FALSE))</f>
        <v>17</v>
      </c>
      <c r="B174">
        <v>2022</v>
      </c>
      <c r="C174">
        <v>110635</v>
      </c>
      <c r="D174" t="s">
        <v>72</v>
      </c>
      <c r="E174" t="s">
        <v>25</v>
      </c>
      <c r="F174">
        <v>420</v>
      </c>
      <c r="H174">
        <v>420</v>
      </c>
      <c r="L174" s="18">
        <f t="shared" si="6"/>
        <v>420</v>
      </c>
      <c r="M174">
        <f t="shared" si="7"/>
        <v>420</v>
      </c>
    </row>
    <row r="175" spans="1:13" x14ac:dyDescent="0.2">
      <c r="A175">
        <f>IF(ISBLANK(E175),"",VLOOKUP(E175,code!B:C,2,FALSE))</f>
        <v>18</v>
      </c>
      <c r="B175">
        <v>2022</v>
      </c>
      <c r="C175">
        <v>110635</v>
      </c>
      <c r="D175" t="s">
        <v>72</v>
      </c>
      <c r="E175" t="s">
        <v>26</v>
      </c>
      <c r="L175" s="18">
        <f t="shared" si="6"/>
        <v>0</v>
      </c>
      <c r="M175">
        <f t="shared" si="7"/>
        <v>0</v>
      </c>
    </row>
    <row r="176" spans="1:13" x14ac:dyDescent="0.2">
      <c r="A176">
        <f>IF(ISBLANK(E176),"",VLOOKUP(E176,code!B:C,2,FALSE))</f>
        <v>19</v>
      </c>
      <c r="B176">
        <v>2022</v>
      </c>
      <c r="C176">
        <v>110635</v>
      </c>
      <c r="D176" t="s">
        <v>72</v>
      </c>
      <c r="E176" t="s">
        <v>27</v>
      </c>
      <c r="F176" s="18">
        <v>7543</v>
      </c>
      <c r="H176" s="18">
        <v>3869</v>
      </c>
      <c r="L176" s="18">
        <f t="shared" si="6"/>
        <v>7543</v>
      </c>
      <c r="M176">
        <f t="shared" si="7"/>
        <v>3869</v>
      </c>
    </row>
    <row r="177" spans="1:13" x14ac:dyDescent="0.2">
      <c r="A177">
        <f>IF(ISBLANK(E177),"",VLOOKUP(E177,code!B:C,2,FALSE))</f>
        <v>20</v>
      </c>
      <c r="B177">
        <v>2022</v>
      </c>
      <c r="C177">
        <v>110635</v>
      </c>
      <c r="D177" t="s">
        <v>72</v>
      </c>
      <c r="E177" t="s">
        <v>28</v>
      </c>
      <c r="F177" s="18">
        <v>2669</v>
      </c>
      <c r="H177" s="18">
        <v>7916</v>
      </c>
      <c r="L177" s="18">
        <f t="shared" si="6"/>
        <v>2669</v>
      </c>
      <c r="M177">
        <f t="shared" si="7"/>
        <v>7916</v>
      </c>
    </row>
    <row r="178" spans="1:13" x14ac:dyDescent="0.2">
      <c r="A178">
        <f>IF(ISBLANK(E178),"",VLOOKUP(E178,code!B:C,2,FALSE))</f>
        <v>21</v>
      </c>
      <c r="B178">
        <v>2022</v>
      </c>
      <c r="C178">
        <v>110635</v>
      </c>
      <c r="D178" t="s">
        <v>72</v>
      </c>
      <c r="E178" t="s">
        <v>30</v>
      </c>
      <c r="F178">
        <v>516</v>
      </c>
      <c r="H178">
        <v>497</v>
      </c>
      <c r="L178" s="18">
        <f t="shared" si="6"/>
        <v>516</v>
      </c>
      <c r="M178">
        <f t="shared" si="7"/>
        <v>497</v>
      </c>
    </row>
    <row r="179" spans="1:13" x14ac:dyDescent="0.2">
      <c r="A179">
        <f>IF(ISBLANK(E179),"",VLOOKUP(E179,code!B:C,2,FALSE))</f>
        <v>23</v>
      </c>
      <c r="B179">
        <v>2022</v>
      </c>
      <c r="C179">
        <v>110635</v>
      </c>
      <c r="D179" t="s">
        <v>72</v>
      </c>
      <c r="E179" t="s">
        <v>33</v>
      </c>
      <c r="H179" s="18">
        <v>94864</v>
      </c>
      <c r="L179" s="18">
        <f t="shared" si="6"/>
        <v>0</v>
      </c>
      <c r="M179">
        <f t="shared" si="7"/>
        <v>94864</v>
      </c>
    </row>
    <row r="180" spans="1:13" x14ac:dyDescent="0.2">
      <c r="A180">
        <f>IF(ISBLANK(E180),"",VLOOKUP(E180,code!B:C,2,FALSE))</f>
        <v>24</v>
      </c>
      <c r="B180">
        <v>2022</v>
      </c>
      <c r="C180">
        <v>110635</v>
      </c>
      <c r="D180" t="s">
        <v>72</v>
      </c>
      <c r="E180" t="s">
        <v>34</v>
      </c>
      <c r="F180">
        <v>420</v>
      </c>
      <c r="H180" s="18">
        <v>2183</v>
      </c>
      <c r="L180" s="18">
        <f t="shared" ref="L180:L224" si="8">SUM(F180:G180)</f>
        <v>420</v>
      </c>
      <c r="M180">
        <f t="shared" ref="M180:M224" si="9">SUM(H180:I180)</f>
        <v>2183</v>
      </c>
    </row>
    <row r="181" spans="1:13" x14ac:dyDescent="0.2">
      <c r="A181">
        <f>IF(ISBLANK(E181),"",VLOOKUP(E181,code!B:C,2,FALSE))</f>
        <v>1</v>
      </c>
      <c r="B181">
        <v>2023</v>
      </c>
      <c r="C181">
        <v>110635</v>
      </c>
      <c r="D181" t="s">
        <v>72</v>
      </c>
      <c r="E181" t="s">
        <v>9</v>
      </c>
      <c r="L181" s="18">
        <f t="shared" si="8"/>
        <v>0</v>
      </c>
      <c r="M181">
        <f t="shared" si="9"/>
        <v>0</v>
      </c>
    </row>
    <row r="182" spans="1:13" x14ac:dyDescent="0.2">
      <c r="A182">
        <f>IF(ISBLANK(E182),"",VLOOKUP(E182,code!B:C,2,FALSE))</f>
        <v>2</v>
      </c>
      <c r="B182">
        <v>2023</v>
      </c>
      <c r="C182">
        <v>110635</v>
      </c>
      <c r="D182" t="s">
        <v>72</v>
      </c>
      <c r="E182" t="s">
        <v>10</v>
      </c>
      <c r="F182" s="18">
        <v>520740</v>
      </c>
      <c r="H182" s="18">
        <v>647733</v>
      </c>
      <c r="L182" s="18">
        <f t="shared" si="8"/>
        <v>520740</v>
      </c>
      <c r="M182">
        <f t="shared" si="9"/>
        <v>647733</v>
      </c>
    </row>
    <row r="183" spans="1:13" x14ac:dyDescent="0.2">
      <c r="A183">
        <f>IF(ISBLANK(E183),"",VLOOKUP(E183,code!B:C,2,FALSE))</f>
        <v>8</v>
      </c>
      <c r="B183">
        <v>2023</v>
      </c>
      <c r="C183">
        <v>110635</v>
      </c>
      <c r="D183" t="s">
        <v>72</v>
      </c>
      <c r="E183" t="s">
        <v>16</v>
      </c>
      <c r="F183" s="18">
        <v>2779357</v>
      </c>
      <c r="L183" s="18">
        <f t="shared" si="8"/>
        <v>2779357</v>
      </c>
      <c r="M183">
        <f t="shared" si="9"/>
        <v>0</v>
      </c>
    </row>
    <row r="184" spans="1:13" x14ac:dyDescent="0.2">
      <c r="A184">
        <f>IF(ISBLANK(E184),"",VLOOKUP(E184,code!B:C,2,FALSE))</f>
        <v>3</v>
      </c>
      <c r="B184">
        <v>2023</v>
      </c>
      <c r="C184">
        <v>110635</v>
      </c>
      <c r="D184" t="s">
        <v>72</v>
      </c>
      <c r="E184" t="s">
        <v>11</v>
      </c>
      <c r="H184" s="18">
        <v>8534</v>
      </c>
      <c r="L184" s="18">
        <f t="shared" si="8"/>
        <v>0</v>
      </c>
      <c r="M184">
        <f t="shared" si="9"/>
        <v>8534</v>
      </c>
    </row>
    <row r="185" spans="1:13" x14ac:dyDescent="0.2">
      <c r="A185">
        <f>IF(ISBLANK(E185),"",VLOOKUP(E185,code!B:C,2,FALSE))</f>
        <v>7</v>
      </c>
      <c r="B185">
        <v>2023</v>
      </c>
      <c r="C185">
        <v>110635</v>
      </c>
      <c r="D185" t="s">
        <v>72</v>
      </c>
      <c r="E185" t="s">
        <v>15</v>
      </c>
      <c r="L185" s="18">
        <f t="shared" si="8"/>
        <v>0</v>
      </c>
      <c r="M185">
        <f t="shared" si="9"/>
        <v>0</v>
      </c>
    </row>
    <row r="186" spans="1:13" x14ac:dyDescent="0.2">
      <c r="A186">
        <f>IF(ISBLANK(E186),"",VLOOKUP(E186,code!B:C,2,FALSE))</f>
        <v>9</v>
      </c>
      <c r="B186">
        <v>2023</v>
      </c>
      <c r="C186">
        <v>110635</v>
      </c>
      <c r="D186" t="s">
        <v>72</v>
      </c>
      <c r="E186" t="s">
        <v>17</v>
      </c>
      <c r="L186" s="18">
        <f t="shared" si="8"/>
        <v>0</v>
      </c>
      <c r="M186">
        <f t="shared" si="9"/>
        <v>0</v>
      </c>
    </row>
    <row r="187" spans="1:13" x14ac:dyDescent="0.2">
      <c r="A187">
        <f>IF(ISBLANK(E187),"",VLOOKUP(E187,code!B:C,2,FALSE))</f>
        <v>10</v>
      </c>
      <c r="B187">
        <v>2023</v>
      </c>
      <c r="C187">
        <v>110635</v>
      </c>
      <c r="D187" t="s">
        <v>72</v>
      </c>
      <c r="E187" t="s">
        <v>18</v>
      </c>
      <c r="H187" s="18">
        <v>1336</v>
      </c>
      <c r="L187" s="18">
        <f t="shared" si="8"/>
        <v>0</v>
      </c>
      <c r="M187">
        <f t="shared" si="9"/>
        <v>1336</v>
      </c>
    </row>
    <row r="188" spans="1:13" x14ac:dyDescent="0.2">
      <c r="A188">
        <f>IF(ISBLANK(E188),"",VLOOKUP(E188,code!B:C,2,FALSE))</f>
        <v>12</v>
      </c>
      <c r="B188">
        <v>2023</v>
      </c>
      <c r="C188">
        <v>110635</v>
      </c>
      <c r="D188" t="s">
        <v>72</v>
      </c>
      <c r="E188" t="s">
        <v>20</v>
      </c>
      <c r="H188" s="18">
        <v>1798</v>
      </c>
      <c r="L188" s="18">
        <f t="shared" si="8"/>
        <v>0</v>
      </c>
      <c r="M188">
        <f t="shared" si="9"/>
        <v>1798</v>
      </c>
    </row>
    <row r="189" spans="1:13" x14ac:dyDescent="0.2">
      <c r="A189">
        <f>IF(ISBLANK(E189),"",VLOOKUP(E189,code!B:C,2,FALSE))</f>
        <v>14</v>
      </c>
      <c r="B189">
        <v>2023</v>
      </c>
      <c r="C189">
        <v>110635</v>
      </c>
      <c r="D189" t="s">
        <v>72</v>
      </c>
      <c r="E189" t="s">
        <v>22</v>
      </c>
      <c r="H189" s="18">
        <v>20848</v>
      </c>
      <c r="L189" s="18">
        <f t="shared" si="8"/>
        <v>0</v>
      </c>
      <c r="M189">
        <f t="shared" si="9"/>
        <v>20848</v>
      </c>
    </row>
    <row r="190" spans="1:13" x14ac:dyDescent="0.2">
      <c r="A190">
        <f>IF(ISBLANK(E190),"",VLOOKUP(E190,code!B:C,2,FALSE))</f>
        <v>17</v>
      </c>
      <c r="B190">
        <v>2023</v>
      </c>
      <c r="C190">
        <v>110635</v>
      </c>
      <c r="D190" t="s">
        <v>72</v>
      </c>
      <c r="E190" t="s">
        <v>25</v>
      </c>
      <c r="F190" s="18">
        <v>1648</v>
      </c>
      <c r="H190" s="18">
        <v>1722</v>
      </c>
      <c r="L190" s="18">
        <f t="shared" si="8"/>
        <v>1648</v>
      </c>
      <c r="M190">
        <f t="shared" si="9"/>
        <v>1722</v>
      </c>
    </row>
    <row r="191" spans="1:13" x14ac:dyDescent="0.2">
      <c r="A191">
        <f>IF(ISBLANK(E191),"",VLOOKUP(E191,code!B:C,2,FALSE))</f>
        <v>18</v>
      </c>
      <c r="B191">
        <v>2023</v>
      </c>
      <c r="C191">
        <v>110635</v>
      </c>
      <c r="D191" t="s">
        <v>72</v>
      </c>
      <c r="E191" t="s">
        <v>26</v>
      </c>
      <c r="H191" s="18">
        <v>2795</v>
      </c>
      <c r="L191" s="18">
        <f t="shared" si="8"/>
        <v>0</v>
      </c>
      <c r="M191">
        <f t="shared" si="9"/>
        <v>2795</v>
      </c>
    </row>
    <row r="192" spans="1:13" x14ac:dyDescent="0.2">
      <c r="A192">
        <f>IF(ISBLANK(E192),"",VLOOKUP(E192,code!B:C,2,FALSE))</f>
        <v>19</v>
      </c>
      <c r="B192">
        <v>2023</v>
      </c>
      <c r="C192">
        <v>110635</v>
      </c>
      <c r="D192" t="s">
        <v>72</v>
      </c>
      <c r="E192" t="s">
        <v>27</v>
      </c>
      <c r="F192" s="18">
        <v>44454</v>
      </c>
      <c r="H192" s="18">
        <v>2172</v>
      </c>
      <c r="L192" s="18">
        <f t="shared" si="8"/>
        <v>44454</v>
      </c>
      <c r="M192">
        <f t="shared" si="9"/>
        <v>2172</v>
      </c>
    </row>
    <row r="193" spans="1:13" x14ac:dyDescent="0.2">
      <c r="A193">
        <f>IF(ISBLANK(E193),"",VLOOKUP(E193,code!B:C,2,FALSE))</f>
        <v>20</v>
      </c>
      <c r="B193">
        <v>2023</v>
      </c>
      <c r="C193">
        <v>110635</v>
      </c>
      <c r="D193" t="s">
        <v>72</v>
      </c>
      <c r="E193" t="s">
        <v>28</v>
      </c>
      <c r="F193" s="18">
        <v>6385</v>
      </c>
      <c r="H193" s="18">
        <v>6566</v>
      </c>
      <c r="L193" s="18">
        <f t="shared" si="8"/>
        <v>6385</v>
      </c>
      <c r="M193">
        <f t="shared" si="9"/>
        <v>6566</v>
      </c>
    </row>
    <row r="194" spans="1:13" x14ac:dyDescent="0.2">
      <c r="A194">
        <f>IF(ISBLANK(E194),"",VLOOKUP(E194,code!B:C,2,FALSE))</f>
        <v>21</v>
      </c>
      <c r="B194">
        <v>2023</v>
      </c>
      <c r="C194">
        <v>110635</v>
      </c>
      <c r="D194" t="s">
        <v>72</v>
      </c>
      <c r="E194" t="s">
        <v>31</v>
      </c>
      <c r="F194" s="18">
        <v>1753</v>
      </c>
      <c r="H194" s="18">
        <v>1618</v>
      </c>
      <c r="L194" s="18">
        <f t="shared" si="8"/>
        <v>1753</v>
      </c>
      <c r="M194">
        <f t="shared" si="9"/>
        <v>1618</v>
      </c>
    </row>
    <row r="195" spans="1:13" x14ac:dyDescent="0.2">
      <c r="A195">
        <f>IF(ISBLANK(E195),"",VLOOKUP(E195,code!B:C,2,FALSE))</f>
        <v>23</v>
      </c>
      <c r="B195">
        <v>2023</v>
      </c>
      <c r="C195">
        <v>110635</v>
      </c>
      <c r="D195" t="s">
        <v>72</v>
      </c>
      <c r="E195" t="s">
        <v>33</v>
      </c>
      <c r="H195" s="18">
        <v>79728</v>
      </c>
      <c r="L195" s="18">
        <f t="shared" si="8"/>
        <v>0</v>
      </c>
      <c r="M195">
        <f t="shared" si="9"/>
        <v>79728</v>
      </c>
    </row>
    <row r="196" spans="1:13" x14ac:dyDescent="0.2">
      <c r="A196">
        <f>IF(ISBLANK(E196),"",VLOOKUP(E196,code!B:C,2,FALSE))</f>
        <v>24</v>
      </c>
      <c r="B196">
        <v>2023</v>
      </c>
      <c r="C196">
        <v>110635</v>
      </c>
      <c r="D196" t="s">
        <v>72</v>
      </c>
      <c r="E196" t="s">
        <v>34</v>
      </c>
      <c r="F196" s="18">
        <v>1423</v>
      </c>
      <c r="H196" s="18">
        <v>2547</v>
      </c>
      <c r="L196" s="18">
        <f t="shared" si="8"/>
        <v>1423</v>
      </c>
      <c r="M196">
        <f t="shared" si="9"/>
        <v>2547</v>
      </c>
    </row>
    <row r="197" spans="1:13" x14ac:dyDescent="0.2">
      <c r="A197">
        <f>IF(ISBLANK(E197),"",VLOOKUP(E197,code!B:C,2,FALSE))</f>
        <v>2</v>
      </c>
      <c r="B197">
        <v>2017</v>
      </c>
      <c r="C197">
        <v>126614</v>
      </c>
      <c r="D197" t="s">
        <v>84</v>
      </c>
      <c r="E197" t="s">
        <v>10</v>
      </c>
      <c r="F197" s="18">
        <v>415388</v>
      </c>
      <c r="H197" s="18">
        <v>315800</v>
      </c>
      <c r="L197" s="18">
        <f t="shared" si="8"/>
        <v>415388</v>
      </c>
      <c r="M197">
        <f t="shared" si="9"/>
        <v>315800</v>
      </c>
    </row>
    <row r="198" spans="1:13" x14ac:dyDescent="0.2">
      <c r="A198">
        <f>IF(ISBLANK(E198),"",VLOOKUP(E198,code!B:C,2,FALSE))</f>
        <v>8</v>
      </c>
      <c r="B198">
        <v>2017</v>
      </c>
      <c r="C198">
        <v>126614</v>
      </c>
      <c r="D198" t="s">
        <v>84</v>
      </c>
      <c r="E198" t="s">
        <v>16</v>
      </c>
      <c r="F198" s="18">
        <v>1709964</v>
      </c>
      <c r="L198" s="18">
        <f t="shared" si="8"/>
        <v>1709964</v>
      </c>
      <c r="M198">
        <f t="shared" si="9"/>
        <v>0</v>
      </c>
    </row>
    <row r="199" spans="1:13" x14ac:dyDescent="0.2">
      <c r="A199">
        <f>IF(ISBLANK(E199),"",VLOOKUP(E199,code!B:C,2,FALSE))</f>
        <v>9</v>
      </c>
      <c r="B199">
        <v>2017</v>
      </c>
      <c r="C199">
        <v>126614</v>
      </c>
      <c r="D199" t="s">
        <v>84</v>
      </c>
      <c r="E199" t="s">
        <v>17</v>
      </c>
      <c r="F199" s="18">
        <v>2365</v>
      </c>
      <c r="H199" s="18">
        <v>12385</v>
      </c>
      <c r="L199" s="18">
        <f t="shared" si="8"/>
        <v>2365</v>
      </c>
      <c r="M199">
        <f t="shared" si="9"/>
        <v>12385</v>
      </c>
    </row>
    <row r="200" spans="1:13" x14ac:dyDescent="0.2">
      <c r="A200">
        <f>IF(ISBLANK(E200),"",VLOOKUP(E200,code!B:C,2,FALSE))</f>
        <v>16</v>
      </c>
      <c r="B200">
        <v>2017</v>
      </c>
      <c r="C200">
        <v>126614</v>
      </c>
      <c r="D200" t="s">
        <v>84</v>
      </c>
      <c r="E200" t="s">
        <v>24</v>
      </c>
      <c r="F200" s="18">
        <v>19723</v>
      </c>
      <c r="H200" s="18">
        <v>19723</v>
      </c>
      <c r="L200" s="18">
        <f t="shared" si="8"/>
        <v>19723</v>
      </c>
      <c r="M200">
        <f t="shared" si="9"/>
        <v>19723</v>
      </c>
    </row>
    <row r="201" spans="1:13" x14ac:dyDescent="0.2">
      <c r="A201">
        <f>IF(ISBLANK(E201),"",VLOOKUP(E201,code!B:C,2,FALSE))</f>
        <v>21</v>
      </c>
      <c r="B201">
        <v>2017</v>
      </c>
      <c r="C201">
        <v>126614</v>
      </c>
      <c r="D201" t="s">
        <v>84</v>
      </c>
      <c r="E201" t="s">
        <v>30</v>
      </c>
      <c r="F201" s="18">
        <v>39235</v>
      </c>
      <c r="H201" s="18">
        <v>39235</v>
      </c>
      <c r="L201" s="18">
        <f t="shared" si="8"/>
        <v>39235</v>
      </c>
      <c r="M201">
        <f t="shared" si="9"/>
        <v>39235</v>
      </c>
    </row>
    <row r="202" spans="1:13" x14ac:dyDescent="0.2">
      <c r="A202">
        <f>IF(ISBLANK(E202),"",VLOOKUP(E202,code!B:C,2,FALSE))</f>
        <v>12</v>
      </c>
      <c r="B202">
        <v>2017</v>
      </c>
      <c r="C202">
        <v>126614</v>
      </c>
      <c r="D202" t="s">
        <v>84</v>
      </c>
      <c r="E202" t="s">
        <v>20</v>
      </c>
      <c r="H202" s="18">
        <v>23656</v>
      </c>
      <c r="L202" s="18">
        <f t="shared" si="8"/>
        <v>0</v>
      </c>
      <c r="M202">
        <f t="shared" si="9"/>
        <v>23656</v>
      </c>
    </row>
    <row r="203" spans="1:13" x14ac:dyDescent="0.2">
      <c r="A203">
        <f>IF(ISBLANK(E203),"",VLOOKUP(E203,code!B:C,2,FALSE))</f>
        <v>17</v>
      </c>
      <c r="B203">
        <v>2017</v>
      </c>
      <c r="C203">
        <v>126614</v>
      </c>
      <c r="D203" t="s">
        <v>84</v>
      </c>
      <c r="E203" t="s">
        <v>25</v>
      </c>
      <c r="L203" s="18">
        <f t="shared" si="8"/>
        <v>0</v>
      </c>
      <c r="M203">
        <f t="shared" si="9"/>
        <v>0</v>
      </c>
    </row>
    <row r="204" spans="1:13" x14ac:dyDescent="0.2">
      <c r="A204">
        <f>IF(ISBLANK(E204),"",VLOOKUP(E204,code!B:C,2,FALSE))</f>
        <v>20</v>
      </c>
      <c r="B204">
        <v>2017</v>
      </c>
      <c r="C204">
        <v>126614</v>
      </c>
      <c r="D204" t="s">
        <v>84</v>
      </c>
      <c r="E204" t="s">
        <v>28</v>
      </c>
      <c r="L204" s="18">
        <f t="shared" si="8"/>
        <v>0</v>
      </c>
      <c r="M204">
        <f t="shared" si="9"/>
        <v>0</v>
      </c>
    </row>
    <row r="205" spans="1:13" x14ac:dyDescent="0.2">
      <c r="A205">
        <f>IF(ISBLANK(E205),"",VLOOKUP(E205,code!B:C,2,FALSE))</f>
        <v>23</v>
      </c>
      <c r="B205">
        <v>2017</v>
      </c>
      <c r="C205">
        <v>126614</v>
      </c>
      <c r="D205" t="s">
        <v>84</v>
      </c>
      <c r="E205" t="s">
        <v>33</v>
      </c>
      <c r="H205" s="18">
        <v>136897</v>
      </c>
      <c r="L205" s="18">
        <f t="shared" si="8"/>
        <v>0</v>
      </c>
      <c r="M205">
        <f t="shared" si="9"/>
        <v>136897</v>
      </c>
    </row>
    <row r="206" spans="1:13" x14ac:dyDescent="0.2">
      <c r="A206">
        <f>IF(ISBLANK(E206),"",VLOOKUP(E206,code!B:C,2,FALSE))</f>
        <v>2</v>
      </c>
      <c r="B206">
        <v>2018</v>
      </c>
      <c r="C206">
        <v>126614</v>
      </c>
      <c r="D206" t="s">
        <v>84</v>
      </c>
      <c r="E206" t="s">
        <v>10</v>
      </c>
      <c r="F206" s="18">
        <v>423156</v>
      </c>
      <c r="H206" s="18">
        <v>328470</v>
      </c>
      <c r="L206" s="18">
        <f t="shared" si="8"/>
        <v>423156</v>
      </c>
      <c r="M206">
        <f t="shared" si="9"/>
        <v>328470</v>
      </c>
    </row>
    <row r="207" spans="1:13" x14ac:dyDescent="0.2">
      <c r="A207">
        <f>IF(ISBLANK(E207),"",VLOOKUP(E207,code!B:C,2,FALSE))</f>
        <v>8</v>
      </c>
      <c r="B207">
        <v>2018</v>
      </c>
      <c r="C207">
        <v>126614</v>
      </c>
      <c r="D207" t="s">
        <v>84</v>
      </c>
      <c r="E207" t="s">
        <v>16</v>
      </c>
      <c r="F207" s="18">
        <v>1375378</v>
      </c>
      <c r="L207" s="18">
        <f t="shared" si="8"/>
        <v>1375378</v>
      </c>
      <c r="M207">
        <f t="shared" si="9"/>
        <v>0</v>
      </c>
    </row>
    <row r="208" spans="1:13" x14ac:dyDescent="0.2">
      <c r="A208">
        <f>IF(ISBLANK(E208),"",VLOOKUP(E208,code!B:C,2,FALSE))</f>
        <v>9</v>
      </c>
      <c r="B208">
        <v>2018</v>
      </c>
      <c r="C208">
        <v>126614</v>
      </c>
      <c r="D208" t="s">
        <v>84</v>
      </c>
      <c r="E208" t="s">
        <v>17</v>
      </c>
      <c r="F208" s="18">
        <v>22132</v>
      </c>
      <c r="H208" s="18">
        <v>20245</v>
      </c>
      <c r="L208" s="18">
        <f t="shared" si="8"/>
        <v>22132</v>
      </c>
      <c r="M208">
        <f t="shared" si="9"/>
        <v>20245</v>
      </c>
    </row>
    <row r="209" spans="1:13" x14ac:dyDescent="0.2">
      <c r="A209">
        <f>IF(ISBLANK(E209),"",VLOOKUP(E209,code!B:C,2,FALSE))</f>
        <v>16</v>
      </c>
      <c r="B209">
        <v>2018</v>
      </c>
      <c r="C209">
        <v>126614</v>
      </c>
      <c r="D209" t="s">
        <v>84</v>
      </c>
      <c r="E209" t="s">
        <v>24</v>
      </c>
      <c r="F209" s="18">
        <v>21625</v>
      </c>
      <c r="H209" s="18">
        <v>21625</v>
      </c>
      <c r="L209" s="18">
        <f t="shared" si="8"/>
        <v>21625</v>
      </c>
      <c r="M209">
        <f t="shared" si="9"/>
        <v>21625</v>
      </c>
    </row>
    <row r="210" spans="1:13" x14ac:dyDescent="0.2">
      <c r="A210">
        <f>IF(ISBLANK(E210),"",VLOOKUP(E210,code!B:C,2,FALSE))</f>
        <v>9</v>
      </c>
      <c r="B210">
        <v>2018</v>
      </c>
      <c r="C210">
        <v>126614</v>
      </c>
      <c r="D210" t="s">
        <v>84</v>
      </c>
      <c r="E210" t="s">
        <v>17</v>
      </c>
      <c r="L210" s="18">
        <f t="shared" si="8"/>
        <v>0</v>
      </c>
      <c r="M210">
        <f t="shared" si="9"/>
        <v>0</v>
      </c>
    </row>
    <row r="211" spans="1:13" x14ac:dyDescent="0.2">
      <c r="A211">
        <f>IF(ISBLANK(E211),"",VLOOKUP(E211,code!B:C,2,FALSE))</f>
        <v>12</v>
      </c>
      <c r="B211">
        <v>2018</v>
      </c>
      <c r="C211">
        <v>126614</v>
      </c>
      <c r="D211" t="s">
        <v>84</v>
      </c>
      <c r="E211" t="s">
        <v>20</v>
      </c>
      <c r="H211" s="18">
        <v>41009</v>
      </c>
      <c r="L211" s="18">
        <f t="shared" si="8"/>
        <v>0</v>
      </c>
      <c r="M211">
        <f t="shared" si="9"/>
        <v>41009</v>
      </c>
    </row>
    <row r="212" spans="1:13" x14ac:dyDescent="0.2">
      <c r="A212">
        <f>IF(ISBLANK(E212),"",VLOOKUP(E212,code!B:C,2,FALSE))</f>
        <v>17</v>
      </c>
      <c r="B212">
        <v>2018</v>
      </c>
      <c r="C212">
        <v>126614</v>
      </c>
      <c r="D212" t="s">
        <v>84</v>
      </c>
      <c r="E212" t="s">
        <v>25</v>
      </c>
      <c r="H212" s="18">
        <v>109840</v>
      </c>
      <c r="L212" s="18">
        <f t="shared" si="8"/>
        <v>0</v>
      </c>
      <c r="M212">
        <f t="shared" si="9"/>
        <v>109840</v>
      </c>
    </row>
    <row r="213" spans="1:13" x14ac:dyDescent="0.2">
      <c r="A213">
        <f>IF(ISBLANK(E213),"",VLOOKUP(E213,code!B:C,2,FALSE))</f>
        <v>20</v>
      </c>
      <c r="B213">
        <v>2018</v>
      </c>
      <c r="C213">
        <v>126614</v>
      </c>
      <c r="D213" t="s">
        <v>84</v>
      </c>
      <c r="E213" t="s">
        <v>28</v>
      </c>
      <c r="H213" s="18">
        <v>15272</v>
      </c>
      <c r="L213" s="18">
        <f t="shared" si="8"/>
        <v>0</v>
      </c>
      <c r="M213">
        <f t="shared" si="9"/>
        <v>15272</v>
      </c>
    </row>
    <row r="214" spans="1:13" x14ac:dyDescent="0.2">
      <c r="A214">
        <f>IF(ISBLANK(E214),"",VLOOKUP(E214,code!B:C,2,FALSE))</f>
        <v>21</v>
      </c>
      <c r="B214">
        <v>2018</v>
      </c>
      <c r="C214">
        <v>126614</v>
      </c>
      <c r="D214" t="s">
        <v>84</v>
      </c>
      <c r="E214" t="s">
        <v>30</v>
      </c>
      <c r="F214" s="18">
        <v>39739</v>
      </c>
      <c r="H214" s="18">
        <v>39739</v>
      </c>
      <c r="L214" s="18">
        <f t="shared" si="8"/>
        <v>39739</v>
      </c>
      <c r="M214">
        <f t="shared" si="9"/>
        <v>39739</v>
      </c>
    </row>
    <row r="215" spans="1:13" x14ac:dyDescent="0.2">
      <c r="A215">
        <f>IF(ISBLANK(E215),"",VLOOKUP(E215,code!B:C,2,FALSE))</f>
        <v>23</v>
      </c>
      <c r="B215">
        <v>2018</v>
      </c>
      <c r="C215">
        <v>126614</v>
      </c>
      <c r="D215" t="s">
        <v>84</v>
      </c>
      <c r="E215" t="s">
        <v>33</v>
      </c>
      <c r="H215" s="18">
        <v>187692</v>
      </c>
      <c r="L215" s="18">
        <f t="shared" si="8"/>
        <v>0</v>
      </c>
      <c r="M215">
        <f t="shared" si="9"/>
        <v>187692</v>
      </c>
    </row>
    <row r="216" spans="1:13" x14ac:dyDescent="0.2">
      <c r="A216">
        <f>IF(ISBLANK(E216),"",VLOOKUP(E216,code!B:C,2,FALSE))</f>
        <v>2</v>
      </c>
      <c r="B216">
        <v>2019</v>
      </c>
      <c r="C216">
        <v>126614</v>
      </c>
      <c r="D216" t="s">
        <v>84</v>
      </c>
      <c r="E216" t="s">
        <v>10</v>
      </c>
      <c r="F216" s="18">
        <v>464437</v>
      </c>
      <c r="H216" s="18">
        <v>269073</v>
      </c>
      <c r="L216" s="18">
        <f t="shared" si="8"/>
        <v>464437</v>
      </c>
      <c r="M216">
        <f t="shared" si="9"/>
        <v>269073</v>
      </c>
    </row>
    <row r="217" spans="1:13" x14ac:dyDescent="0.2">
      <c r="A217">
        <f>IF(ISBLANK(E217),"",VLOOKUP(E217,code!B:C,2,FALSE))</f>
        <v>8</v>
      </c>
      <c r="B217">
        <v>2019</v>
      </c>
      <c r="C217">
        <v>126614</v>
      </c>
      <c r="D217" t="s">
        <v>84</v>
      </c>
      <c r="E217" t="s">
        <v>16</v>
      </c>
      <c r="F217" s="18">
        <v>1256592</v>
      </c>
      <c r="L217" s="18">
        <f t="shared" si="8"/>
        <v>1256592</v>
      </c>
      <c r="M217">
        <f t="shared" si="9"/>
        <v>0</v>
      </c>
    </row>
    <row r="218" spans="1:13" x14ac:dyDescent="0.2">
      <c r="A218">
        <f>IF(ISBLANK(E218),"",VLOOKUP(E218,code!B:C,2,FALSE))</f>
        <v>9</v>
      </c>
      <c r="B218">
        <v>2019</v>
      </c>
      <c r="C218">
        <v>126614</v>
      </c>
      <c r="D218" t="s">
        <v>84</v>
      </c>
      <c r="E218" t="s">
        <v>17</v>
      </c>
      <c r="F218" s="18">
        <v>18369</v>
      </c>
      <c r="H218" s="18">
        <v>15465</v>
      </c>
      <c r="L218" s="18">
        <f t="shared" si="8"/>
        <v>18369</v>
      </c>
      <c r="M218">
        <f t="shared" si="9"/>
        <v>15465</v>
      </c>
    </row>
    <row r="219" spans="1:13" x14ac:dyDescent="0.2">
      <c r="A219">
        <f>IF(ISBLANK(E219),"",VLOOKUP(E219,code!B:C,2,FALSE))</f>
        <v>16</v>
      </c>
      <c r="B219">
        <v>2019</v>
      </c>
      <c r="C219">
        <v>126614</v>
      </c>
      <c r="D219" t="s">
        <v>84</v>
      </c>
      <c r="E219" t="s">
        <v>24</v>
      </c>
      <c r="F219" s="18">
        <v>18805</v>
      </c>
      <c r="H219" s="18">
        <v>18805</v>
      </c>
      <c r="L219" s="18">
        <f t="shared" si="8"/>
        <v>18805</v>
      </c>
      <c r="M219">
        <f t="shared" si="9"/>
        <v>18805</v>
      </c>
    </row>
    <row r="220" spans="1:13" x14ac:dyDescent="0.2">
      <c r="A220">
        <f>IF(ISBLANK(E220),"",VLOOKUP(E220,code!B:C,2,FALSE))</f>
        <v>21</v>
      </c>
      <c r="B220">
        <v>2019</v>
      </c>
      <c r="C220">
        <v>126614</v>
      </c>
      <c r="D220" t="s">
        <v>84</v>
      </c>
      <c r="E220" t="s">
        <v>30</v>
      </c>
      <c r="F220" s="18">
        <v>49947</v>
      </c>
      <c r="H220" s="18">
        <v>49947</v>
      </c>
      <c r="L220" s="18">
        <f t="shared" si="8"/>
        <v>49947</v>
      </c>
      <c r="M220">
        <f t="shared" si="9"/>
        <v>49947</v>
      </c>
    </row>
    <row r="221" spans="1:13" x14ac:dyDescent="0.2">
      <c r="A221">
        <f>IF(ISBLANK(E221),"",VLOOKUP(E221,code!B:C,2,FALSE))</f>
        <v>12</v>
      </c>
      <c r="B221">
        <v>2019</v>
      </c>
      <c r="C221">
        <v>126614</v>
      </c>
      <c r="D221" t="s">
        <v>84</v>
      </c>
      <c r="E221" t="s">
        <v>20</v>
      </c>
      <c r="L221" s="18">
        <f t="shared" si="8"/>
        <v>0</v>
      </c>
      <c r="M221">
        <f t="shared" si="9"/>
        <v>0</v>
      </c>
    </row>
    <row r="222" spans="1:13" x14ac:dyDescent="0.2">
      <c r="A222">
        <f>IF(ISBLANK(E222),"",VLOOKUP(E222,code!B:C,2,FALSE))</f>
        <v>17</v>
      </c>
      <c r="B222">
        <v>2019</v>
      </c>
      <c r="C222">
        <v>126614</v>
      </c>
      <c r="D222" t="s">
        <v>84</v>
      </c>
      <c r="E222" t="s">
        <v>25</v>
      </c>
      <c r="L222" s="18">
        <f t="shared" si="8"/>
        <v>0</v>
      </c>
      <c r="M222">
        <f t="shared" si="9"/>
        <v>0</v>
      </c>
    </row>
    <row r="223" spans="1:13" x14ac:dyDescent="0.2">
      <c r="A223">
        <f>IF(ISBLANK(E223),"",VLOOKUP(E223,code!B:C,2,FALSE))</f>
        <v>20</v>
      </c>
      <c r="B223">
        <v>2019</v>
      </c>
      <c r="C223">
        <v>126614</v>
      </c>
      <c r="D223" t="s">
        <v>84</v>
      </c>
      <c r="E223" t="s">
        <v>28</v>
      </c>
      <c r="H223" s="18">
        <v>17574</v>
      </c>
      <c r="L223" s="18">
        <f t="shared" si="8"/>
        <v>0</v>
      </c>
      <c r="M223">
        <f t="shared" si="9"/>
        <v>17574</v>
      </c>
    </row>
    <row r="224" spans="1:13" x14ac:dyDescent="0.2">
      <c r="A224">
        <f>IF(ISBLANK(E224),"",VLOOKUP(E224,code!B:C,2,FALSE))</f>
        <v>23</v>
      </c>
      <c r="B224">
        <v>2019</v>
      </c>
      <c r="C224">
        <v>126614</v>
      </c>
      <c r="D224" t="s">
        <v>84</v>
      </c>
      <c r="E224" t="s">
        <v>33</v>
      </c>
      <c r="H224" s="18">
        <v>180598</v>
      </c>
      <c r="L224" s="18">
        <f t="shared" si="8"/>
        <v>0</v>
      </c>
      <c r="M224">
        <f t="shared" si="9"/>
        <v>180598</v>
      </c>
    </row>
    <row r="225" spans="1:13" x14ac:dyDescent="0.2">
      <c r="A225">
        <f>IF(ISBLANK(E225),"",VLOOKUP(E225,code!B:C,2,FALSE))</f>
        <v>2</v>
      </c>
      <c r="B225">
        <v>2020</v>
      </c>
      <c r="C225">
        <v>126614</v>
      </c>
      <c r="D225" t="s">
        <v>84</v>
      </c>
      <c r="E225" t="s">
        <v>10</v>
      </c>
      <c r="F225" s="18">
        <v>371948</v>
      </c>
      <c r="H225" s="18">
        <v>297968</v>
      </c>
      <c r="L225" s="18">
        <f t="shared" ref="L225:L266" si="10">SUM(F225:G225)</f>
        <v>371948</v>
      </c>
      <c r="M225">
        <f t="shared" ref="M225:M266" si="11">SUM(H225:I225)</f>
        <v>297968</v>
      </c>
    </row>
    <row r="226" spans="1:13" x14ac:dyDescent="0.2">
      <c r="A226">
        <f>IF(ISBLANK(E226),"",VLOOKUP(E226,code!B:C,2,FALSE))</f>
        <v>8</v>
      </c>
      <c r="B226">
        <v>2020</v>
      </c>
      <c r="C226">
        <v>126614</v>
      </c>
      <c r="D226" t="s">
        <v>84</v>
      </c>
      <c r="E226" t="s">
        <v>16</v>
      </c>
      <c r="F226" s="18">
        <v>1329496</v>
      </c>
      <c r="L226" s="18">
        <f t="shared" si="10"/>
        <v>1329496</v>
      </c>
      <c r="M226">
        <f t="shared" si="11"/>
        <v>0</v>
      </c>
    </row>
    <row r="227" spans="1:13" x14ac:dyDescent="0.2">
      <c r="A227">
        <f>IF(ISBLANK(E227),"",VLOOKUP(E227,code!B:C,2,FALSE))</f>
        <v>9</v>
      </c>
      <c r="B227">
        <v>2020</v>
      </c>
      <c r="C227">
        <v>126614</v>
      </c>
      <c r="D227" t="s">
        <v>84</v>
      </c>
      <c r="E227" t="s">
        <v>17</v>
      </c>
      <c r="F227" s="18">
        <v>46224</v>
      </c>
      <c r="H227" s="18">
        <v>16236</v>
      </c>
      <c r="L227" s="18">
        <f t="shared" si="10"/>
        <v>46224</v>
      </c>
      <c r="M227">
        <f t="shared" si="11"/>
        <v>16236</v>
      </c>
    </row>
    <row r="228" spans="1:13" x14ac:dyDescent="0.2">
      <c r="A228">
        <f>IF(ISBLANK(E228),"",VLOOKUP(E228,code!B:C,2,FALSE))</f>
        <v>16</v>
      </c>
      <c r="B228">
        <v>2020</v>
      </c>
      <c r="C228">
        <v>126614</v>
      </c>
      <c r="D228" t="s">
        <v>84</v>
      </c>
      <c r="E228" t="s">
        <v>24</v>
      </c>
      <c r="F228" s="18">
        <v>28787</v>
      </c>
      <c r="H228" s="18">
        <v>28787</v>
      </c>
      <c r="L228" s="18">
        <f t="shared" si="10"/>
        <v>28787</v>
      </c>
      <c r="M228">
        <f t="shared" si="11"/>
        <v>28787</v>
      </c>
    </row>
    <row r="229" spans="1:13" x14ac:dyDescent="0.2">
      <c r="A229">
        <f>IF(ISBLANK(E229),"",VLOOKUP(E229,code!B:C,2,FALSE))</f>
        <v>12</v>
      </c>
      <c r="B229">
        <v>2020</v>
      </c>
      <c r="C229">
        <v>126614</v>
      </c>
      <c r="D229" t="s">
        <v>84</v>
      </c>
      <c r="E229" t="s">
        <v>20</v>
      </c>
      <c r="H229" s="18">
        <v>77548</v>
      </c>
      <c r="L229" s="18">
        <f t="shared" si="10"/>
        <v>0</v>
      </c>
      <c r="M229">
        <f t="shared" si="11"/>
        <v>77548</v>
      </c>
    </row>
    <row r="230" spans="1:13" x14ac:dyDescent="0.2">
      <c r="A230">
        <f>IF(ISBLANK(E230),"",VLOOKUP(E230,code!B:C,2,FALSE))</f>
        <v>17</v>
      </c>
      <c r="B230">
        <v>2020</v>
      </c>
      <c r="C230">
        <v>126614</v>
      </c>
      <c r="D230" t="s">
        <v>84</v>
      </c>
      <c r="E230" t="s">
        <v>25</v>
      </c>
      <c r="H230" s="18">
        <v>114762</v>
      </c>
      <c r="L230" s="18">
        <f t="shared" si="10"/>
        <v>0</v>
      </c>
      <c r="M230">
        <f t="shared" si="11"/>
        <v>114762</v>
      </c>
    </row>
    <row r="231" spans="1:13" x14ac:dyDescent="0.2">
      <c r="A231">
        <f>IF(ISBLANK(E231),"",VLOOKUP(E231,code!B:C,2,FALSE))</f>
        <v>20</v>
      </c>
      <c r="B231">
        <v>2020</v>
      </c>
      <c r="C231">
        <v>126614</v>
      </c>
      <c r="D231" t="s">
        <v>84</v>
      </c>
      <c r="E231" t="s">
        <v>28</v>
      </c>
      <c r="H231" s="18">
        <v>19901</v>
      </c>
      <c r="L231" s="18">
        <f t="shared" si="10"/>
        <v>0</v>
      </c>
      <c r="M231">
        <f t="shared" si="11"/>
        <v>19901</v>
      </c>
    </row>
    <row r="232" spans="1:13" x14ac:dyDescent="0.2">
      <c r="A232">
        <f>IF(ISBLANK(E232),"",VLOOKUP(E232,code!B:C,2,FALSE))</f>
        <v>21</v>
      </c>
      <c r="B232">
        <v>2020</v>
      </c>
      <c r="C232">
        <v>126614</v>
      </c>
      <c r="D232" t="s">
        <v>84</v>
      </c>
      <c r="E232" t="s">
        <v>30</v>
      </c>
      <c r="F232" s="18">
        <v>47417</v>
      </c>
      <c r="H232" s="18">
        <v>47417</v>
      </c>
      <c r="L232" s="18">
        <f t="shared" si="10"/>
        <v>47417</v>
      </c>
      <c r="M232">
        <f t="shared" si="11"/>
        <v>47417</v>
      </c>
    </row>
    <row r="233" spans="1:13" x14ac:dyDescent="0.2">
      <c r="A233">
        <f>IF(ISBLANK(E233),"",VLOOKUP(E233,code!B:C,2,FALSE))</f>
        <v>23</v>
      </c>
      <c r="B233">
        <v>2020</v>
      </c>
      <c r="C233">
        <v>126614</v>
      </c>
      <c r="D233" t="s">
        <v>84</v>
      </c>
      <c r="E233" t="s">
        <v>33</v>
      </c>
      <c r="H233" s="18">
        <v>156138</v>
      </c>
      <c r="L233" s="18">
        <f t="shared" si="10"/>
        <v>0</v>
      </c>
      <c r="M233">
        <f t="shared" si="11"/>
        <v>156138</v>
      </c>
    </row>
    <row r="234" spans="1:13" x14ac:dyDescent="0.2">
      <c r="A234">
        <f>IF(ISBLANK(E234),"",VLOOKUP(E234,code!B:C,2,FALSE))</f>
        <v>2</v>
      </c>
      <c r="B234">
        <v>2021</v>
      </c>
      <c r="C234">
        <v>126614</v>
      </c>
      <c r="D234" t="s">
        <v>84</v>
      </c>
      <c r="E234" t="s">
        <v>10</v>
      </c>
      <c r="F234" s="18">
        <v>306376</v>
      </c>
      <c r="H234" s="18">
        <v>201143</v>
      </c>
      <c r="L234" s="18">
        <f t="shared" si="10"/>
        <v>306376</v>
      </c>
      <c r="M234">
        <f t="shared" si="11"/>
        <v>201143</v>
      </c>
    </row>
    <row r="235" spans="1:13" x14ac:dyDescent="0.2">
      <c r="A235">
        <f>IF(ISBLANK(E235),"",VLOOKUP(E235,code!B:C,2,FALSE))</f>
        <v>8</v>
      </c>
      <c r="B235">
        <v>2021</v>
      </c>
      <c r="C235">
        <v>126614</v>
      </c>
      <c r="D235" t="s">
        <v>84</v>
      </c>
      <c r="E235" t="s">
        <v>16</v>
      </c>
      <c r="F235" s="18">
        <v>1365894</v>
      </c>
      <c r="L235" s="18">
        <f t="shared" si="10"/>
        <v>1365894</v>
      </c>
      <c r="M235">
        <f t="shared" si="11"/>
        <v>0</v>
      </c>
    </row>
    <row r="236" spans="1:13" x14ac:dyDescent="0.2">
      <c r="A236">
        <f>IF(ISBLANK(E236),"",VLOOKUP(E236,code!B:C,2,FALSE))</f>
        <v>9</v>
      </c>
      <c r="B236">
        <v>2021</v>
      </c>
      <c r="C236">
        <v>126614</v>
      </c>
      <c r="D236" t="s">
        <v>84</v>
      </c>
      <c r="E236" t="s">
        <v>17</v>
      </c>
      <c r="F236" s="18">
        <v>33723</v>
      </c>
      <c r="H236" s="18">
        <v>15899</v>
      </c>
      <c r="L236" s="18">
        <f t="shared" si="10"/>
        <v>33723</v>
      </c>
      <c r="M236">
        <f t="shared" si="11"/>
        <v>15899</v>
      </c>
    </row>
    <row r="237" spans="1:13" x14ac:dyDescent="0.2">
      <c r="A237">
        <f>IF(ISBLANK(E237),"",VLOOKUP(E237,code!B:C,2,FALSE))</f>
        <v>12</v>
      </c>
      <c r="B237">
        <v>2021</v>
      </c>
      <c r="C237">
        <v>126614</v>
      </c>
      <c r="D237" t="s">
        <v>84</v>
      </c>
      <c r="E237" t="s">
        <v>20</v>
      </c>
      <c r="H237" s="18">
        <v>88103</v>
      </c>
      <c r="L237" s="18">
        <f t="shared" si="10"/>
        <v>0</v>
      </c>
      <c r="M237">
        <f t="shared" si="11"/>
        <v>88103</v>
      </c>
    </row>
    <row r="238" spans="1:13" x14ac:dyDescent="0.2">
      <c r="A238">
        <f>IF(ISBLANK(E238),"",VLOOKUP(E238,code!B:C,2,FALSE))</f>
        <v>16</v>
      </c>
      <c r="B238">
        <v>2021</v>
      </c>
      <c r="C238">
        <v>126614</v>
      </c>
      <c r="D238" t="s">
        <v>84</v>
      </c>
      <c r="E238" t="s">
        <v>24</v>
      </c>
      <c r="F238" s="18">
        <v>68172</v>
      </c>
      <c r="H238" s="18">
        <v>68172</v>
      </c>
      <c r="L238" s="18">
        <f t="shared" si="10"/>
        <v>68172</v>
      </c>
      <c r="M238">
        <f t="shared" si="11"/>
        <v>68172</v>
      </c>
    </row>
    <row r="239" spans="1:13" x14ac:dyDescent="0.2">
      <c r="A239">
        <f>IF(ISBLANK(E239),"",VLOOKUP(E239,code!B:C,2,FALSE))</f>
        <v>17</v>
      </c>
      <c r="B239">
        <v>2021</v>
      </c>
      <c r="C239">
        <v>126614</v>
      </c>
      <c r="D239" t="s">
        <v>84</v>
      </c>
      <c r="E239" t="s">
        <v>25</v>
      </c>
      <c r="H239" s="18">
        <v>52839</v>
      </c>
      <c r="L239" s="18">
        <f t="shared" si="10"/>
        <v>0</v>
      </c>
      <c r="M239">
        <f t="shared" si="11"/>
        <v>52839</v>
      </c>
    </row>
    <row r="240" spans="1:13" x14ac:dyDescent="0.2">
      <c r="A240">
        <f>IF(ISBLANK(E240),"",VLOOKUP(E240,code!B:C,2,FALSE))</f>
        <v>20</v>
      </c>
      <c r="B240">
        <v>2021</v>
      </c>
      <c r="C240">
        <v>126614</v>
      </c>
      <c r="D240" t="s">
        <v>84</v>
      </c>
      <c r="E240" t="s">
        <v>28</v>
      </c>
      <c r="H240" s="18">
        <v>41619</v>
      </c>
      <c r="L240" s="18">
        <f t="shared" si="10"/>
        <v>0</v>
      </c>
      <c r="M240">
        <f t="shared" si="11"/>
        <v>41619</v>
      </c>
    </row>
    <row r="241" spans="1:13" x14ac:dyDescent="0.2">
      <c r="A241">
        <f>IF(ISBLANK(E241),"",VLOOKUP(E241,code!B:C,2,FALSE))</f>
        <v>21</v>
      </c>
      <c r="B241">
        <v>2021</v>
      </c>
      <c r="C241">
        <v>126614</v>
      </c>
      <c r="D241" t="s">
        <v>84</v>
      </c>
      <c r="E241" t="s">
        <v>30</v>
      </c>
      <c r="F241" s="18">
        <v>34314</v>
      </c>
      <c r="H241" s="18">
        <v>34314</v>
      </c>
      <c r="L241" s="18">
        <f t="shared" si="10"/>
        <v>34314</v>
      </c>
      <c r="M241">
        <f t="shared" si="11"/>
        <v>34314</v>
      </c>
    </row>
    <row r="242" spans="1:13" x14ac:dyDescent="0.2">
      <c r="A242">
        <f>IF(ISBLANK(E242),"",VLOOKUP(E242,code!B:C,2,FALSE))</f>
        <v>23</v>
      </c>
      <c r="B242">
        <v>2021</v>
      </c>
      <c r="C242">
        <v>126614</v>
      </c>
      <c r="D242" t="s">
        <v>84</v>
      </c>
      <c r="E242" t="s">
        <v>33</v>
      </c>
      <c r="H242" s="18">
        <v>134149</v>
      </c>
      <c r="L242" s="18">
        <f t="shared" si="10"/>
        <v>0</v>
      </c>
      <c r="M242">
        <f t="shared" si="11"/>
        <v>134149</v>
      </c>
    </row>
    <row r="243" spans="1:13" x14ac:dyDescent="0.2">
      <c r="A243">
        <f>IF(ISBLANK(E243),"",VLOOKUP(E243,code!B:C,2,FALSE))</f>
        <v>2</v>
      </c>
      <c r="B243">
        <v>2022</v>
      </c>
      <c r="C243">
        <v>126614</v>
      </c>
      <c r="D243" t="s">
        <v>84</v>
      </c>
      <c r="E243" t="s">
        <v>10</v>
      </c>
      <c r="F243" s="18">
        <v>585205</v>
      </c>
      <c r="H243" s="18">
        <v>317347</v>
      </c>
      <c r="L243" s="18">
        <f t="shared" si="10"/>
        <v>585205</v>
      </c>
      <c r="M243">
        <f t="shared" si="11"/>
        <v>317347</v>
      </c>
    </row>
    <row r="244" spans="1:13" x14ac:dyDescent="0.2">
      <c r="A244">
        <f>IF(ISBLANK(E244),"",VLOOKUP(E244,code!B:C,2,FALSE))</f>
        <v>8</v>
      </c>
      <c r="B244">
        <v>2022</v>
      </c>
      <c r="C244">
        <v>126614</v>
      </c>
      <c r="D244" t="s">
        <v>84</v>
      </c>
      <c r="E244" t="s">
        <v>16</v>
      </c>
      <c r="F244" s="18">
        <v>2076165</v>
      </c>
      <c r="L244" s="18">
        <f t="shared" si="10"/>
        <v>2076165</v>
      </c>
      <c r="M244">
        <f t="shared" si="11"/>
        <v>0</v>
      </c>
    </row>
    <row r="245" spans="1:13" x14ac:dyDescent="0.2">
      <c r="A245">
        <f>IF(ISBLANK(E245),"",VLOOKUP(E245,code!B:C,2,FALSE))</f>
        <v>9</v>
      </c>
      <c r="B245">
        <v>2022</v>
      </c>
      <c r="C245">
        <v>126614</v>
      </c>
      <c r="D245" t="s">
        <v>84</v>
      </c>
      <c r="E245" t="s">
        <v>17</v>
      </c>
      <c r="F245" s="18">
        <v>17482</v>
      </c>
      <c r="H245" s="18">
        <v>17560</v>
      </c>
      <c r="L245" s="18">
        <f t="shared" si="10"/>
        <v>17482</v>
      </c>
      <c r="M245">
        <f t="shared" si="11"/>
        <v>17560</v>
      </c>
    </row>
    <row r="246" spans="1:13" x14ac:dyDescent="0.2">
      <c r="A246">
        <f>IF(ISBLANK(E246),"",VLOOKUP(E246,code!B:C,2,FALSE))</f>
        <v>12</v>
      </c>
      <c r="B246">
        <v>2022</v>
      </c>
      <c r="C246">
        <v>126614</v>
      </c>
      <c r="D246" t="s">
        <v>84</v>
      </c>
      <c r="E246" t="s">
        <v>20</v>
      </c>
      <c r="H246" s="18">
        <v>89283</v>
      </c>
      <c r="L246" s="18">
        <f t="shared" si="10"/>
        <v>0</v>
      </c>
      <c r="M246">
        <f t="shared" si="11"/>
        <v>89283</v>
      </c>
    </row>
    <row r="247" spans="1:13" x14ac:dyDescent="0.2">
      <c r="A247">
        <f>IF(ISBLANK(E247),"",VLOOKUP(E247,code!B:C,2,FALSE))</f>
        <v>16</v>
      </c>
      <c r="B247">
        <v>2022</v>
      </c>
      <c r="C247">
        <v>126614</v>
      </c>
      <c r="D247" t="s">
        <v>84</v>
      </c>
      <c r="E247" t="s">
        <v>24</v>
      </c>
      <c r="F247">
        <v>578</v>
      </c>
      <c r="H247">
        <v>578</v>
      </c>
      <c r="L247" s="18">
        <f t="shared" si="10"/>
        <v>578</v>
      </c>
      <c r="M247">
        <f t="shared" si="11"/>
        <v>578</v>
      </c>
    </row>
    <row r="248" spans="1:13" x14ac:dyDescent="0.2">
      <c r="A248">
        <f>IF(ISBLANK(E248),"",VLOOKUP(E248,code!B:C,2,FALSE))</f>
        <v>17</v>
      </c>
      <c r="B248">
        <v>2022</v>
      </c>
      <c r="C248">
        <v>126614</v>
      </c>
      <c r="D248" t="s">
        <v>84</v>
      </c>
      <c r="E248" t="s">
        <v>25</v>
      </c>
      <c r="H248" s="18">
        <v>138234</v>
      </c>
      <c r="L248" s="18">
        <f t="shared" si="10"/>
        <v>0</v>
      </c>
      <c r="M248">
        <f t="shared" si="11"/>
        <v>138234</v>
      </c>
    </row>
    <row r="249" spans="1:13" x14ac:dyDescent="0.2">
      <c r="A249">
        <f>IF(ISBLANK(E249),"",VLOOKUP(E249,code!B:C,2,FALSE))</f>
        <v>20</v>
      </c>
      <c r="B249">
        <v>2022</v>
      </c>
      <c r="C249">
        <v>126614</v>
      </c>
      <c r="D249" t="s">
        <v>84</v>
      </c>
      <c r="E249" t="s">
        <v>28</v>
      </c>
      <c r="H249" s="18">
        <v>42763</v>
      </c>
      <c r="L249" s="18">
        <f t="shared" si="10"/>
        <v>0</v>
      </c>
      <c r="M249">
        <f t="shared" si="11"/>
        <v>42763</v>
      </c>
    </row>
    <row r="250" spans="1:13" x14ac:dyDescent="0.2">
      <c r="A250">
        <f>IF(ISBLANK(E250),"",VLOOKUP(E250,code!B:C,2,FALSE))</f>
        <v>21</v>
      </c>
      <c r="B250">
        <v>2022</v>
      </c>
      <c r="C250">
        <v>126614</v>
      </c>
      <c r="D250" t="s">
        <v>84</v>
      </c>
      <c r="E250" t="s">
        <v>30</v>
      </c>
      <c r="F250" s="18">
        <v>49903</v>
      </c>
      <c r="H250" s="18">
        <v>49903</v>
      </c>
      <c r="L250" s="18">
        <f t="shared" si="10"/>
        <v>49903</v>
      </c>
      <c r="M250">
        <f t="shared" si="11"/>
        <v>49903</v>
      </c>
    </row>
    <row r="251" spans="1:13" x14ac:dyDescent="0.2">
      <c r="A251">
        <f>IF(ISBLANK(E251),"",VLOOKUP(E251,code!B:C,2,FALSE))</f>
        <v>23</v>
      </c>
      <c r="B251">
        <v>2022</v>
      </c>
      <c r="C251">
        <v>126614</v>
      </c>
      <c r="D251" t="s">
        <v>84</v>
      </c>
      <c r="E251" t="s">
        <v>33</v>
      </c>
      <c r="H251" s="18">
        <v>178921</v>
      </c>
      <c r="L251" s="18">
        <f t="shared" si="10"/>
        <v>0</v>
      </c>
      <c r="M251">
        <f t="shared" si="11"/>
        <v>178921</v>
      </c>
    </row>
    <row r="252" spans="1:13" x14ac:dyDescent="0.2">
      <c r="A252">
        <f>IF(ISBLANK(E252),"",VLOOKUP(E252,code!B:C,2,FALSE))</f>
        <v>2</v>
      </c>
      <c r="B252">
        <v>2023</v>
      </c>
      <c r="C252">
        <v>126614</v>
      </c>
      <c r="D252" t="s">
        <v>84</v>
      </c>
      <c r="E252" t="s">
        <v>10</v>
      </c>
      <c r="F252" s="18">
        <v>774845</v>
      </c>
      <c r="H252" s="18">
        <v>446249</v>
      </c>
      <c r="L252" s="18">
        <f t="shared" si="10"/>
        <v>774845</v>
      </c>
      <c r="M252">
        <f t="shared" si="11"/>
        <v>446249</v>
      </c>
    </row>
    <row r="253" spans="1:13" x14ac:dyDescent="0.2">
      <c r="A253">
        <f>IF(ISBLANK(E253),"",VLOOKUP(E253,code!B:C,2,FALSE))</f>
        <v>8</v>
      </c>
      <c r="B253">
        <v>2023</v>
      </c>
      <c r="C253">
        <v>126614</v>
      </c>
      <c r="D253" t="s">
        <v>84</v>
      </c>
      <c r="E253" t="s">
        <v>16</v>
      </c>
      <c r="F253" s="18">
        <v>3365876</v>
      </c>
      <c r="L253" s="18">
        <f t="shared" si="10"/>
        <v>3365876</v>
      </c>
      <c r="M253">
        <f t="shared" si="11"/>
        <v>0</v>
      </c>
    </row>
    <row r="254" spans="1:13" x14ac:dyDescent="0.2">
      <c r="A254">
        <f>IF(ISBLANK(E254),"",VLOOKUP(E254,code!B:C,2,FALSE))</f>
        <v>9</v>
      </c>
      <c r="B254">
        <v>2023</v>
      </c>
      <c r="C254">
        <v>126614</v>
      </c>
      <c r="D254" t="s">
        <v>84</v>
      </c>
      <c r="E254" t="s">
        <v>17</v>
      </c>
      <c r="F254" s="18">
        <v>9795</v>
      </c>
      <c r="H254" s="18">
        <v>10760</v>
      </c>
      <c r="L254" s="18">
        <f t="shared" si="10"/>
        <v>9795</v>
      </c>
      <c r="M254">
        <f t="shared" si="11"/>
        <v>10760</v>
      </c>
    </row>
    <row r="255" spans="1:13" x14ac:dyDescent="0.2">
      <c r="A255">
        <f>IF(ISBLANK(E255),"",VLOOKUP(E255,code!B:C,2,FALSE))</f>
        <v>12</v>
      </c>
      <c r="B255">
        <v>2023</v>
      </c>
      <c r="C255">
        <v>126614</v>
      </c>
      <c r="D255" t="s">
        <v>84</v>
      </c>
      <c r="E255" t="s">
        <v>20</v>
      </c>
      <c r="H255" s="18">
        <v>86332</v>
      </c>
      <c r="L255" s="18">
        <f t="shared" si="10"/>
        <v>0</v>
      </c>
      <c r="M255">
        <f t="shared" si="11"/>
        <v>86332</v>
      </c>
    </row>
    <row r="256" spans="1:13" x14ac:dyDescent="0.2">
      <c r="A256">
        <f>IF(ISBLANK(E256),"",VLOOKUP(E256,code!B:C,2,FALSE))</f>
        <v>16</v>
      </c>
      <c r="B256">
        <v>2023</v>
      </c>
      <c r="C256">
        <v>126614</v>
      </c>
      <c r="D256" t="s">
        <v>84</v>
      </c>
      <c r="E256" t="s">
        <v>24</v>
      </c>
      <c r="F256" s="18">
        <v>11529</v>
      </c>
      <c r="H256" s="18">
        <v>11529</v>
      </c>
      <c r="L256" s="18">
        <f t="shared" si="10"/>
        <v>11529</v>
      </c>
      <c r="M256">
        <f t="shared" si="11"/>
        <v>11529</v>
      </c>
    </row>
    <row r="257" spans="1:13" x14ac:dyDescent="0.2">
      <c r="A257">
        <f>IF(ISBLANK(E257),"",VLOOKUP(E257,code!B:C,2,FALSE))</f>
        <v>17</v>
      </c>
      <c r="B257">
        <v>2023</v>
      </c>
      <c r="C257">
        <v>126614</v>
      </c>
      <c r="D257" t="s">
        <v>84</v>
      </c>
      <c r="E257" t="s">
        <v>25</v>
      </c>
      <c r="H257" s="18">
        <v>161355</v>
      </c>
      <c r="L257" s="18">
        <f t="shared" si="10"/>
        <v>0</v>
      </c>
      <c r="M257">
        <f t="shared" si="11"/>
        <v>161355</v>
      </c>
    </row>
    <row r="258" spans="1:13" x14ac:dyDescent="0.2">
      <c r="A258">
        <f>IF(ISBLANK(E258),"",VLOOKUP(E258,code!B:C,2,FALSE))</f>
        <v>20</v>
      </c>
      <c r="B258">
        <v>2023</v>
      </c>
      <c r="C258">
        <v>126614</v>
      </c>
      <c r="D258" t="s">
        <v>84</v>
      </c>
      <c r="E258" t="s">
        <v>28</v>
      </c>
      <c r="H258" s="18">
        <v>28187</v>
      </c>
      <c r="L258" s="18">
        <f t="shared" si="10"/>
        <v>0</v>
      </c>
      <c r="M258">
        <f t="shared" si="11"/>
        <v>28187</v>
      </c>
    </row>
    <row r="259" spans="1:13" x14ac:dyDescent="0.2">
      <c r="A259">
        <f>IF(ISBLANK(E259),"",VLOOKUP(E259,code!B:C,2,FALSE))</f>
        <v>21</v>
      </c>
      <c r="B259">
        <v>2023</v>
      </c>
      <c r="C259">
        <v>126614</v>
      </c>
      <c r="D259" t="s">
        <v>84</v>
      </c>
      <c r="E259" t="s">
        <v>31</v>
      </c>
      <c r="F259" s="18">
        <v>46749</v>
      </c>
      <c r="H259" s="18">
        <v>46749</v>
      </c>
      <c r="L259" s="18">
        <f t="shared" si="10"/>
        <v>46749</v>
      </c>
      <c r="M259">
        <f t="shared" si="11"/>
        <v>46749</v>
      </c>
    </row>
    <row r="260" spans="1:13" x14ac:dyDescent="0.2">
      <c r="A260">
        <f>IF(ISBLANK(E260),"",VLOOKUP(E260,code!B:C,2,FALSE))</f>
        <v>23</v>
      </c>
      <c r="B260">
        <v>2023</v>
      </c>
      <c r="C260">
        <v>126614</v>
      </c>
      <c r="D260" t="s">
        <v>84</v>
      </c>
      <c r="E260" t="s">
        <v>33</v>
      </c>
      <c r="H260" s="18">
        <v>204570</v>
      </c>
      <c r="L260" s="18">
        <f t="shared" si="10"/>
        <v>0</v>
      </c>
      <c r="M260">
        <f t="shared" si="11"/>
        <v>204570</v>
      </c>
    </row>
    <row r="261" spans="1:13" x14ac:dyDescent="0.2">
      <c r="A261">
        <f>IF(ISBLANK(E261),"",VLOOKUP(E261,code!B:C,2,FALSE))</f>
        <v>1</v>
      </c>
      <c r="B261">
        <v>2017</v>
      </c>
      <c r="C261">
        <v>163268</v>
      </c>
      <c r="D261" t="s">
        <v>136</v>
      </c>
      <c r="E261" t="s">
        <v>9</v>
      </c>
      <c r="L261" s="18">
        <f t="shared" si="10"/>
        <v>0</v>
      </c>
      <c r="M261">
        <f t="shared" si="11"/>
        <v>0</v>
      </c>
    </row>
    <row r="262" spans="1:13" x14ac:dyDescent="0.2">
      <c r="A262">
        <f>IF(ISBLANK(E262),"",VLOOKUP(E262,code!B:C,2,FALSE))</f>
        <v>2</v>
      </c>
      <c r="B262">
        <v>2017</v>
      </c>
      <c r="C262">
        <v>163268</v>
      </c>
      <c r="D262" t="s">
        <v>136</v>
      </c>
      <c r="E262" t="s">
        <v>10</v>
      </c>
      <c r="F262" s="18">
        <v>76353</v>
      </c>
      <c r="H262" s="18">
        <v>41710</v>
      </c>
      <c r="L262" s="18">
        <f t="shared" si="10"/>
        <v>76353</v>
      </c>
      <c r="M262">
        <f t="shared" si="11"/>
        <v>41710</v>
      </c>
    </row>
    <row r="263" spans="1:13" x14ac:dyDescent="0.2">
      <c r="A263">
        <f>IF(ISBLANK(E263),"",VLOOKUP(E263,code!B:C,2,FALSE))</f>
        <v>12</v>
      </c>
      <c r="B263">
        <v>2017</v>
      </c>
      <c r="C263">
        <v>163268</v>
      </c>
      <c r="D263" t="s">
        <v>136</v>
      </c>
      <c r="E263" t="s">
        <v>20</v>
      </c>
      <c r="L263" s="18">
        <f t="shared" si="10"/>
        <v>0</v>
      </c>
      <c r="M263">
        <f t="shared" si="11"/>
        <v>0</v>
      </c>
    </row>
    <row r="264" spans="1:13" x14ac:dyDescent="0.2">
      <c r="A264">
        <f>IF(ISBLANK(E264),"",VLOOKUP(E264,code!B:C,2,FALSE))</f>
        <v>17</v>
      </c>
      <c r="B264">
        <v>2017</v>
      </c>
      <c r="C264">
        <v>163268</v>
      </c>
      <c r="D264" t="s">
        <v>136</v>
      </c>
      <c r="E264" t="s">
        <v>25</v>
      </c>
      <c r="L264" s="18">
        <f t="shared" si="10"/>
        <v>0</v>
      </c>
      <c r="M264">
        <f t="shared" si="11"/>
        <v>0</v>
      </c>
    </row>
    <row r="265" spans="1:13" x14ac:dyDescent="0.2">
      <c r="A265">
        <f>IF(ISBLANK(E265),"",VLOOKUP(E265,code!B:C,2,FALSE))</f>
        <v>19</v>
      </c>
      <c r="B265">
        <v>2017</v>
      </c>
      <c r="C265">
        <v>163268</v>
      </c>
      <c r="D265" t="s">
        <v>136</v>
      </c>
      <c r="E265" t="s">
        <v>27</v>
      </c>
      <c r="L265" s="18">
        <f t="shared" si="10"/>
        <v>0</v>
      </c>
      <c r="M265">
        <f t="shared" si="11"/>
        <v>0</v>
      </c>
    </row>
    <row r="266" spans="1:13" x14ac:dyDescent="0.2">
      <c r="A266">
        <f>IF(ISBLANK(E266),"",VLOOKUP(E266,code!B:C,2,FALSE))</f>
        <v>18</v>
      </c>
      <c r="B266">
        <v>2017</v>
      </c>
      <c r="C266">
        <v>163268</v>
      </c>
      <c r="D266" t="s">
        <v>136</v>
      </c>
      <c r="E266" t="s">
        <v>26</v>
      </c>
      <c r="L266" s="18">
        <f t="shared" si="10"/>
        <v>0</v>
      </c>
      <c r="M266">
        <f t="shared" si="11"/>
        <v>0</v>
      </c>
    </row>
    <row r="267" spans="1:13" x14ac:dyDescent="0.2">
      <c r="A267">
        <f>IF(ISBLANK(E267),"",VLOOKUP(E267,code!B:C,2,FALSE))</f>
        <v>23</v>
      </c>
      <c r="B267">
        <v>2017</v>
      </c>
      <c r="C267">
        <v>163268</v>
      </c>
      <c r="D267" t="s">
        <v>136</v>
      </c>
      <c r="E267" t="s">
        <v>33</v>
      </c>
      <c r="L267" s="18">
        <f t="shared" ref="L267:L306" si="12">SUM(F267:G267)</f>
        <v>0</v>
      </c>
      <c r="M267">
        <f t="shared" ref="M267:M306" si="13">SUM(H267:I267)</f>
        <v>0</v>
      </c>
    </row>
    <row r="268" spans="1:13" x14ac:dyDescent="0.2">
      <c r="A268">
        <f>IF(ISBLANK(E268),"",VLOOKUP(E268,code!B:C,2,FALSE))</f>
        <v>1</v>
      </c>
      <c r="B268">
        <v>2018</v>
      </c>
      <c r="C268">
        <v>163268</v>
      </c>
      <c r="D268" t="s">
        <v>136</v>
      </c>
      <c r="E268" t="s">
        <v>9</v>
      </c>
      <c r="L268" s="18">
        <f t="shared" si="12"/>
        <v>0</v>
      </c>
      <c r="M268">
        <f t="shared" si="13"/>
        <v>0</v>
      </c>
    </row>
    <row r="269" spans="1:13" x14ac:dyDescent="0.2">
      <c r="A269">
        <f>IF(ISBLANK(E269),"",VLOOKUP(E269,code!B:C,2,FALSE))</f>
        <v>2</v>
      </c>
      <c r="B269">
        <v>2018</v>
      </c>
      <c r="C269">
        <v>163268</v>
      </c>
      <c r="D269" t="s">
        <v>136</v>
      </c>
      <c r="E269" t="s">
        <v>10</v>
      </c>
      <c r="F269" s="18">
        <v>43655</v>
      </c>
      <c r="H269" s="18">
        <v>49294</v>
      </c>
      <c r="L269" s="18">
        <f t="shared" si="12"/>
        <v>43655</v>
      </c>
      <c r="M269">
        <f t="shared" si="13"/>
        <v>49294</v>
      </c>
    </row>
    <row r="270" spans="1:13" x14ac:dyDescent="0.2">
      <c r="A270">
        <f>IF(ISBLANK(E270),"",VLOOKUP(E270,code!B:C,2,FALSE))</f>
        <v>12</v>
      </c>
      <c r="B270">
        <v>2018</v>
      </c>
      <c r="C270">
        <v>163268</v>
      </c>
      <c r="D270" t="s">
        <v>136</v>
      </c>
      <c r="E270" t="s">
        <v>20</v>
      </c>
      <c r="L270" s="18">
        <f t="shared" si="12"/>
        <v>0</v>
      </c>
      <c r="M270">
        <f t="shared" si="13"/>
        <v>0</v>
      </c>
    </row>
    <row r="271" spans="1:13" x14ac:dyDescent="0.2">
      <c r="A271">
        <f>IF(ISBLANK(E271),"",VLOOKUP(E271,code!B:C,2,FALSE))</f>
        <v>17</v>
      </c>
      <c r="B271">
        <v>2018</v>
      </c>
      <c r="C271">
        <v>163268</v>
      </c>
      <c r="D271" t="s">
        <v>136</v>
      </c>
      <c r="E271" t="s">
        <v>25</v>
      </c>
      <c r="L271" s="18">
        <f t="shared" si="12"/>
        <v>0</v>
      </c>
      <c r="M271">
        <f t="shared" si="13"/>
        <v>0</v>
      </c>
    </row>
    <row r="272" spans="1:13" x14ac:dyDescent="0.2">
      <c r="A272">
        <f>IF(ISBLANK(E272),"",VLOOKUP(E272,code!B:C,2,FALSE))</f>
        <v>19</v>
      </c>
      <c r="B272">
        <v>2018</v>
      </c>
      <c r="C272">
        <v>163268</v>
      </c>
      <c r="D272" t="s">
        <v>136</v>
      </c>
      <c r="E272" t="s">
        <v>27</v>
      </c>
      <c r="L272" s="18">
        <f t="shared" si="12"/>
        <v>0</v>
      </c>
      <c r="M272">
        <f t="shared" si="13"/>
        <v>0</v>
      </c>
    </row>
    <row r="273" spans="1:13" x14ac:dyDescent="0.2">
      <c r="A273">
        <f>IF(ISBLANK(E273),"",VLOOKUP(E273,code!B:C,2,FALSE))</f>
        <v>21</v>
      </c>
      <c r="B273">
        <v>2018</v>
      </c>
      <c r="C273">
        <v>163268</v>
      </c>
      <c r="D273" t="s">
        <v>136</v>
      </c>
      <c r="E273" t="s">
        <v>30</v>
      </c>
      <c r="L273" s="18">
        <f t="shared" si="12"/>
        <v>0</v>
      </c>
      <c r="M273">
        <f t="shared" si="13"/>
        <v>0</v>
      </c>
    </row>
    <row r="274" spans="1:13" x14ac:dyDescent="0.2">
      <c r="A274">
        <f>IF(ISBLANK(E274),"",VLOOKUP(E274,code!B:C,2,FALSE))</f>
        <v>18</v>
      </c>
      <c r="B274">
        <v>2018</v>
      </c>
      <c r="C274">
        <v>163268</v>
      </c>
      <c r="D274" t="s">
        <v>136</v>
      </c>
      <c r="E274" t="s">
        <v>26</v>
      </c>
      <c r="L274" s="18">
        <f t="shared" si="12"/>
        <v>0</v>
      </c>
      <c r="M274">
        <f t="shared" si="13"/>
        <v>0</v>
      </c>
    </row>
    <row r="275" spans="1:13" x14ac:dyDescent="0.2">
      <c r="A275">
        <f>IF(ISBLANK(E275),"",VLOOKUP(E275,code!B:C,2,FALSE))</f>
        <v>23</v>
      </c>
      <c r="B275">
        <v>2018</v>
      </c>
      <c r="C275">
        <v>163268</v>
      </c>
      <c r="D275" t="s">
        <v>136</v>
      </c>
      <c r="E275" t="s">
        <v>33</v>
      </c>
      <c r="L275" s="18">
        <f t="shared" si="12"/>
        <v>0</v>
      </c>
      <c r="M275">
        <f t="shared" si="13"/>
        <v>0</v>
      </c>
    </row>
    <row r="276" spans="1:13" x14ac:dyDescent="0.2">
      <c r="A276">
        <f>IF(ISBLANK(E276),"",VLOOKUP(E276,code!B:C,2,FALSE))</f>
        <v>1</v>
      </c>
      <c r="B276">
        <v>2019</v>
      </c>
      <c r="C276">
        <v>163268</v>
      </c>
      <c r="D276" t="s">
        <v>136</v>
      </c>
      <c r="E276" t="s">
        <v>9</v>
      </c>
      <c r="L276" s="18">
        <f t="shared" si="12"/>
        <v>0</v>
      </c>
      <c r="M276">
        <f t="shared" si="13"/>
        <v>0</v>
      </c>
    </row>
    <row r="277" spans="1:13" x14ac:dyDescent="0.2">
      <c r="A277">
        <f>IF(ISBLANK(E277),"",VLOOKUP(E277,code!B:C,2,FALSE))</f>
        <v>2</v>
      </c>
      <c r="B277">
        <v>2019</v>
      </c>
      <c r="C277">
        <v>163268</v>
      </c>
      <c r="D277" t="s">
        <v>136</v>
      </c>
      <c r="E277" t="s">
        <v>10</v>
      </c>
      <c r="F277" s="18">
        <v>64576</v>
      </c>
      <c r="L277" s="18">
        <f t="shared" si="12"/>
        <v>64576</v>
      </c>
      <c r="M277">
        <f t="shared" si="13"/>
        <v>0</v>
      </c>
    </row>
    <row r="278" spans="1:13" x14ac:dyDescent="0.2">
      <c r="A278">
        <f>IF(ISBLANK(E278),"",VLOOKUP(E278,code!B:C,2,FALSE))</f>
        <v>12</v>
      </c>
      <c r="B278">
        <v>2019</v>
      </c>
      <c r="C278">
        <v>163268</v>
      </c>
      <c r="D278" t="s">
        <v>136</v>
      </c>
      <c r="E278" t="s">
        <v>20</v>
      </c>
      <c r="L278" s="18">
        <f t="shared" si="12"/>
        <v>0</v>
      </c>
      <c r="M278">
        <f t="shared" si="13"/>
        <v>0</v>
      </c>
    </row>
    <row r="279" spans="1:13" x14ac:dyDescent="0.2">
      <c r="A279">
        <f>IF(ISBLANK(E279),"",VLOOKUP(E279,code!B:C,2,FALSE))</f>
        <v>17</v>
      </c>
      <c r="B279">
        <v>2019</v>
      </c>
      <c r="C279">
        <v>163268</v>
      </c>
      <c r="D279" t="s">
        <v>136</v>
      </c>
      <c r="E279" t="s">
        <v>25</v>
      </c>
      <c r="L279" s="18">
        <f t="shared" si="12"/>
        <v>0</v>
      </c>
      <c r="M279">
        <f t="shared" si="13"/>
        <v>0</v>
      </c>
    </row>
    <row r="280" spans="1:13" x14ac:dyDescent="0.2">
      <c r="A280">
        <f>IF(ISBLANK(E280),"",VLOOKUP(E280,code!B:C,2,FALSE))</f>
        <v>19</v>
      </c>
      <c r="B280">
        <v>2019</v>
      </c>
      <c r="C280">
        <v>163268</v>
      </c>
      <c r="D280" t="s">
        <v>136</v>
      </c>
      <c r="E280" t="s">
        <v>27</v>
      </c>
      <c r="L280" s="18">
        <f t="shared" si="12"/>
        <v>0</v>
      </c>
      <c r="M280">
        <f t="shared" si="13"/>
        <v>0</v>
      </c>
    </row>
    <row r="281" spans="1:13" x14ac:dyDescent="0.2">
      <c r="A281">
        <f>IF(ISBLANK(E281),"",VLOOKUP(E281,code!B:C,2,FALSE))</f>
        <v>21</v>
      </c>
      <c r="B281">
        <v>2019</v>
      </c>
      <c r="C281">
        <v>163268</v>
      </c>
      <c r="D281" t="s">
        <v>136</v>
      </c>
      <c r="E281" t="s">
        <v>30</v>
      </c>
      <c r="L281" s="18">
        <f t="shared" si="12"/>
        <v>0</v>
      </c>
      <c r="M281">
        <f t="shared" si="13"/>
        <v>0</v>
      </c>
    </row>
    <row r="282" spans="1:13" x14ac:dyDescent="0.2">
      <c r="A282">
        <f>IF(ISBLANK(E282),"",VLOOKUP(E282,code!B:C,2,FALSE))</f>
        <v>18</v>
      </c>
      <c r="B282">
        <v>2019</v>
      </c>
      <c r="C282">
        <v>163268</v>
      </c>
      <c r="D282" t="s">
        <v>136</v>
      </c>
      <c r="E282" t="s">
        <v>26</v>
      </c>
      <c r="L282" s="18">
        <f t="shared" si="12"/>
        <v>0</v>
      </c>
      <c r="M282">
        <f t="shared" si="13"/>
        <v>0</v>
      </c>
    </row>
    <row r="283" spans="1:13" x14ac:dyDescent="0.2">
      <c r="A283">
        <f>IF(ISBLANK(E283),"",VLOOKUP(E283,code!B:C,2,FALSE))</f>
        <v>23</v>
      </c>
      <c r="B283">
        <v>2019</v>
      </c>
      <c r="C283">
        <v>163268</v>
      </c>
      <c r="D283" t="s">
        <v>136</v>
      </c>
      <c r="E283" t="s">
        <v>33</v>
      </c>
      <c r="L283" s="18">
        <f t="shared" si="12"/>
        <v>0</v>
      </c>
      <c r="M283">
        <f t="shared" si="13"/>
        <v>0</v>
      </c>
    </row>
    <row r="284" spans="1:13" x14ac:dyDescent="0.2">
      <c r="A284">
        <f>IF(ISBLANK(E284),"",VLOOKUP(E284,code!B:C,2,FALSE))</f>
        <v>1</v>
      </c>
      <c r="B284">
        <v>2020</v>
      </c>
      <c r="C284">
        <v>163268</v>
      </c>
      <c r="D284" t="s">
        <v>136</v>
      </c>
      <c r="E284" t="s">
        <v>9</v>
      </c>
      <c r="L284" s="18">
        <f t="shared" si="12"/>
        <v>0</v>
      </c>
      <c r="M284">
        <f t="shared" si="13"/>
        <v>0</v>
      </c>
    </row>
    <row r="285" spans="1:13" x14ac:dyDescent="0.2">
      <c r="A285">
        <f>IF(ISBLANK(E285),"",VLOOKUP(E285,code!B:C,2,FALSE))</f>
        <v>2</v>
      </c>
      <c r="B285">
        <v>2020</v>
      </c>
      <c r="C285">
        <v>163268</v>
      </c>
      <c r="D285" t="s">
        <v>136</v>
      </c>
      <c r="E285" t="s">
        <v>10</v>
      </c>
      <c r="F285" s="18">
        <v>71246</v>
      </c>
      <c r="H285">
        <v>43809</v>
      </c>
      <c r="L285" s="18">
        <f t="shared" si="12"/>
        <v>71246</v>
      </c>
      <c r="M285">
        <f t="shared" si="13"/>
        <v>43809</v>
      </c>
    </row>
    <row r="286" spans="1:13" x14ac:dyDescent="0.2">
      <c r="A286">
        <f>IF(ISBLANK(E286),"",VLOOKUP(E286,code!B:C,2,FALSE))</f>
        <v>12</v>
      </c>
      <c r="B286">
        <v>2020</v>
      </c>
      <c r="C286">
        <v>163268</v>
      </c>
      <c r="D286" t="s">
        <v>136</v>
      </c>
      <c r="E286" t="s">
        <v>20</v>
      </c>
      <c r="L286" s="18">
        <f t="shared" si="12"/>
        <v>0</v>
      </c>
      <c r="M286">
        <f t="shared" si="13"/>
        <v>0</v>
      </c>
    </row>
    <row r="287" spans="1:13" x14ac:dyDescent="0.2">
      <c r="A287">
        <f>IF(ISBLANK(E287),"",VLOOKUP(E287,code!B:C,2,FALSE))</f>
        <v>17</v>
      </c>
      <c r="B287">
        <v>2020</v>
      </c>
      <c r="C287">
        <v>163268</v>
      </c>
      <c r="D287" t="s">
        <v>136</v>
      </c>
      <c r="E287" t="s">
        <v>25</v>
      </c>
      <c r="L287" s="18">
        <f t="shared" si="12"/>
        <v>0</v>
      </c>
      <c r="M287">
        <f t="shared" si="13"/>
        <v>0</v>
      </c>
    </row>
    <row r="288" spans="1:13" x14ac:dyDescent="0.2">
      <c r="A288">
        <f>IF(ISBLANK(E288),"",VLOOKUP(E288,code!B:C,2,FALSE))</f>
        <v>19</v>
      </c>
      <c r="B288">
        <v>2020</v>
      </c>
      <c r="C288">
        <v>163268</v>
      </c>
      <c r="D288" t="s">
        <v>136</v>
      </c>
      <c r="E288" t="s">
        <v>27</v>
      </c>
      <c r="L288" s="18">
        <f t="shared" si="12"/>
        <v>0</v>
      </c>
      <c r="M288">
        <f t="shared" si="13"/>
        <v>0</v>
      </c>
    </row>
    <row r="289" spans="1:13" x14ac:dyDescent="0.2">
      <c r="A289">
        <f>IF(ISBLANK(E289),"",VLOOKUP(E289,code!B:C,2,FALSE))</f>
        <v>21</v>
      </c>
      <c r="B289">
        <v>2020</v>
      </c>
      <c r="C289">
        <v>163268</v>
      </c>
      <c r="D289" t="s">
        <v>136</v>
      </c>
      <c r="E289" t="s">
        <v>30</v>
      </c>
      <c r="L289" s="18">
        <f t="shared" si="12"/>
        <v>0</v>
      </c>
      <c r="M289">
        <f t="shared" si="13"/>
        <v>0</v>
      </c>
    </row>
    <row r="290" spans="1:13" x14ac:dyDescent="0.2">
      <c r="A290">
        <f>IF(ISBLANK(E290),"",VLOOKUP(E290,code!B:C,2,FALSE))</f>
        <v>18</v>
      </c>
      <c r="B290">
        <v>2020</v>
      </c>
      <c r="C290">
        <v>163268</v>
      </c>
      <c r="D290" t="s">
        <v>136</v>
      </c>
      <c r="E290" t="s">
        <v>26</v>
      </c>
      <c r="L290" s="18">
        <f t="shared" si="12"/>
        <v>0</v>
      </c>
      <c r="M290">
        <f t="shared" si="13"/>
        <v>0</v>
      </c>
    </row>
    <row r="291" spans="1:13" x14ac:dyDescent="0.2">
      <c r="A291">
        <f>IF(ISBLANK(E291),"",VLOOKUP(E291,code!B:C,2,FALSE))</f>
        <v>23</v>
      </c>
      <c r="B291">
        <v>2020</v>
      </c>
      <c r="C291">
        <v>163268</v>
      </c>
      <c r="D291" t="s">
        <v>136</v>
      </c>
      <c r="E291" t="s">
        <v>33</v>
      </c>
      <c r="L291" s="18">
        <f t="shared" si="12"/>
        <v>0</v>
      </c>
      <c r="M291">
        <f t="shared" si="13"/>
        <v>0</v>
      </c>
    </row>
    <row r="292" spans="1:13" x14ac:dyDescent="0.2">
      <c r="A292">
        <f>IF(ISBLANK(E292),"",VLOOKUP(E292,code!B:C,2,FALSE))</f>
        <v>1</v>
      </c>
      <c r="B292">
        <v>2021</v>
      </c>
      <c r="C292">
        <v>163268</v>
      </c>
      <c r="D292" t="s">
        <v>136</v>
      </c>
      <c r="E292" t="s">
        <v>9</v>
      </c>
      <c r="L292" s="18">
        <f t="shared" si="12"/>
        <v>0</v>
      </c>
      <c r="M292">
        <f t="shared" si="13"/>
        <v>0</v>
      </c>
    </row>
    <row r="293" spans="1:13" x14ac:dyDescent="0.2">
      <c r="A293">
        <f>IF(ISBLANK(E293),"",VLOOKUP(E293,code!B:C,2,FALSE))</f>
        <v>2</v>
      </c>
      <c r="B293">
        <v>2021</v>
      </c>
      <c r="C293">
        <v>163268</v>
      </c>
      <c r="D293" t="s">
        <v>136</v>
      </c>
      <c r="E293" t="s">
        <v>10</v>
      </c>
      <c r="F293" s="18">
        <v>38829</v>
      </c>
      <c r="H293" s="18">
        <v>17077</v>
      </c>
      <c r="L293" s="18">
        <f t="shared" si="12"/>
        <v>38829</v>
      </c>
      <c r="M293">
        <f t="shared" si="13"/>
        <v>17077</v>
      </c>
    </row>
    <row r="294" spans="1:13" x14ac:dyDescent="0.2">
      <c r="A294">
        <f>IF(ISBLANK(E294),"",VLOOKUP(E294,code!B:C,2,FALSE))</f>
        <v>12</v>
      </c>
      <c r="B294">
        <v>2021</v>
      </c>
      <c r="C294">
        <v>163268</v>
      </c>
      <c r="D294" t="s">
        <v>136</v>
      </c>
      <c r="E294" t="s">
        <v>20</v>
      </c>
      <c r="L294" s="18">
        <f t="shared" si="12"/>
        <v>0</v>
      </c>
      <c r="M294">
        <f t="shared" si="13"/>
        <v>0</v>
      </c>
    </row>
    <row r="295" spans="1:13" x14ac:dyDescent="0.2">
      <c r="A295">
        <f>IF(ISBLANK(E295),"",VLOOKUP(E295,code!B:C,2,FALSE))</f>
        <v>17</v>
      </c>
      <c r="B295">
        <v>2021</v>
      </c>
      <c r="C295">
        <v>163268</v>
      </c>
      <c r="D295" t="s">
        <v>136</v>
      </c>
      <c r="E295" t="s">
        <v>25</v>
      </c>
      <c r="L295" s="18">
        <f t="shared" si="12"/>
        <v>0</v>
      </c>
      <c r="M295">
        <f t="shared" si="13"/>
        <v>0</v>
      </c>
    </row>
    <row r="296" spans="1:13" x14ac:dyDescent="0.2">
      <c r="A296">
        <f>IF(ISBLANK(E296),"",VLOOKUP(E296,code!B:C,2,FALSE))</f>
        <v>19</v>
      </c>
      <c r="B296">
        <v>2021</v>
      </c>
      <c r="C296">
        <v>163268</v>
      </c>
      <c r="D296" t="s">
        <v>136</v>
      </c>
      <c r="E296" t="s">
        <v>27</v>
      </c>
      <c r="L296" s="18">
        <f t="shared" si="12"/>
        <v>0</v>
      </c>
      <c r="M296">
        <f t="shared" si="13"/>
        <v>0</v>
      </c>
    </row>
    <row r="297" spans="1:13" x14ac:dyDescent="0.2">
      <c r="A297">
        <f>IF(ISBLANK(E297),"",VLOOKUP(E297,code!B:C,2,FALSE))</f>
        <v>21</v>
      </c>
      <c r="B297">
        <v>2021</v>
      </c>
      <c r="C297">
        <v>163268</v>
      </c>
      <c r="D297" t="s">
        <v>136</v>
      </c>
      <c r="E297" t="s">
        <v>30</v>
      </c>
      <c r="L297" s="18">
        <f t="shared" si="12"/>
        <v>0</v>
      </c>
      <c r="M297">
        <f t="shared" si="13"/>
        <v>0</v>
      </c>
    </row>
    <row r="298" spans="1:13" x14ac:dyDescent="0.2">
      <c r="A298">
        <f>IF(ISBLANK(E298),"",VLOOKUP(E298,code!B:C,2,FALSE))</f>
        <v>18</v>
      </c>
      <c r="B298">
        <v>2021</v>
      </c>
      <c r="C298">
        <v>163268</v>
      </c>
      <c r="D298" t="s">
        <v>136</v>
      </c>
      <c r="E298" t="s">
        <v>26</v>
      </c>
      <c r="L298" s="18">
        <f t="shared" si="12"/>
        <v>0</v>
      </c>
      <c r="M298">
        <f t="shared" si="13"/>
        <v>0</v>
      </c>
    </row>
    <row r="299" spans="1:13" x14ac:dyDescent="0.2">
      <c r="A299">
        <f>IF(ISBLANK(E299),"",VLOOKUP(E299,code!B:C,2,FALSE))</f>
        <v>23</v>
      </c>
      <c r="B299">
        <v>2021</v>
      </c>
      <c r="C299">
        <v>163268</v>
      </c>
      <c r="D299" t="s">
        <v>136</v>
      </c>
      <c r="E299" t="s">
        <v>33</v>
      </c>
      <c r="L299" s="18">
        <f t="shared" si="12"/>
        <v>0</v>
      </c>
      <c r="M299">
        <f t="shared" si="13"/>
        <v>0</v>
      </c>
    </row>
    <row r="300" spans="1:13" x14ac:dyDescent="0.2">
      <c r="A300">
        <f>IF(ISBLANK(E300),"",VLOOKUP(E300,code!B:C,2,FALSE))</f>
        <v>1</v>
      </c>
      <c r="B300">
        <v>2022</v>
      </c>
      <c r="C300">
        <v>163268</v>
      </c>
      <c r="D300" t="s">
        <v>136</v>
      </c>
      <c r="E300" t="s">
        <v>9</v>
      </c>
      <c r="L300" s="18">
        <f t="shared" si="12"/>
        <v>0</v>
      </c>
      <c r="M300">
        <f t="shared" si="13"/>
        <v>0</v>
      </c>
    </row>
    <row r="301" spans="1:13" x14ac:dyDescent="0.2">
      <c r="A301">
        <f>IF(ISBLANK(E301),"",VLOOKUP(E301,code!B:C,2,FALSE))</f>
        <v>2</v>
      </c>
      <c r="B301">
        <v>2022</v>
      </c>
      <c r="C301">
        <v>163268</v>
      </c>
      <c r="D301" t="s">
        <v>136</v>
      </c>
      <c r="E301" t="s">
        <v>10</v>
      </c>
      <c r="F301" s="18">
        <v>72928</v>
      </c>
      <c r="H301" s="18">
        <v>55746</v>
      </c>
      <c r="L301" s="18">
        <f t="shared" si="12"/>
        <v>72928</v>
      </c>
      <c r="M301">
        <f t="shared" si="13"/>
        <v>55746</v>
      </c>
    </row>
    <row r="302" spans="1:13" x14ac:dyDescent="0.2">
      <c r="A302">
        <f>IF(ISBLANK(E302),"",VLOOKUP(E302,code!B:C,2,FALSE))</f>
        <v>12</v>
      </c>
      <c r="B302">
        <v>2022</v>
      </c>
      <c r="C302">
        <v>163268</v>
      </c>
      <c r="D302" t="s">
        <v>136</v>
      </c>
      <c r="E302" t="s">
        <v>20</v>
      </c>
      <c r="L302" s="18">
        <f t="shared" si="12"/>
        <v>0</v>
      </c>
      <c r="M302">
        <f t="shared" si="13"/>
        <v>0</v>
      </c>
    </row>
    <row r="303" spans="1:13" x14ac:dyDescent="0.2">
      <c r="A303">
        <f>IF(ISBLANK(E303),"",VLOOKUP(E303,code!B:C,2,FALSE))</f>
        <v>17</v>
      </c>
      <c r="B303">
        <v>2022</v>
      </c>
      <c r="C303">
        <v>163268</v>
      </c>
      <c r="D303" t="s">
        <v>136</v>
      </c>
      <c r="E303" t="s">
        <v>25</v>
      </c>
      <c r="L303" s="18">
        <f t="shared" si="12"/>
        <v>0</v>
      </c>
      <c r="M303">
        <f t="shared" si="13"/>
        <v>0</v>
      </c>
    </row>
    <row r="304" spans="1:13" x14ac:dyDescent="0.2">
      <c r="A304">
        <f>IF(ISBLANK(E304),"",VLOOKUP(E304,code!B:C,2,FALSE))</f>
        <v>19</v>
      </c>
      <c r="B304">
        <v>2022</v>
      </c>
      <c r="C304">
        <v>163268</v>
      </c>
      <c r="D304" t="s">
        <v>136</v>
      </c>
      <c r="E304" t="s">
        <v>27</v>
      </c>
      <c r="L304" s="18">
        <f t="shared" si="12"/>
        <v>0</v>
      </c>
      <c r="M304">
        <f t="shared" si="13"/>
        <v>0</v>
      </c>
    </row>
    <row r="305" spans="1:13" x14ac:dyDescent="0.2">
      <c r="A305">
        <f>IF(ISBLANK(E305),"",VLOOKUP(E305,code!B:C,2,FALSE))</f>
        <v>21</v>
      </c>
      <c r="B305">
        <v>2022</v>
      </c>
      <c r="C305">
        <v>163268</v>
      </c>
      <c r="D305" t="s">
        <v>136</v>
      </c>
      <c r="E305" t="s">
        <v>30</v>
      </c>
      <c r="L305" s="18">
        <f t="shared" si="12"/>
        <v>0</v>
      </c>
      <c r="M305">
        <f t="shared" si="13"/>
        <v>0</v>
      </c>
    </row>
    <row r="306" spans="1:13" x14ac:dyDescent="0.2">
      <c r="A306">
        <f>IF(ISBLANK(E306),"",VLOOKUP(E306,code!B:C,2,FALSE))</f>
        <v>18</v>
      </c>
      <c r="B306">
        <v>2022</v>
      </c>
      <c r="C306">
        <v>163268</v>
      </c>
      <c r="D306" t="s">
        <v>136</v>
      </c>
      <c r="E306" t="s">
        <v>26</v>
      </c>
      <c r="L306" s="18">
        <f t="shared" si="12"/>
        <v>0</v>
      </c>
      <c r="M306">
        <f t="shared" si="13"/>
        <v>0</v>
      </c>
    </row>
    <row r="307" spans="1:13" x14ac:dyDescent="0.2">
      <c r="A307">
        <f>IF(ISBLANK(E307),"",VLOOKUP(E307,code!B:C,2,FALSE))</f>
        <v>23</v>
      </c>
      <c r="B307">
        <v>2022</v>
      </c>
      <c r="C307">
        <v>163268</v>
      </c>
      <c r="D307" t="s">
        <v>136</v>
      </c>
      <c r="E307" t="s">
        <v>33</v>
      </c>
      <c r="L307" s="18">
        <f t="shared" ref="L307:L347" si="14">SUM(F307:G307)</f>
        <v>0</v>
      </c>
      <c r="M307">
        <f t="shared" ref="M307:M347" si="15">SUM(H307:I307)</f>
        <v>0</v>
      </c>
    </row>
    <row r="308" spans="1:13" x14ac:dyDescent="0.2">
      <c r="A308">
        <f>IF(ISBLANK(E308),"",VLOOKUP(E308,code!B:C,2,FALSE))</f>
        <v>1</v>
      </c>
      <c r="B308">
        <v>2023</v>
      </c>
      <c r="C308">
        <v>163268</v>
      </c>
      <c r="D308" t="s">
        <v>136</v>
      </c>
      <c r="E308" t="s">
        <v>9</v>
      </c>
      <c r="L308" s="18">
        <f t="shared" si="14"/>
        <v>0</v>
      </c>
      <c r="M308">
        <f t="shared" si="15"/>
        <v>0</v>
      </c>
    </row>
    <row r="309" spans="1:13" x14ac:dyDescent="0.2">
      <c r="A309">
        <f>IF(ISBLANK(E309),"",VLOOKUP(E309,code!B:C,2,FALSE))</f>
        <v>2</v>
      </c>
      <c r="B309">
        <v>2023</v>
      </c>
      <c r="C309">
        <v>163268</v>
      </c>
      <c r="D309" t="s">
        <v>136</v>
      </c>
      <c r="E309" t="s">
        <v>10</v>
      </c>
      <c r="F309" s="18">
        <v>108701</v>
      </c>
      <c r="H309" s="18">
        <v>53314</v>
      </c>
      <c r="L309" s="18">
        <f>SUM(F309:G309)</f>
        <v>108701</v>
      </c>
      <c r="M309">
        <f>SUM(H309:I309)</f>
        <v>53314</v>
      </c>
    </row>
    <row r="310" spans="1:13" x14ac:dyDescent="0.2">
      <c r="A310">
        <f>IF(ISBLANK(E310),"",VLOOKUP(E310,code!B:C,2,FALSE))</f>
        <v>12</v>
      </c>
      <c r="B310">
        <v>2023</v>
      </c>
      <c r="C310">
        <v>163268</v>
      </c>
      <c r="D310" t="s">
        <v>136</v>
      </c>
      <c r="E310" t="s">
        <v>20</v>
      </c>
      <c r="L310" s="18">
        <f t="shared" si="14"/>
        <v>0</v>
      </c>
      <c r="M310">
        <f t="shared" si="15"/>
        <v>0</v>
      </c>
    </row>
    <row r="311" spans="1:13" x14ac:dyDescent="0.2">
      <c r="A311">
        <f>IF(ISBLANK(E311),"",VLOOKUP(E311,code!B:C,2,FALSE))</f>
        <v>17</v>
      </c>
      <c r="B311">
        <v>2023</v>
      </c>
      <c r="C311">
        <v>163268</v>
      </c>
      <c r="D311" t="s">
        <v>136</v>
      </c>
      <c r="E311" t="s">
        <v>25</v>
      </c>
      <c r="L311" s="18">
        <f t="shared" si="14"/>
        <v>0</v>
      </c>
      <c r="M311">
        <f t="shared" si="15"/>
        <v>0</v>
      </c>
    </row>
    <row r="312" spans="1:13" x14ac:dyDescent="0.2">
      <c r="A312">
        <f>IF(ISBLANK(E312),"",VLOOKUP(E312,code!B:C,2,FALSE))</f>
        <v>19</v>
      </c>
      <c r="B312">
        <v>2023</v>
      </c>
      <c r="C312">
        <v>163268</v>
      </c>
      <c r="D312" t="s">
        <v>136</v>
      </c>
      <c r="E312" t="s">
        <v>27</v>
      </c>
      <c r="L312" s="18">
        <f t="shared" si="14"/>
        <v>0</v>
      </c>
      <c r="M312">
        <f t="shared" si="15"/>
        <v>0</v>
      </c>
    </row>
    <row r="313" spans="1:13" x14ac:dyDescent="0.2">
      <c r="A313">
        <f>IF(ISBLANK(E313),"",VLOOKUP(E313,code!B:C,2,FALSE))</f>
        <v>21</v>
      </c>
      <c r="B313">
        <v>2023</v>
      </c>
      <c r="C313">
        <v>163268</v>
      </c>
      <c r="D313" t="s">
        <v>136</v>
      </c>
      <c r="E313" t="s">
        <v>31</v>
      </c>
      <c r="L313" s="18">
        <f t="shared" si="14"/>
        <v>0</v>
      </c>
      <c r="M313">
        <f t="shared" si="15"/>
        <v>0</v>
      </c>
    </row>
    <row r="314" spans="1:13" x14ac:dyDescent="0.2">
      <c r="A314">
        <f>IF(ISBLANK(E314),"",VLOOKUP(E314,code!B:C,2,FALSE))</f>
        <v>18</v>
      </c>
      <c r="B314">
        <v>2023</v>
      </c>
      <c r="C314">
        <v>163268</v>
      </c>
      <c r="D314" t="s">
        <v>136</v>
      </c>
      <c r="E314" t="s">
        <v>26</v>
      </c>
      <c r="L314" s="18">
        <f t="shared" si="14"/>
        <v>0</v>
      </c>
      <c r="M314">
        <f t="shared" si="15"/>
        <v>0</v>
      </c>
    </row>
    <row r="315" spans="1:13" x14ac:dyDescent="0.2">
      <c r="A315">
        <f>IF(ISBLANK(E315),"",VLOOKUP(E315,code!B:C,2,FALSE))</f>
        <v>23</v>
      </c>
      <c r="B315">
        <v>2023</v>
      </c>
      <c r="C315">
        <v>163268</v>
      </c>
      <c r="D315" t="s">
        <v>136</v>
      </c>
      <c r="E315" t="s">
        <v>33</v>
      </c>
      <c r="L315" s="18">
        <f t="shared" si="14"/>
        <v>0</v>
      </c>
      <c r="M315">
        <f t="shared" si="15"/>
        <v>0</v>
      </c>
    </row>
    <row r="316" spans="1:13" x14ac:dyDescent="0.2">
      <c r="A316">
        <f>IF(ISBLANK(E316),"",VLOOKUP(E316,code!B:C,2,FALSE))</f>
        <v>1</v>
      </c>
      <c r="B316">
        <v>2017</v>
      </c>
      <c r="C316">
        <v>199218</v>
      </c>
      <c r="D316" t="s">
        <v>175</v>
      </c>
      <c r="E316" t="s">
        <v>9</v>
      </c>
      <c r="F316" s="18">
        <v>25192</v>
      </c>
      <c r="L316" s="18">
        <f t="shared" si="14"/>
        <v>25192</v>
      </c>
      <c r="M316">
        <f t="shared" si="15"/>
        <v>0</v>
      </c>
    </row>
    <row r="317" spans="1:13" x14ac:dyDescent="0.2">
      <c r="A317">
        <f>IF(ISBLANK(E317),"",VLOOKUP(E317,code!B:C,2,FALSE))</f>
        <v>2</v>
      </c>
      <c r="B317">
        <v>2017</v>
      </c>
      <c r="C317">
        <v>199218</v>
      </c>
      <c r="D317" t="s">
        <v>175</v>
      </c>
      <c r="E317" t="s">
        <v>10</v>
      </c>
      <c r="F317" s="18">
        <v>-47669</v>
      </c>
      <c r="H317" s="18">
        <v>-14027</v>
      </c>
      <c r="L317" s="18">
        <f t="shared" si="14"/>
        <v>-47669</v>
      </c>
      <c r="M317">
        <f t="shared" si="15"/>
        <v>-14027</v>
      </c>
    </row>
    <row r="318" spans="1:13" x14ac:dyDescent="0.2">
      <c r="A318">
        <f>IF(ISBLANK(E318),"",VLOOKUP(E318,code!B:C,2,FALSE))</f>
        <v>3</v>
      </c>
      <c r="B318">
        <v>2017</v>
      </c>
      <c r="C318">
        <v>199218</v>
      </c>
      <c r="D318" t="s">
        <v>175</v>
      </c>
      <c r="E318" t="s">
        <v>11</v>
      </c>
      <c r="H318" s="18">
        <v>2705</v>
      </c>
      <c r="L318" s="18">
        <f t="shared" si="14"/>
        <v>0</v>
      </c>
      <c r="M318">
        <f t="shared" si="15"/>
        <v>2705</v>
      </c>
    </row>
    <row r="319" spans="1:13" x14ac:dyDescent="0.2">
      <c r="A319">
        <f>IF(ISBLANK(E319),"",VLOOKUP(E319,code!B:C,2,FALSE))</f>
        <v>9</v>
      </c>
      <c r="B319">
        <v>2017</v>
      </c>
      <c r="C319">
        <v>199218</v>
      </c>
      <c r="D319" t="s">
        <v>175</v>
      </c>
      <c r="E319" t="s">
        <v>17</v>
      </c>
      <c r="F319">
        <v>-277</v>
      </c>
      <c r="H319">
        <v>991</v>
      </c>
      <c r="L319" s="18">
        <f t="shared" si="14"/>
        <v>-277</v>
      </c>
      <c r="M319">
        <f t="shared" si="15"/>
        <v>991</v>
      </c>
    </row>
    <row r="320" spans="1:13" x14ac:dyDescent="0.2">
      <c r="A320">
        <f>IF(ISBLANK(E320),"",VLOOKUP(E320,code!B:C,2,FALSE))</f>
        <v>17</v>
      </c>
      <c r="B320">
        <v>2017</v>
      </c>
      <c r="C320">
        <v>199218</v>
      </c>
      <c r="D320" t="s">
        <v>175</v>
      </c>
      <c r="E320" t="s">
        <v>25</v>
      </c>
      <c r="F320" s="18">
        <v>5318</v>
      </c>
      <c r="H320" s="18">
        <v>9416</v>
      </c>
      <c r="L320" s="18">
        <f t="shared" si="14"/>
        <v>5318</v>
      </c>
      <c r="M320">
        <f t="shared" si="15"/>
        <v>9416</v>
      </c>
    </row>
    <row r="321" spans="1:13" x14ac:dyDescent="0.2">
      <c r="A321">
        <f>IF(ISBLANK(E321),"",VLOOKUP(E321,code!B:C,2,FALSE))</f>
        <v>18</v>
      </c>
      <c r="B321">
        <v>2017</v>
      </c>
      <c r="C321">
        <v>199218</v>
      </c>
      <c r="D321" t="s">
        <v>175</v>
      </c>
      <c r="E321" t="s">
        <v>26</v>
      </c>
      <c r="H321" s="18">
        <v>10541</v>
      </c>
      <c r="L321" s="18">
        <f t="shared" si="14"/>
        <v>0</v>
      </c>
      <c r="M321">
        <f t="shared" si="15"/>
        <v>10541</v>
      </c>
    </row>
    <row r="322" spans="1:13" x14ac:dyDescent="0.2">
      <c r="A322">
        <f>IF(ISBLANK(E322),"",VLOOKUP(E322,code!B:C,2,FALSE))</f>
        <v>19</v>
      </c>
      <c r="B322">
        <v>2017</v>
      </c>
      <c r="C322">
        <v>199218</v>
      </c>
      <c r="D322" t="s">
        <v>175</v>
      </c>
      <c r="E322" t="s">
        <v>27</v>
      </c>
      <c r="F322" s="18">
        <v>2260</v>
      </c>
      <c r="H322" s="18">
        <v>2252</v>
      </c>
      <c r="L322" s="18">
        <f t="shared" si="14"/>
        <v>2260</v>
      </c>
      <c r="M322">
        <f t="shared" si="15"/>
        <v>2252</v>
      </c>
    </row>
    <row r="323" spans="1:13" x14ac:dyDescent="0.2">
      <c r="A323">
        <f>IF(ISBLANK(E323),"",VLOOKUP(E323,code!B:C,2,FALSE))</f>
        <v>20</v>
      </c>
      <c r="B323">
        <v>2017</v>
      </c>
      <c r="C323">
        <v>199218</v>
      </c>
      <c r="D323" t="s">
        <v>175</v>
      </c>
      <c r="E323" t="s">
        <v>28</v>
      </c>
      <c r="F323" s="18">
        <v>3019</v>
      </c>
      <c r="H323" s="18">
        <v>5707</v>
      </c>
      <c r="L323" s="18">
        <f t="shared" si="14"/>
        <v>3019</v>
      </c>
      <c r="M323">
        <f t="shared" si="15"/>
        <v>5707</v>
      </c>
    </row>
    <row r="324" spans="1:13" x14ac:dyDescent="0.2">
      <c r="A324">
        <f>IF(ISBLANK(E324),"",VLOOKUP(E324,code!B:C,2,FALSE))</f>
        <v>21</v>
      </c>
      <c r="B324">
        <v>2017</v>
      </c>
      <c r="C324">
        <v>199218</v>
      </c>
      <c r="D324" t="s">
        <v>175</v>
      </c>
      <c r="E324" t="s">
        <v>30</v>
      </c>
      <c r="F324" s="18">
        <v>1657</v>
      </c>
      <c r="H324" s="18">
        <v>1900</v>
      </c>
      <c r="L324" s="18">
        <f t="shared" si="14"/>
        <v>1657</v>
      </c>
      <c r="M324">
        <f t="shared" si="15"/>
        <v>1900</v>
      </c>
    </row>
    <row r="325" spans="1:13" x14ac:dyDescent="0.2">
      <c r="A325">
        <f>IF(ISBLANK(E325),"",VLOOKUP(E325,code!B:C,2,FALSE))</f>
        <v>23</v>
      </c>
      <c r="B325">
        <v>2017</v>
      </c>
      <c r="C325">
        <v>199218</v>
      </c>
      <c r="D325" t="s">
        <v>175</v>
      </c>
      <c r="E325" t="s">
        <v>33</v>
      </c>
      <c r="H325" s="18">
        <v>4398</v>
      </c>
      <c r="L325" s="18">
        <f t="shared" si="14"/>
        <v>0</v>
      </c>
      <c r="M325">
        <f t="shared" si="15"/>
        <v>4398</v>
      </c>
    </row>
    <row r="326" spans="1:13" x14ac:dyDescent="0.2">
      <c r="A326">
        <f>IF(ISBLANK(E326),"",VLOOKUP(E326,code!B:C,2,FALSE))</f>
        <v>1</v>
      </c>
      <c r="B326">
        <v>2018</v>
      </c>
      <c r="C326">
        <v>199218</v>
      </c>
      <c r="D326" t="s">
        <v>175</v>
      </c>
      <c r="E326" t="s">
        <v>9</v>
      </c>
      <c r="F326" s="18">
        <v>21967</v>
      </c>
      <c r="L326" s="18">
        <f t="shared" si="14"/>
        <v>21967</v>
      </c>
      <c r="M326">
        <f t="shared" si="15"/>
        <v>0</v>
      </c>
    </row>
    <row r="327" spans="1:13" x14ac:dyDescent="0.2">
      <c r="A327">
        <f>IF(ISBLANK(E327),"",VLOOKUP(E327,code!B:C,2,FALSE))</f>
        <v>2</v>
      </c>
      <c r="B327">
        <v>2018</v>
      </c>
      <c r="C327">
        <v>199218</v>
      </c>
      <c r="D327" t="s">
        <v>175</v>
      </c>
      <c r="E327" t="s">
        <v>10</v>
      </c>
      <c r="F327" s="18">
        <v>165691</v>
      </c>
      <c r="H327" s="18">
        <v>120224</v>
      </c>
      <c r="L327" s="18">
        <f t="shared" si="14"/>
        <v>165691</v>
      </c>
      <c r="M327">
        <f t="shared" si="15"/>
        <v>120224</v>
      </c>
    </row>
    <row r="328" spans="1:13" x14ac:dyDescent="0.2">
      <c r="A328">
        <f>IF(ISBLANK(E328),"",VLOOKUP(E328,code!B:C,2,FALSE))</f>
        <v>9</v>
      </c>
      <c r="B328">
        <v>2018</v>
      </c>
      <c r="C328">
        <v>199218</v>
      </c>
      <c r="D328" t="s">
        <v>175</v>
      </c>
      <c r="E328" t="s">
        <v>17</v>
      </c>
      <c r="L328" s="18">
        <f t="shared" si="14"/>
        <v>0</v>
      </c>
      <c r="M328">
        <f t="shared" si="15"/>
        <v>0</v>
      </c>
    </row>
    <row r="329" spans="1:13" x14ac:dyDescent="0.2">
      <c r="A329">
        <f>IF(ISBLANK(E329),"",VLOOKUP(E329,code!B:C,2,FALSE))</f>
        <v>17</v>
      </c>
      <c r="B329">
        <v>2018</v>
      </c>
      <c r="C329">
        <v>199218</v>
      </c>
      <c r="D329" t="s">
        <v>175</v>
      </c>
      <c r="E329" t="s">
        <v>25</v>
      </c>
      <c r="F329">
        <v>87</v>
      </c>
      <c r="H329">
        <v>161</v>
      </c>
      <c r="L329" s="18">
        <f t="shared" si="14"/>
        <v>87</v>
      </c>
      <c r="M329">
        <f t="shared" si="15"/>
        <v>161</v>
      </c>
    </row>
    <row r="330" spans="1:13" x14ac:dyDescent="0.2">
      <c r="A330">
        <f>IF(ISBLANK(E330),"",VLOOKUP(E330,code!B:C,2,FALSE))</f>
        <v>19</v>
      </c>
      <c r="B330">
        <v>2018</v>
      </c>
      <c r="C330">
        <v>199218</v>
      </c>
      <c r="D330" t="s">
        <v>175</v>
      </c>
      <c r="E330" t="s">
        <v>27</v>
      </c>
      <c r="L330" s="18">
        <f t="shared" si="14"/>
        <v>0</v>
      </c>
      <c r="M330">
        <f t="shared" si="15"/>
        <v>0</v>
      </c>
    </row>
    <row r="331" spans="1:13" x14ac:dyDescent="0.2">
      <c r="A331">
        <f>IF(ISBLANK(E331),"",VLOOKUP(E331,code!B:C,2,FALSE))</f>
        <v>20</v>
      </c>
      <c r="B331">
        <v>2018</v>
      </c>
      <c r="C331">
        <v>199218</v>
      </c>
      <c r="D331" t="s">
        <v>175</v>
      </c>
      <c r="E331" t="s">
        <v>28</v>
      </c>
      <c r="L331" s="18">
        <f t="shared" si="14"/>
        <v>0</v>
      </c>
      <c r="M331">
        <f t="shared" si="15"/>
        <v>0</v>
      </c>
    </row>
    <row r="332" spans="1:13" x14ac:dyDescent="0.2">
      <c r="A332">
        <f>IF(ISBLANK(E332),"",VLOOKUP(E332,code!B:C,2,FALSE))</f>
        <v>21</v>
      </c>
      <c r="B332">
        <v>2018</v>
      </c>
      <c r="C332">
        <v>199218</v>
      </c>
      <c r="D332" t="s">
        <v>175</v>
      </c>
      <c r="E332" t="s">
        <v>30</v>
      </c>
      <c r="L332" s="18">
        <f t="shared" si="14"/>
        <v>0</v>
      </c>
      <c r="M332">
        <f t="shared" si="15"/>
        <v>0</v>
      </c>
    </row>
    <row r="333" spans="1:13" x14ac:dyDescent="0.2">
      <c r="A333">
        <f>IF(ISBLANK(E333),"",VLOOKUP(E333,code!B:C,2,FALSE))</f>
        <v>3</v>
      </c>
      <c r="B333">
        <v>2018</v>
      </c>
      <c r="C333">
        <v>199218</v>
      </c>
      <c r="D333" t="s">
        <v>175</v>
      </c>
      <c r="E333" t="s">
        <v>11</v>
      </c>
      <c r="L333" s="18">
        <f t="shared" si="14"/>
        <v>0</v>
      </c>
      <c r="M333">
        <f t="shared" si="15"/>
        <v>0</v>
      </c>
    </row>
    <row r="334" spans="1:13" x14ac:dyDescent="0.2">
      <c r="A334">
        <f>IF(ISBLANK(E334),"",VLOOKUP(E334,code!B:C,2,FALSE))</f>
        <v>18</v>
      </c>
      <c r="B334">
        <v>2018</v>
      </c>
      <c r="C334">
        <v>199218</v>
      </c>
      <c r="D334" t="s">
        <v>175</v>
      </c>
      <c r="E334" t="s">
        <v>26</v>
      </c>
      <c r="H334" s="18">
        <v>2331</v>
      </c>
      <c r="L334" s="18">
        <f t="shared" si="14"/>
        <v>0</v>
      </c>
      <c r="M334">
        <f t="shared" si="15"/>
        <v>2331</v>
      </c>
    </row>
    <row r="335" spans="1:13" x14ac:dyDescent="0.2">
      <c r="A335">
        <f>IF(ISBLANK(E335),"",VLOOKUP(E335,code!B:C,2,FALSE))</f>
        <v>20</v>
      </c>
      <c r="B335">
        <v>2018</v>
      </c>
      <c r="C335">
        <v>199218</v>
      </c>
      <c r="D335" t="s">
        <v>175</v>
      </c>
      <c r="E335" t="s">
        <v>28</v>
      </c>
      <c r="F335" s="18">
        <v>1393</v>
      </c>
      <c r="L335" s="18">
        <f t="shared" si="14"/>
        <v>1393</v>
      </c>
      <c r="M335">
        <f t="shared" si="15"/>
        <v>0</v>
      </c>
    </row>
    <row r="336" spans="1:13" x14ac:dyDescent="0.2">
      <c r="A336">
        <f>IF(ISBLANK(E336),"",VLOOKUP(E336,code!B:C,2,FALSE))</f>
        <v>23</v>
      </c>
      <c r="B336">
        <v>2018</v>
      </c>
      <c r="C336">
        <v>199218</v>
      </c>
      <c r="D336" t="s">
        <v>175</v>
      </c>
      <c r="E336" t="s">
        <v>33</v>
      </c>
      <c r="L336" s="18">
        <f t="shared" si="14"/>
        <v>0</v>
      </c>
      <c r="M336">
        <f t="shared" si="15"/>
        <v>0</v>
      </c>
    </row>
    <row r="337" spans="1:13" x14ac:dyDescent="0.2">
      <c r="A337">
        <f>IF(ISBLANK(E337),"",VLOOKUP(E337,code!B:C,2,FALSE))</f>
        <v>1</v>
      </c>
      <c r="B337">
        <v>2019</v>
      </c>
      <c r="C337">
        <v>199218</v>
      </c>
      <c r="D337" t="s">
        <v>175</v>
      </c>
      <c r="E337" t="s">
        <v>9</v>
      </c>
      <c r="F337" s="18">
        <v>45238</v>
      </c>
      <c r="L337" s="18">
        <f t="shared" si="14"/>
        <v>45238</v>
      </c>
      <c r="M337">
        <f t="shared" si="15"/>
        <v>0</v>
      </c>
    </row>
    <row r="338" spans="1:13" x14ac:dyDescent="0.2">
      <c r="A338">
        <f>IF(ISBLANK(E338),"",VLOOKUP(E338,code!B:C,2,FALSE))</f>
        <v>2</v>
      </c>
      <c r="B338">
        <v>2019</v>
      </c>
      <c r="C338">
        <v>199218</v>
      </c>
      <c r="D338" t="s">
        <v>175</v>
      </c>
      <c r="E338" t="s">
        <v>10</v>
      </c>
      <c r="F338" s="18">
        <v>124909</v>
      </c>
      <c r="H338" s="18">
        <v>102491</v>
      </c>
      <c r="L338" s="18">
        <f t="shared" si="14"/>
        <v>124909</v>
      </c>
      <c r="M338">
        <f t="shared" si="15"/>
        <v>102491</v>
      </c>
    </row>
    <row r="339" spans="1:13" x14ac:dyDescent="0.2">
      <c r="A339">
        <f>IF(ISBLANK(E339),"",VLOOKUP(E339,code!B:C,2,FALSE))</f>
        <v>9</v>
      </c>
      <c r="B339">
        <v>2019</v>
      </c>
      <c r="C339">
        <v>199218</v>
      </c>
      <c r="D339" t="s">
        <v>175</v>
      </c>
      <c r="E339" t="s">
        <v>17</v>
      </c>
      <c r="L339" s="18">
        <f t="shared" si="14"/>
        <v>0</v>
      </c>
      <c r="M339">
        <f t="shared" si="15"/>
        <v>0</v>
      </c>
    </row>
    <row r="340" spans="1:13" x14ac:dyDescent="0.2">
      <c r="A340">
        <f>IF(ISBLANK(E340),"",VLOOKUP(E340,code!B:C,2,FALSE))</f>
        <v>17</v>
      </c>
      <c r="B340">
        <v>2019</v>
      </c>
      <c r="C340">
        <v>199218</v>
      </c>
      <c r="D340" t="s">
        <v>175</v>
      </c>
      <c r="E340" t="s">
        <v>25</v>
      </c>
      <c r="F340">
        <v>90</v>
      </c>
      <c r="H340">
        <v>146</v>
      </c>
      <c r="L340" s="18">
        <f t="shared" si="14"/>
        <v>90</v>
      </c>
      <c r="M340">
        <f t="shared" si="15"/>
        <v>146</v>
      </c>
    </row>
    <row r="341" spans="1:13" x14ac:dyDescent="0.2">
      <c r="A341">
        <f>IF(ISBLANK(E341),"",VLOOKUP(E341,code!B:C,2,FALSE))</f>
        <v>19</v>
      </c>
      <c r="B341">
        <v>2019</v>
      </c>
      <c r="C341">
        <v>199218</v>
      </c>
      <c r="D341" t="s">
        <v>175</v>
      </c>
      <c r="E341" t="s">
        <v>27</v>
      </c>
      <c r="L341" s="18">
        <f t="shared" si="14"/>
        <v>0</v>
      </c>
      <c r="M341">
        <f t="shared" si="15"/>
        <v>0</v>
      </c>
    </row>
    <row r="342" spans="1:13" x14ac:dyDescent="0.2">
      <c r="A342">
        <f>IF(ISBLANK(E342),"",VLOOKUP(E342,code!B:C,2,FALSE))</f>
        <v>20</v>
      </c>
      <c r="B342">
        <v>2019</v>
      </c>
      <c r="C342">
        <v>199218</v>
      </c>
      <c r="D342" t="s">
        <v>175</v>
      </c>
      <c r="E342" t="s">
        <v>28</v>
      </c>
      <c r="L342" s="18">
        <f t="shared" si="14"/>
        <v>0</v>
      </c>
      <c r="M342">
        <f t="shared" si="15"/>
        <v>0</v>
      </c>
    </row>
    <row r="343" spans="1:13" x14ac:dyDescent="0.2">
      <c r="A343">
        <f>IF(ISBLANK(E343),"",VLOOKUP(E343,code!B:C,2,FALSE))</f>
        <v>21</v>
      </c>
      <c r="B343">
        <v>2019</v>
      </c>
      <c r="C343">
        <v>199218</v>
      </c>
      <c r="D343" t="s">
        <v>175</v>
      </c>
      <c r="E343" t="s">
        <v>30</v>
      </c>
      <c r="L343" s="18">
        <f t="shared" si="14"/>
        <v>0</v>
      </c>
      <c r="M343">
        <f t="shared" si="15"/>
        <v>0</v>
      </c>
    </row>
    <row r="344" spans="1:13" x14ac:dyDescent="0.2">
      <c r="A344">
        <f>IF(ISBLANK(E344),"",VLOOKUP(E344,code!B:C,2,FALSE))</f>
        <v>3</v>
      </c>
      <c r="B344">
        <v>2019</v>
      </c>
      <c r="C344">
        <v>199218</v>
      </c>
      <c r="D344" t="s">
        <v>175</v>
      </c>
      <c r="E344" t="s">
        <v>11</v>
      </c>
      <c r="L344" s="18">
        <f t="shared" si="14"/>
        <v>0</v>
      </c>
      <c r="M344">
        <f t="shared" si="15"/>
        <v>0</v>
      </c>
    </row>
    <row r="345" spans="1:13" x14ac:dyDescent="0.2">
      <c r="A345">
        <f>IF(ISBLANK(E345),"",VLOOKUP(E345,code!B:C,2,FALSE))</f>
        <v>18</v>
      </c>
      <c r="B345">
        <v>2019</v>
      </c>
      <c r="C345">
        <v>199218</v>
      </c>
      <c r="D345" t="s">
        <v>175</v>
      </c>
      <c r="E345" t="s">
        <v>26</v>
      </c>
      <c r="H345" s="18">
        <v>2475</v>
      </c>
      <c r="L345" s="18">
        <f t="shared" si="14"/>
        <v>0</v>
      </c>
      <c r="M345">
        <f t="shared" si="15"/>
        <v>2475</v>
      </c>
    </row>
    <row r="346" spans="1:13" x14ac:dyDescent="0.2">
      <c r="A346">
        <f>IF(ISBLANK(E346),"",VLOOKUP(E346,code!B:C,2,FALSE))</f>
        <v>23</v>
      </c>
      <c r="B346">
        <v>2019</v>
      </c>
      <c r="C346">
        <v>199218</v>
      </c>
      <c r="D346" t="s">
        <v>175</v>
      </c>
      <c r="E346" t="s">
        <v>33</v>
      </c>
      <c r="L346" s="18">
        <f t="shared" si="14"/>
        <v>0</v>
      </c>
      <c r="M346">
        <f t="shared" si="15"/>
        <v>0</v>
      </c>
    </row>
    <row r="347" spans="1:13" x14ac:dyDescent="0.2">
      <c r="A347">
        <f>IF(ISBLANK(E347),"",VLOOKUP(E347,code!B:C,2,FALSE))</f>
        <v>1</v>
      </c>
      <c r="B347">
        <v>2020</v>
      </c>
      <c r="C347">
        <v>199218</v>
      </c>
      <c r="D347" t="s">
        <v>175</v>
      </c>
      <c r="E347" t="s">
        <v>9</v>
      </c>
      <c r="F347" s="18">
        <v>58089</v>
      </c>
      <c r="L347" s="18">
        <f t="shared" si="14"/>
        <v>58089</v>
      </c>
      <c r="M347">
        <f t="shared" si="15"/>
        <v>0</v>
      </c>
    </row>
    <row r="348" spans="1:13" x14ac:dyDescent="0.2">
      <c r="A348">
        <f>IF(ISBLANK(E348),"",VLOOKUP(E348,code!B:C,2,FALSE))</f>
        <v>2</v>
      </c>
      <c r="B348">
        <v>2020</v>
      </c>
      <c r="C348">
        <v>199218</v>
      </c>
      <c r="D348" t="s">
        <v>175</v>
      </c>
      <c r="E348" t="s">
        <v>10</v>
      </c>
      <c r="F348" s="18">
        <v>207464</v>
      </c>
      <c r="H348" s="18">
        <v>48947</v>
      </c>
      <c r="L348" s="18">
        <f t="shared" ref="L348:L387" si="16">SUM(F348:G348)</f>
        <v>207464</v>
      </c>
      <c r="M348">
        <f t="shared" ref="M348:M387" si="17">SUM(H348:I348)</f>
        <v>48947</v>
      </c>
    </row>
    <row r="349" spans="1:13" x14ac:dyDescent="0.2">
      <c r="A349">
        <f>IF(ISBLANK(E349),"",VLOOKUP(E349,code!B:C,2,FALSE))</f>
        <v>9</v>
      </c>
      <c r="B349">
        <v>2020</v>
      </c>
      <c r="C349">
        <v>199218</v>
      </c>
      <c r="D349" t="s">
        <v>175</v>
      </c>
      <c r="E349" t="s">
        <v>17</v>
      </c>
      <c r="L349" s="18">
        <f t="shared" si="16"/>
        <v>0</v>
      </c>
      <c r="M349">
        <f t="shared" si="17"/>
        <v>0</v>
      </c>
    </row>
    <row r="350" spans="1:13" x14ac:dyDescent="0.2">
      <c r="A350">
        <f>IF(ISBLANK(E350),"",VLOOKUP(E350,code!B:C,2,FALSE))</f>
        <v>17</v>
      </c>
      <c r="B350">
        <v>2020</v>
      </c>
      <c r="C350">
        <v>199218</v>
      </c>
      <c r="D350" t="s">
        <v>175</v>
      </c>
      <c r="E350" t="s">
        <v>25</v>
      </c>
      <c r="L350" s="18">
        <f t="shared" si="16"/>
        <v>0</v>
      </c>
      <c r="M350">
        <f t="shared" si="17"/>
        <v>0</v>
      </c>
    </row>
    <row r="351" spans="1:13" x14ac:dyDescent="0.2">
      <c r="A351">
        <f>IF(ISBLANK(E351),"",VLOOKUP(E351,code!B:C,2,FALSE))</f>
        <v>19</v>
      </c>
      <c r="B351">
        <v>2020</v>
      </c>
      <c r="C351">
        <v>199218</v>
      </c>
      <c r="D351" t="s">
        <v>175</v>
      </c>
      <c r="E351" t="s">
        <v>27</v>
      </c>
      <c r="L351" s="18">
        <f t="shared" si="16"/>
        <v>0</v>
      </c>
      <c r="M351">
        <f t="shared" si="17"/>
        <v>0</v>
      </c>
    </row>
    <row r="352" spans="1:13" x14ac:dyDescent="0.2">
      <c r="A352">
        <f>IF(ISBLANK(E352),"",VLOOKUP(E352,code!B:C,2,FALSE))</f>
        <v>20</v>
      </c>
      <c r="B352">
        <v>2020</v>
      </c>
      <c r="C352">
        <v>199218</v>
      </c>
      <c r="D352" t="s">
        <v>175</v>
      </c>
      <c r="E352" t="s">
        <v>28</v>
      </c>
      <c r="L352" s="18">
        <f t="shared" si="16"/>
        <v>0</v>
      </c>
      <c r="M352">
        <f t="shared" si="17"/>
        <v>0</v>
      </c>
    </row>
    <row r="353" spans="1:13" x14ac:dyDescent="0.2">
      <c r="A353">
        <f>IF(ISBLANK(E353),"",VLOOKUP(E353,code!B:C,2,FALSE))</f>
        <v>21</v>
      </c>
      <c r="B353">
        <v>2020</v>
      </c>
      <c r="C353">
        <v>199218</v>
      </c>
      <c r="D353" t="s">
        <v>175</v>
      </c>
      <c r="E353" t="s">
        <v>30</v>
      </c>
      <c r="L353" s="18">
        <f t="shared" si="16"/>
        <v>0</v>
      </c>
      <c r="M353">
        <f t="shared" si="17"/>
        <v>0</v>
      </c>
    </row>
    <row r="354" spans="1:13" x14ac:dyDescent="0.2">
      <c r="A354">
        <f>IF(ISBLANK(E354),"",VLOOKUP(E354,code!B:C,2,FALSE))</f>
        <v>3</v>
      </c>
      <c r="B354">
        <v>2020</v>
      </c>
      <c r="C354">
        <v>199218</v>
      </c>
      <c r="D354" t="s">
        <v>175</v>
      </c>
      <c r="E354" t="s">
        <v>11</v>
      </c>
      <c r="L354" s="18">
        <f t="shared" si="16"/>
        <v>0</v>
      </c>
      <c r="M354">
        <f t="shared" si="17"/>
        <v>0</v>
      </c>
    </row>
    <row r="355" spans="1:13" x14ac:dyDescent="0.2">
      <c r="A355">
        <f>IF(ISBLANK(E355),"",VLOOKUP(E355,code!B:C,2,FALSE))</f>
        <v>18</v>
      </c>
      <c r="B355">
        <v>2020</v>
      </c>
      <c r="C355">
        <v>199218</v>
      </c>
      <c r="D355" t="s">
        <v>175</v>
      </c>
      <c r="E355" t="s">
        <v>26</v>
      </c>
      <c r="H355" s="18">
        <v>2045</v>
      </c>
      <c r="L355" s="18">
        <f t="shared" si="16"/>
        <v>0</v>
      </c>
      <c r="M355">
        <f t="shared" si="17"/>
        <v>2045</v>
      </c>
    </row>
    <row r="356" spans="1:13" x14ac:dyDescent="0.2">
      <c r="A356">
        <f>IF(ISBLANK(E356),"",VLOOKUP(E356,code!B:C,2,FALSE))</f>
        <v>23</v>
      </c>
      <c r="B356">
        <v>2020</v>
      </c>
      <c r="C356">
        <v>199218</v>
      </c>
      <c r="D356" t="s">
        <v>175</v>
      </c>
      <c r="E356" t="s">
        <v>33</v>
      </c>
      <c r="L356" s="18">
        <f t="shared" si="16"/>
        <v>0</v>
      </c>
      <c r="M356">
        <f t="shared" si="17"/>
        <v>0</v>
      </c>
    </row>
    <row r="357" spans="1:13" x14ac:dyDescent="0.2">
      <c r="A357">
        <f>IF(ISBLANK(E357),"",VLOOKUP(E357,code!B:C,2,FALSE))</f>
        <v>1</v>
      </c>
      <c r="B357">
        <v>2021</v>
      </c>
      <c r="C357">
        <v>199218</v>
      </c>
      <c r="D357" t="s">
        <v>175</v>
      </c>
      <c r="E357" t="s">
        <v>9</v>
      </c>
      <c r="F357" s="18">
        <v>55612</v>
      </c>
      <c r="L357" s="18">
        <f t="shared" si="16"/>
        <v>55612</v>
      </c>
      <c r="M357">
        <f t="shared" si="17"/>
        <v>0</v>
      </c>
    </row>
    <row r="358" spans="1:13" x14ac:dyDescent="0.2">
      <c r="A358">
        <f>IF(ISBLANK(E358),"",VLOOKUP(E358,code!B:C,2,FALSE))</f>
        <v>2</v>
      </c>
      <c r="B358">
        <v>2021</v>
      </c>
      <c r="C358">
        <v>199218</v>
      </c>
      <c r="D358" t="s">
        <v>175</v>
      </c>
      <c r="E358" t="s">
        <v>10</v>
      </c>
      <c r="F358" s="18">
        <v>232619</v>
      </c>
      <c r="H358" s="18">
        <v>30808</v>
      </c>
      <c r="L358" s="18">
        <f t="shared" si="16"/>
        <v>232619</v>
      </c>
      <c r="M358">
        <f t="shared" si="17"/>
        <v>30808</v>
      </c>
    </row>
    <row r="359" spans="1:13" x14ac:dyDescent="0.2">
      <c r="A359">
        <f>IF(ISBLANK(E359),"",VLOOKUP(E359,code!B:C,2,FALSE))</f>
        <v>9</v>
      </c>
      <c r="B359">
        <v>2021</v>
      </c>
      <c r="C359">
        <v>199218</v>
      </c>
      <c r="D359" t="s">
        <v>175</v>
      </c>
      <c r="E359" t="s">
        <v>17</v>
      </c>
      <c r="F359">
        <v>317</v>
      </c>
      <c r="L359" s="18">
        <f t="shared" si="16"/>
        <v>317</v>
      </c>
      <c r="M359">
        <f t="shared" si="17"/>
        <v>0</v>
      </c>
    </row>
    <row r="360" spans="1:13" x14ac:dyDescent="0.2">
      <c r="A360">
        <f>IF(ISBLANK(E360),"",VLOOKUP(E360,code!B:C,2,FALSE))</f>
        <v>17</v>
      </c>
      <c r="B360">
        <v>2021</v>
      </c>
      <c r="C360">
        <v>199218</v>
      </c>
      <c r="D360" t="s">
        <v>175</v>
      </c>
      <c r="E360" t="s">
        <v>25</v>
      </c>
      <c r="F360" s="18">
        <v>3036</v>
      </c>
      <c r="L360" s="18">
        <f t="shared" si="16"/>
        <v>3036</v>
      </c>
      <c r="M360">
        <f t="shared" si="17"/>
        <v>0</v>
      </c>
    </row>
    <row r="361" spans="1:13" x14ac:dyDescent="0.2">
      <c r="A361">
        <f>IF(ISBLANK(E361),"",VLOOKUP(E361,code!B:C,2,FALSE))</f>
        <v>19</v>
      </c>
      <c r="B361">
        <v>2021</v>
      </c>
      <c r="C361">
        <v>199218</v>
      </c>
      <c r="D361" t="s">
        <v>175</v>
      </c>
      <c r="E361" t="s">
        <v>27</v>
      </c>
      <c r="F361">
        <v>975</v>
      </c>
      <c r="L361" s="18">
        <f t="shared" si="16"/>
        <v>975</v>
      </c>
      <c r="M361">
        <f t="shared" si="17"/>
        <v>0</v>
      </c>
    </row>
    <row r="362" spans="1:13" x14ac:dyDescent="0.2">
      <c r="A362">
        <f>IF(ISBLANK(E362),"",VLOOKUP(E362,code!B:C,2,FALSE))</f>
        <v>20</v>
      </c>
      <c r="B362">
        <v>2021</v>
      </c>
      <c r="C362">
        <v>199218</v>
      </c>
      <c r="D362" t="s">
        <v>175</v>
      </c>
      <c r="E362" t="s">
        <v>28</v>
      </c>
      <c r="F362">
        <v>217</v>
      </c>
      <c r="L362" s="18">
        <f t="shared" si="16"/>
        <v>217</v>
      </c>
      <c r="M362">
        <f t="shared" si="17"/>
        <v>0</v>
      </c>
    </row>
    <row r="363" spans="1:13" x14ac:dyDescent="0.2">
      <c r="A363">
        <f>IF(ISBLANK(E363),"",VLOOKUP(E363,code!B:C,2,FALSE))</f>
        <v>21</v>
      </c>
      <c r="B363">
        <v>2021</v>
      </c>
      <c r="C363">
        <v>199218</v>
      </c>
      <c r="D363" t="s">
        <v>175</v>
      </c>
      <c r="E363" t="s">
        <v>30</v>
      </c>
      <c r="F363" s="18">
        <v>2434</v>
      </c>
      <c r="L363" s="18">
        <f t="shared" si="16"/>
        <v>2434</v>
      </c>
      <c r="M363">
        <f t="shared" si="17"/>
        <v>0</v>
      </c>
    </row>
    <row r="364" spans="1:13" x14ac:dyDescent="0.2">
      <c r="A364">
        <f>IF(ISBLANK(E364),"",VLOOKUP(E364,code!B:C,2,FALSE))</f>
        <v>3</v>
      </c>
      <c r="B364">
        <v>2021</v>
      </c>
      <c r="C364">
        <v>199218</v>
      </c>
      <c r="D364" t="s">
        <v>175</v>
      </c>
      <c r="E364" t="s">
        <v>11</v>
      </c>
      <c r="L364" s="18">
        <f t="shared" si="16"/>
        <v>0</v>
      </c>
      <c r="M364">
        <f t="shared" si="17"/>
        <v>0</v>
      </c>
    </row>
    <row r="365" spans="1:13" x14ac:dyDescent="0.2">
      <c r="A365">
        <f>IF(ISBLANK(E365),"",VLOOKUP(E365,code!B:C,2,FALSE))</f>
        <v>18</v>
      </c>
      <c r="B365">
        <v>2021</v>
      </c>
      <c r="C365">
        <v>199218</v>
      </c>
      <c r="D365" t="s">
        <v>175</v>
      </c>
      <c r="E365" t="s">
        <v>26</v>
      </c>
      <c r="L365" s="18">
        <f t="shared" si="16"/>
        <v>0</v>
      </c>
      <c r="M365">
        <f t="shared" si="17"/>
        <v>0</v>
      </c>
    </row>
    <row r="366" spans="1:13" x14ac:dyDescent="0.2">
      <c r="A366">
        <f>IF(ISBLANK(E366),"",VLOOKUP(E366,code!B:C,2,FALSE))</f>
        <v>23</v>
      </c>
      <c r="B366">
        <v>2021</v>
      </c>
      <c r="C366">
        <v>199218</v>
      </c>
      <c r="D366" t="s">
        <v>175</v>
      </c>
      <c r="E366" t="s">
        <v>33</v>
      </c>
      <c r="L366" s="18">
        <f t="shared" si="16"/>
        <v>0</v>
      </c>
      <c r="M366">
        <f t="shared" si="17"/>
        <v>0</v>
      </c>
    </row>
    <row r="367" spans="1:13" x14ac:dyDescent="0.2">
      <c r="A367">
        <f>IF(ISBLANK(E367),"",VLOOKUP(E367,code!B:C,2,FALSE))</f>
        <v>1</v>
      </c>
      <c r="B367">
        <v>2022</v>
      </c>
      <c r="C367">
        <v>199218</v>
      </c>
      <c r="D367" t="s">
        <v>175</v>
      </c>
      <c r="E367" t="s">
        <v>9</v>
      </c>
      <c r="F367" s="18">
        <v>62050</v>
      </c>
      <c r="L367" s="18">
        <f t="shared" si="16"/>
        <v>62050</v>
      </c>
      <c r="M367">
        <f t="shared" si="17"/>
        <v>0</v>
      </c>
    </row>
    <row r="368" spans="1:13" x14ac:dyDescent="0.2">
      <c r="A368">
        <f>IF(ISBLANK(E368),"",VLOOKUP(E368,code!B:C,2,FALSE))</f>
        <v>2</v>
      </c>
      <c r="B368">
        <v>2022</v>
      </c>
      <c r="C368">
        <v>199218</v>
      </c>
      <c r="D368" t="s">
        <v>175</v>
      </c>
      <c r="E368" t="s">
        <v>10</v>
      </c>
      <c r="F368" s="18">
        <v>98725</v>
      </c>
      <c r="H368" s="18">
        <v>29280</v>
      </c>
      <c r="L368" s="18">
        <f t="shared" si="16"/>
        <v>98725</v>
      </c>
      <c r="M368">
        <f t="shared" si="17"/>
        <v>29280</v>
      </c>
    </row>
    <row r="369" spans="1:13" x14ac:dyDescent="0.2">
      <c r="A369">
        <f>IF(ISBLANK(E369),"",VLOOKUP(E369,code!B:C,2,FALSE))</f>
        <v>9</v>
      </c>
      <c r="B369">
        <v>2022</v>
      </c>
      <c r="C369">
        <v>199218</v>
      </c>
      <c r="D369" t="s">
        <v>175</v>
      </c>
      <c r="E369" t="s">
        <v>17</v>
      </c>
      <c r="L369" s="18">
        <f t="shared" si="16"/>
        <v>0</v>
      </c>
      <c r="M369">
        <f t="shared" si="17"/>
        <v>0</v>
      </c>
    </row>
    <row r="370" spans="1:13" x14ac:dyDescent="0.2">
      <c r="A370">
        <f>IF(ISBLANK(E370),"",VLOOKUP(E370,code!B:C,2,FALSE))</f>
        <v>17</v>
      </c>
      <c r="B370">
        <v>2022</v>
      </c>
      <c r="C370">
        <v>199218</v>
      </c>
      <c r="D370" t="s">
        <v>175</v>
      </c>
      <c r="E370" t="s">
        <v>25</v>
      </c>
      <c r="L370" s="18">
        <f t="shared" si="16"/>
        <v>0</v>
      </c>
      <c r="M370">
        <f t="shared" si="17"/>
        <v>0</v>
      </c>
    </row>
    <row r="371" spans="1:13" x14ac:dyDescent="0.2">
      <c r="A371">
        <f>IF(ISBLANK(E371),"",VLOOKUP(E371,code!B:C,2,FALSE))</f>
        <v>19</v>
      </c>
      <c r="B371">
        <v>2022</v>
      </c>
      <c r="C371">
        <v>199218</v>
      </c>
      <c r="D371" t="s">
        <v>175</v>
      </c>
      <c r="E371" t="s">
        <v>27</v>
      </c>
      <c r="L371" s="18">
        <f t="shared" si="16"/>
        <v>0</v>
      </c>
      <c r="M371">
        <f t="shared" si="17"/>
        <v>0</v>
      </c>
    </row>
    <row r="372" spans="1:13" x14ac:dyDescent="0.2">
      <c r="A372">
        <f>IF(ISBLANK(E372),"",VLOOKUP(E372,code!B:C,2,FALSE))</f>
        <v>20</v>
      </c>
      <c r="B372">
        <v>2022</v>
      </c>
      <c r="C372">
        <v>199218</v>
      </c>
      <c r="D372" t="s">
        <v>175</v>
      </c>
      <c r="E372" t="s">
        <v>28</v>
      </c>
      <c r="L372" s="18">
        <f t="shared" si="16"/>
        <v>0</v>
      </c>
      <c r="M372">
        <f t="shared" si="17"/>
        <v>0</v>
      </c>
    </row>
    <row r="373" spans="1:13" x14ac:dyDescent="0.2">
      <c r="A373">
        <f>IF(ISBLANK(E373),"",VLOOKUP(E373,code!B:C,2,FALSE))</f>
        <v>21</v>
      </c>
      <c r="B373">
        <v>2022</v>
      </c>
      <c r="C373">
        <v>199218</v>
      </c>
      <c r="D373" t="s">
        <v>175</v>
      </c>
      <c r="E373" t="s">
        <v>30</v>
      </c>
      <c r="L373" s="18">
        <f t="shared" si="16"/>
        <v>0</v>
      </c>
      <c r="M373">
        <f t="shared" si="17"/>
        <v>0</v>
      </c>
    </row>
    <row r="374" spans="1:13" x14ac:dyDescent="0.2">
      <c r="A374">
        <f>IF(ISBLANK(E374),"",VLOOKUP(E374,code!B:C,2,FALSE))</f>
        <v>3</v>
      </c>
      <c r="B374">
        <v>2022</v>
      </c>
      <c r="C374">
        <v>199218</v>
      </c>
      <c r="D374" t="s">
        <v>175</v>
      </c>
      <c r="E374" t="s">
        <v>11</v>
      </c>
      <c r="L374" s="18">
        <f t="shared" si="16"/>
        <v>0</v>
      </c>
      <c r="M374">
        <f t="shared" si="17"/>
        <v>0</v>
      </c>
    </row>
    <row r="375" spans="1:13" x14ac:dyDescent="0.2">
      <c r="A375">
        <f>IF(ISBLANK(E375),"",VLOOKUP(E375,code!B:C,2,FALSE))</f>
        <v>18</v>
      </c>
      <c r="B375">
        <v>2022</v>
      </c>
      <c r="C375">
        <v>199218</v>
      </c>
      <c r="D375" t="s">
        <v>175</v>
      </c>
      <c r="E375" t="s">
        <v>26</v>
      </c>
      <c r="L375" s="18">
        <f t="shared" si="16"/>
        <v>0</v>
      </c>
      <c r="M375">
        <f t="shared" si="17"/>
        <v>0</v>
      </c>
    </row>
    <row r="376" spans="1:13" x14ac:dyDescent="0.2">
      <c r="A376">
        <f>IF(ISBLANK(E376),"",VLOOKUP(E376,code!B:C,2,FALSE))</f>
        <v>23</v>
      </c>
      <c r="B376">
        <v>2022</v>
      </c>
      <c r="C376">
        <v>199218</v>
      </c>
      <c r="D376" t="s">
        <v>175</v>
      </c>
      <c r="E376" t="s">
        <v>33</v>
      </c>
      <c r="L376" s="18">
        <f t="shared" si="16"/>
        <v>0</v>
      </c>
      <c r="M376">
        <f t="shared" si="17"/>
        <v>0</v>
      </c>
    </row>
    <row r="377" spans="1:13" x14ac:dyDescent="0.2">
      <c r="A377">
        <f>IF(ISBLANK(E377),"",VLOOKUP(E377,code!B:C,2,FALSE))</f>
        <v>1</v>
      </c>
      <c r="B377">
        <v>2023</v>
      </c>
      <c r="C377">
        <v>199218</v>
      </c>
      <c r="D377" t="s">
        <v>175</v>
      </c>
      <c r="E377" t="s">
        <v>9</v>
      </c>
      <c r="F377" s="18">
        <v>64184</v>
      </c>
      <c r="L377" s="18">
        <f t="shared" si="16"/>
        <v>64184</v>
      </c>
      <c r="M377">
        <f t="shared" si="17"/>
        <v>0</v>
      </c>
    </row>
    <row r="378" spans="1:13" x14ac:dyDescent="0.2">
      <c r="A378">
        <f>IF(ISBLANK(E378),"",VLOOKUP(E378,code!B:C,2,FALSE))</f>
        <v>2</v>
      </c>
      <c r="B378">
        <v>2023</v>
      </c>
      <c r="C378">
        <v>199218</v>
      </c>
      <c r="D378" t="s">
        <v>175</v>
      </c>
      <c r="E378" t="s">
        <v>10</v>
      </c>
      <c r="F378" s="18">
        <v>200941</v>
      </c>
      <c r="H378" s="18">
        <v>55339</v>
      </c>
      <c r="L378" s="18">
        <f t="shared" si="16"/>
        <v>200941</v>
      </c>
      <c r="M378">
        <f t="shared" si="17"/>
        <v>55339</v>
      </c>
    </row>
    <row r="379" spans="1:13" x14ac:dyDescent="0.2">
      <c r="A379">
        <f>IF(ISBLANK(E379),"",VLOOKUP(E379,code!B:C,2,FALSE))</f>
        <v>9</v>
      </c>
      <c r="B379">
        <v>2023</v>
      </c>
      <c r="C379">
        <v>199218</v>
      </c>
      <c r="D379" t="s">
        <v>175</v>
      </c>
      <c r="E379" t="s">
        <v>17</v>
      </c>
      <c r="L379" s="18">
        <f t="shared" si="16"/>
        <v>0</v>
      </c>
      <c r="M379">
        <f t="shared" si="17"/>
        <v>0</v>
      </c>
    </row>
    <row r="380" spans="1:13" x14ac:dyDescent="0.2">
      <c r="A380">
        <f>IF(ISBLANK(E380),"",VLOOKUP(E380,code!B:C,2,FALSE))</f>
        <v>17</v>
      </c>
      <c r="B380">
        <v>2023</v>
      </c>
      <c r="C380">
        <v>199218</v>
      </c>
      <c r="D380" t="s">
        <v>175</v>
      </c>
      <c r="E380" t="s">
        <v>25</v>
      </c>
      <c r="L380" s="18">
        <f t="shared" si="16"/>
        <v>0</v>
      </c>
      <c r="M380">
        <f t="shared" si="17"/>
        <v>0</v>
      </c>
    </row>
    <row r="381" spans="1:13" x14ac:dyDescent="0.2">
      <c r="A381">
        <f>IF(ISBLANK(E381),"",VLOOKUP(E381,code!B:C,2,FALSE))</f>
        <v>19</v>
      </c>
      <c r="B381">
        <v>2023</v>
      </c>
      <c r="C381">
        <v>199218</v>
      </c>
      <c r="D381" t="s">
        <v>175</v>
      </c>
      <c r="E381" t="s">
        <v>27</v>
      </c>
      <c r="L381" s="18">
        <f t="shared" si="16"/>
        <v>0</v>
      </c>
      <c r="M381">
        <f t="shared" si="17"/>
        <v>0</v>
      </c>
    </row>
    <row r="382" spans="1:13" x14ac:dyDescent="0.2">
      <c r="A382">
        <f>IF(ISBLANK(E382),"",VLOOKUP(E382,code!B:C,2,FALSE))</f>
        <v>20</v>
      </c>
      <c r="B382">
        <v>2023</v>
      </c>
      <c r="C382">
        <v>199218</v>
      </c>
      <c r="D382" t="s">
        <v>175</v>
      </c>
      <c r="E382" t="s">
        <v>28</v>
      </c>
      <c r="L382" s="18">
        <f t="shared" si="16"/>
        <v>0</v>
      </c>
      <c r="M382">
        <f t="shared" si="17"/>
        <v>0</v>
      </c>
    </row>
    <row r="383" spans="1:13" x14ac:dyDescent="0.2">
      <c r="A383">
        <f>IF(ISBLANK(E383),"",VLOOKUP(E383,code!B:C,2,FALSE))</f>
        <v>21</v>
      </c>
      <c r="B383">
        <v>2023</v>
      </c>
      <c r="C383">
        <v>199218</v>
      </c>
      <c r="D383" t="s">
        <v>175</v>
      </c>
      <c r="E383" t="s">
        <v>31</v>
      </c>
      <c r="L383" s="18">
        <f t="shared" si="16"/>
        <v>0</v>
      </c>
      <c r="M383">
        <f t="shared" si="17"/>
        <v>0</v>
      </c>
    </row>
    <row r="384" spans="1:13" x14ac:dyDescent="0.2">
      <c r="A384">
        <f>IF(ISBLANK(E384),"",VLOOKUP(E384,code!B:C,2,FALSE))</f>
        <v>3</v>
      </c>
      <c r="B384">
        <v>2023</v>
      </c>
      <c r="C384">
        <v>199218</v>
      </c>
      <c r="D384" t="s">
        <v>175</v>
      </c>
      <c r="E384" t="s">
        <v>11</v>
      </c>
      <c r="L384" s="18">
        <f t="shared" si="16"/>
        <v>0</v>
      </c>
      <c r="M384">
        <f t="shared" si="17"/>
        <v>0</v>
      </c>
    </row>
    <row r="385" spans="1:13" x14ac:dyDescent="0.2">
      <c r="A385">
        <f>IF(ISBLANK(E385),"",VLOOKUP(E385,code!B:C,2,FALSE))</f>
        <v>18</v>
      </c>
      <c r="B385">
        <v>2023</v>
      </c>
      <c r="C385">
        <v>199218</v>
      </c>
      <c r="D385" t="s">
        <v>175</v>
      </c>
      <c r="E385" t="s">
        <v>26</v>
      </c>
      <c r="L385" s="18">
        <f t="shared" si="16"/>
        <v>0</v>
      </c>
      <c r="M385">
        <f t="shared" si="17"/>
        <v>0</v>
      </c>
    </row>
    <row r="386" spans="1:13" x14ac:dyDescent="0.2">
      <c r="A386">
        <f>IF(ISBLANK(E386),"",VLOOKUP(E386,code!B:C,2,FALSE))</f>
        <v>23</v>
      </c>
      <c r="B386">
        <v>2023</v>
      </c>
      <c r="C386">
        <v>199218</v>
      </c>
      <c r="D386" t="s">
        <v>175</v>
      </c>
      <c r="E386" t="s">
        <v>33</v>
      </c>
      <c r="L386" s="18">
        <f t="shared" si="16"/>
        <v>0</v>
      </c>
      <c r="M386">
        <f t="shared" si="17"/>
        <v>0</v>
      </c>
    </row>
    <row r="387" spans="1:13" x14ac:dyDescent="0.2">
      <c r="A387">
        <f>IF(ISBLANK(E387),"",VLOOKUP(E387,code!B:C,2,FALSE))</f>
        <v>1</v>
      </c>
      <c r="B387">
        <v>2017</v>
      </c>
      <c r="C387">
        <v>209542</v>
      </c>
      <c r="D387" t="s">
        <v>192</v>
      </c>
      <c r="E387" t="s">
        <v>9</v>
      </c>
      <c r="F387" s="18">
        <v>93412</v>
      </c>
      <c r="L387" s="18">
        <f t="shared" si="16"/>
        <v>93412</v>
      </c>
      <c r="M387">
        <f t="shared" si="17"/>
        <v>0</v>
      </c>
    </row>
    <row r="388" spans="1:13" x14ac:dyDescent="0.2">
      <c r="A388">
        <f>IF(ISBLANK(E388),"",VLOOKUP(E388,code!B:C,2,FALSE))</f>
        <v>2</v>
      </c>
      <c r="B388">
        <v>2017</v>
      </c>
      <c r="C388">
        <v>209542</v>
      </c>
      <c r="D388" t="s">
        <v>192</v>
      </c>
      <c r="E388" t="s">
        <v>10</v>
      </c>
      <c r="F388" s="18">
        <v>212304</v>
      </c>
      <c r="H388" s="18">
        <v>314806</v>
      </c>
      <c r="L388" s="18">
        <f t="shared" ref="L388:L438" si="18">SUM(F388:G388)</f>
        <v>212304</v>
      </c>
      <c r="M388">
        <f t="shared" ref="M388:M438" si="19">SUM(H388:I388)</f>
        <v>314806</v>
      </c>
    </row>
    <row r="389" spans="1:13" x14ac:dyDescent="0.2">
      <c r="A389">
        <f>IF(ISBLANK(E389),"",VLOOKUP(E389,code!B:C,2,FALSE))</f>
        <v>8</v>
      </c>
      <c r="B389">
        <v>2017</v>
      </c>
      <c r="C389">
        <v>209542</v>
      </c>
      <c r="D389" t="s">
        <v>192</v>
      </c>
      <c r="E389" t="s">
        <v>16</v>
      </c>
      <c r="F389" s="18">
        <v>1159226</v>
      </c>
      <c r="L389" s="18">
        <f t="shared" si="18"/>
        <v>1159226</v>
      </c>
      <c r="M389">
        <f t="shared" si="19"/>
        <v>0</v>
      </c>
    </row>
    <row r="390" spans="1:13" x14ac:dyDescent="0.2">
      <c r="A390">
        <f>IF(ISBLANK(E390),"",VLOOKUP(E390,code!B:C,2,FALSE))</f>
        <v>25</v>
      </c>
      <c r="B390">
        <v>2017</v>
      </c>
      <c r="C390">
        <v>209542</v>
      </c>
      <c r="D390" t="s">
        <v>192</v>
      </c>
      <c r="E390" t="s">
        <v>35</v>
      </c>
      <c r="L390" s="18">
        <f t="shared" si="18"/>
        <v>0</v>
      </c>
      <c r="M390">
        <f t="shared" si="19"/>
        <v>0</v>
      </c>
    </row>
    <row r="391" spans="1:13" x14ac:dyDescent="0.2">
      <c r="A391">
        <f>IF(ISBLANK(E391),"",VLOOKUP(E391,code!B:C,2,FALSE))</f>
        <v>9</v>
      </c>
      <c r="B391">
        <v>2017</v>
      </c>
      <c r="C391">
        <v>209542</v>
      </c>
      <c r="D391" t="s">
        <v>192</v>
      </c>
      <c r="E391" t="s">
        <v>17</v>
      </c>
      <c r="H391" s="18">
        <v>1617</v>
      </c>
      <c r="L391" s="18">
        <f t="shared" si="18"/>
        <v>0</v>
      </c>
      <c r="M391">
        <f t="shared" si="19"/>
        <v>1617</v>
      </c>
    </row>
    <row r="392" spans="1:13" x14ac:dyDescent="0.2">
      <c r="A392">
        <f>IF(ISBLANK(E392),"",VLOOKUP(E392,code!B:C,2,FALSE))</f>
        <v>10</v>
      </c>
      <c r="B392">
        <v>2017</v>
      </c>
      <c r="C392">
        <v>209542</v>
      </c>
      <c r="D392" t="s">
        <v>192</v>
      </c>
      <c r="E392" t="s">
        <v>18</v>
      </c>
      <c r="H392" s="18">
        <v>38501</v>
      </c>
      <c r="L392" s="18">
        <f t="shared" si="18"/>
        <v>0</v>
      </c>
      <c r="M392">
        <f t="shared" si="19"/>
        <v>38501</v>
      </c>
    </row>
    <row r="393" spans="1:13" x14ac:dyDescent="0.2">
      <c r="A393">
        <f>IF(ISBLANK(E393),"",VLOOKUP(E393,code!B:C,2,FALSE))</f>
        <v>14</v>
      </c>
      <c r="B393">
        <v>2017</v>
      </c>
      <c r="C393">
        <v>209542</v>
      </c>
      <c r="D393" t="s">
        <v>192</v>
      </c>
      <c r="E393" t="s">
        <v>22</v>
      </c>
      <c r="H393" s="18">
        <v>95871</v>
      </c>
      <c r="L393" s="18">
        <f t="shared" si="18"/>
        <v>0</v>
      </c>
      <c r="M393">
        <f t="shared" si="19"/>
        <v>95871</v>
      </c>
    </row>
    <row r="394" spans="1:13" x14ac:dyDescent="0.2">
      <c r="A394">
        <f>IF(ISBLANK(E394),"",VLOOKUP(E394,code!B:C,2,FALSE))</f>
        <v>17</v>
      </c>
      <c r="B394">
        <v>2017</v>
      </c>
      <c r="C394">
        <v>209542</v>
      </c>
      <c r="D394" t="s">
        <v>192</v>
      </c>
      <c r="E394" t="s">
        <v>25</v>
      </c>
      <c r="L394" s="18">
        <f t="shared" si="18"/>
        <v>0</v>
      </c>
      <c r="M394">
        <f t="shared" si="19"/>
        <v>0</v>
      </c>
    </row>
    <row r="395" spans="1:13" x14ac:dyDescent="0.2">
      <c r="A395">
        <f>IF(ISBLANK(E395),"",VLOOKUP(E395,code!B:C,2,FALSE))</f>
        <v>18</v>
      </c>
      <c r="B395">
        <v>2017</v>
      </c>
      <c r="C395">
        <v>209542</v>
      </c>
      <c r="D395" t="s">
        <v>192</v>
      </c>
      <c r="E395" t="s">
        <v>26</v>
      </c>
      <c r="H395" s="18">
        <v>100237</v>
      </c>
      <c r="L395" s="18">
        <f t="shared" si="18"/>
        <v>0</v>
      </c>
      <c r="M395">
        <f t="shared" si="19"/>
        <v>100237</v>
      </c>
    </row>
    <row r="396" spans="1:13" x14ac:dyDescent="0.2">
      <c r="A396">
        <f>IF(ISBLANK(E396),"",VLOOKUP(E396,code!B:C,2,FALSE))</f>
        <v>19</v>
      </c>
      <c r="B396">
        <v>2017</v>
      </c>
      <c r="C396">
        <v>209542</v>
      </c>
      <c r="D396" t="s">
        <v>192</v>
      </c>
      <c r="E396" t="s">
        <v>27</v>
      </c>
      <c r="L396" s="18">
        <f t="shared" si="18"/>
        <v>0</v>
      </c>
      <c r="M396">
        <f t="shared" si="19"/>
        <v>0</v>
      </c>
    </row>
    <row r="397" spans="1:13" x14ac:dyDescent="0.2">
      <c r="A397">
        <f>IF(ISBLANK(E397),"",VLOOKUP(E397,code!B:C,2,FALSE))</f>
        <v>21</v>
      </c>
      <c r="B397">
        <v>2017</v>
      </c>
      <c r="C397">
        <v>209542</v>
      </c>
      <c r="D397" t="s">
        <v>192</v>
      </c>
      <c r="E397" t="s">
        <v>30</v>
      </c>
      <c r="H397" s="18">
        <v>49661</v>
      </c>
      <c r="L397" s="18">
        <f t="shared" si="18"/>
        <v>0</v>
      </c>
      <c r="M397">
        <f t="shared" si="19"/>
        <v>49661</v>
      </c>
    </row>
    <row r="398" spans="1:13" x14ac:dyDescent="0.2">
      <c r="A398">
        <f>IF(ISBLANK(E398),"",VLOOKUP(E398,code!B:C,2,FALSE))</f>
        <v>23</v>
      </c>
      <c r="B398">
        <v>2017</v>
      </c>
      <c r="C398">
        <v>209542</v>
      </c>
      <c r="D398" t="s">
        <v>192</v>
      </c>
      <c r="E398" t="s">
        <v>33</v>
      </c>
      <c r="H398" s="18">
        <v>16007</v>
      </c>
      <c r="L398" s="18">
        <f t="shared" si="18"/>
        <v>0</v>
      </c>
      <c r="M398">
        <f t="shared" si="19"/>
        <v>16007</v>
      </c>
    </row>
    <row r="399" spans="1:13" x14ac:dyDescent="0.2">
      <c r="A399">
        <f>IF(ISBLANK(E399),"",VLOOKUP(E399,code!B:C,2,FALSE))</f>
        <v>1</v>
      </c>
      <c r="B399">
        <v>2018</v>
      </c>
      <c r="C399">
        <v>209542</v>
      </c>
      <c r="D399" t="s">
        <v>192</v>
      </c>
      <c r="E399" t="s">
        <v>9</v>
      </c>
      <c r="F399" s="18">
        <v>135951</v>
      </c>
      <c r="L399" s="18">
        <f t="shared" si="18"/>
        <v>135951</v>
      </c>
      <c r="M399">
        <f t="shared" si="19"/>
        <v>0</v>
      </c>
    </row>
    <row r="400" spans="1:13" x14ac:dyDescent="0.2">
      <c r="A400">
        <f>IF(ISBLANK(E400),"",VLOOKUP(E400,code!B:C,2,FALSE))</f>
        <v>2</v>
      </c>
      <c r="B400">
        <v>2018</v>
      </c>
      <c r="C400">
        <v>209542</v>
      </c>
      <c r="D400" t="s">
        <v>192</v>
      </c>
      <c r="E400" t="s">
        <v>10</v>
      </c>
      <c r="F400" s="18">
        <v>223268</v>
      </c>
      <c r="H400" s="18">
        <v>375868</v>
      </c>
      <c r="L400" s="18">
        <f t="shared" si="18"/>
        <v>223268</v>
      </c>
      <c r="M400">
        <f t="shared" si="19"/>
        <v>375868</v>
      </c>
    </row>
    <row r="401" spans="1:13" x14ac:dyDescent="0.2">
      <c r="A401">
        <f>IF(ISBLANK(E401),"",VLOOKUP(E401,code!B:C,2,FALSE))</f>
        <v>8</v>
      </c>
      <c r="B401">
        <v>2018</v>
      </c>
      <c r="C401">
        <v>209542</v>
      </c>
      <c r="D401" t="s">
        <v>192</v>
      </c>
      <c r="E401" t="s">
        <v>16</v>
      </c>
      <c r="F401" s="18">
        <v>1297776</v>
      </c>
      <c r="L401" s="18">
        <f t="shared" si="18"/>
        <v>1297776</v>
      </c>
      <c r="M401">
        <f t="shared" si="19"/>
        <v>0</v>
      </c>
    </row>
    <row r="402" spans="1:13" x14ac:dyDescent="0.2">
      <c r="A402">
        <f>IF(ISBLANK(E402),"",VLOOKUP(E402,code!B:C,2,FALSE))</f>
        <v>25</v>
      </c>
      <c r="B402">
        <v>2018</v>
      </c>
      <c r="C402">
        <v>209542</v>
      </c>
      <c r="D402" t="s">
        <v>192</v>
      </c>
      <c r="E402" t="s">
        <v>35</v>
      </c>
      <c r="L402" s="18">
        <f t="shared" si="18"/>
        <v>0</v>
      </c>
      <c r="M402">
        <f t="shared" si="19"/>
        <v>0</v>
      </c>
    </row>
    <row r="403" spans="1:13" x14ac:dyDescent="0.2">
      <c r="A403">
        <f>IF(ISBLANK(E403),"",VLOOKUP(E403,code!B:C,2,FALSE))</f>
        <v>9</v>
      </c>
      <c r="B403">
        <v>2018</v>
      </c>
      <c r="C403">
        <v>209542</v>
      </c>
      <c r="D403" t="s">
        <v>192</v>
      </c>
      <c r="E403" t="s">
        <v>17</v>
      </c>
      <c r="L403" s="18">
        <f t="shared" si="18"/>
        <v>0</v>
      </c>
      <c r="M403">
        <f t="shared" si="19"/>
        <v>0</v>
      </c>
    </row>
    <row r="404" spans="1:13" x14ac:dyDescent="0.2">
      <c r="A404">
        <f>IF(ISBLANK(E404),"",VLOOKUP(E404,code!B:C,2,FALSE))</f>
        <v>10</v>
      </c>
      <c r="B404">
        <v>2018</v>
      </c>
      <c r="C404">
        <v>209542</v>
      </c>
      <c r="D404" t="s">
        <v>192</v>
      </c>
      <c r="E404" t="s">
        <v>18</v>
      </c>
      <c r="H404" s="18">
        <v>75670</v>
      </c>
      <c r="L404" s="18">
        <f t="shared" si="18"/>
        <v>0</v>
      </c>
      <c r="M404">
        <f t="shared" si="19"/>
        <v>75670</v>
      </c>
    </row>
    <row r="405" spans="1:13" x14ac:dyDescent="0.2">
      <c r="A405">
        <f>IF(ISBLANK(E405),"",VLOOKUP(E405,code!B:C,2,FALSE))</f>
        <v>14</v>
      </c>
      <c r="B405">
        <v>2018</v>
      </c>
      <c r="C405">
        <v>209542</v>
      </c>
      <c r="D405" t="s">
        <v>192</v>
      </c>
      <c r="E405" t="s">
        <v>22</v>
      </c>
      <c r="H405" s="18">
        <v>109815</v>
      </c>
      <c r="L405" s="18">
        <f t="shared" si="18"/>
        <v>0</v>
      </c>
      <c r="M405">
        <f t="shared" si="19"/>
        <v>109815</v>
      </c>
    </row>
    <row r="406" spans="1:13" x14ac:dyDescent="0.2">
      <c r="A406">
        <f>IF(ISBLANK(E406),"",VLOOKUP(E406,code!B:C,2,FALSE))</f>
        <v>17</v>
      </c>
      <c r="B406">
        <v>2018</v>
      </c>
      <c r="C406">
        <v>209542</v>
      </c>
      <c r="D406" t="s">
        <v>192</v>
      </c>
      <c r="E406" t="s">
        <v>25</v>
      </c>
      <c r="L406" s="18">
        <f t="shared" si="18"/>
        <v>0</v>
      </c>
      <c r="M406">
        <f t="shared" si="19"/>
        <v>0</v>
      </c>
    </row>
    <row r="407" spans="1:13" x14ac:dyDescent="0.2">
      <c r="A407">
        <f>IF(ISBLANK(E407),"",VLOOKUP(E407,code!B:C,2,FALSE))</f>
        <v>18</v>
      </c>
      <c r="B407">
        <v>2018</v>
      </c>
      <c r="C407">
        <v>209542</v>
      </c>
      <c r="D407" t="s">
        <v>192</v>
      </c>
      <c r="E407" t="s">
        <v>26</v>
      </c>
      <c r="H407" s="18">
        <v>100096</v>
      </c>
      <c r="L407" s="18">
        <f t="shared" si="18"/>
        <v>0</v>
      </c>
      <c r="M407">
        <f t="shared" si="19"/>
        <v>100096</v>
      </c>
    </row>
    <row r="408" spans="1:13" x14ac:dyDescent="0.2">
      <c r="A408">
        <f>IF(ISBLANK(E408),"",VLOOKUP(E408,code!B:C,2,FALSE))</f>
        <v>19</v>
      </c>
      <c r="B408">
        <v>2018</v>
      </c>
      <c r="C408">
        <v>209542</v>
      </c>
      <c r="D408" t="s">
        <v>192</v>
      </c>
      <c r="E408" t="s">
        <v>27</v>
      </c>
      <c r="L408" s="18">
        <f t="shared" si="18"/>
        <v>0</v>
      </c>
      <c r="M408">
        <f t="shared" si="19"/>
        <v>0</v>
      </c>
    </row>
    <row r="409" spans="1:13" x14ac:dyDescent="0.2">
      <c r="A409">
        <f>IF(ISBLANK(E409),"",VLOOKUP(E409,code!B:C,2,FALSE))</f>
        <v>21</v>
      </c>
      <c r="B409">
        <v>2018</v>
      </c>
      <c r="C409">
        <v>209542</v>
      </c>
      <c r="D409" t="s">
        <v>192</v>
      </c>
      <c r="E409" t="s">
        <v>30</v>
      </c>
      <c r="L409" s="18">
        <f t="shared" si="18"/>
        <v>0</v>
      </c>
      <c r="M409">
        <f t="shared" si="19"/>
        <v>0</v>
      </c>
    </row>
    <row r="410" spans="1:13" x14ac:dyDescent="0.2">
      <c r="A410">
        <f>IF(ISBLANK(E410),"",VLOOKUP(E410,code!B:C,2,FALSE))</f>
        <v>23</v>
      </c>
      <c r="B410">
        <v>2018</v>
      </c>
      <c r="C410">
        <v>209542</v>
      </c>
      <c r="D410" t="s">
        <v>192</v>
      </c>
      <c r="E410" t="s">
        <v>33</v>
      </c>
      <c r="H410" s="18">
        <v>74312</v>
      </c>
      <c r="L410" s="18">
        <f t="shared" si="18"/>
        <v>0</v>
      </c>
      <c r="M410">
        <f t="shared" si="19"/>
        <v>74312</v>
      </c>
    </row>
    <row r="411" spans="1:13" x14ac:dyDescent="0.2">
      <c r="A411">
        <f>IF(ISBLANK(E411),"",VLOOKUP(E411,code!B:C,2,FALSE))</f>
        <v>1</v>
      </c>
      <c r="B411">
        <v>2019</v>
      </c>
      <c r="C411">
        <v>209542</v>
      </c>
      <c r="D411" t="s">
        <v>192</v>
      </c>
      <c r="E411" t="s">
        <v>9</v>
      </c>
      <c r="F411" s="18">
        <v>370039</v>
      </c>
      <c r="L411" s="18">
        <f t="shared" si="18"/>
        <v>370039</v>
      </c>
      <c r="M411">
        <f t="shared" si="19"/>
        <v>0</v>
      </c>
    </row>
    <row r="412" spans="1:13" x14ac:dyDescent="0.2">
      <c r="A412">
        <f>IF(ISBLANK(E412),"",VLOOKUP(E412,code!B:C,2,FALSE))</f>
        <v>2</v>
      </c>
      <c r="B412">
        <v>2019</v>
      </c>
      <c r="C412">
        <v>209542</v>
      </c>
      <c r="D412" t="s">
        <v>192</v>
      </c>
      <c r="E412" t="s">
        <v>10</v>
      </c>
      <c r="F412" s="18">
        <v>249251</v>
      </c>
      <c r="H412" s="18">
        <v>396831</v>
      </c>
      <c r="L412" s="18">
        <f t="shared" si="18"/>
        <v>249251</v>
      </c>
      <c r="M412">
        <f t="shared" si="19"/>
        <v>396831</v>
      </c>
    </row>
    <row r="413" spans="1:13" x14ac:dyDescent="0.2">
      <c r="A413">
        <f>IF(ISBLANK(E413),"",VLOOKUP(E413,code!B:C,2,FALSE))</f>
        <v>8</v>
      </c>
      <c r="B413">
        <v>2019</v>
      </c>
      <c r="C413">
        <v>209542</v>
      </c>
      <c r="D413" t="s">
        <v>192</v>
      </c>
      <c r="E413" t="s">
        <v>16</v>
      </c>
      <c r="F413" s="18">
        <v>1358478</v>
      </c>
      <c r="L413" s="18">
        <f t="shared" si="18"/>
        <v>1358478</v>
      </c>
      <c r="M413">
        <f t="shared" si="19"/>
        <v>0</v>
      </c>
    </row>
    <row r="414" spans="1:13" x14ac:dyDescent="0.2">
      <c r="A414">
        <f>IF(ISBLANK(E414),"",VLOOKUP(E414,code!B:C,2,FALSE))</f>
        <v>9</v>
      </c>
      <c r="B414">
        <v>2019</v>
      </c>
      <c r="C414">
        <v>209542</v>
      </c>
      <c r="D414" t="s">
        <v>192</v>
      </c>
      <c r="E414" t="s">
        <v>17</v>
      </c>
      <c r="F414" s="18">
        <v>73987</v>
      </c>
      <c r="L414" s="18">
        <f t="shared" si="18"/>
        <v>73987</v>
      </c>
      <c r="M414">
        <f t="shared" si="19"/>
        <v>0</v>
      </c>
    </row>
    <row r="415" spans="1:13" x14ac:dyDescent="0.2">
      <c r="A415">
        <f>IF(ISBLANK(E415),"",VLOOKUP(E415,code!B:C,2,FALSE))</f>
        <v>17</v>
      </c>
      <c r="B415">
        <v>2019</v>
      </c>
      <c r="C415">
        <v>209542</v>
      </c>
      <c r="D415" t="s">
        <v>192</v>
      </c>
      <c r="E415" t="s">
        <v>25</v>
      </c>
      <c r="L415" s="18">
        <f t="shared" si="18"/>
        <v>0</v>
      </c>
      <c r="M415">
        <f t="shared" si="19"/>
        <v>0</v>
      </c>
    </row>
    <row r="416" spans="1:13" x14ac:dyDescent="0.2">
      <c r="A416">
        <f>IF(ISBLANK(E416),"",VLOOKUP(E416,code!B:C,2,FALSE))</f>
        <v>25</v>
      </c>
      <c r="B416">
        <v>2019</v>
      </c>
      <c r="C416">
        <v>209542</v>
      </c>
      <c r="D416" t="s">
        <v>192</v>
      </c>
      <c r="E416" t="s">
        <v>35</v>
      </c>
      <c r="F416" s="18">
        <v>36361</v>
      </c>
      <c r="L416" s="18">
        <f t="shared" si="18"/>
        <v>36361</v>
      </c>
      <c r="M416">
        <f t="shared" si="19"/>
        <v>0</v>
      </c>
    </row>
    <row r="417" spans="1:13" x14ac:dyDescent="0.2">
      <c r="A417">
        <f>IF(ISBLANK(E417),"",VLOOKUP(E417,code!B:C,2,FALSE))</f>
        <v>10</v>
      </c>
      <c r="B417">
        <v>2019</v>
      </c>
      <c r="C417">
        <v>209542</v>
      </c>
      <c r="D417" t="s">
        <v>192</v>
      </c>
      <c r="E417" t="s">
        <v>18</v>
      </c>
      <c r="H417" s="18">
        <v>203259</v>
      </c>
      <c r="L417" s="18">
        <f t="shared" si="18"/>
        <v>0</v>
      </c>
      <c r="M417">
        <f t="shared" si="19"/>
        <v>203259</v>
      </c>
    </row>
    <row r="418" spans="1:13" x14ac:dyDescent="0.2">
      <c r="A418">
        <f>IF(ISBLANK(E418),"",VLOOKUP(E418,code!B:C,2,FALSE))</f>
        <v>14</v>
      </c>
      <c r="B418">
        <v>2019</v>
      </c>
      <c r="C418">
        <v>209542</v>
      </c>
      <c r="D418" t="s">
        <v>192</v>
      </c>
      <c r="E418" t="s">
        <v>22</v>
      </c>
      <c r="H418" s="18">
        <v>98459</v>
      </c>
      <c r="L418" s="18">
        <f t="shared" si="18"/>
        <v>0</v>
      </c>
      <c r="M418">
        <f t="shared" si="19"/>
        <v>98459</v>
      </c>
    </row>
    <row r="419" spans="1:13" x14ac:dyDescent="0.2">
      <c r="A419">
        <f>IF(ISBLANK(E419),"",VLOOKUP(E419,code!B:C,2,FALSE))</f>
        <v>17</v>
      </c>
      <c r="B419">
        <v>2019</v>
      </c>
      <c r="C419">
        <v>209542</v>
      </c>
      <c r="D419" t="s">
        <v>192</v>
      </c>
      <c r="E419" t="s">
        <v>25</v>
      </c>
      <c r="F419" s="18">
        <v>59126</v>
      </c>
      <c r="L419" s="18">
        <f t="shared" si="18"/>
        <v>59126</v>
      </c>
      <c r="M419">
        <f t="shared" si="19"/>
        <v>0</v>
      </c>
    </row>
    <row r="420" spans="1:13" x14ac:dyDescent="0.2">
      <c r="A420">
        <f>IF(ISBLANK(E420),"",VLOOKUP(E420,code!B:C,2,FALSE))</f>
        <v>18</v>
      </c>
      <c r="B420">
        <v>2019</v>
      </c>
      <c r="C420">
        <v>209542</v>
      </c>
      <c r="D420" t="s">
        <v>192</v>
      </c>
      <c r="E420" t="s">
        <v>26</v>
      </c>
      <c r="H420" s="18">
        <v>89788</v>
      </c>
      <c r="L420" s="18">
        <f t="shared" si="18"/>
        <v>0</v>
      </c>
      <c r="M420">
        <f t="shared" si="19"/>
        <v>89788</v>
      </c>
    </row>
    <row r="421" spans="1:13" x14ac:dyDescent="0.2">
      <c r="A421">
        <f>IF(ISBLANK(E421),"",VLOOKUP(E421,code!B:C,2,FALSE))</f>
        <v>19</v>
      </c>
      <c r="B421">
        <v>2019</v>
      </c>
      <c r="C421">
        <v>209542</v>
      </c>
      <c r="D421" t="s">
        <v>192</v>
      </c>
      <c r="E421" t="s">
        <v>27</v>
      </c>
      <c r="L421" s="18">
        <f t="shared" si="18"/>
        <v>0</v>
      </c>
      <c r="M421">
        <f t="shared" si="19"/>
        <v>0</v>
      </c>
    </row>
    <row r="422" spans="1:13" x14ac:dyDescent="0.2">
      <c r="A422">
        <f>IF(ISBLANK(E422),"",VLOOKUP(E422,code!B:C,2,FALSE))</f>
        <v>21</v>
      </c>
      <c r="B422">
        <v>2019</v>
      </c>
      <c r="C422">
        <v>209542</v>
      </c>
      <c r="D422" t="s">
        <v>192</v>
      </c>
      <c r="E422" t="s">
        <v>30</v>
      </c>
      <c r="L422" s="18">
        <f t="shared" si="18"/>
        <v>0</v>
      </c>
      <c r="M422">
        <f t="shared" si="19"/>
        <v>0</v>
      </c>
    </row>
    <row r="423" spans="1:13" x14ac:dyDescent="0.2">
      <c r="A423">
        <f>IF(ISBLANK(E423),"",VLOOKUP(E423,code!B:C,2,FALSE))</f>
        <v>23</v>
      </c>
      <c r="B423">
        <v>2019</v>
      </c>
      <c r="C423">
        <v>209542</v>
      </c>
      <c r="D423" t="s">
        <v>192</v>
      </c>
      <c r="E423" t="s">
        <v>33</v>
      </c>
      <c r="H423" s="18">
        <v>84100</v>
      </c>
      <c r="L423" s="18">
        <f t="shared" si="18"/>
        <v>0</v>
      </c>
      <c r="M423">
        <f t="shared" si="19"/>
        <v>84100</v>
      </c>
    </row>
    <row r="424" spans="1:13" x14ac:dyDescent="0.2">
      <c r="A424">
        <f>IF(ISBLANK(E424),"",VLOOKUP(E424,code!B:C,2,FALSE))</f>
        <v>1</v>
      </c>
      <c r="B424">
        <v>2020</v>
      </c>
      <c r="C424">
        <v>209542</v>
      </c>
      <c r="D424" t="s">
        <v>192</v>
      </c>
      <c r="E424" t="s">
        <v>9</v>
      </c>
      <c r="F424" s="18">
        <v>160109</v>
      </c>
      <c r="L424" s="18">
        <f t="shared" si="18"/>
        <v>160109</v>
      </c>
      <c r="M424">
        <f t="shared" si="19"/>
        <v>0</v>
      </c>
    </row>
    <row r="425" spans="1:13" x14ac:dyDescent="0.2">
      <c r="A425">
        <f>IF(ISBLANK(E425),"",VLOOKUP(E425,code!B:C,2,FALSE))</f>
        <v>2</v>
      </c>
      <c r="B425">
        <v>2020</v>
      </c>
      <c r="C425">
        <v>209542</v>
      </c>
      <c r="D425" t="s">
        <v>192</v>
      </c>
      <c r="E425" t="s">
        <v>10</v>
      </c>
      <c r="F425" s="18">
        <v>329669</v>
      </c>
      <c r="H425" s="18">
        <v>303365</v>
      </c>
      <c r="L425" s="18">
        <f t="shared" si="18"/>
        <v>329669</v>
      </c>
      <c r="M425">
        <f t="shared" si="19"/>
        <v>303365</v>
      </c>
    </row>
    <row r="426" spans="1:13" x14ac:dyDescent="0.2">
      <c r="A426">
        <f>IF(ISBLANK(E426),"",VLOOKUP(E426,code!B:C,2,FALSE))</f>
        <v>8</v>
      </c>
      <c r="B426">
        <v>2020</v>
      </c>
      <c r="C426">
        <v>209542</v>
      </c>
      <c r="D426" t="s">
        <v>192</v>
      </c>
      <c r="E426" t="s">
        <v>16</v>
      </c>
      <c r="F426" s="18">
        <v>1108152</v>
      </c>
      <c r="L426" s="18">
        <f t="shared" si="18"/>
        <v>1108152</v>
      </c>
      <c r="M426">
        <f t="shared" si="19"/>
        <v>0</v>
      </c>
    </row>
    <row r="427" spans="1:13" x14ac:dyDescent="0.2">
      <c r="A427">
        <f>IF(ISBLANK(E427),"",VLOOKUP(E427,code!B:C,2,FALSE))</f>
        <v>25</v>
      </c>
      <c r="B427">
        <v>2020</v>
      </c>
      <c r="C427">
        <v>209542</v>
      </c>
      <c r="D427" t="s">
        <v>192</v>
      </c>
      <c r="E427" t="s">
        <v>35</v>
      </c>
      <c r="L427" s="18">
        <f t="shared" si="18"/>
        <v>0</v>
      </c>
      <c r="M427">
        <f t="shared" si="19"/>
        <v>0</v>
      </c>
    </row>
    <row r="428" spans="1:13" x14ac:dyDescent="0.2">
      <c r="A428">
        <f>IF(ISBLANK(E428),"",VLOOKUP(E428,code!B:C,2,FALSE))</f>
        <v>9</v>
      </c>
      <c r="B428">
        <v>2020</v>
      </c>
      <c r="C428">
        <v>209542</v>
      </c>
      <c r="D428" t="s">
        <v>192</v>
      </c>
      <c r="E428" t="s">
        <v>17</v>
      </c>
      <c r="L428" s="18">
        <f t="shared" si="18"/>
        <v>0</v>
      </c>
      <c r="M428">
        <f t="shared" si="19"/>
        <v>0</v>
      </c>
    </row>
    <row r="429" spans="1:13" x14ac:dyDescent="0.2">
      <c r="A429">
        <f>IF(ISBLANK(E429),"",VLOOKUP(E429,code!B:C,2,FALSE))</f>
        <v>10</v>
      </c>
      <c r="B429">
        <v>2020</v>
      </c>
      <c r="C429">
        <v>209542</v>
      </c>
      <c r="D429" t="s">
        <v>192</v>
      </c>
      <c r="E429" t="s">
        <v>18</v>
      </c>
      <c r="H429" s="18">
        <v>81319</v>
      </c>
      <c r="L429" s="18">
        <f t="shared" si="18"/>
        <v>0</v>
      </c>
      <c r="M429">
        <f t="shared" si="19"/>
        <v>81319</v>
      </c>
    </row>
    <row r="430" spans="1:13" x14ac:dyDescent="0.2">
      <c r="A430">
        <f>IF(ISBLANK(E430),"",VLOOKUP(E430,code!B:C,2,FALSE))</f>
        <v>14</v>
      </c>
      <c r="B430">
        <v>2020</v>
      </c>
      <c r="C430">
        <v>209542</v>
      </c>
      <c r="D430" t="s">
        <v>192</v>
      </c>
      <c r="E430" t="s">
        <v>22</v>
      </c>
      <c r="H430" s="18">
        <v>95993</v>
      </c>
      <c r="L430" s="18">
        <f t="shared" si="18"/>
        <v>0</v>
      </c>
      <c r="M430">
        <f t="shared" si="19"/>
        <v>95993</v>
      </c>
    </row>
    <row r="431" spans="1:13" x14ac:dyDescent="0.2">
      <c r="A431">
        <f>IF(ISBLANK(E431),"",VLOOKUP(E431,code!B:C,2,FALSE))</f>
        <v>17</v>
      </c>
      <c r="B431">
        <v>2020</v>
      </c>
      <c r="C431">
        <v>209542</v>
      </c>
      <c r="D431" t="s">
        <v>192</v>
      </c>
      <c r="E431" t="s">
        <v>25</v>
      </c>
      <c r="L431" s="18">
        <f t="shared" si="18"/>
        <v>0</v>
      </c>
      <c r="M431">
        <f t="shared" si="19"/>
        <v>0</v>
      </c>
    </row>
    <row r="432" spans="1:13" x14ac:dyDescent="0.2">
      <c r="A432">
        <f>IF(ISBLANK(E432),"",VLOOKUP(E432,code!B:C,2,FALSE))</f>
        <v>18</v>
      </c>
      <c r="B432">
        <v>2020</v>
      </c>
      <c r="C432">
        <v>209542</v>
      </c>
      <c r="D432" t="s">
        <v>192</v>
      </c>
      <c r="E432" t="s">
        <v>26</v>
      </c>
      <c r="H432" s="18">
        <v>87783</v>
      </c>
      <c r="L432" s="18">
        <f t="shared" si="18"/>
        <v>0</v>
      </c>
      <c r="M432">
        <f t="shared" si="19"/>
        <v>87783</v>
      </c>
    </row>
    <row r="433" spans="1:13" x14ac:dyDescent="0.2">
      <c r="A433">
        <f>IF(ISBLANK(E433),"",VLOOKUP(E433,code!B:C,2,FALSE))</f>
        <v>21</v>
      </c>
      <c r="B433">
        <v>2020</v>
      </c>
      <c r="C433">
        <v>209542</v>
      </c>
      <c r="D433" t="s">
        <v>192</v>
      </c>
      <c r="E433" t="s">
        <v>30</v>
      </c>
      <c r="L433" s="18">
        <f t="shared" si="18"/>
        <v>0</v>
      </c>
      <c r="M433">
        <f t="shared" si="19"/>
        <v>0</v>
      </c>
    </row>
    <row r="434" spans="1:13" x14ac:dyDescent="0.2">
      <c r="A434">
        <f>IF(ISBLANK(E434),"",VLOOKUP(E434,code!B:C,2,FALSE))</f>
        <v>23</v>
      </c>
      <c r="B434">
        <v>2020</v>
      </c>
      <c r="C434">
        <v>209542</v>
      </c>
      <c r="D434" t="s">
        <v>192</v>
      </c>
      <c r="E434" t="s">
        <v>33</v>
      </c>
      <c r="H434" s="18">
        <v>75510</v>
      </c>
      <c r="L434" s="18">
        <f t="shared" si="18"/>
        <v>0</v>
      </c>
      <c r="M434">
        <f t="shared" si="19"/>
        <v>75510</v>
      </c>
    </row>
    <row r="435" spans="1:13" x14ac:dyDescent="0.2">
      <c r="A435">
        <f>IF(ISBLANK(E435),"",VLOOKUP(E435,code!B:C,2,FALSE))</f>
        <v>1</v>
      </c>
      <c r="B435">
        <v>2021</v>
      </c>
      <c r="C435">
        <v>209542</v>
      </c>
      <c r="D435" t="s">
        <v>192</v>
      </c>
      <c r="E435" t="s">
        <v>9</v>
      </c>
      <c r="F435" s="18">
        <v>159258</v>
      </c>
      <c r="L435" s="18">
        <f t="shared" si="18"/>
        <v>159258</v>
      </c>
      <c r="M435">
        <f t="shared" si="19"/>
        <v>0</v>
      </c>
    </row>
    <row r="436" spans="1:13" x14ac:dyDescent="0.2">
      <c r="A436">
        <f>IF(ISBLANK(E436),"",VLOOKUP(E436,code!B:C,2,FALSE))</f>
        <v>2</v>
      </c>
      <c r="B436">
        <v>2021</v>
      </c>
      <c r="C436">
        <v>209542</v>
      </c>
      <c r="D436" t="s">
        <v>192</v>
      </c>
      <c r="E436" t="s">
        <v>10</v>
      </c>
      <c r="F436" s="18">
        <v>156251</v>
      </c>
      <c r="H436" s="18">
        <v>215475</v>
      </c>
      <c r="L436" s="18">
        <f t="shared" si="18"/>
        <v>156251</v>
      </c>
      <c r="M436">
        <f t="shared" si="19"/>
        <v>215475</v>
      </c>
    </row>
    <row r="437" spans="1:13" x14ac:dyDescent="0.2">
      <c r="A437">
        <f>IF(ISBLANK(E437),"",VLOOKUP(E437,code!B:C,2,FALSE))</f>
        <v>8</v>
      </c>
      <c r="B437">
        <v>2021</v>
      </c>
      <c r="C437">
        <v>209542</v>
      </c>
      <c r="D437" t="s">
        <v>192</v>
      </c>
      <c r="E437" t="s">
        <v>16</v>
      </c>
      <c r="F437" s="18">
        <v>1441007</v>
      </c>
      <c r="L437" s="18">
        <f t="shared" si="18"/>
        <v>1441007</v>
      </c>
      <c r="M437">
        <f t="shared" si="19"/>
        <v>0</v>
      </c>
    </row>
    <row r="438" spans="1:13" x14ac:dyDescent="0.2">
      <c r="A438">
        <f>IF(ISBLANK(E438),"",VLOOKUP(E438,code!B:C,2,FALSE))</f>
        <v>25</v>
      </c>
      <c r="B438">
        <v>2021</v>
      </c>
      <c r="C438">
        <v>209542</v>
      </c>
      <c r="D438" t="s">
        <v>192</v>
      </c>
      <c r="E438" t="s">
        <v>35</v>
      </c>
      <c r="F438" s="18">
        <v>27455</v>
      </c>
      <c r="L438" s="18">
        <f t="shared" si="18"/>
        <v>27455</v>
      </c>
      <c r="M438">
        <f t="shared" si="19"/>
        <v>0</v>
      </c>
    </row>
    <row r="439" spans="1:13" x14ac:dyDescent="0.2">
      <c r="A439">
        <f>IF(ISBLANK(E439),"",VLOOKUP(E439,code!B:C,2,FALSE))</f>
        <v>9</v>
      </c>
      <c r="B439">
        <v>2021</v>
      </c>
      <c r="C439">
        <v>209542</v>
      </c>
      <c r="D439" t="s">
        <v>192</v>
      </c>
      <c r="E439" t="s">
        <v>17</v>
      </c>
      <c r="L439" s="18">
        <f t="shared" ref="L439:L495" si="20">SUM(F439:G439)</f>
        <v>0</v>
      </c>
      <c r="M439">
        <f t="shared" ref="M439:M495" si="21">SUM(H439:I439)</f>
        <v>0</v>
      </c>
    </row>
    <row r="440" spans="1:13" x14ac:dyDescent="0.2">
      <c r="A440">
        <f>IF(ISBLANK(E440),"",VLOOKUP(E440,code!B:C,2,FALSE))</f>
        <v>10</v>
      </c>
      <c r="B440">
        <v>2021</v>
      </c>
      <c r="C440">
        <v>209542</v>
      </c>
      <c r="D440" t="s">
        <v>192</v>
      </c>
      <c r="E440" t="s">
        <v>18</v>
      </c>
      <c r="H440" s="18">
        <v>77985</v>
      </c>
      <c r="L440" s="18">
        <f t="shared" si="20"/>
        <v>0</v>
      </c>
      <c r="M440">
        <f t="shared" si="21"/>
        <v>77985</v>
      </c>
    </row>
    <row r="441" spans="1:13" x14ac:dyDescent="0.2">
      <c r="A441">
        <f>IF(ISBLANK(E441),"",VLOOKUP(E441,code!B:C,2,FALSE))</f>
        <v>14</v>
      </c>
      <c r="B441">
        <v>2021</v>
      </c>
      <c r="C441">
        <v>209542</v>
      </c>
      <c r="D441" t="s">
        <v>192</v>
      </c>
      <c r="E441" t="s">
        <v>22</v>
      </c>
      <c r="H441" s="18">
        <v>105851</v>
      </c>
      <c r="L441" s="18">
        <f t="shared" si="20"/>
        <v>0</v>
      </c>
      <c r="M441">
        <f t="shared" si="21"/>
        <v>105851</v>
      </c>
    </row>
    <row r="442" spans="1:13" x14ac:dyDescent="0.2">
      <c r="A442">
        <f>IF(ISBLANK(E442),"",VLOOKUP(E442,code!B:C,2,FALSE))</f>
        <v>17</v>
      </c>
      <c r="B442">
        <v>2021</v>
      </c>
      <c r="C442">
        <v>209542</v>
      </c>
      <c r="D442" t="s">
        <v>192</v>
      </c>
      <c r="E442" t="s">
        <v>25</v>
      </c>
      <c r="L442" s="18">
        <f t="shared" si="20"/>
        <v>0</v>
      </c>
      <c r="M442">
        <f t="shared" si="21"/>
        <v>0</v>
      </c>
    </row>
    <row r="443" spans="1:13" x14ac:dyDescent="0.2">
      <c r="A443">
        <f>IF(ISBLANK(E443),"",VLOOKUP(E443,code!B:C,2,FALSE))</f>
        <v>18</v>
      </c>
      <c r="B443">
        <v>2021</v>
      </c>
      <c r="C443">
        <v>209542</v>
      </c>
      <c r="D443" t="s">
        <v>192</v>
      </c>
      <c r="E443" t="s">
        <v>26</v>
      </c>
      <c r="H443" s="18">
        <v>89006</v>
      </c>
      <c r="L443" s="18">
        <f t="shared" si="20"/>
        <v>0</v>
      </c>
      <c r="M443">
        <f t="shared" si="21"/>
        <v>89006</v>
      </c>
    </row>
    <row r="444" spans="1:13" x14ac:dyDescent="0.2">
      <c r="A444">
        <f>IF(ISBLANK(E444),"",VLOOKUP(E444,code!B:C,2,FALSE))</f>
        <v>21</v>
      </c>
      <c r="B444">
        <v>2021</v>
      </c>
      <c r="C444">
        <v>209542</v>
      </c>
      <c r="D444" t="s">
        <v>192</v>
      </c>
      <c r="E444" t="s">
        <v>30</v>
      </c>
      <c r="L444" s="18">
        <f t="shared" si="20"/>
        <v>0</v>
      </c>
      <c r="M444">
        <f t="shared" si="21"/>
        <v>0</v>
      </c>
    </row>
    <row r="445" spans="1:13" x14ac:dyDescent="0.2">
      <c r="A445">
        <f>IF(ISBLANK(E445),"",VLOOKUP(E445,code!B:C,2,FALSE))</f>
        <v>23</v>
      </c>
      <c r="B445">
        <v>2021</v>
      </c>
      <c r="C445">
        <v>209542</v>
      </c>
      <c r="D445" t="s">
        <v>192</v>
      </c>
      <c r="E445" t="s">
        <v>33</v>
      </c>
      <c r="H445" s="18">
        <v>76795</v>
      </c>
      <c r="L445" s="18">
        <f t="shared" si="20"/>
        <v>0</v>
      </c>
      <c r="M445">
        <f t="shared" si="21"/>
        <v>76795</v>
      </c>
    </row>
    <row r="446" spans="1:13" x14ac:dyDescent="0.2">
      <c r="A446">
        <f>IF(ISBLANK(E446),"",VLOOKUP(E446,code!B:C,2,FALSE))</f>
        <v>1</v>
      </c>
      <c r="B446">
        <v>2022</v>
      </c>
      <c r="C446">
        <v>209542</v>
      </c>
      <c r="D446" t="s">
        <v>192</v>
      </c>
      <c r="E446" t="s">
        <v>9</v>
      </c>
      <c r="F446" s="18">
        <v>100463</v>
      </c>
      <c r="L446" s="18">
        <f t="shared" si="20"/>
        <v>100463</v>
      </c>
      <c r="M446">
        <f t="shared" si="21"/>
        <v>0</v>
      </c>
    </row>
    <row r="447" spans="1:13" x14ac:dyDescent="0.2">
      <c r="A447">
        <f>IF(ISBLANK(E447),"",VLOOKUP(E447,code!B:C,2,FALSE))</f>
        <v>2</v>
      </c>
      <c r="B447">
        <v>2022</v>
      </c>
      <c r="C447">
        <v>209542</v>
      </c>
      <c r="D447" t="s">
        <v>192</v>
      </c>
      <c r="E447" t="s">
        <v>10</v>
      </c>
      <c r="F447" s="18">
        <v>107634</v>
      </c>
      <c r="H447" s="18">
        <v>134066</v>
      </c>
      <c r="L447" s="18">
        <f t="shared" si="20"/>
        <v>107634</v>
      </c>
      <c r="M447">
        <f t="shared" si="21"/>
        <v>134066</v>
      </c>
    </row>
    <row r="448" spans="1:13" x14ac:dyDescent="0.2">
      <c r="A448">
        <f>IF(ISBLANK(E448),"",VLOOKUP(E448,code!B:C,2,FALSE))</f>
        <v>8</v>
      </c>
      <c r="B448">
        <v>2022</v>
      </c>
      <c r="C448">
        <v>209542</v>
      </c>
      <c r="D448" t="s">
        <v>192</v>
      </c>
      <c r="E448" t="s">
        <v>16</v>
      </c>
      <c r="F448" s="18">
        <v>1225482</v>
      </c>
      <c r="L448" s="18">
        <f t="shared" si="20"/>
        <v>1225482</v>
      </c>
      <c r="M448">
        <f t="shared" si="21"/>
        <v>0</v>
      </c>
    </row>
    <row r="449" spans="1:13" x14ac:dyDescent="0.2">
      <c r="A449">
        <f>IF(ISBLANK(E449),"",VLOOKUP(E449,code!B:C,2,FALSE))</f>
        <v>9</v>
      </c>
      <c r="B449">
        <v>2022</v>
      </c>
      <c r="C449">
        <v>209542</v>
      </c>
      <c r="D449" t="s">
        <v>192</v>
      </c>
      <c r="E449" t="s">
        <v>17</v>
      </c>
      <c r="L449" s="18">
        <f t="shared" si="20"/>
        <v>0</v>
      </c>
      <c r="M449">
        <f t="shared" si="21"/>
        <v>0</v>
      </c>
    </row>
    <row r="450" spans="1:13" x14ac:dyDescent="0.2">
      <c r="A450">
        <f>IF(ISBLANK(E450),"",VLOOKUP(E450,code!B:C,2,FALSE))</f>
        <v>17</v>
      </c>
      <c r="B450">
        <v>2022</v>
      </c>
      <c r="C450">
        <v>209542</v>
      </c>
      <c r="D450" t="s">
        <v>192</v>
      </c>
      <c r="E450" t="s">
        <v>25</v>
      </c>
      <c r="L450" s="18">
        <f t="shared" si="20"/>
        <v>0</v>
      </c>
      <c r="M450">
        <f t="shared" si="21"/>
        <v>0</v>
      </c>
    </row>
    <row r="451" spans="1:13" x14ac:dyDescent="0.2">
      <c r="A451">
        <f>IF(ISBLANK(E451),"",VLOOKUP(E451,code!B:C,2,FALSE))</f>
        <v>25</v>
      </c>
      <c r="B451">
        <v>2022</v>
      </c>
      <c r="C451">
        <v>209542</v>
      </c>
      <c r="D451" t="s">
        <v>192</v>
      </c>
      <c r="E451" t="s">
        <v>35</v>
      </c>
      <c r="F451" s="18">
        <v>28830</v>
      </c>
      <c r="L451" s="18">
        <f t="shared" si="20"/>
        <v>28830</v>
      </c>
      <c r="M451">
        <f t="shared" si="21"/>
        <v>0</v>
      </c>
    </row>
    <row r="452" spans="1:13" x14ac:dyDescent="0.2">
      <c r="A452">
        <f>IF(ISBLANK(E452),"",VLOOKUP(E452,code!B:C,2,FALSE))</f>
        <v>10</v>
      </c>
      <c r="B452">
        <v>2022</v>
      </c>
      <c r="C452">
        <v>209542</v>
      </c>
      <c r="D452" t="s">
        <v>192</v>
      </c>
      <c r="E452" t="s">
        <v>18</v>
      </c>
      <c r="H452" s="18">
        <v>105445</v>
      </c>
      <c r="L452" s="18">
        <f t="shared" si="20"/>
        <v>0</v>
      </c>
      <c r="M452">
        <f t="shared" si="21"/>
        <v>105445</v>
      </c>
    </row>
    <row r="453" spans="1:13" x14ac:dyDescent="0.2">
      <c r="A453">
        <f>IF(ISBLANK(E453),"",VLOOKUP(E453,code!B:C,2,FALSE))</f>
        <v>14</v>
      </c>
      <c r="B453">
        <v>2022</v>
      </c>
      <c r="C453">
        <v>209542</v>
      </c>
      <c r="D453" t="s">
        <v>192</v>
      </c>
      <c r="E453" t="s">
        <v>22</v>
      </c>
      <c r="L453" s="18">
        <f t="shared" si="20"/>
        <v>0</v>
      </c>
      <c r="M453">
        <f t="shared" si="21"/>
        <v>0</v>
      </c>
    </row>
    <row r="454" spans="1:13" x14ac:dyDescent="0.2">
      <c r="A454">
        <f>IF(ISBLANK(E454),"",VLOOKUP(E454,code!B:C,2,FALSE))</f>
        <v>18</v>
      </c>
      <c r="B454">
        <v>2022</v>
      </c>
      <c r="C454">
        <v>209542</v>
      </c>
      <c r="D454" t="s">
        <v>192</v>
      </c>
      <c r="E454" t="s">
        <v>26</v>
      </c>
      <c r="H454" s="18">
        <v>96083</v>
      </c>
      <c r="L454" s="18">
        <f t="shared" si="20"/>
        <v>0</v>
      </c>
      <c r="M454">
        <f t="shared" si="21"/>
        <v>96083</v>
      </c>
    </row>
    <row r="455" spans="1:13" x14ac:dyDescent="0.2">
      <c r="A455">
        <f>IF(ISBLANK(E455),"",VLOOKUP(E455,code!B:C,2,FALSE))</f>
        <v>21</v>
      </c>
      <c r="B455">
        <v>2022</v>
      </c>
      <c r="C455">
        <v>209542</v>
      </c>
      <c r="D455" t="s">
        <v>192</v>
      </c>
      <c r="E455" t="s">
        <v>30</v>
      </c>
      <c r="L455" s="18">
        <f t="shared" si="20"/>
        <v>0</v>
      </c>
      <c r="M455">
        <f t="shared" si="21"/>
        <v>0</v>
      </c>
    </row>
    <row r="456" spans="1:13" x14ac:dyDescent="0.2">
      <c r="A456">
        <f>IF(ISBLANK(E456),"",VLOOKUP(E456,code!B:C,2,FALSE))</f>
        <v>23</v>
      </c>
      <c r="B456">
        <v>2022</v>
      </c>
      <c r="C456">
        <v>209542</v>
      </c>
      <c r="D456" t="s">
        <v>192</v>
      </c>
      <c r="E456" t="s">
        <v>33</v>
      </c>
      <c r="H456" s="18">
        <v>82711</v>
      </c>
      <c r="L456" s="18">
        <f t="shared" si="20"/>
        <v>0</v>
      </c>
      <c r="M456">
        <f t="shared" si="21"/>
        <v>82711</v>
      </c>
    </row>
    <row r="457" spans="1:13" x14ac:dyDescent="0.2">
      <c r="A457">
        <f>IF(ISBLANK(E457),"",VLOOKUP(E457,code!B:C,2,FALSE))</f>
        <v>1</v>
      </c>
      <c r="B457">
        <v>2023</v>
      </c>
      <c r="C457">
        <v>209542</v>
      </c>
      <c r="D457" t="s">
        <v>192</v>
      </c>
      <c r="E457" t="s">
        <v>9</v>
      </c>
      <c r="F457" s="18">
        <v>196677</v>
      </c>
      <c r="L457" s="18">
        <f t="shared" si="20"/>
        <v>196677</v>
      </c>
      <c r="M457">
        <f t="shared" si="21"/>
        <v>0</v>
      </c>
    </row>
    <row r="458" spans="1:13" x14ac:dyDescent="0.2">
      <c r="A458">
        <f>IF(ISBLANK(E458),"",VLOOKUP(E458,code!B:C,2,FALSE))</f>
        <v>2</v>
      </c>
      <c r="B458">
        <v>2023</v>
      </c>
      <c r="C458">
        <v>209542</v>
      </c>
      <c r="D458" t="s">
        <v>192</v>
      </c>
      <c r="E458" t="s">
        <v>10</v>
      </c>
      <c r="F458" s="18">
        <v>317729</v>
      </c>
      <c r="H458" s="18">
        <v>400064</v>
      </c>
      <c r="L458" s="18">
        <f t="shared" si="20"/>
        <v>317729</v>
      </c>
      <c r="M458">
        <f t="shared" si="21"/>
        <v>400064</v>
      </c>
    </row>
    <row r="459" spans="1:13" x14ac:dyDescent="0.2">
      <c r="A459">
        <f>IF(ISBLANK(E459),"",VLOOKUP(E459,code!B:C,2,FALSE))</f>
        <v>8</v>
      </c>
      <c r="B459">
        <v>2023</v>
      </c>
      <c r="C459">
        <v>209542</v>
      </c>
      <c r="D459" t="s">
        <v>192</v>
      </c>
      <c r="E459" t="s">
        <v>16</v>
      </c>
      <c r="F459" s="18">
        <v>2228694</v>
      </c>
      <c r="L459" s="18">
        <f t="shared" si="20"/>
        <v>2228694</v>
      </c>
      <c r="M459">
        <f t="shared" si="21"/>
        <v>0</v>
      </c>
    </row>
    <row r="460" spans="1:13" x14ac:dyDescent="0.2">
      <c r="A460">
        <f>IF(ISBLANK(E460),"",VLOOKUP(E460,code!B:C,2,FALSE))</f>
        <v>25</v>
      </c>
      <c r="B460">
        <v>2023</v>
      </c>
      <c r="C460">
        <v>209542</v>
      </c>
      <c r="D460" t="s">
        <v>192</v>
      </c>
      <c r="E460" t="s">
        <v>35</v>
      </c>
      <c r="F460" s="18">
        <v>87408</v>
      </c>
      <c r="L460" s="18">
        <f t="shared" si="20"/>
        <v>87408</v>
      </c>
      <c r="M460">
        <f t="shared" si="21"/>
        <v>0</v>
      </c>
    </row>
    <row r="461" spans="1:13" x14ac:dyDescent="0.2">
      <c r="A461">
        <f>IF(ISBLANK(E461),"",VLOOKUP(E461,code!B:C,2,FALSE))</f>
        <v>9</v>
      </c>
      <c r="B461">
        <v>2023</v>
      </c>
      <c r="C461">
        <v>209542</v>
      </c>
      <c r="D461" t="s">
        <v>192</v>
      </c>
      <c r="E461" t="s">
        <v>17</v>
      </c>
      <c r="L461" s="18">
        <f t="shared" si="20"/>
        <v>0</v>
      </c>
      <c r="M461">
        <f t="shared" si="21"/>
        <v>0</v>
      </c>
    </row>
    <row r="462" spans="1:13" x14ac:dyDescent="0.2">
      <c r="A462">
        <f>IF(ISBLANK(E462),"",VLOOKUP(E462,code!B:C,2,FALSE))</f>
        <v>10</v>
      </c>
      <c r="B462">
        <v>2023</v>
      </c>
      <c r="C462">
        <v>209542</v>
      </c>
      <c r="D462" t="s">
        <v>192</v>
      </c>
      <c r="E462" t="s">
        <v>18</v>
      </c>
      <c r="H462" s="18">
        <v>106478</v>
      </c>
      <c r="L462" s="18">
        <f t="shared" si="20"/>
        <v>0</v>
      </c>
      <c r="M462">
        <f t="shared" si="21"/>
        <v>106478</v>
      </c>
    </row>
    <row r="463" spans="1:13" x14ac:dyDescent="0.2">
      <c r="A463">
        <f>IF(ISBLANK(E463),"",VLOOKUP(E463,code!B:C,2,FALSE))</f>
        <v>14</v>
      </c>
      <c r="B463">
        <v>2023</v>
      </c>
      <c r="C463">
        <v>209542</v>
      </c>
      <c r="D463" t="s">
        <v>192</v>
      </c>
      <c r="E463" t="s">
        <v>22</v>
      </c>
      <c r="H463" s="18">
        <v>116762</v>
      </c>
      <c r="L463" s="18">
        <f t="shared" si="20"/>
        <v>0</v>
      </c>
      <c r="M463">
        <f t="shared" si="21"/>
        <v>116762</v>
      </c>
    </row>
    <row r="464" spans="1:13" x14ac:dyDescent="0.2">
      <c r="A464">
        <f>IF(ISBLANK(E464),"",VLOOKUP(E464,code!B:C,2,FALSE))</f>
        <v>17</v>
      </c>
      <c r="B464">
        <v>2023</v>
      </c>
      <c r="C464">
        <v>209542</v>
      </c>
      <c r="D464" t="s">
        <v>192</v>
      </c>
      <c r="E464" t="s">
        <v>25</v>
      </c>
      <c r="L464" s="18">
        <f t="shared" si="20"/>
        <v>0</v>
      </c>
      <c r="M464">
        <f t="shared" si="21"/>
        <v>0</v>
      </c>
    </row>
    <row r="465" spans="1:13" x14ac:dyDescent="0.2">
      <c r="A465">
        <f>IF(ISBLANK(E465),"",VLOOKUP(E465,code!B:C,2,FALSE))</f>
        <v>18</v>
      </c>
      <c r="B465">
        <v>2023</v>
      </c>
      <c r="C465">
        <v>209542</v>
      </c>
      <c r="D465" t="s">
        <v>192</v>
      </c>
      <c r="E465" t="s">
        <v>26</v>
      </c>
      <c r="H465" s="18">
        <v>147620</v>
      </c>
      <c r="L465" s="18">
        <f t="shared" si="20"/>
        <v>0</v>
      </c>
      <c r="M465">
        <f t="shared" si="21"/>
        <v>147620</v>
      </c>
    </row>
    <row r="466" spans="1:13" x14ac:dyDescent="0.2">
      <c r="A466">
        <f>IF(ISBLANK(E466),"",VLOOKUP(E466,code!B:C,2,FALSE))</f>
        <v>21</v>
      </c>
      <c r="B466">
        <v>2023</v>
      </c>
      <c r="C466">
        <v>209542</v>
      </c>
      <c r="D466" t="s">
        <v>192</v>
      </c>
      <c r="E466" t="s">
        <v>31</v>
      </c>
      <c r="L466" s="18">
        <f t="shared" si="20"/>
        <v>0</v>
      </c>
      <c r="M466">
        <f t="shared" si="21"/>
        <v>0</v>
      </c>
    </row>
    <row r="467" spans="1:13" x14ac:dyDescent="0.2">
      <c r="A467">
        <f>IF(ISBLANK(E467),"",VLOOKUP(E467,code!B:C,2,FALSE))</f>
        <v>23</v>
      </c>
      <c r="B467">
        <v>2023</v>
      </c>
      <c r="C467">
        <v>209542</v>
      </c>
      <c r="D467" t="s">
        <v>192</v>
      </c>
      <c r="E467" t="s">
        <v>33</v>
      </c>
      <c r="H467" s="18">
        <v>91235</v>
      </c>
      <c r="L467" s="18">
        <f t="shared" si="20"/>
        <v>0</v>
      </c>
      <c r="M467">
        <f t="shared" si="21"/>
        <v>91235</v>
      </c>
    </row>
    <row r="468" spans="1:13" x14ac:dyDescent="0.2">
      <c r="A468">
        <f>IF(ISBLANK(E468),"",VLOOKUP(E468,code!B:C,2,FALSE))</f>
        <v>2</v>
      </c>
      <c r="B468">
        <v>2017</v>
      </c>
      <c r="C468">
        <v>209807</v>
      </c>
      <c r="D468" t="s">
        <v>194</v>
      </c>
      <c r="E468" t="s">
        <v>10</v>
      </c>
      <c r="L468" s="18">
        <f t="shared" si="20"/>
        <v>0</v>
      </c>
      <c r="M468">
        <f t="shared" si="21"/>
        <v>0</v>
      </c>
    </row>
    <row r="469" spans="1:13" x14ac:dyDescent="0.2">
      <c r="A469">
        <f>IF(ISBLANK(E469),"",VLOOKUP(E469,code!B:C,2,FALSE))</f>
        <v>8</v>
      </c>
      <c r="B469">
        <v>2017</v>
      </c>
      <c r="C469">
        <v>209807</v>
      </c>
      <c r="D469" t="s">
        <v>194</v>
      </c>
      <c r="E469" t="s">
        <v>16</v>
      </c>
      <c r="L469" s="18">
        <f t="shared" si="20"/>
        <v>0</v>
      </c>
      <c r="M469">
        <f t="shared" si="21"/>
        <v>0</v>
      </c>
    </row>
    <row r="470" spans="1:13" x14ac:dyDescent="0.2">
      <c r="A470">
        <f>IF(ISBLANK(E470),"",VLOOKUP(E470,code!B:C,2,FALSE))</f>
        <v>20</v>
      </c>
      <c r="B470">
        <v>2017</v>
      </c>
      <c r="C470">
        <v>209807</v>
      </c>
      <c r="D470" t="s">
        <v>194</v>
      </c>
      <c r="E470" t="s">
        <v>28</v>
      </c>
      <c r="L470" s="18">
        <f t="shared" si="20"/>
        <v>0</v>
      </c>
      <c r="M470">
        <f t="shared" si="21"/>
        <v>0</v>
      </c>
    </row>
    <row r="471" spans="1:13" x14ac:dyDescent="0.2">
      <c r="A471">
        <f>IF(ISBLANK(E471),"",VLOOKUP(E471,code!B:C,2,FALSE))</f>
        <v>21</v>
      </c>
      <c r="B471">
        <v>2017</v>
      </c>
      <c r="C471">
        <v>209807</v>
      </c>
      <c r="D471" t="s">
        <v>194</v>
      </c>
      <c r="E471" t="s">
        <v>30</v>
      </c>
      <c r="L471" s="18">
        <f t="shared" si="20"/>
        <v>0</v>
      </c>
      <c r="M471">
        <f t="shared" si="21"/>
        <v>0</v>
      </c>
    </row>
    <row r="472" spans="1:13" x14ac:dyDescent="0.2">
      <c r="A472">
        <f>IF(ISBLANK(E472),"",VLOOKUP(E472,code!B:C,2,FALSE))</f>
        <v>2</v>
      </c>
      <c r="B472">
        <v>2017</v>
      </c>
      <c r="C472">
        <v>209807</v>
      </c>
      <c r="D472" t="s">
        <v>194</v>
      </c>
      <c r="E472" t="s">
        <v>10</v>
      </c>
      <c r="L472" s="18">
        <f t="shared" si="20"/>
        <v>0</v>
      </c>
      <c r="M472">
        <f t="shared" si="21"/>
        <v>0</v>
      </c>
    </row>
    <row r="473" spans="1:13" x14ac:dyDescent="0.2">
      <c r="A473">
        <f>IF(ISBLANK(E473),"",VLOOKUP(E473,code!B:C,2,FALSE))</f>
        <v>9</v>
      </c>
      <c r="B473">
        <v>2017</v>
      </c>
      <c r="C473">
        <v>209807</v>
      </c>
      <c r="D473" t="s">
        <v>194</v>
      </c>
      <c r="E473" t="s">
        <v>17</v>
      </c>
      <c r="L473" s="18">
        <f t="shared" si="20"/>
        <v>0</v>
      </c>
      <c r="M473">
        <f t="shared" si="21"/>
        <v>0</v>
      </c>
    </row>
    <row r="474" spans="1:13" x14ac:dyDescent="0.2">
      <c r="A474">
        <f>IF(ISBLANK(E474),"",VLOOKUP(E474,code!B:C,2,FALSE))</f>
        <v>17</v>
      </c>
      <c r="B474">
        <v>2017</v>
      </c>
      <c r="C474">
        <v>209807</v>
      </c>
      <c r="D474" t="s">
        <v>194</v>
      </c>
      <c r="E474" t="s">
        <v>25</v>
      </c>
      <c r="L474" s="18">
        <f t="shared" si="20"/>
        <v>0</v>
      </c>
      <c r="M474">
        <f t="shared" si="21"/>
        <v>0</v>
      </c>
    </row>
    <row r="475" spans="1:13" x14ac:dyDescent="0.2">
      <c r="A475">
        <f>IF(ISBLANK(E475),"",VLOOKUP(E475,code!B:C,2,FALSE))</f>
        <v>18</v>
      </c>
      <c r="B475">
        <v>2017</v>
      </c>
      <c r="C475">
        <v>209807</v>
      </c>
      <c r="D475" t="s">
        <v>194</v>
      </c>
      <c r="E475" t="s">
        <v>26</v>
      </c>
      <c r="L475" s="18">
        <f t="shared" si="20"/>
        <v>0</v>
      </c>
      <c r="M475">
        <f t="shared" si="21"/>
        <v>0</v>
      </c>
    </row>
    <row r="476" spans="1:13" x14ac:dyDescent="0.2">
      <c r="A476">
        <f>IF(ISBLANK(E476),"",VLOOKUP(E476,code!B:C,2,FALSE))</f>
        <v>20</v>
      </c>
      <c r="B476">
        <v>2017</v>
      </c>
      <c r="C476">
        <v>209807</v>
      </c>
      <c r="D476" t="s">
        <v>194</v>
      </c>
      <c r="E476" t="s">
        <v>28</v>
      </c>
      <c r="L476" s="18">
        <f t="shared" si="20"/>
        <v>0</v>
      </c>
      <c r="M476">
        <f t="shared" si="21"/>
        <v>0</v>
      </c>
    </row>
    <row r="477" spans="1:13" x14ac:dyDescent="0.2">
      <c r="A477">
        <f>IF(ISBLANK(E477),"",VLOOKUP(E477,code!B:C,2,FALSE))</f>
        <v>21</v>
      </c>
      <c r="B477">
        <v>2017</v>
      </c>
      <c r="C477">
        <v>209807</v>
      </c>
      <c r="D477" t="s">
        <v>194</v>
      </c>
      <c r="E477" t="s">
        <v>30</v>
      </c>
      <c r="L477" s="18">
        <f t="shared" si="20"/>
        <v>0</v>
      </c>
      <c r="M477">
        <f t="shared" si="21"/>
        <v>0</v>
      </c>
    </row>
    <row r="478" spans="1:13" x14ac:dyDescent="0.2">
      <c r="A478">
        <f>IF(ISBLANK(E478),"",VLOOKUP(E478,code!B:C,2,FALSE))</f>
        <v>23</v>
      </c>
      <c r="B478">
        <v>2017</v>
      </c>
      <c r="C478">
        <v>209807</v>
      </c>
      <c r="D478" t="s">
        <v>194</v>
      </c>
      <c r="E478" t="s">
        <v>33</v>
      </c>
      <c r="L478" s="18">
        <f t="shared" si="20"/>
        <v>0</v>
      </c>
      <c r="M478">
        <f t="shared" si="21"/>
        <v>0</v>
      </c>
    </row>
    <row r="479" spans="1:13" x14ac:dyDescent="0.2">
      <c r="A479">
        <f>IF(ISBLANK(E479),"",VLOOKUP(E479,code!B:C,2,FALSE))</f>
        <v>2</v>
      </c>
      <c r="B479">
        <v>2018</v>
      </c>
      <c r="C479">
        <v>209807</v>
      </c>
      <c r="D479" t="s">
        <v>194</v>
      </c>
      <c r="E479" t="s">
        <v>10</v>
      </c>
      <c r="L479" s="18">
        <f t="shared" si="20"/>
        <v>0</v>
      </c>
      <c r="M479">
        <f t="shared" si="21"/>
        <v>0</v>
      </c>
    </row>
    <row r="480" spans="1:13" x14ac:dyDescent="0.2">
      <c r="A480">
        <f>IF(ISBLANK(E480),"",VLOOKUP(E480,code!B:C,2,FALSE))</f>
        <v>8</v>
      </c>
      <c r="B480">
        <v>2018</v>
      </c>
      <c r="C480">
        <v>209807</v>
      </c>
      <c r="D480" t="s">
        <v>194</v>
      </c>
      <c r="E480" t="s">
        <v>16</v>
      </c>
      <c r="L480" s="18">
        <f t="shared" si="20"/>
        <v>0</v>
      </c>
      <c r="M480">
        <f t="shared" si="21"/>
        <v>0</v>
      </c>
    </row>
    <row r="481" spans="1:13" x14ac:dyDescent="0.2">
      <c r="A481">
        <f>IF(ISBLANK(E481),"",VLOOKUP(E481,code!B:C,2,FALSE))</f>
        <v>20</v>
      </c>
      <c r="B481">
        <v>2018</v>
      </c>
      <c r="C481">
        <v>209807</v>
      </c>
      <c r="D481" t="s">
        <v>194</v>
      </c>
      <c r="E481" t="s">
        <v>28</v>
      </c>
      <c r="L481" s="18">
        <f t="shared" si="20"/>
        <v>0</v>
      </c>
      <c r="M481">
        <f t="shared" si="21"/>
        <v>0</v>
      </c>
    </row>
    <row r="482" spans="1:13" x14ac:dyDescent="0.2">
      <c r="A482">
        <f>IF(ISBLANK(E482),"",VLOOKUP(E482,code!B:C,2,FALSE))</f>
        <v>21</v>
      </c>
      <c r="B482">
        <v>2018</v>
      </c>
      <c r="C482">
        <v>209807</v>
      </c>
      <c r="D482" t="s">
        <v>194</v>
      </c>
      <c r="E482" t="s">
        <v>30</v>
      </c>
      <c r="L482" s="18">
        <f t="shared" si="20"/>
        <v>0</v>
      </c>
      <c r="M482">
        <f t="shared" si="21"/>
        <v>0</v>
      </c>
    </row>
    <row r="483" spans="1:13" x14ac:dyDescent="0.2">
      <c r="A483">
        <f>IF(ISBLANK(E483),"",VLOOKUP(E483,code!B:C,2,FALSE))</f>
        <v>2</v>
      </c>
      <c r="B483">
        <v>2018</v>
      </c>
      <c r="C483">
        <v>209807</v>
      </c>
      <c r="D483" t="s">
        <v>194</v>
      </c>
      <c r="E483" t="s">
        <v>10</v>
      </c>
      <c r="L483" s="18">
        <f t="shared" si="20"/>
        <v>0</v>
      </c>
      <c r="M483">
        <f t="shared" si="21"/>
        <v>0</v>
      </c>
    </row>
    <row r="484" spans="1:13" x14ac:dyDescent="0.2">
      <c r="A484">
        <f>IF(ISBLANK(E484),"",VLOOKUP(E484,code!B:C,2,FALSE))</f>
        <v>9</v>
      </c>
      <c r="B484">
        <v>2018</v>
      </c>
      <c r="C484">
        <v>209807</v>
      </c>
      <c r="D484" t="s">
        <v>194</v>
      </c>
      <c r="E484" t="s">
        <v>17</v>
      </c>
      <c r="L484" s="18">
        <f t="shared" si="20"/>
        <v>0</v>
      </c>
      <c r="M484">
        <f t="shared" si="21"/>
        <v>0</v>
      </c>
    </row>
    <row r="485" spans="1:13" x14ac:dyDescent="0.2">
      <c r="A485">
        <f>IF(ISBLANK(E485),"",VLOOKUP(E485,code!B:C,2,FALSE))</f>
        <v>17</v>
      </c>
      <c r="B485">
        <v>2018</v>
      </c>
      <c r="C485">
        <v>209807</v>
      </c>
      <c r="D485" t="s">
        <v>194</v>
      </c>
      <c r="E485" t="s">
        <v>25</v>
      </c>
      <c r="L485" s="18">
        <f t="shared" si="20"/>
        <v>0</v>
      </c>
      <c r="M485">
        <f t="shared" si="21"/>
        <v>0</v>
      </c>
    </row>
    <row r="486" spans="1:13" x14ac:dyDescent="0.2">
      <c r="A486">
        <f>IF(ISBLANK(E486),"",VLOOKUP(E486,code!B:C,2,FALSE))</f>
        <v>18</v>
      </c>
      <c r="B486">
        <v>2018</v>
      </c>
      <c r="C486">
        <v>209807</v>
      </c>
      <c r="D486" t="s">
        <v>194</v>
      </c>
      <c r="E486" t="s">
        <v>26</v>
      </c>
      <c r="L486" s="18">
        <f t="shared" si="20"/>
        <v>0</v>
      </c>
      <c r="M486">
        <f t="shared" si="21"/>
        <v>0</v>
      </c>
    </row>
    <row r="487" spans="1:13" x14ac:dyDescent="0.2">
      <c r="A487">
        <f>IF(ISBLANK(E487),"",VLOOKUP(E487,code!B:C,2,FALSE))</f>
        <v>20</v>
      </c>
      <c r="B487">
        <v>2018</v>
      </c>
      <c r="C487">
        <v>209807</v>
      </c>
      <c r="D487" t="s">
        <v>194</v>
      </c>
      <c r="E487" t="s">
        <v>28</v>
      </c>
      <c r="L487" s="18">
        <f t="shared" si="20"/>
        <v>0</v>
      </c>
      <c r="M487">
        <f t="shared" si="21"/>
        <v>0</v>
      </c>
    </row>
    <row r="488" spans="1:13" x14ac:dyDescent="0.2">
      <c r="A488">
        <f>IF(ISBLANK(E488),"",VLOOKUP(E488,code!B:C,2,FALSE))</f>
        <v>21</v>
      </c>
      <c r="B488">
        <v>2018</v>
      </c>
      <c r="C488">
        <v>209807</v>
      </c>
      <c r="D488" t="s">
        <v>194</v>
      </c>
      <c r="E488" t="s">
        <v>30</v>
      </c>
      <c r="L488" s="18">
        <f t="shared" si="20"/>
        <v>0</v>
      </c>
      <c r="M488">
        <f t="shared" si="21"/>
        <v>0</v>
      </c>
    </row>
    <row r="489" spans="1:13" x14ac:dyDescent="0.2">
      <c r="A489">
        <f>IF(ISBLANK(E489),"",VLOOKUP(E489,code!B:C,2,FALSE))</f>
        <v>23</v>
      </c>
      <c r="B489">
        <v>2018</v>
      </c>
      <c r="C489">
        <v>209807</v>
      </c>
      <c r="D489" t="s">
        <v>194</v>
      </c>
      <c r="E489" t="s">
        <v>33</v>
      </c>
      <c r="L489" s="18">
        <f t="shared" si="20"/>
        <v>0</v>
      </c>
      <c r="M489">
        <f t="shared" si="21"/>
        <v>0</v>
      </c>
    </row>
    <row r="490" spans="1:13" x14ac:dyDescent="0.2">
      <c r="A490">
        <f>IF(ISBLANK(E490),"",VLOOKUP(E490,code!B:C,2,FALSE))</f>
        <v>2</v>
      </c>
      <c r="B490">
        <v>2019</v>
      </c>
      <c r="C490">
        <v>209807</v>
      </c>
      <c r="D490" t="s">
        <v>194</v>
      </c>
      <c r="E490" t="s">
        <v>10</v>
      </c>
      <c r="L490" s="18">
        <f t="shared" si="20"/>
        <v>0</v>
      </c>
      <c r="M490">
        <f t="shared" si="21"/>
        <v>0</v>
      </c>
    </row>
    <row r="491" spans="1:13" x14ac:dyDescent="0.2">
      <c r="A491">
        <f>IF(ISBLANK(E491),"",VLOOKUP(E491,code!B:C,2,FALSE))</f>
        <v>8</v>
      </c>
      <c r="B491">
        <v>2019</v>
      </c>
      <c r="C491">
        <v>209807</v>
      </c>
      <c r="D491" t="s">
        <v>194</v>
      </c>
      <c r="E491" t="s">
        <v>16</v>
      </c>
      <c r="L491" s="18">
        <f t="shared" si="20"/>
        <v>0</v>
      </c>
      <c r="M491">
        <f t="shared" si="21"/>
        <v>0</v>
      </c>
    </row>
    <row r="492" spans="1:13" x14ac:dyDescent="0.2">
      <c r="A492">
        <f>IF(ISBLANK(E492),"",VLOOKUP(E492,code!B:C,2,FALSE))</f>
        <v>20</v>
      </c>
      <c r="B492">
        <v>2019</v>
      </c>
      <c r="C492">
        <v>209807</v>
      </c>
      <c r="D492" t="s">
        <v>194</v>
      </c>
      <c r="E492" t="s">
        <v>28</v>
      </c>
      <c r="L492" s="18">
        <f t="shared" si="20"/>
        <v>0</v>
      </c>
      <c r="M492">
        <f t="shared" si="21"/>
        <v>0</v>
      </c>
    </row>
    <row r="493" spans="1:13" x14ac:dyDescent="0.2">
      <c r="A493">
        <f>IF(ISBLANK(E493),"",VLOOKUP(E493,code!B:C,2,FALSE))</f>
        <v>21</v>
      </c>
      <c r="B493">
        <v>2019</v>
      </c>
      <c r="C493">
        <v>209807</v>
      </c>
      <c r="D493" t="s">
        <v>194</v>
      </c>
      <c r="E493" t="s">
        <v>30</v>
      </c>
      <c r="L493" s="18">
        <f t="shared" si="20"/>
        <v>0</v>
      </c>
      <c r="M493">
        <f t="shared" si="21"/>
        <v>0</v>
      </c>
    </row>
    <row r="494" spans="1:13" x14ac:dyDescent="0.2">
      <c r="A494">
        <f>IF(ISBLANK(E494),"",VLOOKUP(E494,code!B:C,2,FALSE))</f>
        <v>2</v>
      </c>
      <c r="B494">
        <v>2019</v>
      </c>
      <c r="C494">
        <v>209807</v>
      </c>
      <c r="D494" t="s">
        <v>194</v>
      </c>
      <c r="E494" t="s">
        <v>10</v>
      </c>
      <c r="L494" s="18">
        <f t="shared" si="20"/>
        <v>0</v>
      </c>
      <c r="M494">
        <f t="shared" si="21"/>
        <v>0</v>
      </c>
    </row>
    <row r="495" spans="1:13" x14ac:dyDescent="0.2">
      <c r="A495">
        <f>IF(ISBLANK(E495),"",VLOOKUP(E495,code!B:C,2,FALSE))</f>
        <v>9</v>
      </c>
      <c r="B495">
        <v>2019</v>
      </c>
      <c r="C495">
        <v>209807</v>
      </c>
      <c r="D495" t="s">
        <v>194</v>
      </c>
      <c r="E495" t="s">
        <v>17</v>
      </c>
      <c r="L495" s="18">
        <f t="shared" si="20"/>
        <v>0</v>
      </c>
      <c r="M495">
        <f t="shared" si="21"/>
        <v>0</v>
      </c>
    </row>
    <row r="496" spans="1:13" x14ac:dyDescent="0.2">
      <c r="A496">
        <f>IF(ISBLANK(E496),"",VLOOKUP(E496,code!B:C,2,FALSE))</f>
        <v>17</v>
      </c>
      <c r="B496">
        <v>2019</v>
      </c>
      <c r="C496">
        <v>209807</v>
      </c>
      <c r="D496" t="s">
        <v>194</v>
      </c>
      <c r="E496" t="s">
        <v>25</v>
      </c>
      <c r="L496" s="18">
        <f t="shared" ref="L496:L547" si="22">SUM(F496:G496)</f>
        <v>0</v>
      </c>
      <c r="M496">
        <f t="shared" ref="M496:M547" si="23">SUM(H496:I496)</f>
        <v>0</v>
      </c>
    </row>
    <row r="497" spans="1:13" x14ac:dyDescent="0.2">
      <c r="A497">
        <f>IF(ISBLANK(E497),"",VLOOKUP(E497,code!B:C,2,FALSE))</f>
        <v>18</v>
      </c>
      <c r="B497">
        <v>2019</v>
      </c>
      <c r="C497">
        <v>209807</v>
      </c>
      <c r="D497" t="s">
        <v>194</v>
      </c>
      <c r="E497" t="s">
        <v>26</v>
      </c>
      <c r="L497" s="18">
        <f t="shared" si="22"/>
        <v>0</v>
      </c>
      <c r="M497">
        <f t="shared" si="23"/>
        <v>0</v>
      </c>
    </row>
    <row r="498" spans="1:13" x14ac:dyDescent="0.2">
      <c r="A498">
        <f>IF(ISBLANK(E498),"",VLOOKUP(E498,code!B:C,2,FALSE))</f>
        <v>20</v>
      </c>
      <c r="B498">
        <v>2019</v>
      </c>
      <c r="C498">
        <v>209807</v>
      </c>
      <c r="D498" t="s">
        <v>194</v>
      </c>
      <c r="E498" t="s">
        <v>28</v>
      </c>
      <c r="L498" s="18">
        <f t="shared" si="22"/>
        <v>0</v>
      </c>
      <c r="M498">
        <f t="shared" si="23"/>
        <v>0</v>
      </c>
    </row>
    <row r="499" spans="1:13" x14ac:dyDescent="0.2">
      <c r="A499">
        <f>IF(ISBLANK(E499),"",VLOOKUP(E499,code!B:C,2,FALSE))</f>
        <v>21</v>
      </c>
      <c r="B499">
        <v>2019</v>
      </c>
      <c r="C499">
        <v>209807</v>
      </c>
      <c r="D499" t="s">
        <v>194</v>
      </c>
      <c r="E499" t="s">
        <v>30</v>
      </c>
      <c r="L499" s="18">
        <f t="shared" si="22"/>
        <v>0</v>
      </c>
      <c r="M499">
        <f t="shared" si="23"/>
        <v>0</v>
      </c>
    </row>
    <row r="500" spans="1:13" x14ac:dyDescent="0.2">
      <c r="A500">
        <f>IF(ISBLANK(E500),"",VLOOKUP(E500,code!B:C,2,FALSE))</f>
        <v>23</v>
      </c>
      <c r="B500">
        <v>2019</v>
      </c>
      <c r="C500">
        <v>209807</v>
      </c>
      <c r="D500" t="s">
        <v>194</v>
      </c>
      <c r="E500" t="s">
        <v>33</v>
      </c>
      <c r="L500" s="18">
        <f t="shared" si="22"/>
        <v>0</v>
      </c>
      <c r="M500">
        <f t="shared" si="23"/>
        <v>0</v>
      </c>
    </row>
    <row r="501" spans="1:13" x14ac:dyDescent="0.2">
      <c r="A501">
        <f>IF(ISBLANK(E501),"",VLOOKUP(E501,code!B:C,2,FALSE))</f>
        <v>2</v>
      </c>
      <c r="B501">
        <v>2020</v>
      </c>
      <c r="C501">
        <v>209807</v>
      </c>
      <c r="D501" t="s">
        <v>194</v>
      </c>
      <c r="E501" t="s">
        <v>10</v>
      </c>
      <c r="F501" s="18">
        <v>5028</v>
      </c>
      <c r="H501" s="18">
        <v>16881</v>
      </c>
      <c r="L501" s="18">
        <f t="shared" si="22"/>
        <v>5028</v>
      </c>
      <c r="M501">
        <f t="shared" si="23"/>
        <v>16881</v>
      </c>
    </row>
    <row r="502" spans="1:13" x14ac:dyDescent="0.2">
      <c r="A502">
        <f>IF(ISBLANK(E502),"",VLOOKUP(E502,code!B:C,2,FALSE))</f>
        <v>8</v>
      </c>
      <c r="B502">
        <v>2020</v>
      </c>
      <c r="C502">
        <v>209807</v>
      </c>
      <c r="D502" t="s">
        <v>194</v>
      </c>
      <c r="E502" t="s">
        <v>16</v>
      </c>
      <c r="F502" s="18">
        <v>22411</v>
      </c>
      <c r="L502" s="18">
        <f t="shared" si="22"/>
        <v>22411</v>
      </c>
      <c r="M502">
        <f t="shared" si="23"/>
        <v>0</v>
      </c>
    </row>
    <row r="503" spans="1:13" x14ac:dyDescent="0.2">
      <c r="A503">
        <f>IF(ISBLANK(E503),"",VLOOKUP(E503,code!B:C,2,FALSE))</f>
        <v>20</v>
      </c>
      <c r="B503">
        <v>2020</v>
      </c>
      <c r="C503">
        <v>209807</v>
      </c>
      <c r="D503" t="s">
        <v>194</v>
      </c>
      <c r="E503" t="s">
        <v>28</v>
      </c>
      <c r="L503" s="18">
        <f t="shared" si="22"/>
        <v>0</v>
      </c>
      <c r="M503">
        <f t="shared" si="23"/>
        <v>0</v>
      </c>
    </row>
    <row r="504" spans="1:13" x14ac:dyDescent="0.2">
      <c r="A504">
        <f>IF(ISBLANK(E504),"",VLOOKUP(E504,code!B:C,2,FALSE))</f>
        <v>21</v>
      </c>
      <c r="B504">
        <v>2020</v>
      </c>
      <c r="C504">
        <v>209807</v>
      </c>
      <c r="D504" t="s">
        <v>194</v>
      </c>
      <c r="E504" t="s">
        <v>30</v>
      </c>
      <c r="L504" s="18">
        <f t="shared" si="22"/>
        <v>0</v>
      </c>
      <c r="M504">
        <f t="shared" si="23"/>
        <v>0</v>
      </c>
    </row>
    <row r="505" spans="1:13" x14ac:dyDescent="0.2">
      <c r="A505">
        <f>IF(ISBLANK(E505),"",VLOOKUP(E505,code!B:C,2,FALSE))</f>
        <v>9</v>
      </c>
      <c r="B505">
        <v>2020</v>
      </c>
      <c r="C505">
        <v>209807</v>
      </c>
      <c r="D505" t="s">
        <v>194</v>
      </c>
      <c r="E505" t="s">
        <v>17</v>
      </c>
      <c r="L505" s="18">
        <f t="shared" si="22"/>
        <v>0</v>
      </c>
      <c r="M505">
        <f t="shared" si="23"/>
        <v>0</v>
      </c>
    </row>
    <row r="506" spans="1:13" x14ac:dyDescent="0.2">
      <c r="A506">
        <f>IF(ISBLANK(E506),"",VLOOKUP(E506,code!B:C,2,FALSE))</f>
        <v>17</v>
      </c>
      <c r="B506">
        <v>2020</v>
      </c>
      <c r="C506">
        <v>209807</v>
      </c>
      <c r="D506" t="s">
        <v>194</v>
      </c>
      <c r="E506" t="s">
        <v>25</v>
      </c>
      <c r="L506" s="18">
        <f t="shared" si="22"/>
        <v>0</v>
      </c>
      <c r="M506">
        <f t="shared" si="23"/>
        <v>0</v>
      </c>
    </row>
    <row r="507" spans="1:13" x14ac:dyDescent="0.2">
      <c r="A507">
        <f>IF(ISBLANK(E507),"",VLOOKUP(E507,code!B:C,2,FALSE))</f>
        <v>18</v>
      </c>
      <c r="B507">
        <v>2020</v>
      </c>
      <c r="C507">
        <v>209807</v>
      </c>
      <c r="D507" t="s">
        <v>194</v>
      </c>
      <c r="E507" t="s">
        <v>26</v>
      </c>
      <c r="L507" s="18">
        <f t="shared" si="22"/>
        <v>0</v>
      </c>
      <c r="M507">
        <f t="shared" si="23"/>
        <v>0</v>
      </c>
    </row>
    <row r="508" spans="1:13" x14ac:dyDescent="0.2">
      <c r="A508">
        <f>IF(ISBLANK(E508),"",VLOOKUP(E508,code!B:C,2,FALSE))</f>
        <v>20</v>
      </c>
      <c r="B508">
        <v>2020</v>
      </c>
      <c r="C508">
        <v>209807</v>
      </c>
      <c r="D508" t="s">
        <v>194</v>
      </c>
      <c r="E508" t="s">
        <v>28</v>
      </c>
      <c r="L508" s="18">
        <f t="shared" si="22"/>
        <v>0</v>
      </c>
      <c r="M508">
        <f t="shared" si="23"/>
        <v>0</v>
      </c>
    </row>
    <row r="509" spans="1:13" x14ac:dyDescent="0.2">
      <c r="A509">
        <f>IF(ISBLANK(E509),"",VLOOKUP(E509,code!B:C,2,FALSE))</f>
        <v>21</v>
      </c>
      <c r="B509">
        <v>2020</v>
      </c>
      <c r="C509">
        <v>209807</v>
      </c>
      <c r="D509" t="s">
        <v>194</v>
      </c>
      <c r="E509" t="s">
        <v>30</v>
      </c>
      <c r="L509" s="18">
        <f t="shared" si="22"/>
        <v>0</v>
      </c>
      <c r="M509">
        <f t="shared" si="23"/>
        <v>0</v>
      </c>
    </row>
    <row r="510" spans="1:13" x14ac:dyDescent="0.2">
      <c r="A510">
        <f>IF(ISBLANK(E510),"",VLOOKUP(E510,code!B:C,2,FALSE))</f>
        <v>23</v>
      </c>
      <c r="B510">
        <v>2020</v>
      </c>
      <c r="C510">
        <v>209807</v>
      </c>
      <c r="D510" t="s">
        <v>194</v>
      </c>
      <c r="E510" t="s">
        <v>33</v>
      </c>
      <c r="L510" s="18">
        <f t="shared" si="22"/>
        <v>0</v>
      </c>
      <c r="M510">
        <f t="shared" si="23"/>
        <v>0</v>
      </c>
    </row>
    <row r="511" spans="1:13" x14ac:dyDescent="0.2">
      <c r="A511">
        <f>IF(ISBLANK(E511),"",VLOOKUP(E511,code!B:C,2,FALSE))</f>
        <v>2</v>
      </c>
      <c r="B511">
        <v>2021</v>
      </c>
      <c r="C511">
        <v>209807</v>
      </c>
      <c r="D511" t="s">
        <v>194</v>
      </c>
      <c r="E511" t="s">
        <v>10</v>
      </c>
      <c r="F511" s="18">
        <v>1131</v>
      </c>
      <c r="H511" s="18">
        <v>11824</v>
      </c>
      <c r="L511" s="18">
        <f t="shared" si="22"/>
        <v>1131</v>
      </c>
      <c r="M511">
        <f t="shared" si="23"/>
        <v>11824</v>
      </c>
    </row>
    <row r="512" spans="1:13" x14ac:dyDescent="0.2">
      <c r="A512">
        <f>IF(ISBLANK(E512),"",VLOOKUP(E512,code!B:C,2,FALSE))</f>
        <v>8</v>
      </c>
      <c r="B512">
        <v>2021</v>
      </c>
      <c r="C512">
        <v>209807</v>
      </c>
      <c r="D512" t="s">
        <v>194</v>
      </c>
      <c r="E512" t="s">
        <v>16</v>
      </c>
      <c r="F512">
        <v>106</v>
      </c>
      <c r="L512" s="18">
        <f t="shared" si="22"/>
        <v>106</v>
      </c>
      <c r="M512">
        <f t="shared" si="23"/>
        <v>0</v>
      </c>
    </row>
    <row r="513" spans="1:13" x14ac:dyDescent="0.2">
      <c r="A513">
        <f>IF(ISBLANK(E513),"",VLOOKUP(E513,code!B:C,2,FALSE))</f>
        <v>20</v>
      </c>
      <c r="B513">
        <v>2021</v>
      </c>
      <c r="C513">
        <v>209807</v>
      </c>
      <c r="D513" t="s">
        <v>194</v>
      </c>
      <c r="E513" t="s">
        <v>28</v>
      </c>
      <c r="L513" s="18">
        <f t="shared" si="22"/>
        <v>0</v>
      </c>
      <c r="M513">
        <f t="shared" si="23"/>
        <v>0</v>
      </c>
    </row>
    <row r="514" spans="1:13" x14ac:dyDescent="0.2">
      <c r="A514">
        <f>IF(ISBLANK(E514),"",VLOOKUP(E514,code!B:C,2,FALSE))</f>
        <v>21</v>
      </c>
      <c r="B514">
        <v>2021</v>
      </c>
      <c r="C514">
        <v>209807</v>
      </c>
      <c r="D514" t="s">
        <v>194</v>
      </c>
      <c r="E514" t="s">
        <v>30</v>
      </c>
      <c r="L514" s="18">
        <f t="shared" si="22"/>
        <v>0</v>
      </c>
      <c r="M514">
        <f t="shared" si="23"/>
        <v>0</v>
      </c>
    </row>
    <row r="515" spans="1:13" x14ac:dyDescent="0.2">
      <c r="A515">
        <f>IF(ISBLANK(E515),"",VLOOKUP(E515,code!B:C,2,FALSE))</f>
        <v>9</v>
      </c>
      <c r="B515">
        <v>2021</v>
      </c>
      <c r="C515">
        <v>209807</v>
      </c>
      <c r="D515" t="s">
        <v>194</v>
      </c>
      <c r="E515" t="s">
        <v>17</v>
      </c>
      <c r="L515" s="18">
        <f t="shared" si="22"/>
        <v>0</v>
      </c>
      <c r="M515">
        <f t="shared" si="23"/>
        <v>0</v>
      </c>
    </row>
    <row r="516" spans="1:13" x14ac:dyDescent="0.2">
      <c r="A516">
        <f>IF(ISBLANK(E516),"",VLOOKUP(E516,code!B:C,2,FALSE))</f>
        <v>17</v>
      </c>
      <c r="B516">
        <v>2021</v>
      </c>
      <c r="C516">
        <v>209807</v>
      </c>
      <c r="D516" t="s">
        <v>194</v>
      </c>
      <c r="E516" t="s">
        <v>25</v>
      </c>
      <c r="L516" s="18">
        <f t="shared" si="22"/>
        <v>0</v>
      </c>
      <c r="M516">
        <f t="shared" si="23"/>
        <v>0</v>
      </c>
    </row>
    <row r="517" spans="1:13" x14ac:dyDescent="0.2">
      <c r="A517">
        <f>IF(ISBLANK(E517),"",VLOOKUP(E517,code!B:C,2,FALSE))</f>
        <v>18</v>
      </c>
      <c r="B517">
        <v>2021</v>
      </c>
      <c r="C517">
        <v>209807</v>
      </c>
      <c r="D517" t="s">
        <v>194</v>
      </c>
      <c r="E517" t="s">
        <v>26</v>
      </c>
      <c r="L517" s="18">
        <f t="shared" si="22"/>
        <v>0</v>
      </c>
      <c r="M517">
        <f t="shared" si="23"/>
        <v>0</v>
      </c>
    </row>
    <row r="518" spans="1:13" x14ac:dyDescent="0.2">
      <c r="A518">
        <f>IF(ISBLANK(E518),"",VLOOKUP(E518,code!B:C,2,FALSE))</f>
        <v>20</v>
      </c>
      <c r="B518">
        <v>2021</v>
      </c>
      <c r="C518">
        <v>209807</v>
      </c>
      <c r="D518" t="s">
        <v>194</v>
      </c>
      <c r="E518" t="s">
        <v>28</v>
      </c>
      <c r="L518" s="18">
        <f t="shared" si="22"/>
        <v>0</v>
      </c>
      <c r="M518">
        <f t="shared" si="23"/>
        <v>0</v>
      </c>
    </row>
    <row r="519" spans="1:13" x14ac:dyDescent="0.2">
      <c r="A519">
        <f>IF(ISBLANK(E519),"",VLOOKUP(E519,code!B:C,2,FALSE))</f>
        <v>21</v>
      </c>
      <c r="B519">
        <v>2021</v>
      </c>
      <c r="C519">
        <v>209807</v>
      </c>
      <c r="D519" t="s">
        <v>194</v>
      </c>
      <c r="E519" t="s">
        <v>30</v>
      </c>
      <c r="L519" s="18">
        <f t="shared" si="22"/>
        <v>0</v>
      </c>
      <c r="M519">
        <f t="shared" si="23"/>
        <v>0</v>
      </c>
    </row>
    <row r="520" spans="1:13" x14ac:dyDescent="0.2">
      <c r="A520">
        <f>IF(ISBLANK(E520),"",VLOOKUP(E520,code!B:C,2,FALSE))</f>
        <v>23</v>
      </c>
      <c r="B520">
        <v>2021</v>
      </c>
      <c r="C520">
        <v>209807</v>
      </c>
      <c r="D520" t="s">
        <v>194</v>
      </c>
      <c r="E520" t="s">
        <v>33</v>
      </c>
      <c r="H520">
        <v>390</v>
      </c>
      <c r="L520" s="18">
        <f t="shared" si="22"/>
        <v>0</v>
      </c>
      <c r="M520">
        <f t="shared" si="23"/>
        <v>390</v>
      </c>
    </row>
    <row r="521" spans="1:13" x14ac:dyDescent="0.2">
      <c r="A521">
        <f>IF(ISBLANK(E521),"",VLOOKUP(E521,code!B:C,2,FALSE))</f>
        <v>2</v>
      </c>
      <c r="B521">
        <v>2022</v>
      </c>
      <c r="C521">
        <v>209807</v>
      </c>
      <c r="D521" t="s">
        <v>194</v>
      </c>
      <c r="E521" t="s">
        <v>10</v>
      </c>
      <c r="F521" s="18">
        <v>340822</v>
      </c>
      <c r="H521" s="18">
        <v>290592</v>
      </c>
      <c r="L521" s="18">
        <f t="shared" si="22"/>
        <v>340822</v>
      </c>
      <c r="M521">
        <f t="shared" si="23"/>
        <v>290592</v>
      </c>
    </row>
    <row r="522" spans="1:13" x14ac:dyDescent="0.2">
      <c r="A522">
        <f>IF(ISBLANK(E522),"",VLOOKUP(E522,code!B:C,2,FALSE))</f>
        <v>8</v>
      </c>
      <c r="B522">
        <v>2022</v>
      </c>
      <c r="C522">
        <v>209807</v>
      </c>
      <c r="D522" t="s">
        <v>194</v>
      </c>
      <c r="E522" t="s">
        <v>16</v>
      </c>
      <c r="F522" s="18">
        <v>589636</v>
      </c>
      <c r="L522" s="18">
        <f t="shared" si="22"/>
        <v>589636</v>
      </c>
      <c r="M522">
        <f t="shared" si="23"/>
        <v>0</v>
      </c>
    </row>
    <row r="523" spans="1:13" x14ac:dyDescent="0.2">
      <c r="A523">
        <f>IF(ISBLANK(E523),"",VLOOKUP(E523,code!B:C,2,FALSE))</f>
        <v>9</v>
      </c>
      <c r="B523">
        <v>2022</v>
      </c>
      <c r="C523">
        <v>209807</v>
      </c>
      <c r="D523" t="s">
        <v>194</v>
      </c>
      <c r="E523" t="s">
        <v>17</v>
      </c>
      <c r="H523" s="18">
        <v>45398</v>
      </c>
      <c r="L523" s="18">
        <f t="shared" si="22"/>
        <v>0</v>
      </c>
      <c r="M523">
        <f t="shared" si="23"/>
        <v>45398</v>
      </c>
    </row>
    <row r="524" spans="1:13" x14ac:dyDescent="0.2">
      <c r="A524">
        <f>IF(ISBLANK(E524),"",VLOOKUP(E524,code!B:C,2,FALSE))</f>
        <v>17</v>
      </c>
      <c r="B524">
        <v>2022</v>
      </c>
      <c r="C524">
        <v>209807</v>
      </c>
      <c r="D524" t="s">
        <v>194</v>
      </c>
      <c r="E524" t="s">
        <v>25</v>
      </c>
      <c r="H524" s="18">
        <v>104967</v>
      </c>
      <c r="L524" s="18">
        <f t="shared" si="22"/>
        <v>0</v>
      </c>
      <c r="M524">
        <f t="shared" si="23"/>
        <v>104967</v>
      </c>
    </row>
    <row r="525" spans="1:13" x14ac:dyDescent="0.2">
      <c r="A525">
        <f>IF(ISBLANK(E525),"",VLOOKUP(E525,code!B:C,2,FALSE))</f>
        <v>18</v>
      </c>
      <c r="B525">
        <v>2022</v>
      </c>
      <c r="C525">
        <v>209807</v>
      </c>
      <c r="D525" t="s">
        <v>194</v>
      </c>
      <c r="E525" t="s">
        <v>26</v>
      </c>
      <c r="H525" s="18">
        <v>110610</v>
      </c>
      <c r="L525" s="18">
        <f t="shared" si="22"/>
        <v>0</v>
      </c>
      <c r="M525">
        <f t="shared" si="23"/>
        <v>110610</v>
      </c>
    </row>
    <row r="526" spans="1:13" x14ac:dyDescent="0.2">
      <c r="A526">
        <f>IF(ISBLANK(E526),"",VLOOKUP(E526,code!B:C,2,FALSE))</f>
        <v>20</v>
      </c>
      <c r="B526">
        <v>2022</v>
      </c>
      <c r="C526">
        <v>209807</v>
      </c>
      <c r="D526" t="s">
        <v>194</v>
      </c>
      <c r="E526" t="s">
        <v>28</v>
      </c>
      <c r="F526" s="18">
        <v>43224</v>
      </c>
      <c r="H526" s="18">
        <v>45268</v>
      </c>
      <c r="L526" s="18">
        <f t="shared" si="22"/>
        <v>43224</v>
      </c>
      <c r="M526">
        <f t="shared" si="23"/>
        <v>45268</v>
      </c>
    </row>
    <row r="527" spans="1:13" x14ac:dyDescent="0.2">
      <c r="A527">
        <f>IF(ISBLANK(E527),"",VLOOKUP(E527,code!B:C,2,FALSE))</f>
        <v>21</v>
      </c>
      <c r="B527">
        <v>2022</v>
      </c>
      <c r="C527">
        <v>209807</v>
      </c>
      <c r="D527" t="s">
        <v>194</v>
      </c>
      <c r="E527" t="s">
        <v>30</v>
      </c>
      <c r="F527" s="18">
        <v>50614</v>
      </c>
      <c r="H527" s="18">
        <v>49144</v>
      </c>
      <c r="L527" s="18">
        <f t="shared" si="22"/>
        <v>50614</v>
      </c>
      <c r="M527">
        <f t="shared" si="23"/>
        <v>49144</v>
      </c>
    </row>
    <row r="528" spans="1:13" x14ac:dyDescent="0.2">
      <c r="A528">
        <f>IF(ISBLANK(E528),"",VLOOKUP(E528,code!B:C,2,FALSE))</f>
        <v>23</v>
      </c>
      <c r="B528">
        <v>2022</v>
      </c>
      <c r="C528">
        <v>209807</v>
      </c>
      <c r="D528" t="s">
        <v>194</v>
      </c>
      <c r="E528" t="s">
        <v>33</v>
      </c>
      <c r="H528" s="18">
        <v>184818</v>
      </c>
      <c r="L528" s="18">
        <f t="shared" si="22"/>
        <v>0</v>
      </c>
      <c r="M528">
        <f t="shared" si="23"/>
        <v>184818</v>
      </c>
    </row>
    <row r="529" spans="1:13" x14ac:dyDescent="0.2">
      <c r="A529">
        <f>IF(ISBLANK(E529),"",VLOOKUP(E529,code!B:C,2,FALSE))</f>
        <v>2</v>
      </c>
      <c r="B529">
        <v>2023</v>
      </c>
      <c r="C529">
        <v>209807</v>
      </c>
      <c r="D529" t="s">
        <v>194</v>
      </c>
      <c r="E529" t="s">
        <v>10</v>
      </c>
      <c r="F529" s="18">
        <v>29022</v>
      </c>
      <c r="H529" s="18">
        <v>9370</v>
      </c>
      <c r="L529" s="18">
        <f t="shared" si="22"/>
        <v>29022</v>
      </c>
      <c r="M529">
        <f t="shared" si="23"/>
        <v>9370</v>
      </c>
    </row>
    <row r="530" spans="1:13" x14ac:dyDescent="0.2">
      <c r="A530">
        <f>IF(ISBLANK(E530),"",VLOOKUP(E530,code!B:C,2,FALSE))</f>
        <v>8</v>
      </c>
      <c r="B530">
        <v>2023</v>
      </c>
      <c r="C530">
        <v>209807</v>
      </c>
      <c r="D530" t="s">
        <v>194</v>
      </c>
      <c r="E530" t="s">
        <v>16</v>
      </c>
      <c r="F530" s="18">
        <v>241676</v>
      </c>
      <c r="L530" s="18">
        <f t="shared" si="22"/>
        <v>241676</v>
      </c>
      <c r="M530">
        <f t="shared" si="23"/>
        <v>0</v>
      </c>
    </row>
    <row r="531" spans="1:13" x14ac:dyDescent="0.2">
      <c r="A531">
        <f>IF(ISBLANK(E531),"",VLOOKUP(E531,code!B:C,2,FALSE))</f>
        <v>9</v>
      </c>
      <c r="B531">
        <v>2023</v>
      </c>
      <c r="C531">
        <v>209807</v>
      </c>
      <c r="D531" t="s">
        <v>194</v>
      </c>
      <c r="E531" t="s">
        <v>17</v>
      </c>
      <c r="H531" s="18">
        <v>20820</v>
      </c>
      <c r="L531" s="18">
        <f t="shared" si="22"/>
        <v>0</v>
      </c>
      <c r="M531">
        <f t="shared" si="23"/>
        <v>20820</v>
      </c>
    </row>
    <row r="532" spans="1:13" x14ac:dyDescent="0.2">
      <c r="A532">
        <f>IF(ISBLANK(E532),"",VLOOKUP(E532,code!B:C,2,FALSE))</f>
        <v>17</v>
      </c>
      <c r="B532">
        <v>2023</v>
      </c>
      <c r="C532">
        <v>209807</v>
      </c>
      <c r="D532" t="s">
        <v>194</v>
      </c>
      <c r="E532" t="s">
        <v>25</v>
      </c>
      <c r="H532" s="18">
        <v>24345</v>
      </c>
      <c r="L532" s="18">
        <f t="shared" si="22"/>
        <v>0</v>
      </c>
      <c r="M532">
        <f t="shared" si="23"/>
        <v>24345</v>
      </c>
    </row>
    <row r="533" spans="1:13" x14ac:dyDescent="0.2">
      <c r="A533">
        <f>IF(ISBLANK(E533),"",VLOOKUP(E533,code!B:C,2,FALSE))</f>
        <v>18</v>
      </c>
      <c r="B533">
        <v>2023</v>
      </c>
      <c r="C533">
        <v>209807</v>
      </c>
      <c r="D533" t="s">
        <v>194</v>
      </c>
      <c r="E533" t="s">
        <v>26</v>
      </c>
      <c r="H533">
        <v>97</v>
      </c>
      <c r="L533" s="18">
        <f t="shared" si="22"/>
        <v>0</v>
      </c>
      <c r="M533">
        <f t="shared" si="23"/>
        <v>97</v>
      </c>
    </row>
    <row r="534" spans="1:13" x14ac:dyDescent="0.2">
      <c r="A534">
        <f>IF(ISBLANK(E534),"",VLOOKUP(E534,code!B:C,2,FALSE))</f>
        <v>20</v>
      </c>
      <c r="B534">
        <v>2023</v>
      </c>
      <c r="C534">
        <v>209807</v>
      </c>
      <c r="D534" t="s">
        <v>194</v>
      </c>
      <c r="E534" t="s">
        <v>28</v>
      </c>
      <c r="L534" s="18">
        <f t="shared" si="22"/>
        <v>0</v>
      </c>
      <c r="M534">
        <f t="shared" si="23"/>
        <v>0</v>
      </c>
    </row>
    <row r="535" spans="1:13" x14ac:dyDescent="0.2">
      <c r="A535">
        <f>IF(ISBLANK(E535),"",VLOOKUP(E535,code!B:C,2,FALSE))</f>
        <v>21</v>
      </c>
      <c r="B535">
        <v>2023</v>
      </c>
      <c r="C535">
        <v>209807</v>
      </c>
      <c r="D535" t="s">
        <v>194</v>
      </c>
      <c r="E535" t="s">
        <v>31</v>
      </c>
      <c r="F535" s="18">
        <v>24330</v>
      </c>
      <c r="H535" s="18">
        <v>35080</v>
      </c>
      <c r="L535" s="18">
        <f t="shared" si="22"/>
        <v>24330</v>
      </c>
      <c r="M535">
        <f t="shared" si="23"/>
        <v>35080</v>
      </c>
    </row>
    <row r="536" spans="1:13" x14ac:dyDescent="0.2">
      <c r="A536">
        <f>IF(ISBLANK(E536),"",VLOOKUP(E536,code!B:C,2,FALSE))</f>
        <v>23</v>
      </c>
      <c r="B536">
        <v>2023</v>
      </c>
      <c r="C536">
        <v>209807</v>
      </c>
      <c r="D536" t="s">
        <v>194</v>
      </c>
      <c r="E536" t="s">
        <v>33</v>
      </c>
      <c r="H536" s="18">
        <v>13789</v>
      </c>
      <c r="L536" s="18">
        <f t="shared" si="22"/>
        <v>0</v>
      </c>
      <c r="M536">
        <f t="shared" si="23"/>
        <v>13789</v>
      </c>
    </row>
    <row r="537" spans="1:13" x14ac:dyDescent="0.2">
      <c r="A537">
        <f>IF(ISBLANK(E537),"",VLOOKUP(E537,code!B:C,2,FALSE))</f>
        <v>2</v>
      </c>
      <c r="B537">
        <v>2017</v>
      </c>
      <c r="C537">
        <v>230782</v>
      </c>
      <c r="D537" t="s">
        <v>255</v>
      </c>
      <c r="E537" t="s">
        <v>10</v>
      </c>
      <c r="F537" s="18">
        <v>48049</v>
      </c>
      <c r="H537" s="18">
        <v>6053</v>
      </c>
      <c r="L537" s="18">
        <f t="shared" si="22"/>
        <v>48049</v>
      </c>
      <c r="M537">
        <f t="shared" si="23"/>
        <v>6053</v>
      </c>
    </row>
    <row r="538" spans="1:13" x14ac:dyDescent="0.2">
      <c r="A538">
        <f>IF(ISBLANK(E538),"",VLOOKUP(E538,code!B:C,2,FALSE))</f>
        <v>8</v>
      </c>
      <c r="B538">
        <v>2017</v>
      </c>
      <c r="C538">
        <v>230782</v>
      </c>
      <c r="D538" t="s">
        <v>255</v>
      </c>
      <c r="E538" t="s">
        <v>16</v>
      </c>
      <c r="F538" s="18">
        <v>52913</v>
      </c>
      <c r="L538" s="18">
        <f t="shared" si="22"/>
        <v>52913</v>
      </c>
      <c r="M538">
        <f t="shared" si="23"/>
        <v>0</v>
      </c>
    </row>
    <row r="539" spans="1:13" x14ac:dyDescent="0.2">
      <c r="A539">
        <f>IF(ISBLANK(E539),"",VLOOKUP(E539,code!B:C,2,FALSE))</f>
        <v>9</v>
      </c>
      <c r="B539">
        <v>2017</v>
      </c>
      <c r="C539">
        <v>230782</v>
      </c>
      <c r="D539" t="s">
        <v>255</v>
      </c>
      <c r="E539" t="s">
        <v>17</v>
      </c>
      <c r="L539" s="18">
        <f t="shared" si="22"/>
        <v>0</v>
      </c>
      <c r="M539">
        <f t="shared" si="23"/>
        <v>0</v>
      </c>
    </row>
    <row r="540" spans="1:13" x14ac:dyDescent="0.2">
      <c r="A540">
        <f>IF(ISBLANK(E540),"",VLOOKUP(E540,code!B:C,2,FALSE))</f>
        <v>17</v>
      </c>
      <c r="B540">
        <v>2017</v>
      </c>
      <c r="C540">
        <v>230782</v>
      </c>
      <c r="D540" t="s">
        <v>255</v>
      </c>
      <c r="E540" t="s">
        <v>25</v>
      </c>
      <c r="H540" s="18">
        <v>7760</v>
      </c>
      <c r="L540" s="18">
        <f t="shared" si="22"/>
        <v>0</v>
      </c>
      <c r="M540">
        <f t="shared" si="23"/>
        <v>7760</v>
      </c>
    </row>
    <row r="541" spans="1:13" x14ac:dyDescent="0.2">
      <c r="A541">
        <f>IF(ISBLANK(E541),"",VLOOKUP(E541,code!B:C,2,FALSE))</f>
        <v>18</v>
      </c>
      <c r="B541">
        <v>2017</v>
      </c>
      <c r="C541">
        <v>230782</v>
      </c>
      <c r="D541" t="s">
        <v>255</v>
      </c>
      <c r="E541" t="s">
        <v>26</v>
      </c>
      <c r="H541" s="18">
        <v>4430</v>
      </c>
      <c r="L541" s="18">
        <f t="shared" si="22"/>
        <v>0</v>
      </c>
      <c r="M541">
        <f t="shared" si="23"/>
        <v>4430</v>
      </c>
    </row>
    <row r="542" spans="1:13" x14ac:dyDescent="0.2">
      <c r="A542">
        <f>IF(ISBLANK(E542),"",VLOOKUP(E542,code!B:C,2,FALSE))</f>
        <v>20</v>
      </c>
      <c r="B542">
        <v>2017</v>
      </c>
      <c r="C542">
        <v>230782</v>
      </c>
      <c r="D542" t="s">
        <v>255</v>
      </c>
      <c r="E542" t="s">
        <v>28</v>
      </c>
      <c r="F542">
        <v>49</v>
      </c>
      <c r="H542">
        <v>49</v>
      </c>
      <c r="L542" s="18">
        <f t="shared" si="22"/>
        <v>49</v>
      </c>
      <c r="M542">
        <f t="shared" si="23"/>
        <v>49</v>
      </c>
    </row>
    <row r="543" spans="1:13" x14ac:dyDescent="0.2">
      <c r="A543">
        <f>IF(ISBLANK(E543),"",VLOOKUP(E543,code!B:C,2,FALSE))</f>
        <v>21</v>
      </c>
      <c r="B543">
        <v>2017</v>
      </c>
      <c r="C543">
        <v>230782</v>
      </c>
      <c r="D543" t="s">
        <v>255</v>
      </c>
      <c r="E543" t="s">
        <v>30</v>
      </c>
      <c r="L543" s="18">
        <f t="shared" si="22"/>
        <v>0</v>
      </c>
      <c r="M543">
        <f t="shared" si="23"/>
        <v>0</v>
      </c>
    </row>
    <row r="544" spans="1:13" x14ac:dyDescent="0.2">
      <c r="A544">
        <f>IF(ISBLANK(E544),"",VLOOKUP(E544,code!B:C,2,FALSE))</f>
        <v>23</v>
      </c>
      <c r="B544">
        <v>2017</v>
      </c>
      <c r="C544">
        <v>230782</v>
      </c>
      <c r="D544" t="s">
        <v>255</v>
      </c>
      <c r="E544" t="s">
        <v>33</v>
      </c>
      <c r="H544" s="18">
        <v>7690</v>
      </c>
      <c r="L544" s="18">
        <f t="shared" si="22"/>
        <v>0</v>
      </c>
      <c r="M544">
        <f t="shared" si="23"/>
        <v>7690</v>
      </c>
    </row>
    <row r="545" spans="1:13" x14ac:dyDescent="0.2">
      <c r="A545">
        <f>IF(ISBLANK(E545),"",VLOOKUP(E545,code!B:C,2,FALSE))</f>
        <v>2</v>
      </c>
      <c r="B545">
        <v>2018</v>
      </c>
      <c r="C545">
        <v>230782</v>
      </c>
      <c r="D545" t="s">
        <v>255</v>
      </c>
      <c r="E545" t="s">
        <v>10</v>
      </c>
      <c r="F545" s="18">
        <v>38608</v>
      </c>
      <c r="H545" s="18">
        <v>2060</v>
      </c>
      <c r="L545" s="18">
        <f t="shared" si="22"/>
        <v>38608</v>
      </c>
      <c r="M545">
        <f t="shared" si="23"/>
        <v>2060</v>
      </c>
    </row>
    <row r="546" spans="1:13" x14ac:dyDescent="0.2">
      <c r="A546">
        <f>IF(ISBLANK(E546),"",VLOOKUP(E546,code!B:C,2,FALSE))</f>
        <v>8</v>
      </c>
      <c r="B546">
        <v>2018</v>
      </c>
      <c r="C546">
        <v>230782</v>
      </c>
      <c r="D546" t="s">
        <v>255</v>
      </c>
      <c r="E546" t="s">
        <v>16</v>
      </c>
      <c r="F546" s="18">
        <v>58255</v>
      </c>
      <c r="L546" s="18">
        <f t="shared" si="22"/>
        <v>58255</v>
      </c>
      <c r="M546">
        <f t="shared" si="23"/>
        <v>0</v>
      </c>
    </row>
    <row r="547" spans="1:13" x14ac:dyDescent="0.2">
      <c r="A547">
        <f>IF(ISBLANK(E547),"",VLOOKUP(E547,code!B:C,2,FALSE))</f>
        <v>9</v>
      </c>
      <c r="B547">
        <v>2018</v>
      </c>
      <c r="C547">
        <v>230782</v>
      </c>
      <c r="D547" t="s">
        <v>255</v>
      </c>
      <c r="E547" t="s">
        <v>17</v>
      </c>
      <c r="F547">
        <v>685</v>
      </c>
      <c r="H547">
        <v>686</v>
      </c>
      <c r="L547" s="18">
        <f t="shared" si="22"/>
        <v>685</v>
      </c>
      <c r="M547">
        <f t="shared" si="23"/>
        <v>686</v>
      </c>
    </row>
    <row r="548" spans="1:13" x14ac:dyDescent="0.2">
      <c r="A548">
        <f>IF(ISBLANK(E548),"",VLOOKUP(E548,code!B:C,2,FALSE))</f>
        <v>20</v>
      </c>
      <c r="B548">
        <v>2018</v>
      </c>
      <c r="C548">
        <v>230782</v>
      </c>
      <c r="D548" t="s">
        <v>255</v>
      </c>
      <c r="E548" t="s">
        <v>28</v>
      </c>
      <c r="H548" s="18">
        <v>5656</v>
      </c>
      <c r="L548" s="18">
        <f t="shared" ref="L548:L593" si="24">SUM(F548:G548)</f>
        <v>0</v>
      </c>
      <c r="M548">
        <f t="shared" ref="M548:M593" si="25">SUM(H548:I548)</f>
        <v>5656</v>
      </c>
    </row>
    <row r="549" spans="1:13" x14ac:dyDescent="0.2">
      <c r="A549">
        <f>IF(ISBLANK(E549),"",VLOOKUP(E549,code!B:C,2,FALSE))</f>
        <v>17</v>
      </c>
      <c r="B549">
        <v>2018</v>
      </c>
      <c r="C549">
        <v>230782</v>
      </c>
      <c r="D549" t="s">
        <v>255</v>
      </c>
      <c r="E549" t="s">
        <v>25</v>
      </c>
      <c r="L549" s="18">
        <f t="shared" si="24"/>
        <v>0</v>
      </c>
      <c r="M549">
        <f t="shared" si="25"/>
        <v>0</v>
      </c>
    </row>
    <row r="550" spans="1:13" x14ac:dyDescent="0.2">
      <c r="A550">
        <f>IF(ISBLANK(E550),"",VLOOKUP(E550,code!B:C,2,FALSE))</f>
        <v>18</v>
      </c>
      <c r="B550">
        <v>2018</v>
      </c>
      <c r="C550">
        <v>230782</v>
      </c>
      <c r="D550" t="s">
        <v>255</v>
      </c>
      <c r="E550" t="s">
        <v>26</v>
      </c>
      <c r="H550" s="18">
        <v>3647</v>
      </c>
      <c r="L550" s="18">
        <f t="shared" si="24"/>
        <v>0</v>
      </c>
      <c r="M550">
        <f t="shared" si="25"/>
        <v>3647</v>
      </c>
    </row>
    <row r="551" spans="1:13" x14ac:dyDescent="0.2">
      <c r="A551">
        <f>IF(ISBLANK(E551),"",VLOOKUP(E551,code!B:C,2,FALSE))</f>
        <v>20</v>
      </c>
      <c r="B551">
        <v>2018</v>
      </c>
      <c r="C551">
        <v>230782</v>
      </c>
      <c r="D551" t="s">
        <v>255</v>
      </c>
      <c r="E551" t="s">
        <v>28</v>
      </c>
      <c r="L551" s="18">
        <f t="shared" si="24"/>
        <v>0</v>
      </c>
      <c r="M551">
        <f t="shared" si="25"/>
        <v>0</v>
      </c>
    </row>
    <row r="552" spans="1:13" x14ac:dyDescent="0.2">
      <c r="A552">
        <f>IF(ISBLANK(E552),"",VLOOKUP(E552,code!B:C,2,FALSE))</f>
        <v>21</v>
      </c>
      <c r="B552">
        <v>2018</v>
      </c>
      <c r="C552">
        <v>230782</v>
      </c>
      <c r="D552" t="s">
        <v>255</v>
      </c>
      <c r="E552" t="s">
        <v>30</v>
      </c>
      <c r="L552" s="18">
        <f t="shared" si="24"/>
        <v>0</v>
      </c>
      <c r="M552">
        <f t="shared" si="25"/>
        <v>0</v>
      </c>
    </row>
    <row r="553" spans="1:13" x14ac:dyDescent="0.2">
      <c r="A553">
        <f>IF(ISBLANK(E553),"",VLOOKUP(E553,code!B:C,2,FALSE))</f>
        <v>23</v>
      </c>
      <c r="B553">
        <v>2018</v>
      </c>
      <c r="C553">
        <v>230782</v>
      </c>
      <c r="D553" t="s">
        <v>255</v>
      </c>
      <c r="E553" t="s">
        <v>33</v>
      </c>
      <c r="H553" s="18">
        <v>5162</v>
      </c>
      <c r="L553" s="18">
        <f t="shared" si="24"/>
        <v>0</v>
      </c>
      <c r="M553">
        <f t="shared" si="25"/>
        <v>5162</v>
      </c>
    </row>
    <row r="554" spans="1:13" x14ac:dyDescent="0.2">
      <c r="A554">
        <f>IF(ISBLANK(E554),"",VLOOKUP(E554,code!B:C,2,FALSE))</f>
        <v>2</v>
      </c>
      <c r="B554">
        <v>2019</v>
      </c>
      <c r="C554">
        <v>230782</v>
      </c>
      <c r="D554" t="s">
        <v>255</v>
      </c>
      <c r="E554" t="s">
        <v>10</v>
      </c>
      <c r="F554" s="18">
        <v>49523</v>
      </c>
      <c r="H554" s="18">
        <v>7416</v>
      </c>
      <c r="L554" s="18">
        <f t="shared" si="24"/>
        <v>49523</v>
      </c>
      <c r="M554">
        <f t="shared" si="25"/>
        <v>7416</v>
      </c>
    </row>
    <row r="555" spans="1:13" x14ac:dyDescent="0.2">
      <c r="A555">
        <f>IF(ISBLANK(E555),"",VLOOKUP(E555,code!B:C,2,FALSE))</f>
        <v>8</v>
      </c>
      <c r="B555">
        <v>2019</v>
      </c>
      <c r="C555">
        <v>230782</v>
      </c>
      <c r="D555" t="s">
        <v>255</v>
      </c>
      <c r="E555" t="s">
        <v>16</v>
      </c>
      <c r="F555" s="18">
        <v>99389</v>
      </c>
      <c r="L555" s="18">
        <f t="shared" si="24"/>
        <v>99389</v>
      </c>
      <c r="M555">
        <f t="shared" si="25"/>
        <v>0</v>
      </c>
    </row>
    <row r="556" spans="1:13" x14ac:dyDescent="0.2">
      <c r="A556">
        <f>IF(ISBLANK(E556),"",VLOOKUP(E556,code!B:C,2,FALSE))</f>
        <v>9</v>
      </c>
      <c r="B556">
        <v>2019</v>
      </c>
      <c r="C556">
        <v>230782</v>
      </c>
      <c r="D556" t="s">
        <v>255</v>
      </c>
      <c r="E556" t="s">
        <v>17</v>
      </c>
      <c r="F556" s="18">
        <v>1497</v>
      </c>
      <c r="L556" s="18">
        <f t="shared" si="24"/>
        <v>1497</v>
      </c>
      <c r="M556">
        <f t="shared" si="25"/>
        <v>0</v>
      </c>
    </row>
    <row r="557" spans="1:13" x14ac:dyDescent="0.2">
      <c r="A557">
        <f>IF(ISBLANK(E557),"",VLOOKUP(E557,code!B:C,2,FALSE))</f>
        <v>9</v>
      </c>
      <c r="B557">
        <v>2019</v>
      </c>
      <c r="C557">
        <v>230782</v>
      </c>
      <c r="D557" t="s">
        <v>255</v>
      </c>
      <c r="E557" t="s">
        <v>17</v>
      </c>
      <c r="L557" s="18">
        <f t="shared" si="24"/>
        <v>0</v>
      </c>
      <c r="M557">
        <f t="shared" si="25"/>
        <v>0</v>
      </c>
    </row>
    <row r="558" spans="1:13" x14ac:dyDescent="0.2">
      <c r="A558">
        <f>IF(ISBLANK(E558),"",VLOOKUP(E558,code!B:C,2,FALSE))</f>
        <v>17</v>
      </c>
      <c r="B558">
        <v>2019</v>
      </c>
      <c r="C558">
        <v>230782</v>
      </c>
      <c r="D558" t="s">
        <v>255</v>
      </c>
      <c r="E558" t="s">
        <v>25</v>
      </c>
      <c r="H558" s="18">
        <v>9510</v>
      </c>
      <c r="L558" s="18">
        <f t="shared" si="24"/>
        <v>0</v>
      </c>
      <c r="M558">
        <f t="shared" si="25"/>
        <v>9510</v>
      </c>
    </row>
    <row r="559" spans="1:13" x14ac:dyDescent="0.2">
      <c r="A559">
        <f>IF(ISBLANK(E559),"",VLOOKUP(E559,code!B:C,2,FALSE))</f>
        <v>18</v>
      </c>
      <c r="B559">
        <v>2019</v>
      </c>
      <c r="C559">
        <v>230782</v>
      </c>
      <c r="D559" t="s">
        <v>255</v>
      </c>
      <c r="E559" t="s">
        <v>26</v>
      </c>
      <c r="H559">
        <v>980</v>
      </c>
      <c r="L559" s="18">
        <f t="shared" si="24"/>
        <v>0</v>
      </c>
      <c r="M559">
        <f t="shared" si="25"/>
        <v>980</v>
      </c>
    </row>
    <row r="560" spans="1:13" x14ac:dyDescent="0.2">
      <c r="A560">
        <f>IF(ISBLANK(E560),"",VLOOKUP(E560,code!B:C,2,FALSE))</f>
        <v>20</v>
      </c>
      <c r="B560">
        <v>2019</v>
      </c>
      <c r="C560">
        <v>230782</v>
      </c>
      <c r="D560" t="s">
        <v>255</v>
      </c>
      <c r="E560" t="s">
        <v>28</v>
      </c>
      <c r="L560" s="18">
        <f t="shared" si="24"/>
        <v>0</v>
      </c>
      <c r="M560">
        <f t="shared" si="25"/>
        <v>0</v>
      </c>
    </row>
    <row r="561" spans="1:13" x14ac:dyDescent="0.2">
      <c r="A561">
        <f>IF(ISBLANK(E561),"",VLOOKUP(E561,code!B:C,2,FALSE))</f>
        <v>21</v>
      </c>
      <c r="B561">
        <v>2019</v>
      </c>
      <c r="C561">
        <v>230782</v>
      </c>
      <c r="D561" t="s">
        <v>255</v>
      </c>
      <c r="E561" t="s">
        <v>30</v>
      </c>
      <c r="L561" s="18">
        <f t="shared" si="24"/>
        <v>0</v>
      </c>
      <c r="M561">
        <f t="shared" si="25"/>
        <v>0</v>
      </c>
    </row>
    <row r="562" spans="1:13" x14ac:dyDescent="0.2">
      <c r="A562">
        <f>IF(ISBLANK(E562),"",VLOOKUP(E562,code!B:C,2,FALSE))</f>
        <v>23</v>
      </c>
      <c r="B562">
        <v>2019</v>
      </c>
      <c r="C562">
        <v>230782</v>
      </c>
      <c r="D562" t="s">
        <v>255</v>
      </c>
      <c r="E562" t="s">
        <v>33</v>
      </c>
      <c r="H562" s="18">
        <v>6860</v>
      </c>
      <c r="L562" s="18">
        <f t="shared" si="24"/>
        <v>0</v>
      </c>
      <c r="M562">
        <f t="shared" si="25"/>
        <v>6860</v>
      </c>
    </row>
    <row r="563" spans="1:13" x14ac:dyDescent="0.2">
      <c r="A563">
        <f>IF(ISBLANK(E563),"",VLOOKUP(E563,code!B:C,2,FALSE))</f>
        <v>2</v>
      </c>
      <c r="B563">
        <v>2020</v>
      </c>
      <c r="C563">
        <v>230782</v>
      </c>
      <c r="D563" t="s">
        <v>255</v>
      </c>
      <c r="E563" t="s">
        <v>10</v>
      </c>
      <c r="F563" s="18">
        <v>43219</v>
      </c>
      <c r="H563" s="18">
        <v>4399</v>
      </c>
      <c r="L563" s="18">
        <f t="shared" si="24"/>
        <v>43219</v>
      </c>
      <c r="M563">
        <f t="shared" si="25"/>
        <v>4399</v>
      </c>
    </row>
    <row r="564" spans="1:13" x14ac:dyDescent="0.2">
      <c r="A564">
        <f>IF(ISBLANK(E564),"",VLOOKUP(E564,code!B:C,2,FALSE))</f>
        <v>8</v>
      </c>
      <c r="B564">
        <v>2020</v>
      </c>
      <c r="C564">
        <v>230782</v>
      </c>
      <c r="D564" t="s">
        <v>255</v>
      </c>
      <c r="E564" t="s">
        <v>16</v>
      </c>
      <c r="F564" s="18">
        <v>97785</v>
      </c>
      <c r="L564" s="18">
        <f t="shared" si="24"/>
        <v>97785</v>
      </c>
      <c r="M564">
        <f t="shared" si="25"/>
        <v>0</v>
      </c>
    </row>
    <row r="565" spans="1:13" x14ac:dyDescent="0.2">
      <c r="A565">
        <f>IF(ISBLANK(E565),"",VLOOKUP(E565,code!B:C,2,FALSE))</f>
        <v>9</v>
      </c>
      <c r="B565">
        <v>2020</v>
      </c>
      <c r="C565">
        <v>230782</v>
      </c>
      <c r="D565" t="s">
        <v>255</v>
      </c>
      <c r="E565" t="s">
        <v>17</v>
      </c>
      <c r="F565">
        <v>771</v>
      </c>
      <c r="H565">
        <v>771</v>
      </c>
      <c r="L565" s="18">
        <f t="shared" si="24"/>
        <v>771</v>
      </c>
      <c r="M565">
        <f t="shared" si="25"/>
        <v>771</v>
      </c>
    </row>
    <row r="566" spans="1:13" x14ac:dyDescent="0.2">
      <c r="A566">
        <f>IF(ISBLANK(E566),"",VLOOKUP(E566,code!B:C,2,FALSE))</f>
        <v>9</v>
      </c>
      <c r="B566">
        <v>2020</v>
      </c>
      <c r="C566">
        <v>230782</v>
      </c>
      <c r="D566" t="s">
        <v>255</v>
      </c>
      <c r="E566" t="s">
        <v>17</v>
      </c>
      <c r="L566" s="18">
        <f t="shared" si="24"/>
        <v>0</v>
      </c>
      <c r="M566">
        <f t="shared" si="25"/>
        <v>0</v>
      </c>
    </row>
    <row r="567" spans="1:13" x14ac:dyDescent="0.2">
      <c r="A567">
        <f>IF(ISBLANK(E567),"",VLOOKUP(E567,code!B:C,2,FALSE))</f>
        <v>17</v>
      </c>
      <c r="B567">
        <v>2020</v>
      </c>
      <c r="C567">
        <v>230782</v>
      </c>
      <c r="D567" t="s">
        <v>255</v>
      </c>
      <c r="E567" t="s">
        <v>25</v>
      </c>
      <c r="H567" s="18">
        <v>19881</v>
      </c>
      <c r="L567" s="18">
        <f t="shared" si="24"/>
        <v>0</v>
      </c>
      <c r="M567">
        <f t="shared" si="25"/>
        <v>19881</v>
      </c>
    </row>
    <row r="568" spans="1:13" x14ac:dyDescent="0.2">
      <c r="A568">
        <f>IF(ISBLANK(E568),"",VLOOKUP(E568,code!B:C,2,FALSE))</f>
        <v>18</v>
      </c>
      <c r="B568">
        <v>2020</v>
      </c>
      <c r="C568">
        <v>230782</v>
      </c>
      <c r="D568" t="s">
        <v>255</v>
      </c>
      <c r="E568" t="s">
        <v>26</v>
      </c>
      <c r="H568" s="18">
        <v>1771</v>
      </c>
      <c r="L568" s="18">
        <f t="shared" si="24"/>
        <v>0</v>
      </c>
      <c r="M568">
        <f t="shared" si="25"/>
        <v>1771</v>
      </c>
    </row>
    <row r="569" spans="1:13" x14ac:dyDescent="0.2">
      <c r="A569">
        <f>IF(ISBLANK(E569),"",VLOOKUP(E569,code!B:C,2,FALSE))</f>
        <v>20</v>
      </c>
      <c r="B569">
        <v>2020</v>
      </c>
      <c r="C569">
        <v>230782</v>
      </c>
      <c r="D569" t="s">
        <v>255</v>
      </c>
      <c r="E569" t="s">
        <v>28</v>
      </c>
      <c r="L569" s="18">
        <f t="shared" si="24"/>
        <v>0</v>
      </c>
      <c r="M569">
        <f t="shared" si="25"/>
        <v>0</v>
      </c>
    </row>
    <row r="570" spans="1:13" x14ac:dyDescent="0.2">
      <c r="A570">
        <f>IF(ISBLANK(E570),"",VLOOKUP(E570,code!B:C,2,FALSE))</f>
        <v>21</v>
      </c>
      <c r="B570">
        <v>2020</v>
      </c>
      <c r="C570">
        <v>230782</v>
      </c>
      <c r="D570" t="s">
        <v>255</v>
      </c>
      <c r="E570" t="s">
        <v>30</v>
      </c>
      <c r="L570" s="18">
        <f t="shared" si="24"/>
        <v>0</v>
      </c>
      <c r="M570">
        <f t="shared" si="25"/>
        <v>0</v>
      </c>
    </row>
    <row r="571" spans="1:13" x14ac:dyDescent="0.2">
      <c r="A571">
        <f>IF(ISBLANK(E571),"",VLOOKUP(E571,code!B:C,2,FALSE))</f>
        <v>23</v>
      </c>
      <c r="B571">
        <v>2020</v>
      </c>
      <c r="C571">
        <v>230782</v>
      </c>
      <c r="D571" t="s">
        <v>255</v>
      </c>
      <c r="E571" t="s">
        <v>33</v>
      </c>
      <c r="H571" s="18">
        <v>6464</v>
      </c>
      <c r="L571" s="18">
        <f t="shared" si="24"/>
        <v>0</v>
      </c>
      <c r="M571">
        <f t="shared" si="25"/>
        <v>6464</v>
      </c>
    </row>
    <row r="572" spans="1:13" x14ac:dyDescent="0.2">
      <c r="A572">
        <f>IF(ISBLANK(E572),"",VLOOKUP(E572,code!B:C,2,FALSE))</f>
        <v>2</v>
      </c>
      <c r="B572">
        <v>2021</v>
      </c>
      <c r="C572">
        <v>230782</v>
      </c>
      <c r="D572" t="s">
        <v>255</v>
      </c>
      <c r="E572" t="s">
        <v>10</v>
      </c>
      <c r="F572" s="18">
        <v>49704</v>
      </c>
      <c r="H572" s="18">
        <v>1593</v>
      </c>
      <c r="L572" s="18">
        <f t="shared" si="24"/>
        <v>49704</v>
      </c>
      <c r="M572">
        <f t="shared" si="25"/>
        <v>1593</v>
      </c>
    </row>
    <row r="573" spans="1:13" x14ac:dyDescent="0.2">
      <c r="A573">
        <f>IF(ISBLANK(E573),"",VLOOKUP(E573,code!B:C,2,FALSE))</f>
        <v>8</v>
      </c>
      <c r="B573">
        <v>2021</v>
      </c>
      <c r="C573">
        <v>230782</v>
      </c>
      <c r="D573" t="s">
        <v>255</v>
      </c>
      <c r="E573" t="s">
        <v>16</v>
      </c>
      <c r="F573" s="18">
        <v>77097</v>
      </c>
      <c r="L573" s="18">
        <f t="shared" si="24"/>
        <v>77097</v>
      </c>
      <c r="M573">
        <f t="shared" si="25"/>
        <v>0</v>
      </c>
    </row>
    <row r="574" spans="1:13" x14ac:dyDescent="0.2">
      <c r="A574">
        <f>IF(ISBLANK(E574),"",VLOOKUP(E574,code!B:C,2,FALSE))</f>
        <v>9</v>
      </c>
      <c r="B574">
        <v>2021</v>
      </c>
      <c r="C574">
        <v>230782</v>
      </c>
      <c r="D574" t="s">
        <v>255</v>
      </c>
      <c r="E574" t="s">
        <v>17</v>
      </c>
      <c r="L574" s="18">
        <f t="shared" si="24"/>
        <v>0</v>
      </c>
      <c r="M574">
        <f t="shared" si="25"/>
        <v>0</v>
      </c>
    </row>
    <row r="575" spans="1:13" x14ac:dyDescent="0.2">
      <c r="A575">
        <f>IF(ISBLANK(E575),"",VLOOKUP(E575,code!B:C,2,FALSE))</f>
        <v>9</v>
      </c>
      <c r="B575">
        <v>2021</v>
      </c>
      <c r="C575">
        <v>230782</v>
      </c>
      <c r="D575" t="s">
        <v>255</v>
      </c>
      <c r="E575" t="s">
        <v>17</v>
      </c>
      <c r="L575" s="18">
        <f t="shared" si="24"/>
        <v>0</v>
      </c>
      <c r="M575">
        <f t="shared" si="25"/>
        <v>0</v>
      </c>
    </row>
    <row r="576" spans="1:13" x14ac:dyDescent="0.2">
      <c r="A576">
        <f>IF(ISBLANK(E576),"",VLOOKUP(E576,code!B:C,2,FALSE))</f>
        <v>17</v>
      </c>
      <c r="B576">
        <v>2021</v>
      </c>
      <c r="C576">
        <v>230782</v>
      </c>
      <c r="D576" t="s">
        <v>255</v>
      </c>
      <c r="E576" t="s">
        <v>25</v>
      </c>
      <c r="H576" s="18">
        <v>2675</v>
      </c>
      <c r="L576" s="18">
        <f t="shared" si="24"/>
        <v>0</v>
      </c>
      <c r="M576">
        <f t="shared" si="25"/>
        <v>2675</v>
      </c>
    </row>
    <row r="577" spans="1:13" x14ac:dyDescent="0.2">
      <c r="A577">
        <f>IF(ISBLANK(E577),"",VLOOKUP(E577,code!B:C,2,FALSE))</f>
        <v>18</v>
      </c>
      <c r="B577">
        <v>2021</v>
      </c>
      <c r="C577">
        <v>230782</v>
      </c>
      <c r="D577" t="s">
        <v>255</v>
      </c>
      <c r="E577" t="s">
        <v>26</v>
      </c>
      <c r="L577" s="18">
        <f t="shared" si="24"/>
        <v>0</v>
      </c>
      <c r="M577">
        <f t="shared" si="25"/>
        <v>0</v>
      </c>
    </row>
    <row r="578" spans="1:13" x14ac:dyDescent="0.2">
      <c r="A578">
        <f>IF(ISBLANK(E578),"",VLOOKUP(E578,code!B:C,2,FALSE))</f>
        <v>20</v>
      </c>
      <c r="B578">
        <v>2021</v>
      </c>
      <c r="C578">
        <v>230782</v>
      </c>
      <c r="D578" t="s">
        <v>255</v>
      </c>
      <c r="E578" t="s">
        <v>28</v>
      </c>
      <c r="L578" s="18">
        <f t="shared" si="24"/>
        <v>0</v>
      </c>
      <c r="M578">
        <f t="shared" si="25"/>
        <v>0</v>
      </c>
    </row>
    <row r="579" spans="1:13" x14ac:dyDescent="0.2">
      <c r="A579">
        <f>IF(ISBLANK(E579),"",VLOOKUP(E579,code!B:C,2,FALSE))</f>
        <v>21</v>
      </c>
      <c r="B579">
        <v>2021</v>
      </c>
      <c r="C579">
        <v>230782</v>
      </c>
      <c r="D579" t="s">
        <v>255</v>
      </c>
      <c r="E579" t="s">
        <v>30</v>
      </c>
      <c r="L579" s="18">
        <f t="shared" si="24"/>
        <v>0</v>
      </c>
      <c r="M579">
        <f t="shared" si="25"/>
        <v>0</v>
      </c>
    </row>
    <row r="580" spans="1:13" x14ac:dyDescent="0.2">
      <c r="A580">
        <f>IF(ISBLANK(E580),"",VLOOKUP(E580,code!B:C,2,FALSE))</f>
        <v>23</v>
      </c>
      <c r="B580">
        <v>2021</v>
      </c>
      <c r="C580">
        <v>230782</v>
      </c>
      <c r="D580" t="s">
        <v>255</v>
      </c>
      <c r="E580" t="s">
        <v>33</v>
      </c>
      <c r="L580" s="18">
        <f t="shared" si="24"/>
        <v>0</v>
      </c>
      <c r="M580">
        <f t="shared" si="25"/>
        <v>0</v>
      </c>
    </row>
    <row r="581" spans="1:13" x14ac:dyDescent="0.2">
      <c r="A581">
        <f>IF(ISBLANK(E581),"",VLOOKUP(E581,code!B:C,2,FALSE))</f>
        <v>2</v>
      </c>
      <c r="B581">
        <v>2022</v>
      </c>
      <c r="C581">
        <v>230782</v>
      </c>
      <c r="D581" t="s">
        <v>255</v>
      </c>
      <c r="E581" t="s">
        <v>10</v>
      </c>
      <c r="F581" s="18">
        <v>62763</v>
      </c>
      <c r="H581" s="18">
        <v>26759</v>
      </c>
      <c r="L581" s="18">
        <f t="shared" si="24"/>
        <v>62763</v>
      </c>
      <c r="M581">
        <f t="shared" si="25"/>
        <v>26759</v>
      </c>
    </row>
    <row r="582" spans="1:13" x14ac:dyDescent="0.2">
      <c r="A582">
        <f>IF(ISBLANK(E582),"",VLOOKUP(E582,code!B:C,2,FALSE))</f>
        <v>8</v>
      </c>
      <c r="B582">
        <v>2022</v>
      </c>
      <c r="C582">
        <v>230782</v>
      </c>
      <c r="D582" t="s">
        <v>255</v>
      </c>
      <c r="E582" t="s">
        <v>16</v>
      </c>
      <c r="F582" s="18">
        <v>118590</v>
      </c>
      <c r="L582" s="18">
        <f t="shared" si="24"/>
        <v>118590</v>
      </c>
      <c r="M582">
        <f t="shared" si="25"/>
        <v>0</v>
      </c>
    </row>
    <row r="583" spans="1:13" x14ac:dyDescent="0.2">
      <c r="A583">
        <f>IF(ISBLANK(E583),"",VLOOKUP(E583,code!B:C,2,FALSE))</f>
        <v>9</v>
      </c>
      <c r="B583">
        <v>2022</v>
      </c>
      <c r="C583">
        <v>230782</v>
      </c>
      <c r="D583" t="s">
        <v>255</v>
      </c>
      <c r="E583" t="s">
        <v>17</v>
      </c>
      <c r="L583" s="18">
        <f t="shared" si="24"/>
        <v>0</v>
      </c>
      <c r="M583">
        <f t="shared" si="25"/>
        <v>0</v>
      </c>
    </row>
    <row r="584" spans="1:13" x14ac:dyDescent="0.2">
      <c r="A584">
        <f>IF(ISBLANK(E584),"",VLOOKUP(E584,code!B:C,2,FALSE))</f>
        <v>9</v>
      </c>
      <c r="B584">
        <v>2022</v>
      </c>
      <c r="C584">
        <v>230782</v>
      </c>
      <c r="D584" t="s">
        <v>255</v>
      </c>
      <c r="E584" t="s">
        <v>17</v>
      </c>
      <c r="L584" s="18">
        <f t="shared" si="24"/>
        <v>0</v>
      </c>
      <c r="M584">
        <f t="shared" si="25"/>
        <v>0</v>
      </c>
    </row>
    <row r="585" spans="1:13" x14ac:dyDescent="0.2">
      <c r="A585">
        <f>IF(ISBLANK(E585),"",VLOOKUP(E585,code!B:C,2,FALSE))</f>
        <v>17</v>
      </c>
      <c r="B585">
        <v>2022</v>
      </c>
      <c r="C585">
        <v>230782</v>
      </c>
      <c r="D585" t="s">
        <v>255</v>
      </c>
      <c r="E585" t="s">
        <v>25</v>
      </c>
      <c r="H585" s="18">
        <v>6897</v>
      </c>
      <c r="L585" s="18">
        <f t="shared" si="24"/>
        <v>0</v>
      </c>
      <c r="M585">
        <f t="shared" si="25"/>
        <v>6897</v>
      </c>
    </row>
    <row r="586" spans="1:13" x14ac:dyDescent="0.2">
      <c r="A586">
        <f>IF(ISBLANK(E586),"",VLOOKUP(E586,code!B:C,2,FALSE))</f>
        <v>18</v>
      </c>
      <c r="B586">
        <v>2022</v>
      </c>
      <c r="C586">
        <v>230782</v>
      </c>
      <c r="D586" t="s">
        <v>255</v>
      </c>
      <c r="E586" t="s">
        <v>26</v>
      </c>
      <c r="H586" s="18">
        <v>4422</v>
      </c>
      <c r="L586" s="18">
        <f t="shared" si="24"/>
        <v>0</v>
      </c>
      <c r="M586">
        <f t="shared" si="25"/>
        <v>4422</v>
      </c>
    </row>
    <row r="587" spans="1:13" x14ac:dyDescent="0.2">
      <c r="A587">
        <f>IF(ISBLANK(E587),"",VLOOKUP(E587,code!B:C,2,FALSE))</f>
        <v>20</v>
      </c>
      <c r="B587">
        <v>2022</v>
      </c>
      <c r="C587">
        <v>230782</v>
      </c>
      <c r="D587" t="s">
        <v>255</v>
      </c>
      <c r="E587" t="s">
        <v>28</v>
      </c>
      <c r="L587" s="18">
        <f t="shared" si="24"/>
        <v>0</v>
      </c>
      <c r="M587">
        <f t="shared" si="25"/>
        <v>0</v>
      </c>
    </row>
    <row r="588" spans="1:13" x14ac:dyDescent="0.2">
      <c r="A588">
        <f>IF(ISBLANK(E588),"",VLOOKUP(E588,code!B:C,2,FALSE))</f>
        <v>21</v>
      </c>
      <c r="B588">
        <v>2022</v>
      </c>
      <c r="C588">
        <v>230782</v>
      </c>
      <c r="D588" t="s">
        <v>255</v>
      </c>
      <c r="E588" t="s">
        <v>30</v>
      </c>
      <c r="F588">
        <v>70</v>
      </c>
      <c r="H588">
        <v>70</v>
      </c>
      <c r="L588" s="18">
        <f t="shared" si="24"/>
        <v>70</v>
      </c>
      <c r="M588">
        <f t="shared" si="25"/>
        <v>70</v>
      </c>
    </row>
    <row r="589" spans="1:13" x14ac:dyDescent="0.2">
      <c r="A589">
        <f>IF(ISBLANK(E589),"",VLOOKUP(E589,code!B:C,2,FALSE))</f>
        <v>23</v>
      </c>
      <c r="B589">
        <v>2022</v>
      </c>
      <c r="C589">
        <v>230782</v>
      </c>
      <c r="D589" t="s">
        <v>255</v>
      </c>
      <c r="E589" t="s">
        <v>33</v>
      </c>
      <c r="H589" s="18">
        <v>2394</v>
      </c>
      <c r="L589" s="18">
        <f t="shared" si="24"/>
        <v>0</v>
      </c>
      <c r="M589">
        <f t="shared" si="25"/>
        <v>2394</v>
      </c>
    </row>
    <row r="590" spans="1:13" x14ac:dyDescent="0.2">
      <c r="A590">
        <f>IF(ISBLANK(E590),"",VLOOKUP(E590,code!B:C,2,FALSE))</f>
        <v>2</v>
      </c>
      <c r="B590">
        <v>2023</v>
      </c>
      <c r="C590">
        <v>230782</v>
      </c>
      <c r="D590" t="s">
        <v>255</v>
      </c>
      <c r="E590" t="s">
        <v>10</v>
      </c>
      <c r="F590" s="18">
        <v>52168</v>
      </c>
      <c r="H590" s="18">
        <v>37474</v>
      </c>
      <c r="L590" s="18">
        <f t="shared" si="24"/>
        <v>52168</v>
      </c>
      <c r="M590">
        <f t="shared" si="25"/>
        <v>37474</v>
      </c>
    </row>
    <row r="591" spans="1:13" x14ac:dyDescent="0.2">
      <c r="A591">
        <f>IF(ISBLANK(E591),"",VLOOKUP(E591,code!B:C,2,FALSE))</f>
        <v>8</v>
      </c>
      <c r="B591">
        <v>2023</v>
      </c>
      <c r="C591">
        <v>230782</v>
      </c>
      <c r="D591" t="s">
        <v>255</v>
      </c>
      <c r="E591" t="s">
        <v>16</v>
      </c>
      <c r="F591" s="18">
        <v>157947</v>
      </c>
      <c r="L591" s="18">
        <f t="shared" si="24"/>
        <v>157947</v>
      </c>
      <c r="M591">
        <f t="shared" si="25"/>
        <v>0</v>
      </c>
    </row>
    <row r="592" spans="1:13" x14ac:dyDescent="0.2">
      <c r="A592">
        <f>IF(ISBLANK(E592),"",VLOOKUP(E592,code!B:C,2,FALSE))</f>
        <v>9</v>
      </c>
      <c r="B592">
        <v>2023</v>
      </c>
      <c r="C592">
        <v>230782</v>
      </c>
      <c r="D592" t="s">
        <v>255</v>
      </c>
      <c r="E592" t="s">
        <v>17</v>
      </c>
      <c r="L592" s="18">
        <f t="shared" si="24"/>
        <v>0</v>
      </c>
      <c r="M592">
        <f t="shared" si="25"/>
        <v>0</v>
      </c>
    </row>
    <row r="593" spans="1:13" x14ac:dyDescent="0.2">
      <c r="A593">
        <f>IF(ISBLANK(E593),"",VLOOKUP(E593,code!B:C,2,FALSE))</f>
        <v>9</v>
      </c>
      <c r="B593">
        <v>2023</v>
      </c>
      <c r="C593">
        <v>230782</v>
      </c>
      <c r="D593" t="s">
        <v>255</v>
      </c>
      <c r="E593" t="s">
        <v>17</v>
      </c>
      <c r="L593" s="18">
        <f t="shared" si="24"/>
        <v>0</v>
      </c>
      <c r="M593">
        <f t="shared" si="25"/>
        <v>0</v>
      </c>
    </row>
    <row r="594" spans="1:13" x14ac:dyDescent="0.2">
      <c r="A594">
        <f>IF(ISBLANK(E594),"",VLOOKUP(E594,code!B:C,2,FALSE))</f>
        <v>17</v>
      </c>
      <c r="B594">
        <v>2023</v>
      </c>
      <c r="C594">
        <v>230782</v>
      </c>
      <c r="D594" t="s">
        <v>255</v>
      </c>
      <c r="E594" t="s">
        <v>25</v>
      </c>
      <c r="H594" s="18">
        <v>1014</v>
      </c>
      <c r="L594" s="18">
        <f t="shared" ref="L594:L598" si="26">SUM(F594:G594)</f>
        <v>0</v>
      </c>
      <c r="M594">
        <f t="shared" ref="M594:M598" si="27">SUM(H594:I594)</f>
        <v>1014</v>
      </c>
    </row>
    <row r="595" spans="1:13" x14ac:dyDescent="0.2">
      <c r="A595">
        <f>IF(ISBLANK(E595),"",VLOOKUP(E595,code!B:C,2,FALSE))</f>
        <v>18</v>
      </c>
      <c r="B595">
        <v>2023</v>
      </c>
      <c r="C595">
        <v>230782</v>
      </c>
      <c r="D595" t="s">
        <v>255</v>
      </c>
      <c r="E595" t="s">
        <v>26</v>
      </c>
      <c r="H595">
        <v>833</v>
      </c>
      <c r="L595" s="18">
        <f t="shared" si="26"/>
        <v>0</v>
      </c>
      <c r="M595">
        <f t="shared" si="27"/>
        <v>833</v>
      </c>
    </row>
    <row r="596" spans="1:13" x14ac:dyDescent="0.2">
      <c r="A596">
        <f>IF(ISBLANK(E596),"",VLOOKUP(E596,code!B:C,2,FALSE))</f>
        <v>20</v>
      </c>
      <c r="B596">
        <v>2023</v>
      </c>
      <c r="C596">
        <v>230782</v>
      </c>
      <c r="D596" t="s">
        <v>255</v>
      </c>
      <c r="E596" t="s">
        <v>28</v>
      </c>
      <c r="L596" s="18">
        <f t="shared" si="26"/>
        <v>0</v>
      </c>
      <c r="M596">
        <f t="shared" si="27"/>
        <v>0</v>
      </c>
    </row>
    <row r="597" spans="1:13" x14ac:dyDescent="0.2">
      <c r="A597">
        <f>IF(ISBLANK(E597),"",VLOOKUP(E597,code!B:C,2,FALSE))</f>
        <v>21</v>
      </c>
      <c r="B597">
        <v>2023</v>
      </c>
      <c r="C597">
        <v>230782</v>
      </c>
      <c r="D597" t="s">
        <v>255</v>
      </c>
      <c r="E597" t="s">
        <v>31</v>
      </c>
      <c r="L597" s="18">
        <f t="shared" si="26"/>
        <v>0</v>
      </c>
      <c r="M597">
        <f t="shared" si="27"/>
        <v>0</v>
      </c>
    </row>
    <row r="598" spans="1:13" x14ac:dyDescent="0.2">
      <c r="A598">
        <f>IF(ISBLANK(E598),"",VLOOKUP(E598,code!B:C,2,FALSE))</f>
        <v>23</v>
      </c>
      <c r="B598">
        <v>2023</v>
      </c>
      <c r="C598">
        <v>230782</v>
      </c>
      <c r="D598" t="s">
        <v>255</v>
      </c>
      <c r="E598" t="s">
        <v>33</v>
      </c>
      <c r="H598" s="18">
        <v>14462</v>
      </c>
      <c r="L598" s="18">
        <f t="shared" si="26"/>
        <v>0</v>
      </c>
      <c r="M598">
        <f t="shared" si="27"/>
        <v>14462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37E1-3694-4F27-8A97-86E6BD60803B}">
  <dimension ref="A1:C224"/>
  <sheetViews>
    <sheetView workbookViewId="0"/>
  </sheetViews>
  <sheetFormatPr baseColWidth="10" defaultColWidth="8.83203125" defaultRowHeight="15" x14ac:dyDescent="0.2"/>
  <cols>
    <col min="1" max="1" width="7" customWidth="1"/>
    <col min="2" max="2" width="22" customWidth="1"/>
    <col min="3" max="3" width="7" customWidth="1"/>
  </cols>
  <sheetData>
    <row r="1" spans="1:3" x14ac:dyDescent="0.2">
      <c r="A1" t="s">
        <v>7</v>
      </c>
      <c r="B1" t="s">
        <v>46</v>
      </c>
      <c r="C1" t="s">
        <v>7</v>
      </c>
    </row>
    <row r="2" spans="1:3" x14ac:dyDescent="0.2">
      <c r="A2">
        <v>500002</v>
      </c>
      <c r="B2" t="s">
        <v>47</v>
      </c>
      <c r="C2">
        <v>500002</v>
      </c>
    </row>
    <row r="3" spans="1:3" x14ac:dyDescent="0.2">
      <c r="A3">
        <v>200800</v>
      </c>
      <c r="B3" t="s">
        <v>48</v>
      </c>
      <c r="C3">
        <v>200800</v>
      </c>
    </row>
    <row r="4" spans="1:3" x14ac:dyDescent="0.2">
      <c r="A4">
        <v>100751</v>
      </c>
      <c r="B4" t="s">
        <v>49</v>
      </c>
      <c r="C4">
        <v>100751</v>
      </c>
    </row>
    <row r="5" spans="1:3" x14ac:dyDescent="0.2">
      <c r="A5">
        <v>100724</v>
      </c>
      <c r="B5" t="s">
        <v>50</v>
      </c>
      <c r="C5">
        <v>100724</v>
      </c>
    </row>
    <row r="6" spans="1:3" x14ac:dyDescent="0.2">
      <c r="A6">
        <v>196060</v>
      </c>
      <c r="B6" t="s">
        <v>51</v>
      </c>
      <c r="C6">
        <v>196060</v>
      </c>
    </row>
    <row r="7" spans="1:3" x14ac:dyDescent="0.2">
      <c r="A7">
        <v>175342</v>
      </c>
      <c r="B7" t="s">
        <v>52</v>
      </c>
      <c r="C7">
        <v>175342</v>
      </c>
    </row>
    <row r="8" spans="1:3" x14ac:dyDescent="0.2">
      <c r="A8">
        <v>197869</v>
      </c>
      <c r="B8" t="s">
        <v>53</v>
      </c>
      <c r="C8">
        <v>197869</v>
      </c>
    </row>
    <row r="9" spans="1:3" x14ac:dyDescent="0.2">
      <c r="A9">
        <v>104179</v>
      </c>
      <c r="B9" t="s">
        <v>54</v>
      </c>
      <c r="C9">
        <v>104179</v>
      </c>
    </row>
    <row r="10" spans="1:3" x14ac:dyDescent="0.2">
      <c r="A10">
        <v>104151</v>
      </c>
      <c r="B10" t="s">
        <v>55</v>
      </c>
      <c r="C10">
        <v>104151</v>
      </c>
    </row>
    <row r="11" spans="1:3" x14ac:dyDescent="0.2">
      <c r="A11">
        <v>106397</v>
      </c>
      <c r="B11" t="s">
        <v>56</v>
      </c>
      <c r="C11">
        <v>106397</v>
      </c>
    </row>
    <row r="12" spans="1:3" x14ac:dyDescent="0.2">
      <c r="A12">
        <v>106245</v>
      </c>
      <c r="B12" t="s">
        <v>57</v>
      </c>
      <c r="C12">
        <v>106245</v>
      </c>
    </row>
    <row r="13" spans="1:3" x14ac:dyDescent="0.2">
      <c r="A13">
        <v>106412</v>
      </c>
      <c r="B13" t="s">
        <v>58</v>
      </c>
      <c r="C13">
        <v>106412</v>
      </c>
    </row>
    <row r="14" spans="1:3" x14ac:dyDescent="0.2">
      <c r="A14">
        <v>106458</v>
      </c>
      <c r="B14" t="s">
        <v>59</v>
      </c>
      <c r="C14">
        <v>106458</v>
      </c>
    </row>
    <row r="15" spans="1:3" x14ac:dyDescent="0.2">
      <c r="A15">
        <v>100858</v>
      </c>
      <c r="B15" t="s">
        <v>60</v>
      </c>
      <c r="C15">
        <v>100858</v>
      </c>
    </row>
    <row r="16" spans="1:3" x14ac:dyDescent="0.2">
      <c r="A16">
        <v>219602</v>
      </c>
      <c r="B16" t="s">
        <v>61</v>
      </c>
      <c r="C16">
        <v>219602</v>
      </c>
    </row>
    <row r="17" spans="1:3" x14ac:dyDescent="0.2">
      <c r="A17">
        <v>500001</v>
      </c>
      <c r="B17" t="s">
        <v>62</v>
      </c>
      <c r="C17">
        <v>500001</v>
      </c>
    </row>
    <row r="18" spans="1:3" x14ac:dyDescent="0.2">
      <c r="A18">
        <v>150136</v>
      </c>
      <c r="B18" t="s">
        <v>63</v>
      </c>
      <c r="C18">
        <v>150136</v>
      </c>
    </row>
    <row r="19" spans="1:3" x14ac:dyDescent="0.2">
      <c r="A19">
        <v>196079</v>
      </c>
      <c r="B19" t="s">
        <v>64</v>
      </c>
      <c r="C19">
        <v>196079</v>
      </c>
    </row>
    <row r="20" spans="1:3" x14ac:dyDescent="0.2">
      <c r="A20">
        <v>142115</v>
      </c>
      <c r="B20" t="s">
        <v>65</v>
      </c>
      <c r="C20">
        <v>142115</v>
      </c>
    </row>
    <row r="21" spans="1:3" x14ac:dyDescent="0.2">
      <c r="A21">
        <v>201441</v>
      </c>
      <c r="B21" t="s">
        <v>66</v>
      </c>
      <c r="C21">
        <v>201441</v>
      </c>
    </row>
    <row r="22" spans="1:3" x14ac:dyDescent="0.2">
      <c r="A22">
        <v>196088</v>
      </c>
      <c r="B22" t="s">
        <v>67</v>
      </c>
      <c r="C22">
        <v>196088</v>
      </c>
    </row>
    <row r="23" spans="1:3" x14ac:dyDescent="0.2">
      <c r="A23">
        <v>110422</v>
      </c>
      <c r="B23" t="s">
        <v>68</v>
      </c>
      <c r="C23">
        <v>110422</v>
      </c>
    </row>
    <row r="24" spans="1:3" x14ac:dyDescent="0.2">
      <c r="A24">
        <v>110486</v>
      </c>
      <c r="B24" t="s">
        <v>69</v>
      </c>
      <c r="C24">
        <v>110486</v>
      </c>
    </row>
    <row r="25" spans="1:3" x14ac:dyDescent="0.2">
      <c r="A25">
        <v>110565</v>
      </c>
      <c r="B25" t="s">
        <v>70</v>
      </c>
      <c r="C25">
        <v>110565</v>
      </c>
    </row>
    <row r="26" spans="1:3" x14ac:dyDescent="0.2">
      <c r="A26">
        <v>110608</v>
      </c>
      <c r="B26" t="s">
        <v>71</v>
      </c>
      <c r="C26">
        <v>110608</v>
      </c>
    </row>
    <row r="27" spans="1:3" x14ac:dyDescent="0.2">
      <c r="A27">
        <v>110635</v>
      </c>
      <c r="B27" t="s">
        <v>72</v>
      </c>
      <c r="C27">
        <v>110635</v>
      </c>
    </row>
    <row r="28" spans="1:3" x14ac:dyDescent="0.2">
      <c r="A28">
        <v>106704</v>
      </c>
      <c r="B28" t="s">
        <v>73</v>
      </c>
      <c r="C28">
        <v>106704</v>
      </c>
    </row>
    <row r="29" spans="1:3" x14ac:dyDescent="0.2">
      <c r="A29">
        <v>128771</v>
      </c>
      <c r="B29" t="s">
        <v>74</v>
      </c>
      <c r="C29">
        <v>128771</v>
      </c>
    </row>
    <row r="30" spans="1:3" x14ac:dyDescent="0.2">
      <c r="A30">
        <v>169248</v>
      </c>
      <c r="B30" t="s">
        <v>75</v>
      </c>
      <c r="C30">
        <v>169248</v>
      </c>
    </row>
    <row r="31" spans="1:3" x14ac:dyDescent="0.2">
      <c r="A31">
        <v>199139</v>
      </c>
      <c r="B31" t="s">
        <v>76</v>
      </c>
      <c r="C31">
        <v>199139</v>
      </c>
    </row>
    <row r="32" spans="1:3" x14ac:dyDescent="0.2">
      <c r="A32">
        <v>144005</v>
      </c>
      <c r="B32" t="s">
        <v>77</v>
      </c>
      <c r="C32">
        <v>144005</v>
      </c>
    </row>
    <row r="33" spans="1:3" x14ac:dyDescent="0.2">
      <c r="A33">
        <v>201885</v>
      </c>
      <c r="B33" t="s">
        <v>78</v>
      </c>
      <c r="C33">
        <v>201885</v>
      </c>
    </row>
    <row r="34" spans="1:3" x14ac:dyDescent="0.2">
      <c r="A34">
        <v>217864</v>
      </c>
      <c r="B34" t="s">
        <v>79</v>
      </c>
      <c r="C34">
        <v>217864</v>
      </c>
    </row>
    <row r="35" spans="1:3" x14ac:dyDescent="0.2">
      <c r="A35">
        <v>217882</v>
      </c>
      <c r="B35" t="s">
        <v>80</v>
      </c>
      <c r="C35">
        <v>217882</v>
      </c>
    </row>
    <row r="36" spans="1:3" x14ac:dyDescent="0.2">
      <c r="A36">
        <v>202134</v>
      </c>
      <c r="B36" t="s">
        <v>81</v>
      </c>
      <c r="C36">
        <v>202134</v>
      </c>
    </row>
    <row r="37" spans="1:3" x14ac:dyDescent="0.2">
      <c r="A37">
        <v>218724</v>
      </c>
      <c r="B37" t="s">
        <v>82</v>
      </c>
      <c r="C37">
        <v>218724</v>
      </c>
    </row>
    <row r="38" spans="1:3" x14ac:dyDescent="0.2">
      <c r="A38">
        <v>217819</v>
      </c>
      <c r="B38" t="s">
        <v>83</v>
      </c>
      <c r="C38">
        <v>217819</v>
      </c>
    </row>
    <row r="39" spans="1:3" x14ac:dyDescent="0.2">
      <c r="A39">
        <v>126614</v>
      </c>
      <c r="B39" t="s">
        <v>84</v>
      </c>
      <c r="C39">
        <v>126614</v>
      </c>
    </row>
    <row r="40" spans="1:3" x14ac:dyDescent="0.2">
      <c r="A40">
        <v>126818</v>
      </c>
      <c r="B40" t="s">
        <v>85</v>
      </c>
      <c r="C40">
        <v>126818</v>
      </c>
    </row>
    <row r="41" spans="1:3" x14ac:dyDescent="0.2">
      <c r="A41">
        <v>129020</v>
      </c>
      <c r="B41" t="s">
        <v>86</v>
      </c>
      <c r="C41">
        <v>129020</v>
      </c>
    </row>
    <row r="42" spans="1:3" x14ac:dyDescent="0.2">
      <c r="A42">
        <v>162283</v>
      </c>
      <c r="B42" t="s">
        <v>87</v>
      </c>
      <c r="C42">
        <v>162283</v>
      </c>
    </row>
    <row r="43" spans="1:3" x14ac:dyDescent="0.2">
      <c r="A43">
        <v>198464</v>
      </c>
      <c r="B43" t="s">
        <v>88</v>
      </c>
      <c r="C43">
        <v>198464</v>
      </c>
    </row>
    <row r="44" spans="1:3" x14ac:dyDescent="0.2">
      <c r="A44">
        <v>220075</v>
      </c>
      <c r="B44" t="s">
        <v>89</v>
      </c>
      <c r="C44">
        <v>220075</v>
      </c>
    </row>
    <row r="45" spans="1:3" x14ac:dyDescent="0.2">
      <c r="A45">
        <v>144892</v>
      </c>
      <c r="B45" t="s">
        <v>90</v>
      </c>
      <c r="C45">
        <v>144892</v>
      </c>
    </row>
    <row r="46" spans="1:3" x14ac:dyDescent="0.2">
      <c r="A46">
        <v>156620</v>
      </c>
      <c r="B46" t="s">
        <v>91</v>
      </c>
      <c r="C46">
        <v>156620</v>
      </c>
    </row>
    <row r="47" spans="1:3" x14ac:dyDescent="0.2">
      <c r="A47">
        <v>169798</v>
      </c>
      <c r="B47" t="s">
        <v>92</v>
      </c>
      <c r="C47">
        <v>169798</v>
      </c>
    </row>
    <row r="48" spans="1:3" x14ac:dyDescent="0.2">
      <c r="A48">
        <v>235097</v>
      </c>
      <c r="B48" t="s">
        <v>93</v>
      </c>
      <c r="C48">
        <v>235097</v>
      </c>
    </row>
    <row r="49" spans="1:3" x14ac:dyDescent="0.2">
      <c r="A49">
        <v>134130</v>
      </c>
      <c r="B49" t="s">
        <v>94</v>
      </c>
      <c r="C49">
        <v>134130</v>
      </c>
    </row>
    <row r="50" spans="1:3" x14ac:dyDescent="0.2">
      <c r="A50">
        <v>133669</v>
      </c>
      <c r="B50" t="s">
        <v>95</v>
      </c>
      <c r="C50">
        <v>133669</v>
      </c>
    </row>
    <row r="51" spans="1:3" x14ac:dyDescent="0.2">
      <c r="A51">
        <v>433660</v>
      </c>
      <c r="B51" t="s">
        <v>96</v>
      </c>
      <c r="C51">
        <v>433660</v>
      </c>
    </row>
    <row r="52" spans="1:3" x14ac:dyDescent="0.2">
      <c r="A52">
        <v>133951</v>
      </c>
      <c r="B52" t="s">
        <v>97</v>
      </c>
      <c r="C52">
        <v>133951</v>
      </c>
    </row>
    <row r="53" spans="1:3" x14ac:dyDescent="0.2">
      <c r="A53">
        <v>134097</v>
      </c>
      <c r="B53" t="s">
        <v>98</v>
      </c>
      <c r="C53">
        <v>134097</v>
      </c>
    </row>
    <row r="54" spans="1:3" x14ac:dyDescent="0.2">
      <c r="A54">
        <v>110556</v>
      </c>
      <c r="B54" t="s">
        <v>99</v>
      </c>
      <c r="C54">
        <v>110556</v>
      </c>
    </row>
    <row r="55" spans="1:3" x14ac:dyDescent="0.2">
      <c r="A55">
        <v>232186</v>
      </c>
      <c r="B55" t="s">
        <v>100</v>
      </c>
      <c r="C55">
        <v>232186</v>
      </c>
    </row>
    <row r="56" spans="1:3" x14ac:dyDescent="0.2">
      <c r="A56">
        <v>139959</v>
      </c>
      <c r="B56" t="s">
        <v>101</v>
      </c>
      <c r="C56">
        <v>139959</v>
      </c>
    </row>
    <row r="57" spans="1:3" x14ac:dyDescent="0.2">
      <c r="A57">
        <v>139931</v>
      </c>
      <c r="B57" t="s">
        <v>102</v>
      </c>
      <c r="C57">
        <v>139931</v>
      </c>
    </row>
    <row r="58" spans="1:3" x14ac:dyDescent="0.2">
      <c r="A58">
        <v>139940</v>
      </c>
      <c r="B58" t="s">
        <v>103</v>
      </c>
      <c r="C58">
        <v>139940</v>
      </c>
    </row>
    <row r="59" spans="1:3" x14ac:dyDescent="0.2">
      <c r="A59">
        <v>139755</v>
      </c>
      <c r="B59" t="s">
        <v>104</v>
      </c>
      <c r="C59">
        <v>139755</v>
      </c>
    </row>
    <row r="60" spans="1:3" x14ac:dyDescent="0.2">
      <c r="A60">
        <v>159009</v>
      </c>
      <c r="B60" t="s">
        <v>105</v>
      </c>
      <c r="C60">
        <v>159009</v>
      </c>
    </row>
    <row r="61" spans="1:3" x14ac:dyDescent="0.2">
      <c r="A61">
        <v>141574</v>
      </c>
      <c r="B61" t="s">
        <v>106</v>
      </c>
      <c r="C61">
        <v>141574</v>
      </c>
    </row>
    <row r="62" spans="1:3" x14ac:dyDescent="0.2">
      <c r="A62">
        <v>225511</v>
      </c>
      <c r="B62" t="s">
        <v>107</v>
      </c>
      <c r="C62">
        <v>225511</v>
      </c>
    </row>
    <row r="63" spans="1:3" x14ac:dyDescent="0.2">
      <c r="A63">
        <v>142285</v>
      </c>
      <c r="B63" t="s">
        <v>108</v>
      </c>
      <c r="C63">
        <v>142285</v>
      </c>
    </row>
    <row r="64" spans="1:3" x14ac:dyDescent="0.2">
      <c r="A64">
        <v>142276</v>
      </c>
      <c r="B64" t="s">
        <v>109</v>
      </c>
      <c r="C64">
        <v>142276</v>
      </c>
    </row>
    <row r="65" spans="1:3" x14ac:dyDescent="0.2">
      <c r="A65">
        <v>145637</v>
      </c>
      <c r="B65" t="s">
        <v>110</v>
      </c>
      <c r="C65">
        <v>145637</v>
      </c>
    </row>
    <row r="66" spans="1:3" x14ac:dyDescent="0.2">
      <c r="A66">
        <v>145600</v>
      </c>
      <c r="B66" t="s">
        <v>111</v>
      </c>
      <c r="C66">
        <v>145600</v>
      </c>
    </row>
    <row r="67" spans="1:3" x14ac:dyDescent="0.2">
      <c r="A67">
        <v>145813</v>
      </c>
      <c r="B67" t="s">
        <v>112</v>
      </c>
      <c r="C67">
        <v>145813</v>
      </c>
    </row>
    <row r="68" spans="1:3" x14ac:dyDescent="0.2">
      <c r="A68">
        <v>151351</v>
      </c>
      <c r="B68" t="s">
        <v>113</v>
      </c>
      <c r="C68">
        <v>151351</v>
      </c>
    </row>
    <row r="69" spans="1:3" x14ac:dyDescent="0.2">
      <c r="A69">
        <v>151324</v>
      </c>
      <c r="B69" t="s">
        <v>114</v>
      </c>
      <c r="C69">
        <v>151324</v>
      </c>
    </row>
    <row r="70" spans="1:3" x14ac:dyDescent="0.2">
      <c r="A70">
        <v>153658</v>
      </c>
      <c r="B70" t="s">
        <v>115</v>
      </c>
      <c r="C70">
        <v>153658</v>
      </c>
    </row>
    <row r="71" spans="1:3" x14ac:dyDescent="0.2">
      <c r="A71">
        <v>153603</v>
      </c>
      <c r="B71" t="s">
        <v>116</v>
      </c>
      <c r="C71">
        <v>153603</v>
      </c>
    </row>
    <row r="72" spans="1:3" x14ac:dyDescent="0.2">
      <c r="A72">
        <v>151111</v>
      </c>
      <c r="B72" t="s">
        <v>117</v>
      </c>
      <c r="C72">
        <v>151111</v>
      </c>
    </row>
    <row r="73" spans="1:3" x14ac:dyDescent="0.2">
      <c r="A73">
        <v>175856</v>
      </c>
      <c r="B73" t="s">
        <v>118</v>
      </c>
      <c r="C73">
        <v>175856</v>
      </c>
    </row>
    <row r="74" spans="1:3" x14ac:dyDescent="0.2">
      <c r="A74">
        <v>232423</v>
      </c>
      <c r="B74" t="s">
        <v>119</v>
      </c>
      <c r="C74">
        <v>232423</v>
      </c>
    </row>
    <row r="75" spans="1:3" x14ac:dyDescent="0.2">
      <c r="A75">
        <v>155317</v>
      </c>
      <c r="B75" t="s">
        <v>120</v>
      </c>
      <c r="C75">
        <v>155317</v>
      </c>
    </row>
    <row r="76" spans="1:3" x14ac:dyDescent="0.2">
      <c r="A76">
        <v>155399</v>
      </c>
      <c r="B76" t="s">
        <v>121</v>
      </c>
      <c r="C76">
        <v>155399</v>
      </c>
    </row>
    <row r="77" spans="1:3" x14ac:dyDescent="0.2">
      <c r="A77">
        <v>486840</v>
      </c>
      <c r="B77" t="s">
        <v>122</v>
      </c>
      <c r="C77">
        <v>486840</v>
      </c>
    </row>
    <row r="78" spans="1:3" x14ac:dyDescent="0.2">
      <c r="A78">
        <v>203517</v>
      </c>
      <c r="B78" t="s">
        <v>123</v>
      </c>
      <c r="C78">
        <v>203517</v>
      </c>
    </row>
    <row r="79" spans="1:3" x14ac:dyDescent="0.2">
      <c r="A79">
        <v>157085</v>
      </c>
      <c r="B79" t="s">
        <v>124</v>
      </c>
      <c r="C79">
        <v>157085</v>
      </c>
    </row>
    <row r="80" spans="1:3" x14ac:dyDescent="0.2">
      <c r="A80">
        <v>226091</v>
      </c>
      <c r="B80" t="s">
        <v>125</v>
      </c>
      <c r="C80">
        <v>226091</v>
      </c>
    </row>
    <row r="81" spans="1:3" x14ac:dyDescent="0.2">
      <c r="A81">
        <v>110583</v>
      </c>
      <c r="B81" t="s">
        <v>126</v>
      </c>
      <c r="C81">
        <v>110583</v>
      </c>
    </row>
    <row r="82" spans="1:3" x14ac:dyDescent="0.2">
      <c r="A82">
        <v>232566</v>
      </c>
      <c r="B82" t="s">
        <v>127</v>
      </c>
      <c r="C82">
        <v>232566</v>
      </c>
    </row>
    <row r="83" spans="1:3" x14ac:dyDescent="0.2">
      <c r="A83">
        <v>160658</v>
      </c>
      <c r="B83" t="s">
        <v>128</v>
      </c>
      <c r="C83">
        <v>160658</v>
      </c>
    </row>
    <row r="84" spans="1:3" x14ac:dyDescent="0.2">
      <c r="A84">
        <v>159993</v>
      </c>
      <c r="B84" t="s">
        <v>129</v>
      </c>
      <c r="C84">
        <v>159993</v>
      </c>
    </row>
    <row r="85" spans="1:3" x14ac:dyDescent="0.2">
      <c r="A85">
        <v>159647</v>
      </c>
      <c r="B85" t="s">
        <v>130</v>
      </c>
      <c r="C85">
        <v>159647</v>
      </c>
    </row>
    <row r="86" spans="1:3" x14ac:dyDescent="0.2">
      <c r="A86">
        <v>157289</v>
      </c>
      <c r="B86" t="s">
        <v>131</v>
      </c>
      <c r="C86">
        <v>157289</v>
      </c>
    </row>
    <row r="87" spans="1:3" x14ac:dyDescent="0.2">
      <c r="A87">
        <v>159391</v>
      </c>
      <c r="B87" t="s">
        <v>132</v>
      </c>
      <c r="C87">
        <v>159391</v>
      </c>
    </row>
    <row r="88" spans="1:3" x14ac:dyDescent="0.2">
      <c r="A88">
        <v>161253</v>
      </c>
      <c r="B88" t="s">
        <v>133</v>
      </c>
      <c r="C88">
        <v>161253</v>
      </c>
    </row>
    <row r="89" spans="1:3" x14ac:dyDescent="0.2">
      <c r="A89">
        <v>237525</v>
      </c>
      <c r="B89" t="s">
        <v>134</v>
      </c>
      <c r="C89">
        <v>237525</v>
      </c>
    </row>
    <row r="90" spans="1:3" x14ac:dyDescent="0.2">
      <c r="A90">
        <v>163286</v>
      </c>
      <c r="B90" t="s">
        <v>135</v>
      </c>
      <c r="C90">
        <v>163286</v>
      </c>
    </row>
    <row r="91" spans="1:3" x14ac:dyDescent="0.2">
      <c r="A91">
        <v>163268</v>
      </c>
      <c r="B91" t="s">
        <v>136</v>
      </c>
      <c r="C91">
        <v>163268</v>
      </c>
    </row>
    <row r="92" spans="1:3" x14ac:dyDescent="0.2">
      <c r="A92">
        <v>163338</v>
      </c>
      <c r="B92" t="s">
        <v>137</v>
      </c>
      <c r="C92">
        <v>163338</v>
      </c>
    </row>
    <row r="93" spans="1:3" x14ac:dyDescent="0.2">
      <c r="A93">
        <v>166629</v>
      </c>
      <c r="B93" t="s">
        <v>138</v>
      </c>
      <c r="C93">
        <v>166629</v>
      </c>
    </row>
    <row r="94" spans="1:3" x14ac:dyDescent="0.2">
      <c r="A94">
        <v>166513</v>
      </c>
      <c r="B94" t="s">
        <v>139</v>
      </c>
      <c r="C94">
        <v>166513</v>
      </c>
    </row>
    <row r="95" spans="1:3" x14ac:dyDescent="0.2">
      <c r="A95">
        <v>159717</v>
      </c>
      <c r="B95" t="s">
        <v>140</v>
      </c>
      <c r="C95">
        <v>159717</v>
      </c>
    </row>
    <row r="96" spans="1:3" x14ac:dyDescent="0.2">
      <c r="A96">
        <v>220862</v>
      </c>
      <c r="B96" t="s">
        <v>141</v>
      </c>
      <c r="C96">
        <v>220862</v>
      </c>
    </row>
    <row r="97" spans="1:3" x14ac:dyDescent="0.2">
      <c r="A97">
        <v>204024</v>
      </c>
      <c r="B97" t="s">
        <v>142</v>
      </c>
      <c r="C97">
        <v>204024</v>
      </c>
    </row>
    <row r="98" spans="1:3" x14ac:dyDescent="0.2">
      <c r="A98">
        <v>170976</v>
      </c>
      <c r="B98" t="s">
        <v>143</v>
      </c>
      <c r="C98">
        <v>170976</v>
      </c>
    </row>
    <row r="99" spans="1:3" x14ac:dyDescent="0.2">
      <c r="A99">
        <v>171100</v>
      </c>
      <c r="B99" t="s">
        <v>144</v>
      </c>
      <c r="C99">
        <v>171100</v>
      </c>
    </row>
    <row r="100" spans="1:3" x14ac:dyDescent="0.2">
      <c r="A100">
        <v>220978</v>
      </c>
      <c r="B100" t="s">
        <v>145</v>
      </c>
      <c r="C100">
        <v>220978</v>
      </c>
    </row>
    <row r="101" spans="1:3" x14ac:dyDescent="0.2">
      <c r="A101">
        <v>174066</v>
      </c>
      <c r="B101" t="s">
        <v>146</v>
      </c>
      <c r="C101">
        <v>174066</v>
      </c>
    </row>
    <row r="102" spans="1:3" x14ac:dyDescent="0.2">
      <c r="A102">
        <v>176017</v>
      </c>
      <c r="B102" t="s">
        <v>147</v>
      </c>
      <c r="C102">
        <v>176017</v>
      </c>
    </row>
    <row r="103" spans="1:3" x14ac:dyDescent="0.2">
      <c r="A103">
        <v>176080</v>
      </c>
      <c r="B103" t="s">
        <v>148</v>
      </c>
      <c r="C103">
        <v>176080</v>
      </c>
    </row>
    <row r="104" spans="1:3" x14ac:dyDescent="0.2">
      <c r="A104">
        <v>176044</v>
      </c>
      <c r="B104" t="s">
        <v>149</v>
      </c>
      <c r="C104">
        <v>176044</v>
      </c>
    </row>
    <row r="105" spans="1:3" x14ac:dyDescent="0.2">
      <c r="A105">
        <v>178396</v>
      </c>
      <c r="B105" t="s">
        <v>150</v>
      </c>
      <c r="C105">
        <v>178396</v>
      </c>
    </row>
    <row r="106" spans="1:3" x14ac:dyDescent="0.2">
      <c r="A106">
        <v>178402</v>
      </c>
      <c r="B106" t="s">
        <v>151</v>
      </c>
      <c r="C106">
        <v>178402</v>
      </c>
    </row>
    <row r="107" spans="1:3" x14ac:dyDescent="0.2">
      <c r="A107">
        <v>179566</v>
      </c>
      <c r="B107" t="s">
        <v>152</v>
      </c>
      <c r="C107">
        <v>179566</v>
      </c>
    </row>
    <row r="108" spans="1:3" x14ac:dyDescent="0.2">
      <c r="A108">
        <v>180489</v>
      </c>
      <c r="B108" t="s">
        <v>153</v>
      </c>
      <c r="C108">
        <v>180489</v>
      </c>
    </row>
    <row r="109" spans="1:3" x14ac:dyDescent="0.2">
      <c r="A109">
        <v>180461</v>
      </c>
      <c r="B109" t="s">
        <v>154</v>
      </c>
      <c r="C109">
        <v>180461</v>
      </c>
    </row>
    <row r="110" spans="1:3" x14ac:dyDescent="0.2">
      <c r="A110">
        <v>157386</v>
      </c>
      <c r="B110" t="s">
        <v>155</v>
      </c>
      <c r="C110">
        <v>157386</v>
      </c>
    </row>
    <row r="111" spans="1:3" x14ac:dyDescent="0.2">
      <c r="A111">
        <v>163453</v>
      </c>
      <c r="B111" t="s">
        <v>156</v>
      </c>
      <c r="C111">
        <v>163453</v>
      </c>
    </row>
    <row r="112" spans="1:3" x14ac:dyDescent="0.2">
      <c r="A112">
        <v>157401</v>
      </c>
      <c r="B112" t="s">
        <v>157</v>
      </c>
      <c r="C112">
        <v>157401</v>
      </c>
    </row>
    <row r="113" spans="1:3" x14ac:dyDescent="0.2">
      <c r="A113">
        <v>500000</v>
      </c>
      <c r="B113" t="s">
        <v>158</v>
      </c>
      <c r="C113">
        <v>500000</v>
      </c>
    </row>
    <row r="114" spans="1:3" x14ac:dyDescent="0.2">
      <c r="A114">
        <v>181464</v>
      </c>
      <c r="B114" t="s">
        <v>159</v>
      </c>
      <c r="C114">
        <v>181464</v>
      </c>
    </row>
    <row r="115" spans="1:3" x14ac:dyDescent="0.2">
      <c r="A115">
        <v>181394</v>
      </c>
      <c r="B115" t="s">
        <v>160</v>
      </c>
      <c r="C115">
        <v>181394</v>
      </c>
    </row>
    <row r="116" spans="1:3" x14ac:dyDescent="0.2">
      <c r="A116">
        <v>182290</v>
      </c>
      <c r="B116" t="s">
        <v>161</v>
      </c>
      <c r="C116">
        <v>182290</v>
      </c>
    </row>
    <row r="117" spans="1:3" x14ac:dyDescent="0.2">
      <c r="A117">
        <v>183044</v>
      </c>
      <c r="B117" t="s">
        <v>162</v>
      </c>
      <c r="C117">
        <v>183044</v>
      </c>
    </row>
    <row r="118" spans="1:3" x14ac:dyDescent="0.2">
      <c r="A118">
        <v>187985</v>
      </c>
      <c r="B118" t="s">
        <v>163</v>
      </c>
      <c r="C118">
        <v>187985</v>
      </c>
    </row>
    <row r="119" spans="1:3" x14ac:dyDescent="0.2">
      <c r="A119">
        <v>188030</v>
      </c>
      <c r="B119" t="s">
        <v>164</v>
      </c>
      <c r="C119">
        <v>188030</v>
      </c>
    </row>
    <row r="120" spans="1:3" x14ac:dyDescent="0.2">
      <c r="A120">
        <v>159939</v>
      </c>
      <c r="B120" t="s">
        <v>165</v>
      </c>
      <c r="C120">
        <v>159939</v>
      </c>
    </row>
    <row r="121" spans="1:3" x14ac:dyDescent="0.2">
      <c r="A121">
        <v>159966</v>
      </c>
      <c r="B121" t="s">
        <v>166</v>
      </c>
      <c r="C121">
        <v>159966</v>
      </c>
    </row>
    <row r="122" spans="1:3" x14ac:dyDescent="0.2">
      <c r="A122">
        <v>185828</v>
      </c>
      <c r="B122" t="s">
        <v>167</v>
      </c>
      <c r="C122">
        <v>185828</v>
      </c>
    </row>
    <row r="123" spans="1:3" x14ac:dyDescent="0.2">
      <c r="A123">
        <v>232937</v>
      </c>
      <c r="B123" t="s">
        <v>168</v>
      </c>
      <c r="C123">
        <v>232937</v>
      </c>
    </row>
    <row r="124" spans="1:3" x14ac:dyDescent="0.2">
      <c r="A124">
        <v>199120</v>
      </c>
      <c r="B124" t="s">
        <v>169</v>
      </c>
      <c r="C124">
        <v>199120</v>
      </c>
    </row>
    <row r="125" spans="1:3" x14ac:dyDescent="0.2">
      <c r="A125">
        <v>199102</v>
      </c>
      <c r="B125" t="s">
        <v>170</v>
      </c>
      <c r="C125">
        <v>199102</v>
      </c>
    </row>
    <row r="126" spans="1:3" x14ac:dyDescent="0.2">
      <c r="A126">
        <v>199111</v>
      </c>
      <c r="B126" t="s">
        <v>171</v>
      </c>
      <c r="C126">
        <v>199111</v>
      </c>
    </row>
    <row r="127" spans="1:3" x14ac:dyDescent="0.2">
      <c r="A127">
        <v>199148</v>
      </c>
      <c r="B127" t="s">
        <v>172</v>
      </c>
      <c r="C127">
        <v>199148</v>
      </c>
    </row>
    <row r="128" spans="1:3" x14ac:dyDescent="0.2">
      <c r="A128">
        <v>199157</v>
      </c>
      <c r="B128" t="s">
        <v>173</v>
      </c>
      <c r="C128">
        <v>199157</v>
      </c>
    </row>
    <row r="129" spans="1:3" x14ac:dyDescent="0.2">
      <c r="A129">
        <v>199193</v>
      </c>
      <c r="B129" t="s">
        <v>174</v>
      </c>
      <c r="C129">
        <v>199193</v>
      </c>
    </row>
    <row r="130" spans="1:3" x14ac:dyDescent="0.2">
      <c r="A130">
        <v>199218</v>
      </c>
      <c r="B130" t="s">
        <v>175</v>
      </c>
      <c r="C130">
        <v>199218</v>
      </c>
    </row>
    <row r="131" spans="1:3" x14ac:dyDescent="0.2">
      <c r="A131">
        <v>200280</v>
      </c>
      <c r="B131" t="s">
        <v>176</v>
      </c>
      <c r="C131">
        <v>200280</v>
      </c>
    </row>
    <row r="132" spans="1:3" x14ac:dyDescent="0.2">
      <c r="A132">
        <v>200332</v>
      </c>
      <c r="B132" t="s">
        <v>177</v>
      </c>
      <c r="C132">
        <v>200332</v>
      </c>
    </row>
    <row r="133" spans="1:3" x14ac:dyDescent="0.2">
      <c r="A133">
        <v>136172</v>
      </c>
      <c r="B133" t="s">
        <v>178</v>
      </c>
      <c r="C133">
        <v>136172</v>
      </c>
    </row>
    <row r="134" spans="1:3" x14ac:dyDescent="0.2">
      <c r="A134">
        <v>227216</v>
      </c>
      <c r="B134" t="s">
        <v>179</v>
      </c>
      <c r="C134">
        <v>227216</v>
      </c>
    </row>
    <row r="135" spans="1:3" x14ac:dyDescent="0.2">
      <c r="A135">
        <v>105330</v>
      </c>
      <c r="B135" t="s">
        <v>180</v>
      </c>
      <c r="C135">
        <v>105330</v>
      </c>
    </row>
    <row r="136" spans="1:3" x14ac:dyDescent="0.2">
      <c r="A136">
        <v>127741</v>
      </c>
      <c r="B136" t="s">
        <v>181</v>
      </c>
      <c r="C136">
        <v>127741</v>
      </c>
    </row>
    <row r="137" spans="1:3" x14ac:dyDescent="0.2">
      <c r="A137">
        <v>147703</v>
      </c>
      <c r="B137" t="s">
        <v>182</v>
      </c>
      <c r="C137">
        <v>147703</v>
      </c>
    </row>
    <row r="138" spans="1:3" x14ac:dyDescent="0.2">
      <c r="A138">
        <v>154095</v>
      </c>
      <c r="B138" t="s">
        <v>183</v>
      </c>
      <c r="C138">
        <v>154095</v>
      </c>
    </row>
    <row r="139" spans="1:3" x14ac:dyDescent="0.2">
      <c r="A139">
        <v>160038</v>
      </c>
      <c r="B139" t="s">
        <v>184</v>
      </c>
      <c r="C139">
        <v>160038</v>
      </c>
    </row>
    <row r="140" spans="1:3" x14ac:dyDescent="0.2">
      <c r="A140">
        <v>171571</v>
      </c>
      <c r="B140" t="s">
        <v>185</v>
      </c>
      <c r="C140">
        <v>171571</v>
      </c>
    </row>
    <row r="141" spans="1:3" x14ac:dyDescent="0.2">
      <c r="A141">
        <v>204857</v>
      </c>
      <c r="B141" t="s">
        <v>186</v>
      </c>
      <c r="C141">
        <v>204857</v>
      </c>
    </row>
    <row r="142" spans="1:3" x14ac:dyDescent="0.2">
      <c r="A142">
        <v>204796</v>
      </c>
      <c r="B142" t="s">
        <v>187</v>
      </c>
      <c r="C142">
        <v>204796</v>
      </c>
    </row>
    <row r="143" spans="1:3" x14ac:dyDescent="0.2">
      <c r="A143">
        <v>207500</v>
      </c>
      <c r="B143" t="s">
        <v>188</v>
      </c>
      <c r="C143">
        <v>207500</v>
      </c>
    </row>
    <row r="144" spans="1:3" x14ac:dyDescent="0.2">
      <c r="A144">
        <v>207388</v>
      </c>
      <c r="B144" t="s">
        <v>189</v>
      </c>
      <c r="C144">
        <v>207388</v>
      </c>
    </row>
    <row r="145" spans="1:3" x14ac:dyDescent="0.2">
      <c r="A145">
        <v>232982</v>
      </c>
      <c r="B145" t="s">
        <v>190</v>
      </c>
      <c r="C145">
        <v>232982</v>
      </c>
    </row>
    <row r="146" spans="1:3" x14ac:dyDescent="0.2">
      <c r="A146">
        <v>209551</v>
      </c>
      <c r="B146" t="s">
        <v>191</v>
      </c>
      <c r="C146">
        <v>209551</v>
      </c>
    </row>
    <row r="147" spans="1:3" x14ac:dyDescent="0.2">
      <c r="A147">
        <v>209542</v>
      </c>
      <c r="B147" t="s">
        <v>192</v>
      </c>
      <c r="C147">
        <v>209542</v>
      </c>
    </row>
    <row r="148" spans="1:3" x14ac:dyDescent="0.2">
      <c r="A148">
        <v>214777</v>
      </c>
      <c r="B148" t="s">
        <v>193</v>
      </c>
      <c r="C148">
        <v>214777</v>
      </c>
    </row>
    <row r="149" spans="1:3" x14ac:dyDescent="0.2">
      <c r="A149">
        <v>209807</v>
      </c>
      <c r="B149" t="s">
        <v>194</v>
      </c>
      <c r="C149">
        <v>209807</v>
      </c>
    </row>
    <row r="150" spans="1:3" x14ac:dyDescent="0.2">
      <c r="A150">
        <v>227526</v>
      </c>
      <c r="B150" t="s">
        <v>195</v>
      </c>
      <c r="C150">
        <v>227526</v>
      </c>
    </row>
    <row r="151" spans="1:3" x14ac:dyDescent="0.2">
      <c r="A151">
        <v>243780</v>
      </c>
      <c r="B151" t="s">
        <v>196</v>
      </c>
      <c r="C151">
        <v>243780</v>
      </c>
    </row>
    <row r="152" spans="1:3" x14ac:dyDescent="0.2">
      <c r="A152">
        <v>151102</v>
      </c>
      <c r="B152" t="s">
        <v>197</v>
      </c>
      <c r="C152">
        <v>151102</v>
      </c>
    </row>
    <row r="153" spans="1:3" x14ac:dyDescent="0.2">
      <c r="A153">
        <v>233277</v>
      </c>
      <c r="B153" t="s">
        <v>198</v>
      </c>
      <c r="C153">
        <v>233277</v>
      </c>
    </row>
    <row r="154" spans="1:3" x14ac:dyDescent="0.2">
      <c r="A154">
        <v>217484</v>
      </c>
      <c r="B154" t="s">
        <v>199</v>
      </c>
      <c r="C154">
        <v>217484</v>
      </c>
    </row>
    <row r="155" spans="1:3" x14ac:dyDescent="0.2">
      <c r="A155">
        <v>186380</v>
      </c>
      <c r="B155" t="s">
        <v>200</v>
      </c>
      <c r="C155">
        <v>186380</v>
      </c>
    </row>
    <row r="156" spans="1:3" x14ac:dyDescent="0.2">
      <c r="A156">
        <v>110617</v>
      </c>
      <c r="B156" t="s">
        <v>201</v>
      </c>
      <c r="C156">
        <v>110617</v>
      </c>
    </row>
    <row r="157" spans="1:3" x14ac:dyDescent="0.2">
      <c r="A157">
        <v>227881</v>
      </c>
      <c r="B157" t="s">
        <v>202</v>
      </c>
      <c r="C157">
        <v>227881</v>
      </c>
    </row>
    <row r="158" spans="1:3" x14ac:dyDescent="0.2">
      <c r="A158">
        <v>122409</v>
      </c>
      <c r="B158" t="s">
        <v>203</v>
      </c>
      <c r="C158">
        <v>122409</v>
      </c>
    </row>
    <row r="159" spans="1:3" x14ac:dyDescent="0.2">
      <c r="A159">
        <v>122755</v>
      </c>
      <c r="B159" t="s">
        <v>204</v>
      </c>
      <c r="C159">
        <v>122755</v>
      </c>
    </row>
    <row r="160" spans="1:3" x14ac:dyDescent="0.2">
      <c r="A160">
        <v>140960</v>
      </c>
      <c r="B160" t="s">
        <v>205</v>
      </c>
      <c r="C160">
        <v>140960</v>
      </c>
    </row>
    <row r="161" spans="1:3" x14ac:dyDescent="0.2">
      <c r="A161">
        <v>102094</v>
      </c>
      <c r="B161" t="s">
        <v>206</v>
      </c>
      <c r="C161">
        <v>102094</v>
      </c>
    </row>
    <row r="162" spans="1:3" x14ac:dyDescent="0.2">
      <c r="A162">
        <v>218663</v>
      </c>
      <c r="B162" t="s">
        <v>207</v>
      </c>
      <c r="C162">
        <v>218663</v>
      </c>
    </row>
    <row r="163" spans="1:3" x14ac:dyDescent="0.2">
      <c r="A163">
        <v>218742</v>
      </c>
      <c r="B163" t="s">
        <v>208</v>
      </c>
      <c r="C163">
        <v>218742</v>
      </c>
    </row>
    <row r="164" spans="1:3" x14ac:dyDescent="0.2">
      <c r="A164">
        <v>218733</v>
      </c>
      <c r="B164" t="s">
        <v>209</v>
      </c>
      <c r="C164">
        <v>218733</v>
      </c>
    </row>
    <row r="165" spans="1:3" x14ac:dyDescent="0.2">
      <c r="A165">
        <v>219471</v>
      </c>
      <c r="B165" t="s">
        <v>210</v>
      </c>
      <c r="C165">
        <v>219471</v>
      </c>
    </row>
    <row r="166" spans="1:3" x14ac:dyDescent="0.2">
      <c r="A166">
        <v>219356</v>
      </c>
      <c r="B166" t="s">
        <v>211</v>
      </c>
      <c r="C166">
        <v>219356</v>
      </c>
    </row>
    <row r="167" spans="1:3" x14ac:dyDescent="0.2">
      <c r="A167">
        <v>137351</v>
      </c>
      <c r="B167" t="s">
        <v>212</v>
      </c>
      <c r="C167">
        <v>137351</v>
      </c>
    </row>
    <row r="168" spans="1:3" x14ac:dyDescent="0.2">
      <c r="A168">
        <v>179557</v>
      </c>
      <c r="B168" t="s">
        <v>213</v>
      </c>
      <c r="C168">
        <v>179557</v>
      </c>
    </row>
    <row r="169" spans="1:3" x14ac:dyDescent="0.2">
      <c r="A169">
        <v>160621</v>
      </c>
      <c r="B169" t="s">
        <v>214</v>
      </c>
      <c r="C169">
        <v>160621</v>
      </c>
    </row>
    <row r="170" spans="1:3" x14ac:dyDescent="0.2">
      <c r="A170">
        <v>149222</v>
      </c>
      <c r="B170" t="s">
        <v>215</v>
      </c>
      <c r="C170">
        <v>149222</v>
      </c>
    </row>
    <row r="171" spans="1:3" x14ac:dyDescent="0.2">
      <c r="A171">
        <v>149231</v>
      </c>
      <c r="B171" t="s">
        <v>216</v>
      </c>
      <c r="C171">
        <v>149231</v>
      </c>
    </row>
    <row r="172" spans="1:3" x14ac:dyDescent="0.2">
      <c r="A172">
        <v>176372</v>
      </c>
      <c r="B172" t="s">
        <v>217</v>
      </c>
      <c r="C172">
        <v>176372</v>
      </c>
    </row>
    <row r="173" spans="1:3" x14ac:dyDescent="0.2">
      <c r="A173">
        <v>230603</v>
      </c>
      <c r="B173" t="s">
        <v>218</v>
      </c>
      <c r="C173">
        <v>230603</v>
      </c>
    </row>
    <row r="174" spans="1:3" x14ac:dyDescent="0.2">
      <c r="A174">
        <v>228431</v>
      </c>
      <c r="B174" t="s">
        <v>219</v>
      </c>
      <c r="C174">
        <v>228431</v>
      </c>
    </row>
    <row r="175" spans="1:3" x14ac:dyDescent="0.2">
      <c r="A175">
        <v>196097</v>
      </c>
      <c r="B175" t="s">
        <v>220</v>
      </c>
      <c r="C175">
        <v>196097</v>
      </c>
    </row>
    <row r="176" spans="1:3" x14ac:dyDescent="0.2">
      <c r="A176">
        <v>221759</v>
      </c>
      <c r="B176" t="s">
        <v>221</v>
      </c>
      <c r="C176">
        <v>221759</v>
      </c>
    </row>
    <row r="177" spans="1:3" x14ac:dyDescent="0.2">
      <c r="A177">
        <v>221740</v>
      </c>
      <c r="B177" t="s">
        <v>222</v>
      </c>
      <c r="C177">
        <v>221740</v>
      </c>
    </row>
    <row r="178" spans="1:3" x14ac:dyDescent="0.2">
      <c r="A178">
        <v>221768</v>
      </c>
      <c r="B178" t="s">
        <v>223</v>
      </c>
      <c r="C178">
        <v>221768</v>
      </c>
    </row>
    <row r="179" spans="1:3" x14ac:dyDescent="0.2">
      <c r="A179">
        <v>221847</v>
      </c>
      <c r="B179" t="s">
        <v>224</v>
      </c>
      <c r="C179">
        <v>221847</v>
      </c>
    </row>
    <row r="180" spans="1:3" x14ac:dyDescent="0.2">
      <c r="A180">
        <v>228778</v>
      </c>
      <c r="B180" t="s">
        <v>225</v>
      </c>
      <c r="C180">
        <v>228778</v>
      </c>
    </row>
    <row r="181" spans="1:3" x14ac:dyDescent="0.2">
      <c r="A181">
        <v>228723</v>
      </c>
      <c r="B181" t="s">
        <v>226</v>
      </c>
      <c r="C181">
        <v>228723</v>
      </c>
    </row>
    <row r="182" spans="1:3" x14ac:dyDescent="0.2">
      <c r="A182">
        <v>224147</v>
      </c>
      <c r="B182" t="s">
        <v>227</v>
      </c>
      <c r="C182">
        <v>224147</v>
      </c>
    </row>
    <row r="183" spans="1:3" x14ac:dyDescent="0.2">
      <c r="A183">
        <v>228769</v>
      </c>
      <c r="B183" t="s">
        <v>228</v>
      </c>
      <c r="C183">
        <v>228769</v>
      </c>
    </row>
    <row r="184" spans="1:3" x14ac:dyDescent="0.2">
      <c r="A184">
        <v>229063</v>
      </c>
      <c r="B184" t="s">
        <v>229</v>
      </c>
      <c r="C184">
        <v>229063</v>
      </c>
    </row>
    <row r="185" spans="1:3" x14ac:dyDescent="0.2">
      <c r="A185">
        <v>228459</v>
      </c>
      <c r="B185" t="s">
        <v>230</v>
      </c>
      <c r="C185">
        <v>228459</v>
      </c>
    </row>
    <row r="186" spans="1:3" x14ac:dyDescent="0.2">
      <c r="A186">
        <v>229115</v>
      </c>
      <c r="B186" t="s">
        <v>231</v>
      </c>
      <c r="C186">
        <v>229115</v>
      </c>
    </row>
    <row r="187" spans="1:3" x14ac:dyDescent="0.2">
      <c r="A187">
        <v>206084</v>
      </c>
      <c r="B187" t="s">
        <v>232</v>
      </c>
      <c r="C187">
        <v>206084</v>
      </c>
    </row>
    <row r="188" spans="1:3" x14ac:dyDescent="0.2">
      <c r="A188">
        <v>164076</v>
      </c>
      <c r="B188" t="s">
        <v>233</v>
      </c>
      <c r="C188">
        <v>164076</v>
      </c>
    </row>
    <row r="189" spans="1:3" x14ac:dyDescent="0.2">
      <c r="A189">
        <v>102368</v>
      </c>
      <c r="B189" t="s">
        <v>234</v>
      </c>
      <c r="C189">
        <v>102368</v>
      </c>
    </row>
    <row r="190" spans="1:3" x14ac:dyDescent="0.2">
      <c r="A190">
        <v>100663</v>
      </c>
      <c r="B190" t="s">
        <v>235</v>
      </c>
      <c r="C190">
        <v>100663</v>
      </c>
    </row>
    <row r="191" spans="1:3" x14ac:dyDescent="0.2">
      <c r="A191">
        <v>110644</v>
      </c>
      <c r="B191" t="s">
        <v>236</v>
      </c>
      <c r="C191">
        <v>110644</v>
      </c>
    </row>
    <row r="192" spans="1:3" x14ac:dyDescent="0.2">
      <c r="A192">
        <v>110653</v>
      </c>
      <c r="B192" t="s">
        <v>237</v>
      </c>
      <c r="C192">
        <v>110653</v>
      </c>
    </row>
    <row r="193" spans="1:3" x14ac:dyDescent="0.2">
      <c r="A193">
        <v>110671</v>
      </c>
      <c r="B193" t="s">
        <v>238</v>
      </c>
      <c r="C193">
        <v>110671</v>
      </c>
    </row>
    <row r="194" spans="1:3" x14ac:dyDescent="0.2">
      <c r="A194">
        <v>110705</v>
      </c>
      <c r="B194" t="s">
        <v>239</v>
      </c>
      <c r="C194">
        <v>110705</v>
      </c>
    </row>
    <row r="195" spans="1:3" x14ac:dyDescent="0.2">
      <c r="A195">
        <v>132903</v>
      </c>
      <c r="B195" t="s">
        <v>240</v>
      </c>
      <c r="C195">
        <v>132903</v>
      </c>
    </row>
    <row r="196" spans="1:3" x14ac:dyDescent="0.2">
      <c r="A196">
        <v>110662</v>
      </c>
      <c r="B196" t="s">
        <v>241</v>
      </c>
      <c r="C196">
        <v>110662</v>
      </c>
    </row>
    <row r="197" spans="1:3" x14ac:dyDescent="0.2">
      <c r="A197">
        <v>182281</v>
      </c>
      <c r="B197" t="s">
        <v>242</v>
      </c>
      <c r="C197">
        <v>182281</v>
      </c>
    </row>
    <row r="198" spans="1:3" x14ac:dyDescent="0.2">
      <c r="A198">
        <v>230764</v>
      </c>
      <c r="B198" t="s">
        <v>243</v>
      </c>
      <c r="C198">
        <v>230764</v>
      </c>
    </row>
    <row r="199" spans="1:3" x14ac:dyDescent="0.2">
      <c r="A199">
        <v>230728</v>
      </c>
      <c r="B199" t="s">
        <v>244</v>
      </c>
      <c r="C199">
        <v>230728</v>
      </c>
    </row>
    <row r="200" spans="1:3" x14ac:dyDescent="0.2">
      <c r="A200">
        <v>230737</v>
      </c>
      <c r="B200" t="s">
        <v>245</v>
      </c>
      <c r="C200">
        <v>230737</v>
      </c>
    </row>
    <row r="201" spans="1:3" x14ac:dyDescent="0.2">
      <c r="A201">
        <v>228796</v>
      </c>
      <c r="B201" t="s">
        <v>246</v>
      </c>
      <c r="C201">
        <v>228796</v>
      </c>
    </row>
    <row r="202" spans="1:3" x14ac:dyDescent="0.2">
      <c r="A202">
        <v>227368</v>
      </c>
      <c r="B202" t="s">
        <v>247</v>
      </c>
      <c r="C202">
        <v>227368</v>
      </c>
    </row>
    <row r="203" spans="1:3" x14ac:dyDescent="0.2">
      <c r="A203">
        <v>229027</v>
      </c>
      <c r="B203" t="s">
        <v>248</v>
      </c>
      <c r="C203">
        <v>229027</v>
      </c>
    </row>
    <row r="204" spans="1:3" x14ac:dyDescent="0.2">
      <c r="A204">
        <v>234030</v>
      </c>
      <c r="B204" t="s">
        <v>249</v>
      </c>
      <c r="C204">
        <v>234030</v>
      </c>
    </row>
    <row r="205" spans="1:3" x14ac:dyDescent="0.2">
      <c r="A205">
        <v>231174</v>
      </c>
      <c r="B205" t="s">
        <v>250</v>
      </c>
      <c r="C205">
        <v>231174</v>
      </c>
    </row>
    <row r="206" spans="1:3" x14ac:dyDescent="0.2">
      <c r="A206">
        <v>234076</v>
      </c>
      <c r="B206" t="s">
        <v>251</v>
      </c>
      <c r="C206">
        <v>234076</v>
      </c>
    </row>
    <row r="207" spans="1:3" x14ac:dyDescent="0.2">
      <c r="A207">
        <v>233921</v>
      </c>
      <c r="B207" t="s">
        <v>252</v>
      </c>
      <c r="C207">
        <v>233921</v>
      </c>
    </row>
    <row r="208" spans="1:3" x14ac:dyDescent="0.2">
      <c r="A208">
        <v>236948</v>
      </c>
      <c r="B208" t="s">
        <v>253</v>
      </c>
      <c r="C208">
        <v>236948</v>
      </c>
    </row>
    <row r="209" spans="1:3" x14ac:dyDescent="0.2">
      <c r="A209">
        <v>236939</v>
      </c>
      <c r="B209" t="s">
        <v>254</v>
      </c>
      <c r="C209">
        <v>236939</v>
      </c>
    </row>
    <row r="210" spans="1:3" x14ac:dyDescent="0.2">
      <c r="A210">
        <v>230782</v>
      </c>
      <c r="B210" t="s">
        <v>255</v>
      </c>
      <c r="C210">
        <v>230782</v>
      </c>
    </row>
    <row r="211" spans="1:3" x14ac:dyDescent="0.2">
      <c r="A211">
        <v>238032</v>
      </c>
      <c r="B211" t="s">
        <v>256</v>
      </c>
      <c r="C211">
        <v>238032</v>
      </c>
    </row>
    <row r="212" spans="1:3" x14ac:dyDescent="0.2">
      <c r="A212">
        <v>200004</v>
      </c>
      <c r="B212" t="s">
        <v>257</v>
      </c>
      <c r="C212">
        <v>200004</v>
      </c>
    </row>
    <row r="213" spans="1:3" x14ac:dyDescent="0.2">
      <c r="A213">
        <v>149772</v>
      </c>
      <c r="B213" t="s">
        <v>258</v>
      </c>
      <c r="C213">
        <v>149772</v>
      </c>
    </row>
    <row r="214" spans="1:3" x14ac:dyDescent="0.2">
      <c r="A214">
        <v>157951</v>
      </c>
      <c r="B214" t="s">
        <v>259</v>
      </c>
      <c r="C214">
        <v>157951</v>
      </c>
    </row>
    <row r="215" spans="1:3" x14ac:dyDescent="0.2">
      <c r="A215">
        <v>172699</v>
      </c>
      <c r="B215" t="s">
        <v>260</v>
      </c>
      <c r="C215">
        <v>172699</v>
      </c>
    </row>
    <row r="216" spans="1:3" x14ac:dyDescent="0.2">
      <c r="A216">
        <v>156125</v>
      </c>
      <c r="B216" t="s">
        <v>261</v>
      </c>
      <c r="C216">
        <v>156125</v>
      </c>
    </row>
    <row r="217" spans="1:3" x14ac:dyDescent="0.2">
      <c r="A217">
        <v>231624</v>
      </c>
      <c r="B217" t="s">
        <v>262</v>
      </c>
      <c r="C217">
        <v>231624</v>
      </c>
    </row>
    <row r="218" spans="1:3" x14ac:dyDescent="0.2">
      <c r="A218">
        <v>218964</v>
      </c>
      <c r="B218" t="s">
        <v>263</v>
      </c>
      <c r="C218">
        <v>218964</v>
      </c>
    </row>
    <row r="219" spans="1:3" x14ac:dyDescent="0.2">
      <c r="A219">
        <v>240444</v>
      </c>
      <c r="B219" t="s">
        <v>264</v>
      </c>
      <c r="C219">
        <v>240444</v>
      </c>
    </row>
    <row r="220" spans="1:3" x14ac:dyDescent="0.2">
      <c r="A220">
        <v>240277</v>
      </c>
      <c r="B220" t="s">
        <v>265</v>
      </c>
      <c r="C220">
        <v>240277</v>
      </c>
    </row>
    <row r="221" spans="1:3" x14ac:dyDescent="0.2">
      <c r="A221">
        <v>240453</v>
      </c>
      <c r="B221" t="s">
        <v>266</v>
      </c>
      <c r="C221">
        <v>240453</v>
      </c>
    </row>
    <row r="222" spans="1:3" x14ac:dyDescent="0.2">
      <c r="A222">
        <v>206604</v>
      </c>
      <c r="B222" t="s">
        <v>267</v>
      </c>
      <c r="C222">
        <v>206604</v>
      </c>
    </row>
    <row r="223" spans="1:3" x14ac:dyDescent="0.2">
      <c r="A223">
        <v>240727</v>
      </c>
      <c r="B223" t="s">
        <v>268</v>
      </c>
      <c r="C223">
        <v>240727</v>
      </c>
    </row>
    <row r="224" spans="1:3" x14ac:dyDescent="0.2">
      <c r="A224">
        <v>206695</v>
      </c>
      <c r="B224" t="s">
        <v>269</v>
      </c>
      <c r="C224">
        <v>206695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4075-8AAA-4D48-82AE-6A0679B28E1B}">
  <dimension ref="A1:C39"/>
  <sheetViews>
    <sheetView workbookViewId="0"/>
  </sheetViews>
  <sheetFormatPr baseColWidth="10" defaultColWidth="8.83203125" defaultRowHeight="15" x14ac:dyDescent="0.2"/>
  <cols>
    <col min="1" max="1" width="5.1640625" customWidth="1"/>
    <col min="2" max="2" width="36.5" bestFit="1" customWidth="1"/>
    <col min="3" max="3" width="5" customWidth="1"/>
  </cols>
  <sheetData>
    <row r="1" spans="1:3" x14ac:dyDescent="0.2">
      <c r="A1" t="s">
        <v>8</v>
      </c>
      <c r="B1" t="s">
        <v>3</v>
      </c>
      <c r="C1" t="s">
        <v>8</v>
      </c>
    </row>
    <row r="2" spans="1:3" x14ac:dyDescent="0.2">
      <c r="A2">
        <v>1</v>
      </c>
      <c r="B2" t="s">
        <v>9</v>
      </c>
      <c r="C2">
        <v>1</v>
      </c>
    </row>
    <row r="3" spans="1:3" x14ac:dyDescent="0.2">
      <c r="A3">
        <v>2</v>
      </c>
      <c r="B3" t="s">
        <v>10</v>
      </c>
      <c r="C3">
        <v>2</v>
      </c>
    </row>
    <row r="4" spans="1:3" x14ac:dyDescent="0.2">
      <c r="A4">
        <v>3</v>
      </c>
      <c r="B4" t="s">
        <v>11</v>
      </c>
      <c r="C4">
        <v>3</v>
      </c>
    </row>
    <row r="5" spans="1:3" x14ac:dyDescent="0.2">
      <c r="A5">
        <v>4</v>
      </c>
      <c r="B5" t="s">
        <v>12</v>
      </c>
      <c r="C5">
        <v>4</v>
      </c>
    </row>
    <row r="6" spans="1:3" x14ac:dyDescent="0.2">
      <c r="A6">
        <v>5</v>
      </c>
      <c r="B6" t="s">
        <v>13</v>
      </c>
      <c r="C6">
        <v>5</v>
      </c>
    </row>
    <row r="7" spans="1:3" x14ac:dyDescent="0.2">
      <c r="A7">
        <v>6</v>
      </c>
      <c r="B7" t="s">
        <v>14</v>
      </c>
      <c r="C7">
        <v>6</v>
      </c>
    </row>
    <row r="8" spans="1:3" x14ac:dyDescent="0.2">
      <c r="A8">
        <v>7</v>
      </c>
      <c r="B8" t="s">
        <v>15</v>
      </c>
      <c r="C8">
        <v>7</v>
      </c>
    </row>
    <row r="9" spans="1:3" x14ac:dyDescent="0.2">
      <c r="A9">
        <v>8</v>
      </c>
      <c r="B9" t="s">
        <v>16</v>
      </c>
      <c r="C9">
        <v>8</v>
      </c>
    </row>
    <row r="10" spans="1:3" x14ac:dyDescent="0.2">
      <c r="A10">
        <v>9</v>
      </c>
      <c r="B10" t="s">
        <v>17</v>
      </c>
      <c r="C10">
        <v>9</v>
      </c>
    </row>
    <row r="11" spans="1:3" x14ac:dyDescent="0.2">
      <c r="A11">
        <v>10</v>
      </c>
      <c r="B11" t="s">
        <v>18</v>
      </c>
      <c r="C11">
        <v>10</v>
      </c>
    </row>
    <row r="12" spans="1:3" x14ac:dyDescent="0.2">
      <c r="A12">
        <v>11</v>
      </c>
      <c r="B12" t="s">
        <v>19</v>
      </c>
      <c r="C12">
        <v>11</v>
      </c>
    </row>
    <row r="13" spans="1:3" x14ac:dyDescent="0.2">
      <c r="A13">
        <v>12</v>
      </c>
      <c r="B13" t="s">
        <v>20</v>
      </c>
      <c r="C13">
        <v>12</v>
      </c>
    </row>
    <row r="14" spans="1:3" x14ac:dyDescent="0.2">
      <c r="A14">
        <v>13</v>
      </c>
      <c r="B14" t="s">
        <v>21</v>
      </c>
      <c r="C14">
        <v>13</v>
      </c>
    </row>
    <row r="15" spans="1:3" x14ac:dyDescent="0.2">
      <c r="A15">
        <v>14</v>
      </c>
      <c r="B15" t="s">
        <v>22</v>
      </c>
      <c r="C15">
        <v>14</v>
      </c>
    </row>
    <row r="16" spans="1:3" x14ac:dyDescent="0.2">
      <c r="A16">
        <v>15</v>
      </c>
      <c r="B16" t="s">
        <v>23</v>
      </c>
      <c r="C16">
        <v>15</v>
      </c>
    </row>
    <row r="17" spans="1:3" x14ac:dyDescent="0.2">
      <c r="A17">
        <v>16</v>
      </c>
      <c r="B17" t="s">
        <v>24</v>
      </c>
      <c r="C17">
        <v>16</v>
      </c>
    </row>
    <row r="18" spans="1:3" x14ac:dyDescent="0.2">
      <c r="A18">
        <v>17</v>
      </c>
      <c r="B18" t="s">
        <v>25</v>
      </c>
      <c r="C18">
        <v>17</v>
      </c>
    </row>
    <row r="19" spans="1:3" x14ac:dyDescent="0.2">
      <c r="A19">
        <v>18</v>
      </c>
      <c r="B19" t="s">
        <v>26</v>
      </c>
      <c r="C19">
        <v>18</v>
      </c>
    </row>
    <row r="20" spans="1:3" x14ac:dyDescent="0.2">
      <c r="A20">
        <v>19</v>
      </c>
      <c r="B20" t="s">
        <v>27</v>
      </c>
      <c r="C20">
        <v>19</v>
      </c>
    </row>
    <row r="21" spans="1:3" x14ac:dyDescent="0.2">
      <c r="A21">
        <v>20</v>
      </c>
      <c r="B21" t="s">
        <v>28</v>
      </c>
      <c r="C21">
        <v>20</v>
      </c>
    </row>
    <row r="22" spans="1:3" x14ac:dyDescent="0.2">
      <c r="A22">
        <v>21</v>
      </c>
      <c r="B22" t="s">
        <v>29</v>
      </c>
      <c r="C22">
        <v>21</v>
      </c>
    </row>
    <row r="23" spans="1:3" x14ac:dyDescent="0.2">
      <c r="A23">
        <v>21</v>
      </c>
      <c r="B23" t="s">
        <v>30</v>
      </c>
      <c r="C23">
        <v>21</v>
      </c>
    </row>
    <row r="24" spans="1:3" x14ac:dyDescent="0.2">
      <c r="A24">
        <v>21</v>
      </c>
      <c r="B24" t="s">
        <v>31</v>
      </c>
      <c r="C24">
        <v>21</v>
      </c>
    </row>
    <row r="25" spans="1:3" x14ac:dyDescent="0.2">
      <c r="A25">
        <v>22</v>
      </c>
      <c r="B25" t="s">
        <v>32</v>
      </c>
      <c r="C25">
        <v>22</v>
      </c>
    </row>
    <row r="26" spans="1:3" x14ac:dyDescent="0.2">
      <c r="A26">
        <v>23</v>
      </c>
      <c r="B26" t="s">
        <v>33</v>
      </c>
      <c r="C26">
        <v>23</v>
      </c>
    </row>
    <row r="27" spans="1:3" x14ac:dyDescent="0.2">
      <c r="A27">
        <v>24</v>
      </c>
      <c r="B27" t="s">
        <v>34</v>
      </c>
      <c r="C27">
        <v>24</v>
      </c>
    </row>
    <row r="28" spans="1:3" x14ac:dyDescent="0.2">
      <c r="A28">
        <v>25</v>
      </c>
      <c r="B28" t="s">
        <v>35</v>
      </c>
      <c r="C28">
        <v>25</v>
      </c>
    </row>
    <row r="29" spans="1:3" x14ac:dyDescent="0.2">
      <c r="A29">
        <v>26</v>
      </c>
      <c r="B29" t="s">
        <v>36</v>
      </c>
      <c r="C29">
        <v>26</v>
      </c>
    </row>
    <row r="30" spans="1:3" x14ac:dyDescent="0.2">
      <c r="A30">
        <v>27</v>
      </c>
      <c r="B30" t="s">
        <v>37</v>
      </c>
      <c r="C30">
        <v>27</v>
      </c>
    </row>
    <row r="31" spans="1:3" x14ac:dyDescent="0.2">
      <c r="A31">
        <v>28</v>
      </c>
      <c r="B31" t="s">
        <v>38</v>
      </c>
      <c r="C31">
        <v>28</v>
      </c>
    </row>
    <row r="32" spans="1:3" ht="16" thickBot="1" x14ac:dyDescent="0.25">
      <c r="A32">
        <v>29</v>
      </c>
      <c r="B32" t="s">
        <v>39</v>
      </c>
      <c r="C32">
        <v>29</v>
      </c>
    </row>
    <row r="33" spans="1:3" ht="16" thickBot="1" x14ac:dyDescent="0.25">
      <c r="A33">
        <v>50</v>
      </c>
      <c r="B33" s="1" t="s">
        <v>40</v>
      </c>
      <c r="C33">
        <v>50</v>
      </c>
    </row>
    <row r="34" spans="1:3" ht="16" thickBot="1" x14ac:dyDescent="0.25">
      <c r="A34">
        <v>51</v>
      </c>
      <c r="B34" s="1" t="s">
        <v>41</v>
      </c>
      <c r="C34">
        <v>51</v>
      </c>
    </row>
    <row r="35" spans="1:3" ht="16" thickBot="1" x14ac:dyDescent="0.25">
      <c r="A35">
        <v>52</v>
      </c>
      <c r="B35" s="1" t="s">
        <v>42</v>
      </c>
      <c r="C35">
        <v>52</v>
      </c>
    </row>
    <row r="36" spans="1:3" ht="16" thickBot="1" x14ac:dyDescent="0.25">
      <c r="A36">
        <v>60</v>
      </c>
      <c r="B36" s="1" t="s">
        <v>43</v>
      </c>
      <c r="C36">
        <v>60</v>
      </c>
    </row>
    <row r="37" spans="1:3" ht="16" thickBot="1" x14ac:dyDescent="0.25">
      <c r="A37">
        <v>70</v>
      </c>
      <c r="B37" s="1" t="s">
        <v>44</v>
      </c>
      <c r="C37">
        <v>70</v>
      </c>
    </row>
    <row r="38" spans="1:3" x14ac:dyDescent="0.2">
      <c r="A38">
        <v>71</v>
      </c>
      <c r="B38" s="2" t="s">
        <v>45</v>
      </c>
      <c r="C38">
        <v>71</v>
      </c>
    </row>
    <row r="39" spans="1:3" x14ac:dyDescent="0.2">
      <c r="A39">
        <v>21</v>
      </c>
      <c r="B39" t="s">
        <v>283</v>
      </c>
      <c r="C39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DEDCE-FB98-4F13-9BD3-1509DFA74E49}">
  <dimension ref="A1:R23"/>
  <sheetViews>
    <sheetView zoomScale="166" workbookViewId="0">
      <selection activeCell="R16" sqref="R16"/>
    </sheetView>
  </sheetViews>
  <sheetFormatPr baseColWidth="10" defaultColWidth="8.83203125" defaultRowHeight="15" x14ac:dyDescent="0.2"/>
  <cols>
    <col min="1" max="1" width="20" customWidth="1"/>
    <col min="2" max="2" width="8" customWidth="1"/>
  </cols>
  <sheetData>
    <row r="1" spans="1:18" ht="16" x14ac:dyDescent="0.2">
      <c r="A1" s="24" t="s">
        <v>291</v>
      </c>
      <c r="B1" s="22"/>
      <c r="C1" s="22"/>
      <c r="D1" s="22"/>
      <c r="E1" s="22"/>
      <c r="F1" s="22"/>
    </row>
    <row r="2" spans="1:18" ht="16" x14ac:dyDescent="0.2">
      <c r="A2" s="24" t="s">
        <v>292</v>
      </c>
      <c r="B2" s="22"/>
      <c r="C2" s="22"/>
      <c r="D2" s="22"/>
      <c r="E2" s="22"/>
      <c r="F2" s="22"/>
    </row>
    <row r="3" spans="1:18" x14ac:dyDescent="0.2">
      <c r="A3" s="22"/>
      <c r="B3" s="22"/>
      <c r="C3" s="22"/>
      <c r="D3" s="22"/>
      <c r="E3" s="22"/>
      <c r="F3" s="22"/>
    </row>
    <row r="4" spans="1:18" x14ac:dyDescent="0.2">
      <c r="A4" s="8" t="s">
        <v>293</v>
      </c>
      <c r="B4" s="21" t="s">
        <v>294</v>
      </c>
      <c r="C4" s="22"/>
      <c r="D4" s="22"/>
      <c r="E4" s="22"/>
      <c r="F4" s="22"/>
    </row>
    <row r="5" spans="1:18" x14ac:dyDescent="0.2">
      <c r="A5" s="25" t="s">
        <v>295</v>
      </c>
      <c r="B5" s="22"/>
      <c r="C5" s="22"/>
      <c r="D5" s="22"/>
      <c r="E5" s="22"/>
      <c r="F5" s="22"/>
    </row>
    <row r="6" spans="1:18" x14ac:dyDescent="0.2">
      <c r="A6" s="8" t="s">
        <v>296</v>
      </c>
      <c r="B6" s="21" t="s">
        <v>297</v>
      </c>
      <c r="C6" s="22"/>
      <c r="D6" s="22"/>
      <c r="E6" s="22"/>
      <c r="F6" s="22"/>
    </row>
    <row r="7" spans="1:18" x14ac:dyDescent="0.2">
      <c r="A7" s="8" t="s">
        <v>298</v>
      </c>
      <c r="B7" s="21" t="s">
        <v>299</v>
      </c>
      <c r="C7" s="22"/>
      <c r="D7" s="22"/>
      <c r="E7" s="22"/>
      <c r="F7" s="22"/>
    </row>
    <row r="8" spans="1:18" x14ac:dyDescent="0.2">
      <c r="A8" s="8" t="s">
        <v>300</v>
      </c>
      <c r="B8" s="21" t="s">
        <v>301</v>
      </c>
      <c r="C8" s="22"/>
      <c r="D8" s="22"/>
      <c r="E8" s="22"/>
      <c r="F8" s="22"/>
    </row>
    <row r="9" spans="1:18" x14ac:dyDescent="0.2">
      <c r="A9" s="8" t="s">
        <v>302</v>
      </c>
      <c r="B9" s="21" t="s">
        <v>303</v>
      </c>
      <c r="C9" s="22"/>
      <c r="D9" s="22"/>
      <c r="E9" s="22"/>
      <c r="F9" s="22"/>
    </row>
    <row r="10" spans="1:18" x14ac:dyDescent="0.2">
      <c r="A10" s="8" t="s">
        <v>304</v>
      </c>
      <c r="B10" s="23" t="s">
        <v>305</v>
      </c>
      <c r="C10" s="22"/>
      <c r="D10" s="22"/>
      <c r="E10" s="22"/>
      <c r="F10" s="22"/>
    </row>
    <row r="12" spans="1:18" ht="16" thickBot="1" x14ac:dyDescent="0.25">
      <c r="A12" s="9" t="s">
        <v>306</v>
      </c>
      <c r="B12" s="9" t="s">
        <v>307</v>
      </c>
      <c r="C12" s="9" t="s">
        <v>308</v>
      </c>
      <c r="D12" s="9" t="s">
        <v>309</v>
      </c>
      <c r="E12" s="9" t="s">
        <v>310</v>
      </c>
      <c r="F12" s="9" t="s">
        <v>311</v>
      </c>
      <c r="G12" s="9" t="s">
        <v>312</v>
      </c>
      <c r="H12" s="9" t="s">
        <v>313</v>
      </c>
      <c r="I12" s="9" t="s">
        <v>314</v>
      </c>
      <c r="J12" s="9" t="s">
        <v>315</v>
      </c>
      <c r="K12" s="9" t="s">
        <v>316</v>
      </c>
      <c r="L12" s="9" t="s">
        <v>317</v>
      </c>
      <c r="M12" s="9" t="s">
        <v>318</v>
      </c>
      <c r="N12" s="9" t="s">
        <v>319</v>
      </c>
      <c r="O12" s="9" t="s">
        <v>320</v>
      </c>
    </row>
    <row r="13" spans="1:18" ht="16" thickTop="1" x14ac:dyDescent="0.2">
      <c r="A13" s="10">
        <v>2014</v>
      </c>
      <c r="B13" s="11">
        <v>233.916</v>
      </c>
      <c r="C13" s="11">
        <v>234.78100000000001</v>
      </c>
      <c r="D13" s="11">
        <v>236.29300000000001</v>
      </c>
      <c r="E13" s="11">
        <v>237.072</v>
      </c>
      <c r="F13" s="11">
        <v>237.9</v>
      </c>
      <c r="G13" s="11">
        <v>238.34299999999999</v>
      </c>
      <c r="H13" s="11">
        <v>238.25</v>
      </c>
      <c r="I13" s="11">
        <v>237.852</v>
      </c>
      <c r="J13" s="11">
        <v>238.03100000000001</v>
      </c>
      <c r="K13" s="11">
        <v>237.43299999999999</v>
      </c>
      <c r="L13" s="11">
        <v>236.15100000000001</v>
      </c>
      <c r="M13" s="11">
        <v>234.81200000000001</v>
      </c>
      <c r="N13" s="11">
        <v>236.38399999999999</v>
      </c>
      <c r="O13" s="11">
        <v>237.08799999999999</v>
      </c>
    </row>
    <row r="14" spans="1:18" x14ac:dyDescent="0.2">
      <c r="A14" s="10">
        <v>2015</v>
      </c>
      <c r="B14" s="11">
        <v>233.70699999999999</v>
      </c>
      <c r="C14" s="11">
        <v>234.72200000000001</v>
      </c>
      <c r="D14" s="11">
        <v>236.119</v>
      </c>
      <c r="E14" s="11">
        <v>236.59899999999999</v>
      </c>
      <c r="F14" s="11">
        <v>237.80500000000001</v>
      </c>
      <c r="G14" s="11">
        <v>238.63800000000001</v>
      </c>
      <c r="H14" s="11">
        <v>238.654</v>
      </c>
      <c r="I14" s="11">
        <v>238.316</v>
      </c>
      <c r="J14" s="11">
        <v>237.94499999999999</v>
      </c>
      <c r="K14" s="11">
        <v>237.83799999999999</v>
      </c>
      <c r="L14" s="11">
        <v>237.33600000000001</v>
      </c>
      <c r="M14" s="11">
        <v>236.52500000000001</v>
      </c>
      <c r="N14" s="11">
        <v>236.26499999999999</v>
      </c>
      <c r="O14" s="11">
        <v>237.76900000000001</v>
      </c>
    </row>
    <row r="15" spans="1:18" x14ac:dyDescent="0.2">
      <c r="A15" s="10">
        <v>2016</v>
      </c>
      <c r="B15" s="11">
        <v>236.916</v>
      </c>
      <c r="C15" s="11">
        <v>237.11099999999999</v>
      </c>
      <c r="D15" s="11">
        <v>238.13200000000001</v>
      </c>
      <c r="E15" s="11">
        <v>239.261</v>
      </c>
      <c r="F15" s="11">
        <v>240.22900000000001</v>
      </c>
      <c r="G15" s="11">
        <v>241.018</v>
      </c>
      <c r="H15" s="11">
        <v>240.62799999999999</v>
      </c>
      <c r="I15" s="11">
        <v>240.84899999999999</v>
      </c>
      <c r="J15" s="11">
        <v>241.428</v>
      </c>
      <c r="K15" s="11">
        <v>241.72900000000001</v>
      </c>
      <c r="L15" s="11">
        <v>241.35300000000001</v>
      </c>
      <c r="M15" s="11">
        <v>241.43199999999999</v>
      </c>
      <c r="N15" s="11">
        <v>238.77799999999999</v>
      </c>
      <c r="O15" s="11">
        <v>241.23699999999999</v>
      </c>
    </row>
    <row r="16" spans="1:18" x14ac:dyDescent="0.2">
      <c r="A16" s="10">
        <v>2017</v>
      </c>
      <c r="B16" s="11">
        <v>242.839</v>
      </c>
      <c r="C16" s="11">
        <v>243.60300000000001</v>
      </c>
      <c r="D16" s="11">
        <v>243.80099999999999</v>
      </c>
      <c r="E16" s="11">
        <v>244.524</v>
      </c>
      <c r="F16" s="11">
        <v>244.733</v>
      </c>
      <c r="G16" s="11">
        <v>244.95500000000001</v>
      </c>
      <c r="H16" s="11">
        <v>244.786</v>
      </c>
      <c r="I16" s="11">
        <v>245.51900000000001</v>
      </c>
      <c r="J16" s="11">
        <v>246.81899999999999</v>
      </c>
      <c r="K16" s="11">
        <v>246.66300000000001</v>
      </c>
      <c r="L16" s="11">
        <v>246.66900000000001</v>
      </c>
      <c r="M16" s="11">
        <v>246.524</v>
      </c>
      <c r="N16" s="11">
        <v>244.07599999999999</v>
      </c>
      <c r="O16" s="11">
        <v>246.16300000000001</v>
      </c>
      <c r="P16" s="11">
        <v>2017</v>
      </c>
      <c r="Q16" s="12">
        <f>AVERAGE(N16,O15)</f>
        <v>242.65649999999999</v>
      </c>
      <c r="R16">
        <f t="shared" ref="R16:R21" si="0">Q16/Q$22</f>
        <v>0.80970383952510205</v>
      </c>
    </row>
    <row r="17" spans="1:18" x14ac:dyDescent="0.2">
      <c r="A17" s="10">
        <v>2018</v>
      </c>
      <c r="B17" s="11">
        <v>247.86699999999999</v>
      </c>
      <c r="C17" s="11">
        <v>248.99100000000001</v>
      </c>
      <c r="D17" s="11">
        <v>249.554</v>
      </c>
      <c r="E17" s="11">
        <v>250.54599999999999</v>
      </c>
      <c r="F17" s="11">
        <v>251.58799999999999</v>
      </c>
      <c r="G17" s="11">
        <v>251.989</v>
      </c>
      <c r="H17" s="11">
        <v>252.006</v>
      </c>
      <c r="I17" s="11">
        <v>252.14599999999999</v>
      </c>
      <c r="J17" s="11">
        <v>252.43899999999999</v>
      </c>
      <c r="K17" s="11">
        <v>252.88499999999999</v>
      </c>
      <c r="L17" s="11">
        <v>252.03800000000001</v>
      </c>
      <c r="M17" s="11">
        <v>251.233</v>
      </c>
      <c r="N17" s="11">
        <v>250.089</v>
      </c>
      <c r="O17" s="11">
        <v>252.125</v>
      </c>
      <c r="P17" s="11">
        <f>P16+1</f>
        <v>2018</v>
      </c>
      <c r="Q17" s="12">
        <f t="shared" ref="Q17:Q21" si="1">AVERAGE(N17,O16)</f>
        <v>248.126</v>
      </c>
      <c r="R17">
        <f t="shared" si="0"/>
        <v>0.827954639113337</v>
      </c>
    </row>
    <row r="18" spans="1:18" x14ac:dyDescent="0.2">
      <c r="A18" s="10">
        <v>2019</v>
      </c>
      <c r="B18" s="11">
        <v>251.71199999999999</v>
      </c>
      <c r="C18" s="11">
        <v>252.77600000000001</v>
      </c>
      <c r="D18" s="11">
        <v>254.202</v>
      </c>
      <c r="E18" s="11">
        <v>255.548</v>
      </c>
      <c r="F18" s="11">
        <v>256.09199999999998</v>
      </c>
      <c r="G18" s="11">
        <v>256.14299999999997</v>
      </c>
      <c r="H18" s="11">
        <v>256.57100000000003</v>
      </c>
      <c r="I18" s="11">
        <v>256.55799999999999</v>
      </c>
      <c r="J18" s="11">
        <v>256.75900000000001</v>
      </c>
      <c r="K18" s="11">
        <v>257.346</v>
      </c>
      <c r="L18" s="11">
        <v>257.20800000000003</v>
      </c>
      <c r="M18" s="11">
        <v>256.97399999999999</v>
      </c>
      <c r="N18" s="11">
        <v>254.41200000000001</v>
      </c>
      <c r="O18" s="11">
        <v>256.90300000000002</v>
      </c>
      <c r="P18" s="11">
        <f t="shared" ref="P18:P22" si="2">P17+1</f>
        <v>2019</v>
      </c>
      <c r="Q18" s="12">
        <f t="shared" si="1"/>
        <v>253.26850000000002</v>
      </c>
      <c r="R18">
        <f t="shared" si="0"/>
        <v>0.84511429481906863</v>
      </c>
    </row>
    <row r="19" spans="1:18" x14ac:dyDescent="0.2">
      <c r="A19" s="10">
        <v>2020</v>
      </c>
      <c r="B19" s="11">
        <v>257.971</v>
      </c>
      <c r="C19" s="11">
        <v>258.678</v>
      </c>
      <c r="D19" s="11">
        <v>258.11500000000001</v>
      </c>
      <c r="E19" s="11">
        <v>256.38900000000001</v>
      </c>
      <c r="F19" s="11">
        <v>256.39400000000001</v>
      </c>
      <c r="G19" s="11">
        <v>257.79700000000003</v>
      </c>
      <c r="H19" s="11">
        <v>259.101</v>
      </c>
      <c r="I19" s="11">
        <v>259.91800000000001</v>
      </c>
      <c r="J19" s="11">
        <v>260.27999999999997</v>
      </c>
      <c r="K19" s="11">
        <v>260.38799999999998</v>
      </c>
      <c r="L19" s="11">
        <v>260.22899999999998</v>
      </c>
      <c r="M19" s="11">
        <v>260.47399999999999</v>
      </c>
      <c r="N19" s="11">
        <v>257.55700000000002</v>
      </c>
      <c r="O19" s="11">
        <v>260.065</v>
      </c>
      <c r="P19" s="11">
        <f t="shared" si="2"/>
        <v>2020</v>
      </c>
      <c r="Q19" s="12">
        <f t="shared" si="1"/>
        <v>257.23</v>
      </c>
      <c r="R19">
        <f t="shared" si="0"/>
        <v>0.85833315258829668</v>
      </c>
    </row>
    <row r="20" spans="1:18" x14ac:dyDescent="0.2">
      <c r="A20" s="10">
        <v>2021</v>
      </c>
      <c r="B20" s="11">
        <v>261.58199999999999</v>
      </c>
      <c r="C20" s="11">
        <v>263.01400000000001</v>
      </c>
      <c r="D20" s="11">
        <v>264.87700000000001</v>
      </c>
      <c r="E20" s="11">
        <v>267.05399999999997</v>
      </c>
      <c r="F20" s="11">
        <v>269.19499999999999</v>
      </c>
      <c r="G20" s="11">
        <v>271.69600000000003</v>
      </c>
      <c r="H20" s="11">
        <v>273.00299999999999</v>
      </c>
      <c r="I20" s="11">
        <v>273.56700000000001</v>
      </c>
      <c r="J20" s="11">
        <v>274.31</v>
      </c>
      <c r="K20" s="11">
        <v>276.589</v>
      </c>
      <c r="L20" s="11">
        <v>277.94799999999998</v>
      </c>
      <c r="M20" s="11">
        <v>278.80200000000002</v>
      </c>
      <c r="N20" s="11">
        <v>266.23599999999999</v>
      </c>
      <c r="O20" s="11">
        <v>275.70299999999997</v>
      </c>
      <c r="P20" s="11">
        <f t="shared" si="2"/>
        <v>2021</v>
      </c>
      <c r="Q20" s="12">
        <f t="shared" si="1"/>
        <v>263.15049999999997</v>
      </c>
      <c r="R20">
        <f t="shared" si="0"/>
        <v>0.87808886315821055</v>
      </c>
    </row>
    <row r="21" spans="1:18" x14ac:dyDescent="0.2">
      <c r="A21" s="10">
        <v>2022</v>
      </c>
      <c r="B21" s="11">
        <v>281.14800000000002</v>
      </c>
      <c r="C21" s="11">
        <v>283.71600000000001</v>
      </c>
      <c r="D21" s="11">
        <v>287.50400000000002</v>
      </c>
      <c r="E21" s="11">
        <v>289.10899999999998</v>
      </c>
      <c r="F21" s="11">
        <v>292.29599999999999</v>
      </c>
      <c r="G21" s="11">
        <v>296.31099999999998</v>
      </c>
      <c r="H21" s="11">
        <v>296.27600000000001</v>
      </c>
      <c r="I21" s="11">
        <v>296.17099999999999</v>
      </c>
      <c r="J21" s="11">
        <v>296.80799999999999</v>
      </c>
      <c r="K21" s="11">
        <v>298.012</v>
      </c>
      <c r="L21" s="11">
        <v>297.71100000000001</v>
      </c>
      <c r="M21" s="11">
        <v>296.79700000000003</v>
      </c>
      <c r="N21" s="11">
        <v>288.34699999999998</v>
      </c>
      <c r="O21" s="11">
        <v>296.96300000000002</v>
      </c>
      <c r="P21" s="11">
        <f t="shared" si="2"/>
        <v>2022</v>
      </c>
      <c r="Q21" s="12">
        <f t="shared" si="1"/>
        <v>282.02499999999998</v>
      </c>
      <c r="R21">
        <f t="shared" si="0"/>
        <v>0.94106988826619886</v>
      </c>
    </row>
    <row r="22" spans="1:18" x14ac:dyDescent="0.2">
      <c r="A22" s="10">
        <v>2023</v>
      </c>
      <c r="B22" s="11">
        <v>299.17</v>
      </c>
      <c r="C22" s="11">
        <v>300.83999999999997</v>
      </c>
      <c r="D22" s="11">
        <v>301.83600000000001</v>
      </c>
      <c r="E22" s="11">
        <v>303.363</v>
      </c>
      <c r="F22" s="11">
        <v>304.12700000000001</v>
      </c>
      <c r="G22" s="11">
        <v>305.10899999999998</v>
      </c>
      <c r="H22" s="11">
        <v>305.69099999999997</v>
      </c>
      <c r="I22" s="11">
        <v>307.02600000000001</v>
      </c>
      <c r="J22" s="11">
        <v>307.78899999999999</v>
      </c>
      <c r="K22" s="11">
        <v>307.67099999999999</v>
      </c>
      <c r="L22" s="11">
        <v>307.05099999999999</v>
      </c>
      <c r="M22" s="11">
        <v>306.74599999999998</v>
      </c>
      <c r="N22" s="11">
        <v>302.40800000000002</v>
      </c>
      <c r="O22" s="11">
        <v>306.99599999999998</v>
      </c>
      <c r="P22" s="11">
        <f t="shared" si="2"/>
        <v>2023</v>
      </c>
      <c r="Q22" s="12">
        <f>AVERAGE(N22,O21)</f>
        <v>299.68550000000005</v>
      </c>
      <c r="R22">
        <f>Q22/Q$22</f>
        <v>1</v>
      </c>
    </row>
    <row r="23" spans="1:18" x14ac:dyDescent="0.2">
      <c r="A23" s="10">
        <v>2024</v>
      </c>
      <c r="B23" s="11">
        <v>308.41699999999997</v>
      </c>
      <c r="C23" s="11">
        <v>310.32600000000002</v>
      </c>
      <c r="D23" s="11">
        <v>312.33199999999999</v>
      </c>
      <c r="E23" s="11">
        <v>313.548</v>
      </c>
      <c r="F23" s="11">
        <v>314.06900000000002</v>
      </c>
      <c r="G23" s="11">
        <v>314.17500000000001</v>
      </c>
      <c r="H23" s="11">
        <v>314.54000000000002</v>
      </c>
      <c r="I23" s="11">
        <v>314.79599999999999</v>
      </c>
      <c r="J23" s="11">
        <v>315.30099999999999</v>
      </c>
      <c r="N23" s="11">
        <v>312.14499999999998</v>
      </c>
      <c r="P23" s="11"/>
    </row>
  </sheetData>
  <mergeCells count="10">
    <mergeCell ref="B7:F7"/>
    <mergeCell ref="B8:F8"/>
    <mergeCell ref="B9:F9"/>
    <mergeCell ref="B10:F10"/>
    <mergeCell ref="A1:F1"/>
    <mergeCell ref="A2:F2"/>
    <mergeCell ref="A3:F3"/>
    <mergeCell ref="B4:F4"/>
    <mergeCell ref="A5:F5"/>
    <mergeCell ref="B6:F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e788ed7-08cc-47f7-87da-72fc330051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13861EAEA824B994D97C4F8928080" ma:contentTypeVersion="9" ma:contentTypeDescription="Create a new document." ma:contentTypeScope="" ma:versionID="472829eab002ffcff1d9de7cfa8a1bac">
  <xsd:schema xmlns:xsd="http://www.w3.org/2001/XMLSchema" xmlns:xs="http://www.w3.org/2001/XMLSchema" xmlns:p="http://schemas.microsoft.com/office/2006/metadata/properties" xmlns:ns3="ee788ed7-08cc-47f7-87da-72fc33005182" targetNamespace="http://schemas.microsoft.com/office/2006/metadata/properties" ma:root="true" ma:fieldsID="270ee60cc96669987faeab3d31e711a8" ns3:_="">
    <xsd:import namespace="ee788ed7-08cc-47f7-87da-72fc330051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788ed7-08cc-47f7-87da-72fc330051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BA2EF3-8739-409C-8529-774413A59D2F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ee788ed7-08cc-47f7-87da-72fc3300518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7ACC311-EC8F-46F5-A9F3-9BCBF2F7A7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D916A01-0947-424E-92C5-B7F659EB80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788ed7-08cc-47f7-87da-72fc330051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24&amp;25</vt:lpstr>
      <vt:lpstr>unitid</vt:lpstr>
      <vt:lpstr>code</vt:lpstr>
      <vt:lpstr>CPI</vt:lpstr>
    </vt:vector>
  </TitlesOfParts>
  <Company>University of Central Florida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Brook</dc:creator>
  <cp:lastModifiedBy>Tyler Berry</cp:lastModifiedBy>
  <dcterms:created xsi:type="dcterms:W3CDTF">2024-09-17T16:24:37Z</dcterms:created>
  <dcterms:modified xsi:type="dcterms:W3CDTF">2025-11-24T18:32:45Z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0x01010002F13861EAEA824B994D97C4F8928080</vt:lpwstr>
  </property>
</Properties>
</file>