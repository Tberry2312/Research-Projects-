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8_{DBA90C88-BAF0-F14A-9CD1-63EBE5E7186F}" xr6:coauthVersionLast="47" xr6:coauthVersionMax="47" xr10:uidLastSave="{00000000-0000-0000-0000-000000000000}"/>
  <bookViews>
    <workbookView xWindow="20" yWindow="780" windowWidth="17480" windowHeight="21140" firstSheet="2" activeTab="6" xr2:uid="{3340FE64-99A9-A443-B80E-8F5ACD1A45BE}"/>
  </bookViews>
  <sheets>
    <sheet name="Title" sheetId="13" r:id="rId1"/>
    <sheet name="Assumptions" sheetId="1" r:id="rId2"/>
    <sheet name="Historical Financials" sheetId="2" r:id="rId3"/>
    <sheet name="Financial Ratios" sheetId="3" r:id="rId4"/>
    <sheet name="Trend Analysis" sheetId="5" r:id="rId5"/>
    <sheet name="Forcast" sheetId="6" r:id="rId6"/>
    <sheet name="DCF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6" l="1"/>
  <c r="C3" i="6"/>
  <c r="C4" i="6" s="1"/>
  <c r="P4" i="2"/>
  <c r="P5" i="2"/>
  <c r="P6" i="2"/>
  <c r="P7" i="2"/>
  <c r="P3" i="2"/>
  <c r="B14" i="3"/>
  <c r="B15" i="3" s="1"/>
  <c r="B23" i="11"/>
  <c r="B12" i="11"/>
  <c r="B22" i="11" s="1"/>
  <c r="B13" i="11"/>
  <c r="B6" i="1"/>
  <c r="B4" i="6"/>
  <c r="C2" i="6"/>
  <c r="B7" i="1"/>
  <c r="AN12" i="2"/>
  <c r="AN13" i="2"/>
  <c r="AN14" i="2"/>
  <c r="AN15" i="2"/>
  <c r="AN11" i="2"/>
  <c r="B5" i="1"/>
  <c r="G9" i="5"/>
  <c r="G8" i="5"/>
  <c r="G7" i="5"/>
  <c r="G3" i="5"/>
  <c r="G4" i="5"/>
  <c r="G5" i="5"/>
  <c r="G6" i="5"/>
  <c r="G2" i="5"/>
  <c r="N2" i="5"/>
  <c r="M2" i="5"/>
  <c r="L2" i="5"/>
  <c r="K2" i="5"/>
  <c r="J2" i="5"/>
  <c r="C15" i="3"/>
  <c r="F14" i="3"/>
  <c r="E14" i="3"/>
  <c r="E15" i="3" s="1"/>
  <c r="D14" i="3"/>
  <c r="D15" i="3" s="1"/>
  <c r="C14" i="3"/>
  <c r="F12" i="3"/>
  <c r="E12" i="3"/>
  <c r="E13" i="3"/>
  <c r="D12" i="3"/>
  <c r="C12" i="3"/>
  <c r="B12" i="3"/>
  <c r="F13" i="3"/>
  <c r="D13" i="3"/>
  <c r="C13" i="3"/>
  <c r="B13" i="3"/>
  <c r="F11" i="3"/>
  <c r="E11" i="3"/>
  <c r="D11" i="3"/>
  <c r="C11" i="3"/>
  <c r="B11" i="3"/>
  <c r="F9" i="3"/>
  <c r="E9" i="3"/>
  <c r="D9" i="3"/>
  <c r="C9" i="3"/>
  <c r="B9" i="3"/>
  <c r="F7" i="3"/>
  <c r="F8" i="3" s="1"/>
  <c r="E7" i="3"/>
  <c r="E8" i="3" s="1"/>
  <c r="D7" i="3"/>
  <c r="D8" i="3" s="1"/>
  <c r="C7" i="3"/>
  <c r="C8" i="3" s="1"/>
  <c r="B7" i="3"/>
  <c r="B8" i="3" s="1"/>
  <c r="F4" i="3"/>
  <c r="E4" i="3"/>
  <c r="D4" i="3"/>
  <c r="C4" i="3"/>
  <c r="B4" i="3"/>
  <c r="B3" i="3"/>
  <c r="B2" i="3"/>
  <c r="I16" i="2"/>
  <c r="F3" i="3"/>
  <c r="E3" i="3"/>
  <c r="D3" i="3"/>
  <c r="C3" i="3"/>
  <c r="C2" i="3"/>
  <c r="D2" i="3"/>
  <c r="E2" i="3"/>
  <c r="F2" i="3"/>
  <c r="E22" i="2"/>
  <c r="I13" i="2"/>
  <c r="D10" i="3" s="1"/>
  <c r="I14" i="2"/>
  <c r="C10" i="3" s="1"/>
  <c r="I15" i="2"/>
  <c r="B10" i="3" s="1"/>
  <c r="I12" i="2"/>
  <c r="E10" i="3" s="1"/>
  <c r="I11" i="2"/>
  <c r="F10" i="3" s="1"/>
  <c r="A11" i="2"/>
  <c r="O6" i="2"/>
  <c r="O7" i="2"/>
  <c r="I6" i="2"/>
  <c r="I7" i="2"/>
  <c r="O4" i="2"/>
  <c r="O5" i="2"/>
  <c r="O3" i="2"/>
  <c r="I4" i="2"/>
  <c r="I5" i="2"/>
  <c r="I3" i="2"/>
  <c r="C7" i="6" l="1"/>
  <c r="C8" i="6" s="1"/>
  <c r="C6" i="6"/>
  <c r="C5" i="6"/>
  <c r="C9" i="6" s="1"/>
  <c r="D3" i="6"/>
  <c r="D4" i="6" s="1"/>
  <c r="D2" i="6"/>
  <c r="B24" i="11"/>
  <c r="B25" i="11"/>
  <c r="C5" i="3"/>
  <c r="C6" i="3"/>
  <c r="B6" i="3"/>
  <c r="B5" i="3"/>
  <c r="E6" i="3"/>
  <c r="E5" i="3"/>
  <c r="D6" i="3"/>
  <c r="D5" i="3"/>
  <c r="F6" i="3"/>
  <c r="F5" i="3"/>
  <c r="F15" i="3"/>
  <c r="E2" i="6" l="1"/>
  <c r="E3" i="6"/>
  <c r="E4" i="6" s="1"/>
  <c r="D5" i="6"/>
  <c r="D6" i="6"/>
  <c r="D7" i="6"/>
  <c r="D8" i="6" s="1"/>
  <c r="B26" i="11"/>
  <c r="F2" i="6" l="1"/>
  <c r="F3" i="6"/>
  <c r="F4" i="6" s="1"/>
  <c r="E5" i="6"/>
  <c r="E6" i="6"/>
  <c r="E7" i="6"/>
  <c r="E8" i="6" s="1"/>
  <c r="D9" i="6"/>
  <c r="C4" i="11"/>
  <c r="D4" i="11" s="1"/>
  <c r="C5" i="11"/>
  <c r="D5" i="11" s="1"/>
  <c r="C6" i="11"/>
  <c r="D6" i="11" s="1"/>
  <c r="C7" i="11"/>
  <c r="D7" i="11" s="1"/>
  <c r="C3" i="11"/>
  <c r="D3" i="11" s="1"/>
  <c r="F3" i="11"/>
  <c r="G3" i="11" s="1"/>
  <c r="G2" i="6" l="1"/>
  <c r="G3" i="6"/>
  <c r="G4" i="6" s="1"/>
  <c r="F5" i="6"/>
  <c r="F6" i="6"/>
  <c r="F7" i="6"/>
  <c r="F8" i="6" s="1"/>
  <c r="E9" i="6"/>
  <c r="E3" i="11"/>
  <c r="H3" i="11" s="1"/>
  <c r="I3" i="11" s="1"/>
  <c r="J3" i="11" s="1"/>
  <c r="E12" i="11" s="1"/>
  <c r="G5" i="6" l="1"/>
  <c r="G6" i="6"/>
  <c r="G7" i="6"/>
  <c r="G8" i="6" s="1"/>
  <c r="F9" i="6"/>
  <c r="G9" i="6" l="1"/>
</calcChain>
</file>

<file path=xl/sharedStrings.xml><?xml version="1.0" encoding="utf-8"?>
<sst xmlns="http://schemas.openxmlformats.org/spreadsheetml/2006/main" count="180" uniqueCount="165">
  <si>
    <t xml:space="preserve">Income Statement </t>
  </si>
  <si>
    <t>YEAR</t>
  </si>
  <si>
    <t>Revenue</t>
  </si>
  <si>
    <t>COGS</t>
  </si>
  <si>
    <t>GROSS PROF</t>
  </si>
  <si>
    <t>SG&amp;A</t>
  </si>
  <si>
    <t>R&amp;D</t>
  </si>
  <si>
    <t>OP INCOME</t>
  </si>
  <si>
    <t>INTREST EXP</t>
  </si>
  <si>
    <t>PRETAX INC</t>
  </si>
  <si>
    <t>TAXES</t>
  </si>
  <si>
    <t>NET INC</t>
  </si>
  <si>
    <t>AOIA</t>
  </si>
  <si>
    <t>GAOI</t>
  </si>
  <si>
    <t>TOE</t>
  </si>
  <si>
    <t>Other INC</t>
  </si>
  <si>
    <t>Balance Sheets</t>
  </si>
  <si>
    <t>CACE</t>
  </si>
  <si>
    <t>STI</t>
  </si>
  <si>
    <t>MS</t>
  </si>
  <si>
    <t>ARLAO</t>
  </si>
  <si>
    <t>M&amp;S</t>
  </si>
  <si>
    <t>WIP</t>
  </si>
  <si>
    <t>Finished gds</t>
  </si>
  <si>
    <t>Total INV</t>
  </si>
  <si>
    <t>PREPAID EXP</t>
  </si>
  <si>
    <t>TOTAL CURRENT AST</t>
  </si>
  <si>
    <t>LBI</t>
  </si>
  <si>
    <t>M&amp;E</t>
  </si>
  <si>
    <t>TP-P&amp;E</t>
  </si>
  <si>
    <t>LEFD</t>
  </si>
  <si>
    <t>PPE NET</t>
  </si>
  <si>
    <t>GOODWILL</t>
  </si>
  <si>
    <t>OTHER INT</t>
  </si>
  <si>
    <t>NDITA</t>
  </si>
  <si>
    <t>OTHER NCA</t>
  </si>
  <si>
    <t>TOTAL ASSETS</t>
  </si>
  <si>
    <t>ACCOUNT P</t>
  </si>
  <si>
    <t>AC COMP</t>
  </si>
  <si>
    <t>INC TAX</t>
  </si>
  <si>
    <t xml:space="preserve">DIVIDEND </t>
  </si>
  <si>
    <t>AE&amp;OE</t>
  </si>
  <si>
    <t>CMOD</t>
  </si>
  <si>
    <t>IT</t>
  </si>
  <si>
    <t>OTHER NL</t>
  </si>
  <si>
    <t>TOTAL LIB</t>
  </si>
  <si>
    <t>TOTAL CLIB</t>
  </si>
  <si>
    <t>Common STK</t>
  </si>
  <si>
    <t>ADIC</t>
  </si>
  <si>
    <t>RE</t>
  </si>
  <si>
    <t>AOCL</t>
  </si>
  <si>
    <t>TOTAL SHE</t>
  </si>
  <si>
    <t>TL&amp;SE</t>
  </si>
  <si>
    <t>CASH FLOW</t>
  </si>
  <si>
    <t>NET EARN</t>
  </si>
  <si>
    <t>DEPREC</t>
  </si>
  <si>
    <t>SBC</t>
  </si>
  <si>
    <t>SOISUTFVAA</t>
  </si>
  <si>
    <t>Def INC TAX</t>
  </si>
  <si>
    <t>Acc recive</t>
  </si>
  <si>
    <t>Inventoires</t>
  </si>
  <si>
    <t>ACC Payable</t>
  </si>
  <si>
    <t>AE&amp;OL</t>
  </si>
  <si>
    <t xml:space="preserve">Other </t>
  </si>
  <si>
    <t>NET Cash</t>
  </si>
  <si>
    <t>Acquisitions</t>
  </si>
  <si>
    <t>POP, P&amp;E</t>
  </si>
  <si>
    <t>Proceeds F/S</t>
  </si>
  <si>
    <t>Other invest</t>
  </si>
  <si>
    <t>Net Invest</t>
  </si>
  <si>
    <t>Proceeds STB</t>
  </si>
  <si>
    <t>Proceeds LTD</t>
  </si>
  <si>
    <t>Payments of Dividends</t>
  </si>
  <si>
    <t>Cash paid for taxes</t>
  </si>
  <si>
    <t>Other Finance</t>
  </si>
  <si>
    <t>Net Cash finace</t>
  </si>
  <si>
    <t>Effect of EX</t>
  </si>
  <si>
    <t>change in cash</t>
  </si>
  <si>
    <t>CIC EQ</t>
  </si>
  <si>
    <t>C&amp;CEAEOY</t>
  </si>
  <si>
    <t>Accured PL</t>
  </si>
  <si>
    <t>Recall Charge</t>
  </si>
  <si>
    <t>Recall Related EXP</t>
  </si>
  <si>
    <t>Payments on LTD</t>
  </si>
  <si>
    <t>Purchases MS</t>
  </si>
  <si>
    <t>Proceeds MS</t>
  </si>
  <si>
    <t>Metric</t>
  </si>
  <si>
    <t>Revenue  Growth</t>
  </si>
  <si>
    <t>Gross Margin</t>
  </si>
  <si>
    <t>Operating Margin</t>
  </si>
  <si>
    <t>Net Margin</t>
  </si>
  <si>
    <t>Return on Assets</t>
  </si>
  <si>
    <t>Effective Tax rate</t>
  </si>
  <si>
    <t>Return on invested Capital</t>
  </si>
  <si>
    <t>Current Ratio</t>
  </si>
  <si>
    <t>Quick Ratio</t>
  </si>
  <si>
    <t>Debt-to-equity</t>
  </si>
  <si>
    <t>Long Term Debt</t>
  </si>
  <si>
    <t>Intrest Coverage</t>
  </si>
  <si>
    <t>Asset Turnover</t>
  </si>
  <si>
    <t>Free Cash Flow</t>
  </si>
  <si>
    <t>FCF Margin</t>
  </si>
  <si>
    <t xml:space="preserve">Metric </t>
  </si>
  <si>
    <t>CAGR</t>
  </si>
  <si>
    <t>EBIT</t>
  </si>
  <si>
    <t>NET INCOME</t>
  </si>
  <si>
    <t>Op CF</t>
  </si>
  <si>
    <t>FCF</t>
  </si>
  <si>
    <t>Revnue</t>
  </si>
  <si>
    <t>Net Income</t>
  </si>
  <si>
    <t>Op Cash Flow</t>
  </si>
  <si>
    <t>AVGS</t>
  </si>
  <si>
    <t>RIOC</t>
  </si>
  <si>
    <t>Debt To equity</t>
  </si>
  <si>
    <t>Assumption</t>
  </si>
  <si>
    <t>Value</t>
  </si>
  <si>
    <t>Revenue Growth</t>
  </si>
  <si>
    <t>Tax Rate</t>
  </si>
  <si>
    <t>CapEx % Revenue</t>
  </si>
  <si>
    <t>D&amp;A % Revenue</t>
  </si>
  <si>
    <t>Working Capital % Revenue</t>
  </si>
  <si>
    <t>Net Working Cap</t>
  </si>
  <si>
    <t>2025A</t>
  </si>
  <si>
    <t>2026E</t>
  </si>
  <si>
    <t>2027E</t>
  </si>
  <si>
    <t>2028E</t>
  </si>
  <si>
    <t>2029E</t>
  </si>
  <si>
    <t>2030E</t>
  </si>
  <si>
    <t>NOPAT</t>
  </si>
  <si>
    <t>D&amp;A</t>
  </si>
  <si>
    <t>STRYKER DCF</t>
  </si>
  <si>
    <t>TYLER BERRY</t>
  </si>
  <si>
    <t>OP NWC</t>
  </si>
  <si>
    <t>ΔNWC</t>
  </si>
  <si>
    <t>(CapEx)</t>
  </si>
  <si>
    <t>Year</t>
  </si>
  <si>
    <t>WACC</t>
  </si>
  <si>
    <t>Capm</t>
  </si>
  <si>
    <t>Risk Free rate</t>
  </si>
  <si>
    <t>Beta</t>
  </si>
  <si>
    <t xml:space="preserve">Market Risk Premium </t>
  </si>
  <si>
    <t>Intrest Expense</t>
  </si>
  <si>
    <t>Total Debt</t>
  </si>
  <si>
    <t>Tax rate</t>
  </si>
  <si>
    <t>share price</t>
  </si>
  <si>
    <t>shares outstanding</t>
  </si>
  <si>
    <t>Cost of Debt</t>
  </si>
  <si>
    <t>AT COD</t>
  </si>
  <si>
    <t>E%</t>
  </si>
  <si>
    <t>D%</t>
  </si>
  <si>
    <t>total equity</t>
  </si>
  <si>
    <t>WACC CALC</t>
  </si>
  <si>
    <t>Discount Factor</t>
  </si>
  <si>
    <t>DCF</t>
  </si>
  <si>
    <t>PV</t>
  </si>
  <si>
    <t>Sum of PV</t>
  </si>
  <si>
    <t>Terminal Value</t>
  </si>
  <si>
    <t>Discount TV</t>
  </si>
  <si>
    <t>Enterprise Value</t>
  </si>
  <si>
    <t>Equity Value</t>
  </si>
  <si>
    <t>Intrinsic SP</t>
  </si>
  <si>
    <t>Market Value of equity</t>
  </si>
  <si>
    <t>Terminal Growth</t>
  </si>
  <si>
    <t>EBIT MARGIN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</si>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</sst>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3" fontId="0" fillId="0" borderId="0" xfId="0" applyNumberFormat="1"/>
    <xf numFmtId="9" fontId="0" fillId="0" borderId="0" xfId="2" applyFont="1"/>
    <xf numFmtId="0" fontId="2" fillId="0" borderId="0" xfId="0" applyFont="1"/>
    <xf numFmtId="9" fontId="0" fillId="0" borderId="0" xfId="0" applyNumberFormat="1"/>
    <xf numFmtId="0" fontId="4" fillId="0" borderId="0" xfId="0" applyFont="1"/>
    <xf numFmtId="0" fontId="5" fillId="0" borderId="0" xfId="0" applyFont="1"/>
    <xf numFmtId="9" fontId="4" fillId="0" borderId="0" xfId="2" applyFont="1"/>
    <xf numFmtId="0" fontId="0" fillId="0" borderId="0" xfId="2" applyNumberFormat="1" applyFont="1"/>
    <xf numFmtId="44" fontId="0" fillId="0" borderId="0" xfId="1" applyFont="1"/>
    <xf numFmtId="0" fontId="6" fillId="0" borderId="0" xfId="0" applyFont="1"/>
    <xf numFmtId="0" fontId="7" fillId="0" borderId="0" xfId="0" applyFont="1"/>
    <xf numFmtId="14" fontId="8" fillId="0" borderId="0" xfId="0" applyNumberFormat="1" applyFont="1" applyAlignment="1">
      <alignment horizontal="left"/>
    </xf>
    <xf numFmtId="10" fontId="0" fillId="0" borderId="0" xfId="2" applyNumberFormat="1" applyFont="1"/>
    <xf numFmtId="164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Analysis'!$A$2</c:f>
              <c:strCache>
                <c:ptCount val="1"/>
                <c:pt idx="0">
                  <c:v>Revnue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'Trend Analysis'!$B$2:$F$2</c:f>
              <c:numCache>
                <c:formatCode>General</c:formatCode>
                <c:ptCount val="5"/>
                <c:pt idx="0">
                  <c:v>17108</c:v>
                </c:pt>
                <c:pt idx="1">
                  <c:v>18449</c:v>
                </c:pt>
                <c:pt idx="2">
                  <c:v>20498</c:v>
                </c:pt>
                <c:pt idx="3">
                  <c:v>22595</c:v>
                </c:pt>
                <c:pt idx="4">
                  <c:v>25116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2-564E-8835-DA71AC8B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854464"/>
        <c:axId val="1977853568"/>
      </c:lineChart>
      <c:catAx>
        <c:axId val="19778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53568"/>
        <c:crosses val="autoZero"/>
        <c:auto val="1"/>
        <c:lblAlgn val="ctr"/>
        <c:lblOffset val="100"/>
        <c:noMultiLvlLbl val="0"/>
      </c:catAx>
      <c:valAx>
        <c:axId val="19778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5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'Trend Analysis'!$B$3:$F$3</c:f>
              <c:numCache>
                <c:formatCode>General</c:formatCode>
                <c:ptCount val="5"/>
                <c:pt idx="0">
                  <c:v>2584</c:v>
                </c:pt>
                <c:pt idx="1">
                  <c:v>2841</c:v>
                </c:pt>
                <c:pt idx="2">
                  <c:v>3888</c:v>
                </c:pt>
                <c:pt idx="3">
                  <c:v>3689</c:v>
                </c:pt>
                <c:pt idx="4">
                  <c:v>4889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572-DC40-9DFB-282E9F646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199616"/>
        <c:axId val="2005461056"/>
      </c:lineChart>
      <c:catAx>
        <c:axId val="19961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61056"/>
        <c:crosses val="autoZero"/>
        <c:auto val="1"/>
        <c:lblAlgn val="ctr"/>
        <c:lblOffset val="100"/>
        <c:noMultiLvlLbl val="0"/>
      </c:catAx>
      <c:valAx>
        <c:axId val="200546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9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'Trend Analysis'!$B$4:$F$4</c:f>
              <c:numCache>
                <c:formatCode>General</c:formatCode>
                <c:ptCount val="5"/>
                <c:pt idx="0">
                  <c:v>1994</c:v>
                </c:pt>
                <c:pt idx="1">
                  <c:v>2358</c:v>
                </c:pt>
                <c:pt idx="2">
                  <c:v>3165</c:v>
                </c:pt>
                <c:pt idx="3">
                  <c:v>2993</c:v>
                </c:pt>
                <c:pt idx="4">
                  <c:v>3246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1A9-5241-85EA-09423A06D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285696"/>
        <c:axId val="2011285248"/>
      </c:lineChart>
      <c:catAx>
        <c:axId val="20112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85248"/>
        <c:crosses val="autoZero"/>
        <c:auto val="1"/>
        <c:lblAlgn val="ctr"/>
        <c:lblOffset val="100"/>
        <c:noMultiLvlLbl val="0"/>
      </c:catAx>
      <c:valAx>
        <c:axId val="20112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'Trend Analysis'!$B$5:$F$5</c:f>
              <c:numCache>
                <c:formatCode>General</c:formatCode>
                <c:ptCount val="5"/>
                <c:pt idx="0">
                  <c:v>3263</c:v>
                </c:pt>
                <c:pt idx="1">
                  <c:v>2624</c:v>
                </c:pt>
                <c:pt idx="2">
                  <c:v>3711</c:v>
                </c:pt>
                <c:pt idx="3">
                  <c:v>4242</c:v>
                </c:pt>
                <c:pt idx="4">
                  <c:v>5044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6F7-8647-9DAE-17D20F1C8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069568"/>
        <c:axId val="2009429120"/>
      </c:lineChart>
      <c:catAx>
        <c:axId val="20020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29120"/>
        <c:crosses val="autoZero"/>
        <c:auto val="1"/>
        <c:lblAlgn val="ctr"/>
        <c:lblOffset val="100"/>
        <c:noMultiLvlLbl val="0"/>
      </c:catAx>
      <c:valAx>
        <c:axId val="20094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'Trend Analysis'!$B$6:$F$6</c:f>
              <c:numCache>
                <c:formatCode>General</c:formatCode>
                <c:ptCount val="5"/>
                <c:pt idx="0">
                  <c:v>2738</c:v>
                </c:pt>
                <c:pt idx="1">
                  <c:v>2036</c:v>
                </c:pt>
                <c:pt idx="2">
                  <c:v>3136</c:v>
                </c:pt>
                <c:pt idx="3">
                  <c:v>3487</c:v>
                </c:pt>
                <c:pt idx="4">
                  <c:v>2502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519-AC40-92B5-8263197CE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406144"/>
        <c:axId val="1978404352"/>
      </c:lineChart>
      <c:catAx>
        <c:axId val="197840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04352"/>
        <c:crosses val="autoZero"/>
        <c:auto val="1"/>
        <c:lblAlgn val="ctr"/>
        <c:lblOffset val="100"/>
        <c:noMultiLvlLbl val="0"/>
      </c:catAx>
      <c:valAx>
        <c:axId val="19784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0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'Trend Analysis'!$B$7:$F$7</c:f>
              <c:numCache>
                <c:formatCode>0%</c:formatCode>
                <c:ptCount val="5"/>
                <c:pt idx="0">
                  <c:v>9.25579156569942E-2</c:v>
                </c:pt>
                <c:pt idx="1">
                  <c:v>9.3764729299591495E-2</c:v>
                </c:pt>
                <c:pt idx="2">
                  <c:v>0.12631542771557891</c:v>
                </c:pt>
                <c:pt idx="3">
                  <c:v>0.10829362892145435</c:v>
                </c:pt>
                <c:pt idx="4">
                  <c:v>0.1056769584735217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69F-B747-AE59-5CA967866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335104"/>
        <c:axId val="2016331520"/>
      </c:lineChart>
      <c:catAx>
        <c:axId val="201633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31520"/>
        <c:crosses val="autoZero"/>
        <c:auto val="1"/>
        <c:lblAlgn val="ctr"/>
        <c:lblOffset val="100"/>
        <c:noMultiLvlLbl val="0"/>
      </c:catAx>
      <c:valAx>
        <c:axId val="201633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3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'Trend Analysis'!$B$8:$F$8</c:f>
              <c:numCache>
                <c:formatCode>0%</c:formatCode>
                <c:ptCount val="5"/>
                <c:pt idx="0">
                  <c:v>0.83834106338643544</c:v>
                </c:pt>
                <c:pt idx="1">
                  <c:v>0.71358931150698124</c:v>
                </c:pt>
                <c:pt idx="2">
                  <c:v>0.58629591781853385</c:v>
                </c:pt>
                <c:pt idx="3">
                  <c:v>0.59067558398759334</c:v>
                </c:pt>
                <c:pt idx="4">
                  <c:v>0.66275646743978589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69A-6B46-98F1-2ED296E09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359552"/>
        <c:axId val="2006392704"/>
      </c:lineChart>
      <c:catAx>
        <c:axId val="20163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92704"/>
        <c:crosses val="autoZero"/>
        <c:auto val="1"/>
        <c:lblAlgn val="ctr"/>
        <c:lblOffset val="100"/>
        <c:noMultiLvlLbl val="0"/>
      </c:catAx>
      <c:valAx>
        <c:axId val="20063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5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10</xdr:row>
      <xdr:rowOff>69850</xdr:rowOff>
    </xdr:from>
    <xdr:to>
      <xdr:col>5</xdr:col>
      <xdr:colOff>292100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222F9-EDB5-BB55-DB80-0AFEB6ED9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107950</xdr:rowOff>
    </xdr:from>
    <xdr:to>
      <xdr:col>5</xdr:col>
      <xdr:colOff>266700</xdr:colOff>
      <xdr:row>37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6B0B9A-188A-1001-9E2E-7F066DF56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10</xdr:row>
      <xdr:rowOff>69850</xdr:rowOff>
    </xdr:from>
    <xdr:to>
      <xdr:col>10</xdr:col>
      <xdr:colOff>590550</xdr:colOff>
      <xdr:row>23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192EE8-2E46-D73E-12BF-235E581C7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285750</xdr:colOff>
      <xdr:row>23</xdr:row>
      <xdr:rowOff>107950</xdr:rowOff>
    </xdr:from>
    <xdr:to>
      <xdr:col>10</xdr:col>
      <xdr:colOff>590550</xdr:colOff>
      <xdr:row>37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0864C7-9C09-988B-B459-E4AEDD22C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590550</xdr:colOff>
      <xdr:row>10</xdr:row>
      <xdr:rowOff>69850</xdr:rowOff>
    </xdr:from>
    <xdr:to>
      <xdr:col>16</xdr:col>
      <xdr:colOff>209550</xdr:colOff>
      <xdr:row>23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F8F7D6-9D91-A33E-B26E-58CB2B738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590550</xdr:colOff>
      <xdr:row>23</xdr:row>
      <xdr:rowOff>107950</xdr:rowOff>
    </xdr:from>
    <xdr:to>
      <xdr:col>16</xdr:col>
      <xdr:colOff>209550</xdr:colOff>
      <xdr:row>37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20BD422-D174-D797-5FCE-CB25E34BA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209550</xdr:colOff>
      <xdr:row>10</xdr:row>
      <xdr:rowOff>69850</xdr:rowOff>
    </xdr:from>
    <xdr:to>
      <xdr:col>21</xdr:col>
      <xdr:colOff>654050</xdr:colOff>
      <xdr:row>23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48FC31-77C6-D17A-67ED-7CB8D2BF7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2FBF-91F0-1C4B-8C5F-96A326D72287}">
  <dimension ref="A1:A3"/>
  <sheetViews>
    <sheetView workbookViewId="0">
      <selection activeCell="B6" sqref="B6"/>
    </sheetView>
  </sheetViews>
  <sheetFormatPr baseColWidth="10" defaultRowHeight="16" x14ac:dyDescent="0.2"/>
  <sheetData>
    <row r="1" spans="1:1" ht="24" x14ac:dyDescent="0.3">
      <c r="A1" s="11" t="s">
        <v>130</v>
      </c>
    </row>
    <row r="2" spans="1:1" ht="22" x14ac:dyDescent="0.3">
      <c r="A2" s="12" t="s">
        <v>131</v>
      </c>
    </row>
    <row r="3" spans="1:1" ht="19" x14ac:dyDescent="0.25">
      <c r="A3" s="13">
        <v>46235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9988-8C8E-FB49-B15F-25486F9877E1}">
  <dimension ref="A1:C7"/>
  <sheetViews>
    <sheetView workbookViewId="0">
      <selection activeCell="B4" sqref="B4"/>
    </sheetView>
  </sheetViews>
  <sheetFormatPr baseColWidth="10" defaultRowHeight="16" x14ac:dyDescent="0.2"/>
  <cols>
    <col min="2" max="2" width="10.33203125" customWidth="1"/>
  </cols>
  <sheetData>
    <row r="1" spans="1:3" x14ac:dyDescent="0.2">
      <c r="A1" s="4" t="s">
        <v>114</v>
      </c>
      <c r="B1" s="4" t="s">
        <v>115</v>
      </c>
      <c r="C1" s="4"/>
    </row>
    <row r="2" spans="1:3" x14ac:dyDescent="0.2">
      <c r="A2" t="s">
        <v>116</v>
      </c>
      <c r="B2" s="5">
        <v>0.10074775454722285</v>
      </c>
    </row>
    <row r="3" spans="1:3" x14ac:dyDescent="0.2">
      <c r="A3" t="s">
        <v>89</v>
      </c>
      <c r="B3" s="5">
        <v>0.19500000000000001</v>
      </c>
    </row>
    <row r="4" spans="1:3" x14ac:dyDescent="0.2">
      <c r="A4" t="s">
        <v>117</v>
      </c>
      <c r="B4" s="5">
        <v>0.16181270733177994</v>
      </c>
    </row>
    <row r="5" spans="1:3" x14ac:dyDescent="0.2">
      <c r="A5" t="s">
        <v>118</v>
      </c>
      <c r="B5" s="5">
        <f>ABS(AVERAGE('Historical Financials'!U19:U23))/AVERAGE('Historical Financials'!B3:B7)</f>
        <v>3.0877165931037138E-2</v>
      </c>
    </row>
    <row r="6" spans="1:3" x14ac:dyDescent="0.2">
      <c r="A6" t="s">
        <v>119</v>
      </c>
      <c r="B6" s="5">
        <f>AVERAGE('Historical Financials'!G3:G7)/AVERAGE('Historical Financials'!B3:B7)</f>
        <v>3.1185552107626777E-2</v>
      </c>
    </row>
    <row r="7" spans="1:3" x14ac:dyDescent="0.2">
      <c r="A7" t="s">
        <v>120</v>
      </c>
      <c r="B7" s="5">
        <f>AVERAGE('Historical Financials'!AN11:AN15)/AVERAGE('Historical Financials'!B3:B7)</f>
        <v>0.27204479309214963</v>
      </c>
    </row>
  </sheetData>
  <pageMargins left="0.7" right="0.7" top="0.75" bottom="0.75" header="0.3" footer="0.3"/>
  <ignoredErrors>
    <ignoredError sqref="B5 B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C3D2-2A5F-1546-92A1-016658E4D095}">
  <dimension ref="A1:AN23"/>
  <sheetViews>
    <sheetView topLeftCell="H1" zoomScale="165" workbookViewId="0">
      <selection activeCell="I3" sqref="I3"/>
    </sheetView>
  </sheetViews>
  <sheetFormatPr baseColWidth="10" defaultRowHeight="14" x14ac:dyDescent="0.2"/>
  <cols>
    <col min="1" max="7" width="10.83203125" style="1"/>
    <col min="8" max="8" width="11.33203125" style="1" customWidth="1"/>
    <col min="9" max="10" width="10.83203125" style="1"/>
    <col min="11" max="11" width="11.1640625" style="1" customWidth="1"/>
    <col min="12" max="12" width="17.33203125" style="1" customWidth="1"/>
    <col min="13" max="13" width="10.83203125" style="1"/>
    <col min="14" max="14" width="13.5" style="1" customWidth="1"/>
    <col min="15" max="21" width="10.83203125" style="1"/>
    <col min="22" max="22" width="11.1640625" style="1" customWidth="1"/>
    <col min="23" max="23" width="10.83203125" style="1"/>
    <col min="24" max="25" width="12.1640625" style="1" customWidth="1"/>
    <col min="26" max="26" width="12" style="1" customWidth="1"/>
    <col min="27" max="27" width="18.83203125" style="1" customWidth="1"/>
    <col min="28" max="29" width="15.5" style="1" customWidth="1"/>
    <col min="30" max="31" width="10.83203125" style="1"/>
    <col min="32" max="32" width="13.33203125" style="1" customWidth="1"/>
    <col min="33" max="36" width="10.83203125" style="1"/>
    <col min="37" max="37" width="12.1640625" style="1" customWidth="1"/>
    <col min="38" max="16384" width="10.83203125" style="1"/>
  </cols>
  <sheetData>
    <row r="1" spans="1:40" x14ac:dyDescent="0.2">
      <c r="A1" s="1" t="s">
        <v>0</v>
      </c>
    </row>
    <row r="2" spans="1:4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12</v>
      </c>
      <c r="H2" s="1" t="s">
        <v>13</v>
      </c>
      <c r="I2" s="1" t="s">
        <v>14</v>
      </c>
      <c r="J2" s="1" t="s">
        <v>7</v>
      </c>
      <c r="K2" s="1" t="s">
        <v>8</v>
      </c>
      <c r="L2" s="1" t="s">
        <v>15</v>
      </c>
      <c r="M2" s="1" t="s">
        <v>9</v>
      </c>
      <c r="N2" s="1" t="s">
        <v>10</v>
      </c>
      <c r="O2" s="1" t="s">
        <v>11</v>
      </c>
      <c r="P2" s="1" t="s">
        <v>163</v>
      </c>
    </row>
    <row r="3" spans="1:40" x14ac:dyDescent="0.2">
      <c r="A3" s="1">
        <v>2025</v>
      </c>
      <c r="B3" s="1">
        <v>25116</v>
      </c>
      <c r="C3" s="1">
        <v>9051</v>
      </c>
      <c r="D3" s="1">
        <v>16065</v>
      </c>
      <c r="E3" s="1">
        <v>8651</v>
      </c>
      <c r="F3" s="1">
        <v>1623</v>
      </c>
      <c r="G3" s="1">
        <v>732</v>
      </c>
      <c r="H3" s="1">
        <v>170</v>
      </c>
      <c r="I3" s="1">
        <f>SUM(E3:H3)</f>
        <v>11176</v>
      </c>
      <c r="J3" s="1">
        <v>4889</v>
      </c>
      <c r="K3" s="1">
        <v>-607</v>
      </c>
      <c r="L3" s="1">
        <v>232</v>
      </c>
      <c r="M3" s="1">
        <v>4514</v>
      </c>
      <c r="N3" s="1">
        <v>-1268</v>
      </c>
      <c r="O3" s="1">
        <f>SUM(M3:N3)</f>
        <v>3246</v>
      </c>
      <c r="P3" s="1">
        <f>J3/B3</f>
        <v>0.19465679248287943</v>
      </c>
    </row>
    <row r="4" spans="1:40" x14ac:dyDescent="0.2">
      <c r="A4" s="1">
        <v>2024</v>
      </c>
      <c r="B4" s="1">
        <v>22595</v>
      </c>
      <c r="C4" s="1">
        <v>8155</v>
      </c>
      <c r="D4" s="1">
        <v>14440</v>
      </c>
      <c r="E4" s="1">
        <v>7685</v>
      </c>
      <c r="F4" s="1">
        <v>1466</v>
      </c>
      <c r="G4" s="1">
        <v>623</v>
      </c>
      <c r="H4" s="1">
        <v>977</v>
      </c>
      <c r="I4" s="1">
        <f>SUM(E4:H4)</f>
        <v>10751</v>
      </c>
      <c r="J4" s="1">
        <v>3689</v>
      </c>
      <c r="K4" s="1">
        <v>-409</v>
      </c>
      <c r="L4" s="1">
        <v>212</v>
      </c>
      <c r="M4" s="1">
        <v>3492</v>
      </c>
      <c r="N4" s="1">
        <v>-499</v>
      </c>
      <c r="O4" s="1">
        <f>SUM(M4:N4)</f>
        <v>2993</v>
      </c>
      <c r="P4" s="1">
        <f t="shared" ref="P4:P7" si="0">J4/B4</f>
        <v>0.16326620933834921</v>
      </c>
    </row>
    <row r="5" spans="1:40" x14ac:dyDescent="0.2">
      <c r="A5" s="1">
        <v>2023</v>
      </c>
      <c r="B5" s="1">
        <v>20498</v>
      </c>
      <c r="C5" s="1">
        <v>7440</v>
      </c>
      <c r="D5" s="1">
        <v>13058</v>
      </c>
      <c r="E5" s="1">
        <v>7111</v>
      </c>
      <c r="F5" s="1">
        <v>1388</v>
      </c>
      <c r="G5" s="1">
        <v>635</v>
      </c>
      <c r="H5" s="1">
        <v>36</v>
      </c>
      <c r="I5" s="1">
        <f>SUM(E5:H5)</f>
        <v>9170</v>
      </c>
      <c r="J5" s="1">
        <v>3888</v>
      </c>
      <c r="K5" s="1">
        <v>-363</v>
      </c>
      <c r="L5" s="1">
        <v>148</v>
      </c>
      <c r="M5" s="1">
        <v>3673</v>
      </c>
      <c r="N5" s="1">
        <v>-508</v>
      </c>
      <c r="O5" s="1">
        <f>SUM(M5:N5)</f>
        <v>3165</v>
      </c>
      <c r="P5" s="1">
        <f t="shared" si="0"/>
        <v>0.18967704166260124</v>
      </c>
    </row>
    <row r="6" spans="1:40" x14ac:dyDescent="0.2">
      <c r="A6" s="1">
        <v>2022</v>
      </c>
      <c r="B6" s="1">
        <v>18449</v>
      </c>
      <c r="C6" s="1">
        <v>6871</v>
      </c>
      <c r="D6" s="1">
        <v>11578</v>
      </c>
      <c r="E6" s="1">
        <v>6455</v>
      </c>
      <c r="F6" s="1">
        <v>1454</v>
      </c>
      <c r="G6" s="1">
        <v>627</v>
      </c>
      <c r="H6" s="1">
        <v>201</v>
      </c>
      <c r="I6" s="1">
        <f>SUM(E6:H6)</f>
        <v>8737</v>
      </c>
      <c r="J6" s="1">
        <v>2841</v>
      </c>
      <c r="K6" s="1">
        <v>-158</v>
      </c>
      <c r="L6" s="1">
        <v>0</v>
      </c>
      <c r="M6" s="1">
        <v>2683</v>
      </c>
      <c r="N6" s="1">
        <v>-325</v>
      </c>
      <c r="O6" s="1">
        <f>SUM(M6:N6)</f>
        <v>2358</v>
      </c>
      <c r="P6" s="1">
        <f t="shared" si="0"/>
        <v>0.15399208629193994</v>
      </c>
    </row>
    <row r="7" spans="1:40" x14ac:dyDescent="0.2">
      <c r="A7" s="1">
        <v>2021</v>
      </c>
      <c r="B7" s="1">
        <v>17108</v>
      </c>
      <c r="C7" s="1">
        <v>6140</v>
      </c>
      <c r="D7" s="1">
        <v>10968</v>
      </c>
      <c r="E7" s="1">
        <v>6427</v>
      </c>
      <c r="F7" s="1">
        <v>1235</v>
      </c>
      <c r="G7" s="1">
        <v>619</v>
      </c>
      <c r="H7" s="1">
        <v>103</v>
      </c>
      <c r="I7" s="1">
        <f>SUM(E7:H7)</f>
        <v>8384</v>
      </c>
      <c r="J7" s="1">
        <v>2584</v>
      </c>
      <c r="K7" s="1">
        <v>-303</v>
      </c>
      <c r="L7" s="1">
        <v>0</v>
      </c>
      <c r="M7" s="1">
        <v>2281</v>
      </c>
      <c r="N7" s="1">
        <v>-287</v>
      </c>
      <c r="O7" s="1">
        <f>SUM(M7:N7)</f>
        <v>1994</v>
      </c>
      <c r="P7" s="1">
        <f t="shared" si="0"/>
        <v>0.15104044891278934</v>
      </c>
    </row>
    <row r="8" spans="1:40" ht="16" x14ac:dyDescent="0.2">
      <c r="A8" s="1">
        <v>2020</v>
      </c>
      <c r="B8" s="2">
        <v>14351</v>
      </c>
      <c r="D8" s="2">
        <v>9057</v>
      </c>
    </row>
    <row r="9" spans="1:40" x14ac:dyDescent="0.2">
      <c r="A9" s="1" t="s">
        <v>16</v>
      </c>
    </row>
    <row r="10" spans="1:40" x14ac:dyDescent="0.2">
      <c r="A10" s="1" t="s">
        <v>1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33</v>
      </c>
      <c r="S10" s="1" t="s">
        <v>34</v>
      </c>
      <c r="T10" s="1" t="s">
        <v>35</v>
      </c>
      <c r="U10" s="1" t="s">
        <v>36</v>
      </c>
      <c r="V10" s="1" t="s">
        <v>37</v>
      </c>
      <c r="W10" s="1" t="s">
        <v>38</v>
      </c>
      <c r="X10" s="1" t="s">
        <v>39</v>
      </c>
      <c r="Y10" s="1" t="s">
        <v>40</v>
      </c>
      <c r="Z10" s="1" t="s">
        <v>80</v>
      </c>
      <c r="AA10" s="1" t="s">
        <v>41</v>
      </c>
      <c r="AB10" s="1" t="s">
        <v>42</v>
      </c>
      <c r="AC10" s="1" t="s">
        <v>46</v>
      </c>
      <c r="AD10" s="1" t="s">
        <v>97</v>
      </c>
      <c r="AE10" s="1" t="s">
        <v>43</v>
      </c>
      <c r="AF10" s="1" t="s">
        <v>44</v>
      </c>
      <c r="AG10" s="1" t="s">
        <v>45</v>
      </c>
      <c r="AH10" s="1" t="s">
        <v>47</v>
      </c>
      <c r="AI10" s="1" t="s">
        <v>48</v>
      </c>
      <c r="AJ10" s="1" t="s">
        <v>49</v>
      </c>
      <c r="AK10" s="1" t="s">
        <v>50</v>
      </c>
      <c r="AL10" s="1" t="s">
        <v>51</v>
      </c>
      <c r="AM10" s="1" t="s">
        <v>52</v>
      </c>
      <c r="AN10" s="1" t="s">
        <v>121</v>
      </c>
    </row>
    <row r="11" spans="1:40" x14ac:dyDescent="0.2">
      <c r="A11" s="1">
        <f>2025</f>
        <v>2025</v>
      </c>
      <c r="B11" s="1">
        <v>4011</v>
      </c>
      <c r="C11" s="1">
        <v>0</v>
      </c>
      <c r="D11" s="1">
        <v>89</v>
      </c>
      <c r="E11" s="1">
        <v>4039</v>
      </c>
      <c r="F11" s="1">
        <v>1349</v>
      </c>
      <c r="G11" s="1">
        <v>415</v>
      </c>
      <c r="H11" s="1">
        <v>3546</v>
      </c>
      <c r="I11" s="1">
        <f t="shared" ref="I11:I16" si="1">SUM(F11:H11)</f>
        <v>5310</v>
      </c>
      <c r="J11" s="1">
        <v>1306</v>
      </c>
      <c r="K11" s="1">
        <v>14755</v>
      </c>
      <c r="L11" s="1">
        <v>1793</v>
      </c>
      <c r="M11" s="1">
        <v>5744</v>
      </c>
      <c r="N11" s="1">
        <v>7537</v>
      </c>
      <c r="O11" s="1">
        <v>3661</v>
      </c>
      <c r="P11" s="1">
        <v>3876</v>
      </c>
      <c r="Q11" s="1">
        <v>19261</v>
      </c>
      <c r="R11" s="1">
        <v>5681</v>
      </c>
      <c r="S11" s="1">
        <v>1098</v>
      </c>
      <c r="T11" s="1">
        <v>3143</v>
      </c>
      <c r="U11" s="1">
        <v>47844</v>
      </c>
      <c r="V11" s="1">
        <v>1799</v>
      </c>
      <c r="W11" s="1">
        <v>1595</v>
      </c>
      <c r="X11" s="1">
        <v>418</v>
      </c>
      <c r="Y11" s="1">
        <v>337</v>
      </c>
      <c r="Z11" s="1">
        <v>0</v>
      </c>
      <c r="AA11" s="1">
        <v>2645</v>
      </c>
      <c r="AB11" s="1">
        <v>1000</v>
      </c>
      <c r="AC11" s="1">
        <v>7794</v>
      </c>
      <c r="AD11" s="1">
        <v>14859</v>
      </c>
      <c r="AE11" s="1">
        <v>402</v>
      </c>
      <c r="AF11" s="1">
        <v>2369</v>
      </c>
      <c r="AG11" s="1">
        <v>25424</v>
      </c>
      <c r="AH11" s="1">
        <v>38</v>
      </c>
      <c r="AI11" s="1">
        <v>2597</v>
      </c>
      <c r="AJ11" s="1">
        <v>20472</v>
      </c>
      <c r="AK11" s="1">
        <v>-687</v>
      </c>
      <c r="AL11" s="1">
        <v>22420</v>
      </c>
      <c r="AM11" s="1">
        <v>47844</v>
      </c>
      <c r="AN11" s="1">
        <f>K11-AC11</f>
        <v>6961</v>
      </c>
    </row>
    <row r="12" spans="1:40" x14ac:dyDescent="0.2">
      <c r="A12" s="1">
        <v>2024</v>
      </c>
      <c r="B12" s="1">
        <v>3625</v>
      </c>
      <c r="C12" s="1">
        <v>759</v>
      </c>
      <c r="D12" s="1">
        <v>91</v>
      </c>
      <c r="E12" s="1">
        <v>3987</v>
      </c>
      <c r="F12" s="1">
        <v>1147</v>
      </c>
      <c r="G12" s="1">
        <v>336</v>
      </c>
      <c r="H12" s="1">
        <v>3291</v>
      </c>
      <c r="I12" s="1">
        <f t="shared" si="1"/>
        <v>4774</v>
      </c>
      <c r="J12" s="1">
        <v>1593</v>
      </c>
      <c r="K12" s="1">
        <v>14847</v>
      </c>
      <c r="L12" s="1">
        <v>1627</v>
      </c>
      <c r="M12" s="1">
        <v>5056</v>
      </c>
      <c r="N12" s="1">
        <v>6683</v>
      </c>
      <c r="O12" s="1">
        <v>3235</v>
      </c>
      <c r="P12" s="1">
        <v>3448</v>
      </c>
      <c r="Q12" s="1">
        <v>15855</v>
      </c>
      <c r="R12" s="1">
        <v>4395</v>
      </c>
      <c r="S12" s="1">
        <v>1742</v>
      </c>
      <c r="T12" s="1">
        <v>2684</v>
      </c>
      <c r="U12" s="1">
        <v>42971</v>
      </c>
      <c r="V12" s="1">
        <v>1679</v>
      </c>
      <c r="W12" s="1">
        <v>1403</v>
      </c>
      <c r="X12" s="1">
        <v>539</v>
      </c>
      <c r="Y12" s="1">
        <v>320</v>
      </c>
      <c r="Z12" s="1">
        <v>0</v>
      </c>
      <c r="AA12" s="1">
        <v>2266</v>
      </c>
      <c r="AB12" s="1">
        <v>1409</v>
      </c>
      <c r="AC12" s="1">
        <v>7616</v>
      </c>
      <c r="AD12" s="1">
        <v>12188</v>
      </c>
      <c r="AE12" s="1">
        <v>349</v>
      </c>
      <c r="AF12" s="1">
        <v>2184</v>
      </c>
      <c r="AG12" s="1">
        <v>22337</v>
      </c>
      <c r="AH12" s="1">
        <v>38</v>
      </c>
      <c r="AI12" s="1">
        <v>2361</v>
      </c>
      <c r="AJ12" s="1">
        <v>18528</v>
      </c>
      <c r="AK12" s="1">
        <v>-293</v>
      </c>
      <c r="AL12" s="1">
        <v>20634</v>
      </c>
      <c r="AM12" s="1">
        <v>42971</v>
      </c>
      <c r="AN12" s="1">
        <f t="shared" ref="AN12:AN15" si="2">K12-AC12</f>
        <v>7231</v>
      </c>
    </row>
    <row r="13" spans="1:40" x14ac:dyDescent="0.2">
      <c r="A13" s="1">
        <v>2023</v>
      </c>
      <c r="B13" s="1">
        <v>2971</v>
      </c>
      <c r="C13" s="1">
        <v>0</v>
      </c>
      <c r="D13" s="1">
        <v>82</v>
      </c>
      <c r="E13" s="1">
        <v>2765</v>
      </c>
      <c r="F13" s="1">
        <v>1242</v>
      </c>
      <c r="G13" s="1">
        <v>330</v>
      </c>
      <c r="H13" s="1">
        <v>3271</v>
      </c>
      <c r="I13" s="1">
        <f t="shared" si="1"/>
        <v>4843</v>
      </c>
      <c r="J13" s="1">
        <v>857</v>
      </c>
      <c r="K13" s="1">
        <v>12518</v>
      </c>
      <c r="L13" s="1">
        <v>1692</v>
      </c>
      <c r="M13" s="1">
        <v>4652</v>
      </c>
      <c r="N13" s="1">
        <v>6344</v>
      </c>
      <c r="O13" s="1">
        <v>3129</v>
      </c>
      <c r="P13" s="1">
        <v>3215</v>
      </c>
      <c r="Q13" s="1">
        <v>15243</v>
      </c>
      <c r="R13" s="1">
        <v>4593</v>
      </c>
      <c r="S13" s="1">
        <v>1670</v>
      </c>
      <c r="T13" s="1">
        <v>2673</v>
      </c>
      <c r="U13" s="1">
        <v>39912</v>
      </c>
      <c r="V13" s="1">
        <v>1517</v>
      </c>
      <c r="W13" s="1">
        <v>1478</v>
      </c>
      <c r="X13" s="1">
        <v>391</v>
      </c>
      <c r="Y13" s="1">
        <v>304</v>
      </c>
      <c r="Z13" s="1">
        <v>209</v>
      </c>
      <c r="AA13" s="1">
        <v>1928</v>
      </c>
      <c r="AB13" s="1">
        <v>2094</v>
      </c>
      <c r="AC13" s="1">
        <v>7921</v>
      </c>
      <c r="AD13" s="1">
        <v>10901</v>
      </c>
      <c r="AE13" s="1">
        <v>567</v>
      </c>
      <c r="AF13" s="1">
        <v>1930</v>
      </c>
      <c r="AG13" s="1">
        <v>21319</v>
      </c>
      <c r="AH13" s="1">
        <v>38</v>
      </c>
      <c r="AI13" s="1">
        <v>2200</v>
      </c>
      <c r="AJ13" s="1">
        <v>16771</v>
      </c>
      <c r="AK13" s="1">
        <v>-416</v>
      </c>
      <c r="AL13" s="1">
        <v>18593</v>
      </c>
      <c r="AM13" s="1">
        <v>39912</v>
      </c>
      <c r="AN13" s="1">
        <f t="shared" si="2"/>
        <v>4597</v>
      </c>
    </row>
    <row r="14" spans="1:40" x14ac:dyDescent="0.2">
      <c r="A14" s="1">
        <v>2022</v>
      </c>
      <c r="B14" s="1">
        <v>1844</v>
      </c>
      <c r="C14" s="1">
        <v>0</v>
      </c>
      <c r="D14" s="1">
        <v>84</v>
      </c>
      <c r="E14" s="1">
        <v>3565</v>
      </c>
      <c r="F14" s="1">
        <v>1006</v>
      </c>
      <c r="G14" s="1">
        <v>348</v>
      </c>
      <c r="H14" s="1">
        <v>2641</v>
      </c>
      <c r="I14" s="1">
        <f t="shared" si="1"/>
        <v>3995</v>
      </c>
      <c r="J14" s="1">
        <v>787</v>
      </c>
      <c r="K14" s="1">
        <v>10275</v>
      </c>
      <c r="L14" s="1">
        <v>1739</v>
      </c>
      <c r="M14" s="1">
        <v>4066</v>
      </c>
      <c r="N14" s="1">
        <v>5805</v>
      </c>
      <c r="O14" s="1">
        <v>2835</v>
      </c>
      <c r="P14" s="1">
        <v>2970</v>
      </c>
      <c r="Q14" s="1">
        <v>14880</v>
      </c>
      <c r="R14" s="1">
        <v>4885</v>
      </c>
      <c r="S14" s="1">
        <v>1410</v>
      </c>
      <c r="T14" s="1">
        <v>2464</v>
      </c>
      <c r="U14" s="1">
        <v>36884</v>
      </c>
      <c r="V14" s="1">
        <v>1413</v>
      </c>
      <c r="W14" s="1">
        <v>1149</v>
      </c>
      <c r="X14" s="1">
        <v>292</v>
      </c>
      <c r="Y14" s="1">
        <v>284</v>
      </c>
      <c r="Z14" s="1">
        <v>230</v>
      </c>
      <c r="AA14" s="1">
        <v>1744</v>
      </c>
      <c r="AB14" s="1">
        <v>1191</v>
      </c>
      <c r="AC14" s="1">
        <v>6303</v>
      </c>
      <c r="AD14" s="1">
        <v>11857</v>
      </c>
      <c r="AE14" s="1">
        <v>641</v>
      </c>
      <c r="AF14" s="1">
        <v>1467</v>
      </c>
      <c r="AG14" s="1">
        <v>20268</v>
      </c>
      <c r="AH14" s="1">
        <v>38</v>
      </c>
      <c r="AI14" s="1">
        <v>2034</v>
      </c>
      <c r="AJ14" s="1">
        <v>14765</v>
      </c>
      <c r="AK14" s="1">
        <v>-221</v>
      </c>
      <c r="AL14" s="1">
        <v>16616</v>
      </c>
      <c r="AM14" s="1">
        <v>36884</v>
      </c>
      <c r="AN14" s="1">
        <f t="shared" si="2"/>
        <v>3972</v>
      </c>
    </row>
    <row r="15" spans="1:40" x14ac:dyDescent="0.2">
      <c r="A15" s="1">
        <v>2021</v>
      </c>
      <c r="B15" s="1">
        <v>2944</v>
      </c>
      <c r="C15" s="1">
        <v>0</v>
      </c>
      <c r="D15" s="1">
        <v>75</v>
      </c>
      <c r="E15" s="1">
        <v>3022</v>
      </c>
      <c r="F15" s="1">
        <v>691</v>
      </c>
      <c r="G15" s="1">
        <v>264</v>
      </c>
      <c r="H15" s="1">
        <v>2359</v>
      </c>
      <c r="I15" s="1">
        <f t="shared" si="1"/>
        <v>3314</v>
      </c>
      <c r="J15" s="1">
        <v>662</v>
      </c>
      <c r="K15" s="1">
        <v>10017</v>
      </c>
      <c r="L15" s="1">
        <v>1656</v>
      </c>
      <c r="M15" s="1">
        <v>3842</v>
      </c>
      <c r="N15" s="1">
        <v>5498</v>
      </c>
      <c r="O15" s="1">
        <v>2665</v>
      </c>
      <c r="P15" s="1">
        <v>2833</v>
      </c>
      <c r="Q15" s="1">
        <v>12918</v>
      </c>
      <c r="R15" s="1">
        <v>4840</v>
      </c>
      <c r="S15" s="1">
        <v>1760</v>
      </c>
      <c r="T15" s="1">
        <v>2263</v>
      </c>
      <c r="U15" s="1">
        <v>34631</v>
      </c>
      <c r="V15" s="1">
        <v>1129</v>
      </c>
      <c r="W15" s="1">
        <v>1092</v>
      </c>
      <c r="X15" s="1">
        <v>192</v>
      </c>
      <c r="Y15" s="1">
        <v>263</v>
      </c>
      <c r="Z15" s="1">
        <v>401</v>
      </c>
      <c r="AA15" s="1">
        <v>1465</v>
      </c>
      <c r="AB15" s="1">
        <v>7</v>
      </c>
      <c r="AC15" s="1">
        <v>4549</v>
      </c>
      <c r="AD15" s="1">
        <v>12472</v>
      </c>
      <c r="AE15" s="1">
        <v>913</v>
      </c>
      <c r="AF15" s="1">
        <v>1820</v>
      </c>
      <c r="AG15" s="1">
        <v>19754</v>
      </c>
      <c r="AH15" s="1">
        <v>38</v>
      </c>
      <c r="AI15" s="1">
        <v>1890</v>
      </c>
      <c r="AJ15" s="1">
        <v>13480</v>
      </c>
      <c r="AK15" s="1">
        <v>-531</v>
      </c>
      <c r="AL15" s="1">
        <v>14877</v>
      </c>
      <c r="AM15" s="1">
        <v>34631</v>
      </c>
      <c r="AN15" s="1">
        <f t="shared" si="2"/>
        <v>5468</v>
      </c>
    </row>
    <row r="16" spans="1:40" x14ac:dyDescent="0.2">
      <c r="A16" s="1">
        <v>2020</v>
      </c>
      <c r="B16" s="1">
        <v>2943</v>
      </c>
      <c r="C16" s="1">
        <v>0</v>
      </c>
      <c r="D16" s="1">
        <v>81</v>
      </c>
      <c r="E16" s="1">
        <v>2701</v>
      </c>
      <c r="F16" s="1">
        <v>678</v>
      </c>
      <c r="G16" s="1">
        <v>251</v>
      </c>
      <c r="H16" s="1">
        <v>2565</v>
      </c>
      <c r="I16" s="1">
        <f t="shared" si="1"/>
        <v>3494</v>
      </c>
      <c r="J16" s="1">
        <v>488</v>
      </c>
      <c r="K16" s="1">
        <v>9707</v>
      </c>
      <c r="L16" s="1">
        <v>1546</v>
      </c>
      <c r="M16" s="1">
        <v>3636</v>
      </c>
      <c r="N16" s="1">
        <v>5182</v>
      </c>
      <c r="O16" s="1">
        <v>2430</v>
      </c>
      <c r="P16" s="1">
        <v>2752</v>
      </c>
      <c r="Q16" s="1">
        <v>12778</v>
      </c>
      <c r="R16" s="1">
        <v>5554</v>
      </c>
      <c r="S16" s="1">
        <v>1530</v>
      </c>
      <c r="AL16" s="1">
        <v>13084</v>
      </c>
    </row>
    <row r="17" spans="1:35" x14ac:dyDescent="0.2">
      <c r="A17" s="1" t="s">
        <v>53</v>
      </c>
    </row>
    <row r="18" spans="1:35" x14ac:dyDescent="0.2">
      <c r="A18" s="1" t="s">
        <v>1</v>
      </c>
      <c r="B18" s="1" t="s">
        <v>54</v>
      </c>
      <c r="C18" s="1" t="s">
        <v>55</v>
      </c>
      <c r="D18" s="1" t="s">
        <v>12</v>
      </c>
      <c r="E18" s="1" t="s">
        <v>13</v>
      </c>
      <c r="F18" s="1" t="s">
        <v>56</v>
      </c>
      <c r="G18" s="1" t="s">
        <v>81</v>
      </c>
      <c r="H18" s="1" t="s">
        <v>57</v>
      </c>
      <c r="I18" s="1" t="s">
        <v>58</v>
      </c>
      <c r="J18" s="1" t="s">
        <v>59</v>
      </c>
      <c r="K18" s="1" t="s">
        <v>60</v>
      </c>
      <c r="L18" s="1" t="s">
        <v>61</v>
      </c>
      <c r="M18" s="1" t="s">
        <v>62</v>
      </c>
      <c r="N18" s="1" t="s">
        <v>82</v>
      </c>
      <c r="O18" s="1" t="s">
        <v>39</v>
      </c>
      <c r="P18" s="1" t="s">
        <v>63</v>
      </c>
      <c r="Q18" s="1" t="s">
        <v>64</v>
      </c>
      <c r="R18" s="1" t="s">
        <v>65</v>
      </c>
      <c r="S18" s="1" t="s">
        <v>85</v>
      </c>
      <c r="T18" s="1" t="s">
        <v>84</v>
      </c>
      <c r="U18" s="1" t="s">
        <v>66</v>
      </c>
      <c r="V18" s="1" t="s">
        <v>67</v>
      </c>
      <c r="W18" s="1" t="s">
        <v>68</v>
      </c>
      <c r="X18" s="1" t="s">
        <v>69</v>
      </c>
      <c r="Y18" s="1" t="s">
        <v>70</v>
      </c>
      <c r="Z18" s="1" t="s">
        <v>71</v>
      </c>
      <c r="AA18" s="1" t="s">
        <v>72</v>
      </c>
      <c r="AB18" s="1" t="s">
        <v>73</v>
      </c>
      <c r="AC18" s="1" t="s">
        <v>83</v>
      </c>
      <c r="AD18" s="1" t="s">
        <v>74</v>
      </c>
      <c r="AE18" s="1" t="s">
        <v>75</v>
      </c>
      <c r="AF18" s="1" t="s">
        <v>76</v>
      </c>
      <c r="AG18" s="1" t="s">
        <v>77</v>
      </c>
      <c r="AH18" s="1" t="s">
        <v>78</v>
      </c>
      <c r="AI18" s="1" t="s">
        <v>79</v>
      </c>
    </row>
    <row r="19" spans="1:35" x14ac:dyDescent="0.2">
      <c r="A19" s="1">
        <v>2025</v>
      </c>
      <c r="B19" s="1">
        <v>3246</v>
      </c>
      <c r="C19" s="1">
        <v>461</v>
      </c>
      <c r="D19" s="1">
        <v>732</v>
      </c>
      <c r="E19" s="1">
        <v>170</v>
      </c>
      <c r="F19" s="1">
        <v>243</v>
      </c>
      <c r="G19" s="1">
        <v>0</v>
      </c>
      <c r="H19" s="1">
        <v>173</v>
      </c>
      <c r="I19" s="1">
        <v>392</v>
      </c>
      <c r="J19" s="1">
        <v>127</v>
      </c>
      <c r="K19" s="1">
        <v>-297</v>
      </c>
      <c r="L19" s="1">
        <v>94</v>
      </c>
      <c r="M19" s="1">
        <v>318</v>
      </c>
      <c r="N19" s="1">
        <v>0</v>
      </c>
      <c r="O19" s="1">
        <v>-145</v>
      </c>
      <c r="P19" s="1">
        <v>-470</v>
      </c>
      <c r="Q19" s="1">
        <v>5044</v>
      </c>
      <c r="R19" s="1">
        <v>-4960</v>
      </c>
      <c r="S19" s="1">
        <v>0</v>
      </c>
      <c r="T19" s="1">
        <v>750</v>
      </c>
      <c r="U19" s="1">
        <v>-761</v>
      </c>
      <c r="V19" s="1">
        <v>165</v>
      </c>
      <c r="W19" s="1">
        <v>-60</v>
      </c>
      <c r="X19" s="1">
        <v>-4866</v>
      </c>
      <c r="Y19" s="1">
        <v>0</v>
      </c>
      <c r="Z19" s="1">
        <v>2979</v>
      </c>
      <c r="AA19" s="1">
        <v>-1400</v>
      </c>
      <c r="AB19" s="1">
        <v>-1284</v>
      </c>
      <c r="AC19" s="1">
        <v>-149</v>
      </c>
      <c r="AD19" s="1">
        <v>-33</v>
      </c>
      <c r="AE19" s="1">
        <v>113</v>
      </c>
      <c r="AF19" s="1">
        <v>68</v>
      </c>
      <c r="AG19" s="1">
        <v>359</v>
      </c>
      <c r="AH19" s="1">
        <v>3652</v>
      </c>
      <c r="AI19" s="1">
        <v>4011</v>
      </c>
    </row>
    <row r="20" spans="1:35" x14ac:dyDescent="0.2">
      <c r="A20" s="1">
        <v>2024</v>
      </c>
      <c r="B20" s="1">
        <v>2993</v>
      </c>
      <c r="C20" s="1">
        <v>427</v>
      </c>
      <c r="D20" s="1">
        <v>632</v>
      </c>
      <c r="E20" s="1">
        <v>977</v>
      </c>
      <c r="F20" s="1">
        <v>229</v>
      </c>
      <c r="G20" s="1">
        <v>0</v>
      </c>
      <c r="H20" s="1">
        <v>46</v>
      </c>
      <c r="I20" s="1">
        <v>-370</v>
      </c>
      <c r="J20" s="1">
        <v>-321</v>
      </c>
      <c r="K20" s="1">
        <v>-206</v>
      </c>
      <c r="L20" s="1">
        <v>192</v>
      </c>
      <c r="M20" s="1">
        <v>74</v>
      </c>
      <c r="N20" s="1">
        <v>0</v>
      </c>
      <c r="O20" s="1">
        <v>-116</v>
      </c>
      <c r="P20" s="1">
        <v>-306</v>
      </c>
      <c r="Q20" s="1">
        <v>4242</v>
      </c>
      <c r="R20" s="1">
        <v>-1628</v>
      </c>
      <c r="S20" s="1">
        <v>0</v>
      </c>
      <c r="T20" s="1">
        <v>-750</v>
      </c>
      <c r="U20" s="1">
        <v>-755</v>
      </c>
      <c r="V20" s="1">
        <v>0</v>
      </c>
      <c r="W20" s="1">
        <v>133</v>
      </c>
      <c r="X20" s="1">
        <v>-3000</v>
      </c>
      <c r="Y20" s="1">
        <v>-32</v>
      </c>
      <c r="Z20" s="1">
        <v>3011</v>
      </c>
      <c r="AA20" s="1">
        <v>-2039</v>
      </c>
      <c r="AB20" s="1">
        <v>-1219</v>
      </c>
      <c r="AC20" s="1">
        <v>-195</v>
      </c>
      <c r="AD20" s="1">
        <v>-51</v>
      </c>
      <c r="AE20" s="1">
        <v>-525</v>
      </c>
      <c r="AF20" s="1">
        <v>-36</v>
      </c>
      <c r="AG20" s="1">
        <v>681</v>
      </c>
      <c r="AH20" s="1">
        <v>2971</v>
      </c>
      <c r="AI20" s="1">
        <v>3652</v>
      </c>
    </row>
    <row r="21" spans="1:35" x14ac:dyDescent="0.2">
      <c r="A21" s="1">
        <v>2023</v>
      </c>
      <c r="B21" s="1">
        <v>3165</v>
      </c>
      <c r="C21" s="1">
        <v>393</v>
      </c>
      <c r="D21" s="1">
        <v>635</v>
      </c>
      <c r="E21" s="1">
        <v>36</v>
      </c>
      <c r="F21" s="1">
        <v>205</v>
      </c>
      <c r="G21" s="1">
        <v>18</v>
      </c>
      <c r="H21" s="1">
        <v>0</v>
      </c>
      <c r="I21" s="1">
        <v>-206</v>
      </c>
      <c r="J21" s="1">
        <v>-175</v>
      </c>
      <c r="K21" s="1">
        <v>-797</v>
      </c>
      <c r="L21" s="1">
        <v>77</v>
      </c>
      <c r="M21" s="1">
        <v>533</v>
      </c>
      <c r="N21" s="1">
        <v>-35</v>
      </c>
      <c r="O21" s="1">
        <v>-4</v>
      </c>
      <c r="P21" s="1">
        <v>-134</v>
      </c>
      <c r="Q21" s="1">
        <v>3711</v>
      </c>
      <c r="R21" s="1">
        <v>-390</v>
      </c>
      <c r="S21" s="1">
        <v>-52</v>
      </c>
      <c r="T21" s="1">
        <v>54</v>
      </c>
      <c r="U21" s="1">
        <v>-575</v>
      </c>
      <c r="V21" s="1">
        <v>0</v>
      </c>
      <c r="W21" s="1">
        <v>1</v>
      </c>
      <c r="X21" s="1">
        <v>-962</v>
      </c>
      <c r="Y21" s="1">
        <v>540</v>
      </c>
      <c r="Z21" s="1">
        <v>1241</v>
      </c>
      <c r="AA21" s="1">
        <v>-2085</v>
      </c>
      <c r="AB21" s="1">
        <v>-1139</v>
      </c>
      <c r="AC21" s="1">
        <v>-155</v>
      </c>
      <c r="AD21" s="1">
        <v>-23</v>
      </c>
      <c r="AE21" s="1">
        <v>-1594</v>
      </c>
      <c r="AF21" s="1">
        <v>-28</v>
      </c>
      <c r="AG21" s="1">
        <v>1127</v>
      </c>
      <c r="AH21" s="1">
        <v>1844</v>
      </c>
      <c r="AI21" s="1">
        <v>2971</v>
      </c>
    </row>
    <row r="22" spans="1:35" x14ac:dyDescent="0.2">
      <c r="A22" s="1">
        <v>2022</v>
      </c>
      <c r="B22" s="1">
        <v>2358</v>
      </c>
      <c r="C22" s="1">
        <v>371</v>
      </c>
      <c r="D22" s="1">
        <v>627</v>
      </c>
      <c r="E22" s="1">
        <f>216+54</f>
        <v>270</v>
      </c>
      <c r="F22" s="1">
        <v>168</v>
      </c>
      <c r="G22" s="1">
        <v>-15</v>
      </c>
      <c r="H22" s="1">
        <v>12</v>
      </c>
      <c r="I22" s="1">
        <v>58</v>
      </c>
      <c r="J22" s="1">
        <v>-597</v>
      </c>
      <c r="K22" s="1">
        <v>-762</v>
      </c>
      <c r="L22" s="1">
        <v>290</v>
      </c>
      <c r="M22" s="1">
        <v>328</v>
      </c>
      <c r="N22" s="1">
        <v>-157</v>
      </c>
      <c r="O22" s="1">
        <v>-238</v>
      </c>
      <c r="P22" s="1">
        <v>-107</v>
      </c>
      <c r="Q22" s="1">
        <v>2624</v>
      </c>
      <c r="R22" s="1">
        <v>-2563</v>
      </c>
      <c r="S22" s="1">
        <v>-52</v>
      </c>
      <c r="T22" s="1">
        <v>43</v>
      </c>
      <c r="U22" s="1">
        <v>-588</v>
      </c>
      <c r="V22" s="1">
        <v>197</v>
      </c>
      <c r="W22" s="1">
        <v>39</v>
      </c>
      <c r="X22" s="1">
        <v>-2924</v>
      </c>
      <c r="Y22" s="1">
        <v>-375</v>
      </c>
      <c r="Z22" s="1">
        <v>1500</v>
      </c>
      <c r="AA22" s="1">
        <v>-653</v>
      </c>
      <c r="AB22" s="1">
        <v>-1051</v>
      </c>
      <c r="AC22" s="1">
        <v>-122</v>
      </c>
      <c r="AD22" s="1">
        <v>-48</v>
      </c>
      <c r="AE22" s="1">
        <v>-749</v>
      </c>
      <c r="AF22" s="1">
        <v>-51</v>
      </c>
      <c r="AG22" s="1">
        <v>-1100</v>
      </c>
      <c r="AH22" s="1">
        <v>2944</v>
      </c>
      <c r="AI22" s="1">
        <v>1844</v>
      </c>
    </row>
    <row r="23" spans="1:35" x14ac:dyDescent="0.2">
      <c r="A23" s="1">
        <v>2021</v>
      </c>
      <c r="B23" s="1">
        <v>1994</v>
      </c>
      <c r="C23" s="1">
        <v>371</v>
      </c>
      <c r="D23" s="1">
        <v>619</v>
      </c>
      <c r="E23" s="1">
        <v>264</v>
      </c>
      <c r="F23" s="1">
        <v>171</v>
      </c>
      <c r="G23" s="1">
        <v>103</v>
      </c>
      <c r="H23" s="1">
        <v>266</v>
      </c>
      <c r="I23" s="1">
        <v>-237</v>
      </c>
      <c r="J23" s="1">
        <v>-377</v>
      </c>
      <c r="K23" s="1">
        <v>-189</v>
      </c>
      <c r="L23" s="1">
        <v>329</v>
      </c>
      <c r="M23" s="1">
        <v>315</v>
      </c>
      <c r="N23" s="1">
        <v>221</v>
      </c>
      <c r="O23" s="1">
        <v>-90</v>
      </c>
      <c r="P23" s="1">
        <v>-47</v>
      </c>
      <c r="Q23" s="1">
        <v>3263</v>
      </c>
      <c r="R23" s="1">
        <v>-339</v>
      </c>
      <c r="S23" s="1">
        <v>-49</v>
      </c>
      <c r="T23" s="1">
        <v>55</v>
      </c>
      <c r="U23" s="1">
        <v>-525</v>
      </c>
      <c r="V23" s="1">
        <v>0</v>
      </c>
      <c r="W23" s="1">
        <v>-1</v>
      </c>
      <c r="X23" s="1">
        <v>-859</v>
      </c>
      <c r="Y23" s="1">
        <v>-7</v>
      </c>
      <c r="Z23" s="1">
        <v>5</v>
      </c>
      <c r="AA23" s="1">
        <v>-1151</v>
      </c>
      <c r="AB23" s="1">
        <v>-950</v>
      </c>
      <c r="AC23" s="1">
        <v>-114</v>
      </c>
      <c r="AD23" s="1">
        <v>-148</v>
      </c>
      <c r="AE23" s="1">
        <v>-2365</v>
      </c>
      <c r="AF23" s="1">
        <v>-38</v>
      </c>
      <c r="AG23" s="1">
        <v>1</v>
      </c>
      <c r="AH23" s="1">
        <v>2943</v>
      </c>
      <c r="AI23" s="1">
        <v>2944</v>
      </c>
    </row>
  </sheetData>
  <pageMargins left="0.7" right="0.7" top="0.75" bottom="0.75" header="0.3" footer="0.3"/>
  <ignoredErrors>
    <ignoredError sqref="I3:I5 O3:O7 I6:I7 I11:I1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7F0C-180D-DB4C-93CA-3A3D38CC849B}">
  <dimension ref="A1:F15"/>
  <sheetViews>
    <sheetView zoomScale="117" workbookViewId="0">
      <selection activeCell="B14" sqref="B14"/>
    </sheetView>
  </sheetViews>
  <sheetFormatPr baseColWidth="10" defaultRowHeight="16" x14ac:dyDescent="0.2"/>
  <cols>
    <col min="1" max="1" width="22.1640625" customWidth="1"/>
    <col min="2" max="2" width="18.83203125" customWidth="1"/>
    <col min="3" max="3" width="17.83203125" customWidth="1"/>
    <col min="4" max="4" width="18.5" customWidth="1"/>
    <col min="5" max="5" width="17" customWidth="1"/>
    <col min="6" max="6" width="15.83203125" customWidth="1"/>
  </cols>
  <sheetData>
    <row r="1" spans="1:6" x14ac:dyDescent="0.2">
      <c r="A1" t="s">
        <v>86</v>
      </c>
      <c r="B1">
        <v>2021</v>
      </c>
      <c r="C1">
        <v>2022</v>
      </c>
      <c r="D1">
        <v>2023</v>
      </c>
      <c r="E1">
        <v>2024</v>
      </c>
      <c r="F1">
        <v>2025</v>
      </c>
    </row>
    <row r="2" spans="1:6" x14ac:dyDescent="0.2">
      <c r="A2" t="s">
        <v>87</v>
      </c>
      <c r="B2" s="3">
        <f>('Historical Financials'!B7-'Historical Financials'!B8)/'Historical Financials'!B8</f>
        <v>0.19211204794091005</v>
      </c>
      <c r="C2" s="3">
        <f>('Historical Financials'!B6-'Historical Financials'!B7)/'Historical Financials'!B7</f>
        <v>7.8384381575870937E-2</v>
      </c>
      <c r="D2" s="3">
        <f>('Historical Financials'!B5-'Historical Financials'!B6)/'Historical Financials'!B6</f>
        <v>0.11106293024012141</v>
      </c>
      <c r="E2" s="3">
        <f>('Historical Financials'!B4-'Historical Financials'!B5)/'Historical Financials'!B5</f>
        <v>0.10230266367450483</v>
      </c>
      <c r="F2" s="3">
        <f>('Historical Financials'!B3-'Historical Financials'!B4)/'Historical Financials'!B4</f>
        <v>0.11157335693737552</v>
      </c>
    </row>
    <row r="3" spans="1:6" x14ac:dyDescent="0.2">
      <c r="A3" t="s">
        <v>88</v>
      </c>
      <c r="B3" s="3">
        <f>('Historical Financials'!D7/'Historical Financials'!B7)</f>
        <v>0.64110357727379008</v>
      </c>
      <c r="C3" s="3">
        <f>('Historical Financials'!D6/'Historical Financials'!B6)</f>
        <v>0.62756788985852896</v>
      </c>
      <c r="D3" s="3">
        <f>('Historical Financials'!D5/'Historical Financials'!B5)</f>
        <v>0.63703775978144206</v>
      </c>
      <c r="E3" s="3">
        <f>('Historical Financials'!D4/'Historical Financials'!B4)</f>
        <v>0.6390794423545032</v>
      </c>
      <c r="F3" s="3">
        <f>('Historical Financials'!D3/'Historical Financials'!B3)</f>
        <v>0.63963210702341133</v>
      </c>
    </row>
    <row r="4" spans="1:6" x14ac:dyDescent="0.2">
      <c r="A4" t="s">
        <v>89</v>
      </c>
      <c r="B4" s="3">
        <f>'Historical Financials'!J7/'Historical Financials'!B7</f>
        <v>0.15104044891278934</v>
      </c>
      <c r="C4" s="3">
        <f>'Historical Financials'!J6/'Historical Financials'!B6</f>
        <v>0.15399208629193994</v>
      </c>
      <c r="D4" s="3">
        <f>'Historical Financials'!J5/'Historical Financials'!B5</f>
        <v>0.18967704166260124</v>
      </c>
      <c r="E4" s="3">
        <f>'Historical Financials'!J4/'Historical Financials'!B4</f>
        <v>0.16326620933834921</v>
      </c>
      <c r="F4" s="3">
        <f>'Historical Financials'!J3/'Historical Financials'!B3</f>
        <v>0.19465679248287943</v>
      </c>
    </row>
    <row r="5" spans="1:6" x14ac:dyDescent="0.2">
      <c r="A5" t="s">
        <v>90</v>
      </c>
      <c r="B5" s="3">
        <f>'Historical Financials'!O7/'Historical Financials'!B7</f>
        <v>0.1165536591068506</v>
      </c>
      <c r="C5" s="3">
        <f>'Historical Financials'!O6/'Historical Financials'!B6</f>
        <v>0.12781180551791424</v>
      </c>
      <c r="D5" s="3">
        <f>'Historical Financials'!O5/'Historical Financials'!B5</f>
        <v>0.15440530783491072</v>
      </c>
      <c r="E5" s="3">
        <f>'Historical Financials'!O4/'Historical Financials'!B4</f>
        <v>0.13246293427749503</v>
      </c>
      <c r="F5" s="3">
        <f>'Historical Financials'!O3/'Historical Financials'!B3</f>
        <v>0.12924032489249881</v>
      </c>
    </row>
    <row r="6" spans="1:6" x14ac:dyDescent="0.2">
      <c r="A6" t="s">
        <v>91</v>
      </c>
      <c r="B6" s="3">
        <f>('Historical Financials'!O7)/(('Historical Financials'!AL16+'Historical Financials'!AL15)/2)</f>
        <v>0.14262723078573727</v>
      </c>
      <c r="C6" s="3">
        <f>('Historical Financials'!O6)/(('Historical Financials'!AL15+'Historical Financials'!AL14)/2)</f>
        <v>0.14974756295049693</v>
      </c>
      <c r="D6" s="3">
        <f>('Historical Financials'!O5)/(('Historical Financials'!AL14+'Historical Financials'!AL13)/2)</f>
        <v>0.17978357806242723</v>
      </c>
      <c r="E6" s="3">
        <f>('Historical Financials'!O4)/(('Historical Financials'!AL13+'Historical Financials'!AL12)/2)</f>
        <v>0.15259897519565604</v>
      </c>
      <c r="F6" s="3">
        <f>('Historical Financials'!O3)/(('Historical Financials'!AL12+'Historical Financials'!AL11)/2)</f>
        <v>0.15078738328610583</v>
      </c>
    </row>
    <row r="7" spans="1:6" x14ac:dyDescent="0.2">
      <c r="A7" t="s">
        <v>92</v>
      </c>
      <c r="B7" s="3">
        <f>ABS('Historical Financials'!N7)/'Historical Financials'!M7</f>
        <v>0.12582200789127576</v>
      </c>
      <c r="C7" s="3">
        <f>ABS('Historical Financials'!N6)/'Historical Financials'!M6</f>
        <v>0.12113306000745434</v>
      </c>
      <c r="D7" s="3">
        <f>ABS('Historical Financials'!N5)/'Historical Financials'!M5</f>
        <v>0.13830656139395589</v>
      </c>
      <c r="E7" s="3">
        <f>ABS('Historical Financials'!N4)/'Historical Financials'!M4</f>
        <v>0.14289805269186712</v>
      </c>
      <c r="F7" s="3">
        <f>ABS('Historical Financials'!N3)/'Historical Financials'!M3</f>
        <v>0.28090385467434648</v>
      </c>
    </row>
    <row r="8" spans="1:6" x14ac:dyDescent="0.2">
      <c r="A8" t="s">
        <v>93</v>
      </c>
      <c r="B8" s="3">
        <f>'Historical Financials'!J7*(1-'Financial Ratios'!B7)/('Historical Financials'!AD15+'Historical Financials'!AL15-'Historical Financials'!B15)</f>
        <v>9.25579156569942E-2</v>
      </c>
      <c r="C8" s="3">
        <f>'Historical Financials'!J6*(1-'Financial Ratios'!C7)/('Historical Financials'!AD14+'Historical Financials'!AL14-'Historical Financials'!B14)</f>
        <v>9.3764729299591495E-2</v>
      </c>
      <c r="D8" s="3">
        <f>'Historical Financials'!J5*(1-'Financial Ratios'!D7)/('Historical Financials'!AD13+'Historical Financials'!AL13-'Historical Financials'!B13)</f>
        <v>0.12631542771557891</v>
      </c>
      <c r="E8" s="3">
        <f>'Historical Financials'!J4*(1-'Financial Ratios'!E7)/('Historical Financials'!AD12+'Historical Financials'!AL12-'Historical Financials'!B12)</f>
        <v>0.10829362892145435</v>
      </c>
      <c r="F8" s="3">
        <f>'Historical Financials'!J3*(1-'Financial Ratios'!F7)/('Historical Financials'!AD11+'Historical Financials'!AL11-'Historical Financials'!B11)</f>
        <v>0.1056769584735217</v>
      </c>
    </row>
    <row r="9" spans="1:6" x14ac:dyDescent="0.2">
      <c r="A9" t="s">
        <v>94</v>
      </c>
      <c r="B9" s="10">
        <f>'Historical Financials'!K15/'Historical Financials'!AC15</f>
        <v>2.2020224225104417</v>
      </c>
      <c r="C9" s="10">
        <f>'Historical Financials'!K14/'Historical Financials'!AC14</f>
        <v>1.6301761066158973</v>
      </c>
      <c r="D9" s="10">
        <f>'Historical Financials'!K13/'Historical Financials'!AC13</f>
        <v>1.5803560156545891</v>
      </c>
      <c r="E9" s="10">
        <f>'Historical Financials'!K12/'Historical Financials'!AC12</f>
        <v>1.9494485294117647</v>
      </c>
      <c r="F9" s="10">
        <f>'Historical Financials'!K11/'Historical Financials'!AC11</f>
        <v>1.8931229150628688</v>
      </c>
    </row>
    <row r="10" spans="1:6" x14ac:dyDescent="0.2">
      <c r="A10" t="s">
        <v>95</v>
      </c>
      <c r="B10" s="10">
        <f>('Historical Financials'!K15-'Historical Financials'!I15)/'Historical Financials'!AC15</f>
        <v>1.4735106616838867</v>
      </c>
      <c r="C10" s="10">
        <f>('Historical Financials'!K14-'Historical Financials'!I14)/'Historical Financials'!AC14</f>
        <v>0.99635094399492308</v>
      </c>
      <c r="D10" s="10">
        <f>('Historical Financials'!K13-'Historical Financials'!I13)/'Historical Financials'!AC13</f>
        <v>0.96894331523797506</v>
      </c>
      <c r="E10" s="10">
        <f>('Historical Financials'!K12-'Historical Financials'!I12)/'Historical Financials'!AC12</f>
        <v>1.322610294117647</v>
      </c>
      <c r="F10" s="10">
        <f>('Historical Financials'!K11-'Historical Financials'!I11)/'Historical Financials'!AC11</f>
        <v>1.2118296125224532</v>
      </c>
    </row>
    <row r="11" spans="1:6" x14ac:dyDescent="0.2">
      <c r="A11" t="s">
        <v>96</v>
      </c>
      <c r="B11" s="3">
        <f>'Historical Financials'!$AD15/'Historical Financials'!$AL15</f>
        <v>0.83834106338643544</v>
      </c>
      <c r="C11" s="3">
        <f>'Historical Financials'!$AD14/'Historical Financials'!$AL14</f>
        <v>0.71358931150698124</v>
      </c>
      <c r="D11" s="3">
        <f>'Historical Financials'!$AD13/'Historical Financials'!$AL13</f>
        <v>0.58629591781853385</v>
      </c>
      <c r="E11" s="3">
        <f>'Historical Financials'!$AD12/'Historical Financials'!$AL12</f>
        <v>0.59067558398759334</v>
      </c>
      <c r="F11" s="3">
        <f>'Historical Financials'!$AD11/'Historical Financials'!$AL11</f>
        <v>0.66275646743978589</v>
      </c>
    </row>
    <row r="12" spans="1:6" x14ac:dyDescent="0.2">
      <c r="A12" t="s">
        <v>98</v>
      </c>
      <c r="B12" s="10">
        <f>'Historical Financials'!$J7/ABS('Historical Financials'!$K7)</f>
        <v>8.5280528052805273</v>
      </c>
      <c r="C12" s="10">
        <f>'Historical Financials'!$J6/ABS('Historical Financials'!$K6)</f>
        <v>17.981012658227847</v>
      </c>
      <c r="D12" s="10">
        <f>'Historical Financials'!$J5/ABS('Historical Financials'!$K5)</f>
        <v>10.710743801652892</v>
      </c>
      <c r="E12" s="10">
        <f>'Historical Financials'!$J4/ABS('Historical Financials'!$K4)</f>
        <v>9.0195599022004895</v>
      </c>
      <c r="F12" s="10">
        <f>'Historical Financials'!$J4/ABS('Historical Financials'!$K4)</f>
        <v>9.0195599022004895</v>
      </c>
    </row>
    <row r="13" spans="1:6" x14ac:dyDescent="0.2">
      <c r="A13" t="s">
        <v>99</v>
      </c>
      <c r="B13" s="10">
        <f>'Historical Financials'!$B7/(('Historical Financials'!$K15+'Historical Financials'!$K16)/2)</f>
        <v>1.7347394037720543</v>
      </c>
      <c r="C13" s="10">
        <f>'Historical Financials'!$B6/(('Historical Financials'!$K14+'Historical Financials'!$K15)/2)</f>
        <v>1.8183520599250935</v>
      </c>
      <c r="D13" s="10">
        <f>'Historical Financials'!$B5/(('Historical Financials'!$K13+'Historical Financials'!$K14)/2)</f>
        <v>1.7986223840652833</v>
      </c>
      <c r="E13" s="10">
        <f>'Historical Financials'!$B4/(('Historical Financials'!$K12+'Historical Financials'!$K13)/2)</f>
        <v>1.6513794993604969</v>
      </c>
      <c r="F13" s="10">
        <f>'Historical Financials'!$B4/(('Historical Financials'!$K12+'Historical Financials'!$K13)/2)</f>
        <v>1.6513794993604969</v>
      </c>
    </row>
    <row r="14" spans="1:6" x14ac:dyDescent="0.2">
      <c r="A14" t="s">
        <v>100</v>
      </c>
      <c r="B14" s="10">
        <f>'Historical Financials'!$Q23+'Historical Financials'!$U23</f>
        <v>2738</v>
      </c>
      <c r="C14" s="10">
        <f>'Historical Financials'!$Q22+'Historical Financials'!$U22</f>
        <v>2036</v>
      </c>
      <c r="D14" s="10">
        <f>'Historical Financials'!$Q21+'Historical Financials'!$U21</f>
        <v>3136</v>
      </c>
      <c r="E14" s="10">
        <f>'Historical Financials'!$Q20+'Historical Financials'!$U20</f>
        <v>3487</v>
      </c>
      <c r="F14" s="10">
        <f>'Historical Financials'!$Q23+'Historical Financials'!$U19</f>
        <v>2502</v>
      </c>
    </row>
    <row r="15" spans="1:6" x14ac:dyDescent="0.2">
      <c r="A15" t="s">
        <v>101</v>
      </c>
      <c r="B15" s="3">
        <f>B14/'Historical Financials'!$B7</f>
        <v>0.16004208557400046</v>
      </c>
      <c r="C15" s="3">
        <f>C14/'Historical Financials'!$B6</f>
        <v>0.11035828500189712</v>
      </c>
      <c r="D15" s="3">
        <f>D14/'Historical Financials'!$B5</f>
        <v>0.15299053566201581</v>
      </c>
      <c r="E15" s="3">
        <f>E14/'Historical Financials'!$B4</f>
        <v>0.15432617835804383</v>
      </c>
      <c r="F15" s="3">
        <f>F14/'Historical Financials'!$B3</f>
        <v>9.9617773530817008E-2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7D3D-63C6-DD4A-94CC-A6198B540836}">
  <dimension ref="A1:V12"/>
  <sheetViews>
    <sheetView workbookViewId="0">
      <selection activeCell="J9" sqref="J9"/>
    </sheetView>
  </sheetViews>
  <sheetFormatPr baseColWidth="10" defaultRowHeight="16" x14ac:dyDescent="0.2"/>
  <cols>
    <col min="1" max="1" width="13.1640625" customWidth="1"/>
    <col min="6" max="6" width="12.6640625" customWidth="1"/>
  </cols>
  <sheetData>
    <row r="1" spans="1:22" x14ac:dyDescent="0.2">
      <c r="A1" s="7" t="s">
        <v>102</v>
      </c>
      <c r="B1" s="7">
        <v>2021</v>
      </c>
      <c r="C1" s="7">
        <v>2022</v>
      </c>
      <c r="D1" s="7">
        <v>2023</v>
      </c>
      <c r="E1" s="7">
        <v>2024</v>
      </c>
      <c r="F1" s="7">
        <v>2025</v>
      </c>
      <c r="G1" s="7" t="s">
        <v>111</v>
      </c>
      <c r="H1" s="6"/>
      <c r="I1" s="6" t="s">
        <v>103</v>
      </c>
      <c r="J1" s="6" t="s">
        <v>2</v>
      </c>
      <c r="K1" s="6" t="s">
        <v>104</v>
      </c>
      <c r="L1" s="6" t="s">
        <v>105</v>
      </c>
      <c r="M1" s="6" t="s">
        <v>106</v>
      </c>
      <c r="N1" s="6" t="s">
        <v>107</v>
      </c>
    </row>
    <row r="2" spans="1:22" x14ac:dyDescent="0.2">
      <c r="A2" s="7" t="s">
        <v>108</v>
      </c>
      <c r="B2" s="6">
        <v>17108</v>
      </c>
      <c r="C2" s="6">
        <v>18449</v>
      </c>
      <c r="D2" s="6">
        <v>20498</v>
      </c>
      <c r="E2" s="6">
        <v>22595</v>
      </c>
      <c r="F2" s="6">
        <v>25116</v>
      </c>
      <c r="G2" s="6">
        <f>AVERAGE(B2:F2)</f>
        <v>20753.2</v>
      </c>
      <c r="H2" s="6"/>
      <c r="I2" s="6"/>
      <c r="J2" s="8">
        <f>(F2/B2)^(1/4)-1</f>
        <v>0.10074775454722285</v>
      </c>
      <c r="K2" s="8">
        <f>(F3/B3)^(1/4)-1</f>
        <v>0.17282140059208539</v>
      </c>
      <c r="L2" s="8">
        <f>(F4/B4)^(1/4)-1</f>
        <v>0.12955098956201949</v>
      </c>
      <c r="M2" s="8">
        <f>(F5/B5)^(1/4)-1</f>
        <v>0.11503757079300558</v>
      </c>
      <c r="N2" s="8">
        <f>(F6/B6)^(1/4)-1</f>
        <v>-2.2282327164710791E-2</v>
      </c>
    </row>
    <row r="3" spans="1:22" x14ac:dyDescent="0.2">
      <c r="A3" s="7" t="s">
        <v>104</v>
      </c>
      <c r="B3" s="6">
        <v>2584</v>
      </c>
      <c r="C3" s="6">
        <v>2841</v>
      </c>
      <c r="D3" s="6">
        <v>3888</v>
      </c>
      <c r="E3" s="6">
        <v>3689</v>
      </c>
      <c r="F3" s="6">
        <v>4889</v>
      </c>
      <c r="G3" s="6">
        <f t="shared" ref="G3:G9" si="0">AVERAGE(B3:F3)</f>
        <v>3578.2</v>
      </c>
      <c r="H3" s="6"/>
      <c r="I3" s="6"/>
      <c r="J3" s="6"/>
      <c r="K3" s="6"/>
      <c r="L3" s="6"/>
      <c r="M3" s="6"/>
      <c r="N3" s="6"/>
    </row>
    <row r="4" spans="1:22" x14ac:dyDescent="0.2">
      <c r="A4" s="7" t="s">
        <v>109</v>
      </c>
      <c r="B4" s="6">
        <v>1994</v>
      </c>
      <c r="C4" s="6">
        <v>2358</v>
      </c>
      <c r="D4" s="6">
        <v>3165</v>
      </c>
      <c r="E4" s="6">
        <v>2993</v>
      </c>
      <c r="F4" s="6">
        <v>3246</v>
      </c>
      <c r="G4" s="6">
        <f t="shared" si="0"/>
        <v>2751.2</v>
      </c>
      <c r="H4" s="6"/>
      <c r="I4" s="6"/>
      <c r="J4" s="6"/>
      <c r="K4" s="6"/>
      <c r="L4" s="6"/>
      <c r="M4" s="6"/>
      <c r="N4" s="6"/>
    </row>
    <row r="5" spans="1:22" x14ac:dyDescent="0.2">
      <c r="A5" s="7" t="s">
        <v>110</v>
      </c>
      <c r="B5" s="6">
        <v>3263</v>
      </c>
      <c r="C5" s="6">
        <v>2624</v>
      </c>
      <c r="D5" s="6">
        <v>3711</v>
      </c>
      <c r="E5" s="6">
        <v>4242</v>
      </c>
      <c r="F5" s="6">
        <v>5044</v>
      </c>
      <c r="G5" s="6">
        <f t="shared" si="0"/>
        <v>3776.8</v>
      </c>
      <c r="H5" s="6"/>
      <c r="I5" s="6"/>
      <c r="J5" s="6"/>
      <c r="K5" s="6"/>
      <c r="L5" s="6"/>
      <c r="M5" s="6"/>
      <c r="N5" s="6"/>
      <c r="Q5" s="1"/>
      <c r="R5" s="1"/>
      <c r="S5" s="1"/>
      <c r="T5" s="1"/>
      <c r="V5" s="1"/>
    </row>
    <row r="6" spans="1:22" x14ac:dyDescent="0.2">
      <c r="A6" s="7" t="s">
        <v>107</v>
      </c>
      <c r="B6" s="6">
        <v>2738</v>
      </c>
      <c r="C6" s="6">
        <v>2036</v>
      </c>
      <c r="D6" s="6">
        <v>3136</v>
      </c>
      <c r="E6" s="6">
        <v>3487</v>
      </c>
      <c r="F6" s="6">
        <v>2502</v>
      </c>
      <c r="G6" s="6">
        <f t="shared" si="0"/>
        <v>2779.8</v>
      </c>
      <c r="H6" s="6"/>
      <c r="I6" s="6"/>
      <c r="J6" s="6"/>
      <c r="K6" s="6"/>
      <c r="L6" s="6"/>
      <c r="M6" s="6"/>
      <c r="N6" s="6"/>
      <c r="Q6" s="1"/>
      <c r="R6" s="1"/>
      <c r="S6" s="1"/>
      <c r="T6" s="1"/>
    </row>
    <row r="7" spans="1:22" x14ac:dyDescent="0.2">
      <c r="A7" s="7" t="s">
        <v>112</v>
      </c>
      <c r="B7" s="8">
        <v>9.25579156569942E-2</v>
      </c>
      <c r="C7" s="8">
        <v>9.3764729299591495E-2</v>
      </c>
      <c r="D7" s="8">
        <v>0.12631542771557891</v>
      </c>
      <c r="E7" s="8">
        <v>0.10829362892145435</v>
      </c>
      <c r="F7" s="8">
        <v>0.1056769584735217</v>
      </c>
      <c r="G7" s="8">
        <f t="shared" si="0"/>
        <v>0.10532173201342812</v>
      </c>
      <c r="H7" s="6"/>
      <c r="I7" s="6"/>
      <c r="J7" s="6"/>
      <c r="K7" s="6"/>
      <c r="L7" s="6"/>
      <c r="M7" s="6"/>
      <c r="N7" s="6"/>
      <c r="Q7" s="1"/>
      <c r="R7" s="1"/>
      <c r="S7" s="1"/>
      <c r="T7" s="1"/>
    </row>
    <row r="8" spans="1:22" x14ac:dyDescent="0.2">
      <c r="A8" s="7" t="s">
        <v>113</v>
      </c>
      <c r="B8" s="8">
        <v>0.83834106338643544</v>
      </c>
      <c r="C8" s="8">
        <v>0.71358931150698124</v>
      </c>
      <c r="D8" s="8">
        <v>0.58629591781853385</v>
      </c>
      <c r="E8" s="8">
        <v>0.59067558398759334</v>
      </c>
      <c r="F8" s="8">
        <v>0.66275646743978589</v>
      </c>
      <c r="G8" s="8">
        <f t="shared" si="0"/>
        <v>0.678331668827866</v>
      </c>
      <c r="H8" s="6"/>
      <c r="I8" s="6"/>
      <c r="J8" s="6"/>
      <c r="K8" s="6"/>
      <c r="L8" s="6"/>
      <c r="M8" s="6"/>
      <c r="N8" s="6"/>
      <c r="Q8" s="1"/>
      <c r="R8" s="1"/>
      <c r="S8" s="1"/>
      <c r="T8" s="1"/>
    </row>
    <row r="9" spans="1:22" x14ac:dyDescent="0.2">
      <c r="A9" s="7" t="s">
        <v>89</v>
      </c>
      <c r="B9" s="8">
        <v>0.15104044891278934</v>
      </c>
      <c r="C9" s="8">
        <v>0.15399208629193994</v>
      </c>
      <c r="D9" s="8">
        <v>0.18967704166260124</v>
      </c>
      <c r="E9" s="8">
        <v>0.16326620933834921</v>
      </c>
      <c r="F9" s="8">
        <v>0.19465679248287943</v>
      </c>
      <c r="G9" s="8">
        <f t="shared" si="0"/>
        <v>0.17052651573771183</v>
      </c>
      <c r="H9" s="6"/>
      <c r="I9" s="6"/>
      <c r="J9" s="6"/>
      <c r="K9" s="6"/>
      <c r="L9" s="6"/>
      <c r="M9" s="6"/>
      <c r="N9" s="6"/>
      <c r="Q9" s="1"/>
      <c r="R9" s="1"/>
      <c r="S9" s="1"/>
    </row>
    <row r="10" spans="1:22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22" x14ac:dyDescent="0.2">
      <c r="B11" s="1"/>
    </row>
    <row r="12" spans="1:22" x14ac:dyDescent="0.2">
      <c r="B12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A0C3-B1AE-8D4A-8F17-017A47C647E4}">
  <dimension ref="A1:G10"/>
  <sheetViews>
    <sheetView workbookViewId="0">
      <selection activeCell="B11" sqref="B11"/>
    </sheetView>
  </sheetViews>
  <sheetFormatPr baseColWidth="10" defaultRowHeight="16" x14ac:dyDescent="0.2"/>
  <sheetData>
    <row r="1" spans="1:7" x14ac:dyDescent="0.2">
      <c r="A1" t="s">
        <v>86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</row>
    <row r="2" spans="1:7" x14ac:dyDescent="0.2">
      <c r="A2" t="s">
        <v>2</v>
      </c>
      <c r="B2">
        <v>25116</v>
      </c>
      <c r="C2">
        <f>B2*(1+Assumptions!B2)</f>
        <v>27646.38060320805</v>
      </c>
      <c r="D2">
        <f>C2*(1+Assumptions!B2)</f>
        <v>30431.691370339158</v>
      </c>
      <c r="E2">
        <f>D2*(1+Assumptions!B2)</f>
        <v>33497.615942974924</v>
      </c>
      <c r="F2">
        <f>E2*(1+Assumptions!B2)</f>
        <v>36872.425531914902</v>
      </c>
      <c r="G2">
        <f>F2*(1+Assumptions!B2)</f>
        <v>40587.239608965014</v>
      </c>
    </row>
    <row r="3" spans="1:7" x14ac:dyDescent="0.2">
      <c r="A3" t="s">
        <v>104</v>
      </c>
      <c r="B3">
        <v>4889</v>
      </c>
      <c r="C3">
        <f>B2*Assumptions!B3</f>
        <v>4897.62</v>
      </c>
      <c r="D3">
        <f>C2*Assumptions!B3</f>
        <v>5391.0442176255701</v>
      </c>
      <c r="E3">
        <f>D2*Assumptions!B3</f>
        <v>5934.1798172161361</v>
      </c>
      <c r="F3">
        <f>E2*Assumptions!B3</f>
        <v>6532.0351088801108</v>
      </c>
      <c r="G3">
        <f>F2*Assumptions!B3</f>
        <v>7190.122978723406</v>
      </c>
    </row>
    <row r="4" spans="1:7" x14ac:dyDescent="0.2">
      <c r="A4" t="s">
        <v>128</v>
      </c>
      <c r="B4">
        <f>B3*(1-Assumptions!B4)</f>
        <v>4097.8976738549281</v>
      </c>
      <c r="C4">
        <f>C3*(1-Assumptions!$B4)</f>
        <v>4105.1228483177283</v>
      </c>
      <c r="D4">
        <f>D3*(1-Assumptions!$B4)</f>
        <v>4518.7047574262397</v>
      </c>
      <c r="E4">
        <f>E3*(1-Assumptions!$B4)</f>
        <v>4973.9541151987869</v>
      </c>
      <c r="F4">
        <f>F3*(1-Assumptions!$B4)</f>
        <v>5475.0688235259822</v>
      </c>
      <c r="G4">
        <f>G3*(1-Assumptions!$B4)</f>
        <v>6026.6697134877304</v>
      </c>
    </row>
    <row r="5" spans="1:7" x14ac:dyDescent="0.2">
      <c r="A5" t="s">
        <v>129</v>
      </c>
      <c r="B5">
        <v>732</v>
      </c>
      <c r="C5">
        <f>C2*Assumptions!$B6</f>
        <v>862.16764288862692</v>
      </c>
      <c r="D5">
        <f>D2*Assumptions!$B6</f>
        <v>949.02909695292794</v>
      </c>
      <c r="E5">
        <f>E2*Assumptions!$B6</f>
        <v>1044.641647470914</v>
      </c>
      <c r="F5">
        <f>F2*Assumptions!$B6</f>
        <v>1149.8869477601202</v>
      </c>
      <c r="G5">
        <f>G2*Assumptions!$B6</f>
        <v>1265.7354757301118</v>
      </c>
    </row>
    <row r="6" spans="1:7" x14ac:dyDescent="0.2">
      <c r="A6" t="s">
        <v>134</v>
      </c>
      <c r="B6">
        <v>761</v>
      </c>
      <c r="C6">
        <f>C2*(Assumptions!$B5)</f>
        <v>853.64188127786156</v>
      </c>
      <c r="D6">
        <f>D2*(Assumptions!$B5)</f>
        <v>939.64438400407312</v>
      </c>
      <c r="E6">
        <f>E2*(Assumptions!$B5)</f>
        <v>1034.3114457653917</v>
      </c>
      <c r="F6">
        <f>F2*(Assumptions!$B5)</f>
        <v>1138.5160014287467</v>
      </c>
      <c r="G6">
        <f>G2*(Assumptions!$B5)</f>
        <v>1253.2189320887755</v>
      </c>
    </row>
    <row r="7" spans="1:7" x14ac:dyDescent="0.2">
      <c r="A7" t="s">
        <v>132</v>
      </c>
      <c r="B7">
        <v>6961</v>
      </c>
      <c r="C7">
        <f>C2*(Assumptions!$B7)</f>
        <v>7521.0538909465531</v>
      </c>
      <c r="D7">
        <f>D2*(Assumptions!$B7)</f>
        <v>8278.7831822880726</v>
      </c>
      <c r="E7">
        <f>E2*(Assumptions!$B7)</f>
        <v>9112.8519982869057</v>
      </c>
      <c r="F7">
        <f>F2*(Assumptions!$B7)</f>
        <v>10030.951374635484</v>
      </c>
      <c r="G7">
        <f>G2*(Assumptions!$B7)</f>
        <v>11041.547201602387</v>
      </c>
    </row>
    <row r="8" spans="1:7" x14ac:dyDescent="0.2">
      <c r="A8" t="s">
        <v>133</v>
      </c>
      <c r="C8">
        <f>C7-B7</f>
        <v>560.05389094655311</v>
      </c>
      <c r="D8">
        <f t="shared" ref="D8:G8" si="0">D7-C7</f>
        <v>757.72929134151946</v>
      </c>
      <c r="E8">
        <f>E7-D7</f>
        <v>834.06881599883309</v>
      </c>
      <c r="F8">
        <f t="shared" si="0"/>
        <v>918.09937634857852</v>
      </c>
      <c r="G8">
        <f t="shared" si="0"/>
        <v>1010.5958269669027</v>
      </c>
    </row>
    <row r="9" spans="1:7" x14ac:dyDescent="0.2">
      <c r="A9" t="s">
        <v>107</v>
      </c>
      <c r="B9">
        <v>2502</v>
      </c>
      <c r="C9">
        <f t="shared" ref="C9:G9" si="1">C4+C5-C6-C8</f>
        <v>3553.5947189819408</v>
      </c>
      <c r="D9">
        <f t="shared" si="1"/>
        <v>3770.3601790335752</v>
      </c>
      <c r="E9">
        <f t="shared" si="1"/>
        <v>4150.2155009054759</v>
      </c>
      <c r="F9">
        <f t="shared" si="1"/>
        <v>4568.3403935087772</v>
      </c>
      <c r="G9">
        <f t="shared" si="1"/>
        <v>5028.590430162164</v>
      </c>
    </row>
    <row r="10" spans="1:7" x14ac:dyDescent="0.2">
      <c r="A10" t="s">
        <v>164</v>
      </c>
      <c r="B10">
        <f>B3+B5</f>
        <v>5621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15B0-A15A-1348-98F8-61584A830C90}">
  <dimension ref="A1:J27"/>
  <sheetViews>
    <sheetView tabSelected="1" zoomScale="103" workbookViewId="0">
      <selection activeCell="G9" sqref="G9"/>
    </sheetView>
  </sheetViews>
  <sheetFormatPr baseColWidth="10" defaultRowHeight="16" x14ac:dyDescent="0.2"/>
  <cols>
    <col min="1" max="1" width="17.1640625" customWidth="1"/>
    <col min="2" max="2" width="15" customWidth="1"/>
    <col min="3" max="3" width="13.83203125" customWidth="1"/>
    <col min="6" max="6" width="11.83203125" customWidth="1"/>
  </cols>
  <sheetData>
    <row r="1" spans="1:10" x14ac:dyDescent="0.2">
      <c r="A1" t="s">
        <v>153</v>
      </c>
    </row>
    <row r="2" spans="1:10" x14ac:dyDescent="0.2">
      <c r="A2" t="s">
        <v>135</v>
      </c>
      <c r="B2" t="s">
        <v>107</v>
      </c>
      <c r="C2" t="s">
        <v>152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</row>
    <row r="3" spans="1:10" x14ac:dyDescent="0.2">
      <c r="A3">
        <v>2026</v>
      </c>
      <c r="B3">
        <v>3553.5947189819408</v>
      </c>
      <c r="C3">
        <f>1/(1+$B$26)^1</f>
        <v>0.91932000228924715</v>
      </c>
      <c r="D3">
        <f>B3*C3</f>
        <v>3266.8907051895344</v>
      </c>
      <c r="E3">
        <f>SUM(D3:D7)</f>
        <v>16242.66509115878</v>
      </c>
      <c r="F3">
        <f>(B7*(1+B27))/(B26-B27)</f>
        <v>82116.91575790185</v>
      </c>
      <c r="G3">
        <f>F3/(1+B26)^5</f>
        <v>53922.022912481822</v>
      </c>
      <c r="H3">
        <f>E3+G3</f>
        <v>70164.688003640607</v>
      </c>
      <c r="I3">
        <f>H3+(15859-4011)</f>
        <v>82012.688003640607</v>
      </c>
      <c r="J3">
        <f>I3/B21</f>
        <v>212.19324192403781</v>
      </c>
    </row>
    <row r="4" spans="1:10" x14ac:dyDescent="0.2">
      <c r="A4">
        <v>2027</v>
      </c>
      <c r="B4">
        <v>3770.3601790335752</v>
      </c>
      <c r="C4">
        <f>1/(1+$B$26)^2</f>
        <v>0.8451492666091015</v>
      </c>
      <c r="D4">
        <f>B4*C4</f>
        <v>3186.5171401623866</v>
      </c>
    </row>
    <row r="5" spans="1:10" x14ac:dyDescent="0.2">
      <c r="A5">
        <v>2028</v>
      </c>
      <c r="B5">
        <v>4150.2155009054759</v>
      </c>
      <c r="C5">
        <f>1/(1+$B$26)^3</f>
        <v>0.7769626257138349</v>
      </c>
      <c r="D5">
        <f t="shared" ref="D5:D6" si="0">B5*C5</f>
        <v>3224.5623328617771</v>
      </c>
    </row>
    <row r="6" spans="1:10" x14ac:dyDescent="0.2">
      <c r="A6">
        <v>2029</v>
      </c>
      <c r="B6">
        <v>4568.3403935087772</v>
      </c>
      <c r="C6">
        <f>1/(1+$B$26)^4</f>
        <v>0.71427728284990222</v>
      </c>
      <c r="D6">
        <f t="shared" si="0"/>
        <v>3263.0617634089026</v>
      </c>
    </row>
    <row r="7" spans="1:10" x14ac:dyDescent="0.2">
      <c r="A7">
        <v>2030</v>
      </c>
      <c r="B7">
        <v>5028</v>
      </c>
      <c r="C7">
        <f>1/(1+$B$26)^5</f>
        <v>0.65664939330472938</v>
      </c>
      <c r="D7">
        <f>B7*C7</f>
        <v>3301.6331495361792</v>
      </c>
    </row>
    <row r="10" spans="1:10" x14ac:dyDescent="0.2">
      <c r="A10" t="s">
        <v>136</v>
      </c>
    </row>
    <row r="11" spans="1:10" x14ac:dyDescent="0.2">
      <c r="A11" t="s">
        <v>150</v>
      </c>
      <c r="B11" s="2">
        <v>22420</v>
      </c>
    </row>
    <row r="12" spans="1:10" x14ac:dyDescent="0.2">
      <c r="A12" t="s">
        <v>146</v>
      </c>
      <c r="B12" s="3">
        <f>ABS(B17)/B18</f>
        <v>4.1214014122759372E-2</v>
      </c>
      <c r="E12">
        <f>J3</f>
        <v>212.19324192403781</v>
      </c>
      <c r="F12" s="15">
        <v>1.4999999999999999E-2</v>
      </c>
      <c r="G12" s="15">
        <v>0.02</v>
      </c>
      <c r="H12" s="15">
        <v>2.5000000000000001E-2</v>
      </c>
      <c r="I12" s="15">
        <v>0.03</v>
      </c>
      <c r="J12" s="15">
        <v>3.5000000000000003E-2</v>
      </c>
    </row>
    <row r="13" spans="1:10" x14ac:dyDescent="0.2">
      <c r="A13" t="s">
        <v>137</v>
      </c>
      <c r="B13">
        <f>B14+(B15*B16)</f>
        <v>9.0399999999999991</v>
      </c>
      <c r="E13" s="14">
        <v>7.4999999999999997E-2</v>
      </c>
      <c r="F13" s="9">
        <f t="dataTable" ref="F13:J18" dt2D="1" dtr="1" r1="B27" r2="B26"/>
        <v>227.49626148535211</v>
      </c>
      <c r="G13">
        <v>242.25563685763495</v>
      </c>
      <c r="H13">
        <v>259.96688730437427</v>
      </c>
      <c r="I13">
        <v>281.61397118372236</v>
      </c>
      <c r="J13">
        <v>308.67282603290744</v>
      </c>
    </row>
    <row r="14" spans="1:10" x14ac:dyDescent="0.2">
      <c r="A14" t="s">
        <v>138</v>
      </c>
      <c r="B14">
        <v>4.75</v>
      </c>
      <c r="E14" s="14">
        <v>0.08</v>
      </c>
      <c r="F14" s="9">
        <v>211.85166680209727</v>
      </c>
      <c r="G14">
        <v>224.1106978826711</v>
      </c>
      <c r="H14">
        <v>238.59864370516729</v>
      </c>
      <c r="I14">
        <v>255.98417869216283</v>
      </c>
      <c r="J14">
        <v>277.23316589849065</v>
      </c>
    </row>
    <row r="15" spans="1:10" x14ac:dyDescent="0.2">
      <c r="A15" t="s">
        <v>139</v>
      </c>
      <c r="B15">
        <v>0.78</v>
      </c>
      <c r="E15" s="14">
        <v>8.5000000000000006E-2</v>
      </c>
      <c r="F15" s="9">
        <v>198.45081290394691</v>
      </c>
      <c r="G15">
        <v>208.76619752302565</v>
      </c>
      <c r="H15">
        <v>220.8008129119508</v>
      </c>
      <c r="I15">
        <v>235.02354018977141</v>
      </c>
      <c r="J15">
        <v>252.09081292315622</v>
      </c>
    </row>
    <row r="16" spans="1:10" x14ac:dyDescent="0.2">
      <c r="A16" t="s">
        <v>140</v>
      </c>
      <c r="B16">
        <v>5.5</v>
      </c>
      <c r="E16" s="14">
        <v>8.77E-2</v>
      </c>
      <c r="F16" s="9">
        <v>191.98424962454368</v>
      </c>
      <c r="G16">
        <v>201.42607972716272</v>
      </c>
      <c r="H16">
        <v>212.37378384933811</v>
      </c>
      <c r="I16">
        <v>225.21883703948154</v>
      </c>
      <c r="J16">
        <v>240.5012817268059</v>
      </c>
    </row>
    <row r="17" spans="1:10" x14ac:dyDescent="0.2">
      <c r="A17" t="s">
        <v>141</v>
      </c>
      <c r="B17" s="1">
        <v>-607</v>
      </c>
      <c r="E17" s="14">
        <v>0.09</v>
      </c>
      <c r="F17">
        <v>186.84475259291528</v>
      </c>
      <c r="G17">
        <v>195.62184114397996</v>
      </c>
      <c r="H17">
        <v>205.74925101059296</v>
      </c>
      <c r="I17">
        <v>217.56456252164153</v>
      </c>
      <c r="J17">
        <v>231.52811248924439</v>
      </c>
    </row>
    <row r="18" spans="1:10" x14ac:dyDescent="0.2">
      <c r="A18" t="s">
        <v>142</v>
      </c>
      <c r="B18" s="1">
        <v>14728</v>
      </c>
      <c r="E18" s="14">
        <v>9.5000000000000001E-2</v>
      </c>
      <c r="F18">
        <v>176.69678092598252</v>
      </c>
      <c r="G18">
        <v>184.23741815676246</v>
      </c>
      <c r="H18">
        <v>192.85528927765381</v>
      </c>
      <c r="I18">
        <v>202.79898672483614</v>
      </c>
      <c r="J18">
        <v>214.3999670798822</v>
      </c>
    </row>
    <row r="19" spans="1:10" x14ac:dyDescent="0.2">
      <c r="A19" t="s">
        <v>143</v>
      </c>
      <c r="B19" s="5">
        <v>0.16181270733177994</v>
      </c>
    </row>
    <row r="20" spans="1:10" x14ac:dyDescent="0.2">
      <c r="A20" t="s">
        <v>144</v>
      </c>
      <c r="B20">
        <v>325</v>
      </c>
    </row>
    <row r="21" spans="1:10" x14ac:dyDescent="0.2">
      <c r="A21" t="s">
        <v>145</v>
      </c>
      <c r="B21">
        <v>386.5</v>
      </c>
    </row>
    <row r="22" spans="1:10" x14ac:dyDescent="0.2">
      <c r="A22" t="s">
        <v>147</v>
      </c>
      <c r="B22" s="5">
        <f>B12*(1-B19)</f>
        <v>3.4545062917545465E-2</v>
      </c>
    </row>
    <row r="23" spans="1:10" x14ac:dyDescent="0.2">
      <c r="A23" t="s">
        <v>161</v>
      </c>
      <c r="B23">
        <f>B20*B21</f>
        <v>125612.5</v>
      </c>
    </row>
    <row r="24" spans="1:10" x14ac:dyDescent="0.2">
      <c r="A24" t="s">
        <v>148</v>
      </c>
      <c r="B24" s="3">
        <f>B23/(B23+B18)</f>
        <v>0.89505524064685538</v>
      </c>
    </row>
    <row r="25" spans="1:10" x14ac:dyDescent="0.2">
      <c r="A25" t="s">
        <v>149</v>
      </c>
      <c r="B25" s="3">
        <f>B18/(B23+B18)</f>
        <v>0.10494475935314468</v>
      </c>
    </row>
    <row r="26" spans="1:10" x14ac:dyDescent="0.2">
      <c r="A26" t="s">
        <v>151</v>
      </c>
      <c r="B26" s="9">
        <f>B24*(0.094)+B25*(B22)</f>
        <v>8.776051593552546E-2</v>
      </c>
    </row>
    <row r="27" spans="1:10" x14ac:dyDescent="0.2">
      <c r="A27" t="s">
        <v>162</v>
      </c>
      <c r="B27" s="9">
        <v>2.5000000000000001E-2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Title</vt:lpstr>
      <vt:lpstr>Assumptions</vt:lpstr>
      <vt:lpstr>Historical Financials</vt:lpstr>
      <vt:lpstr>Financial Ratios</vt:lpstr>
      <vt:lpstr>Trend Analysis</vt:lpstr>
      <vt:lpstr>Forcast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Berry</dc:creator>
  <cp:lastModifiedBy>Tyler Berry</cp:lastModifiedBy>
  <dcterms:created xsi:type="dcterms:W3CDTF">2026-08-01T09:03:49Z</dcterms:created>
  <dcterms:modified xsi:type="dcterms:W3CDTF">2026-09-22T18:44:53Z</dcterms:modified>
</cp:coreProperties>
</file>