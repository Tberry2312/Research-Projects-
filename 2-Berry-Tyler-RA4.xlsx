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erry/Desktop/"/>
    </mc:Choice>
  </mc:AlternateContent>
  <xr:revisionPtr revIDLastSave="0" documentId="8_{AC75DE7F-AAFF-A448-9D49-EBB6F79343DD}" xr6:coauthVersionLast="47" xr6:coauthVersionMax="47" xr10:uidLastSave="{00000000-0000-0000-0000-000000000000}"/>
  <bookViews>
    <workbookView xWindow="0" yWindow="860" windowWidth="34200" windowHeight="21380" tabRatio="755" xr2:uid="{EEA05A44-44D0-47B7-8FEC-293EBC753FF9}"/>
  </bookViews>
  <sheets>
    <sheet name="Sheet1" sheetId="1" r:id="rId1"/>
    <sheet name="Schedule Data" sheetId="5" r:id="rId2"/>
    <sheet name="University &amp; First Year Assiged" sheetId="4" r:id="rId3"/>
    <sheet name="Sheet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" i="1" l="1"/>
  <c r="G42" i="5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12" i="1"/>
  <c r="F11" i="1"/>
  <c r="F10" i="1"/>
  <c r="F9" i="1"/>
  <c r="F8" i="1"/>
  <c r="F7" i="1"/>
  <c r="F6" i="1"/>
  <c r="F5" i="1"/>
  <c r="F4" i="1"/>
  <c r="F3" i="1"/>
  <c r="F2" i="1"/>
  <c r="C2" i="1"/>
  <c r="J102" i="5"/>
  <c r="G102" i="5"/>
  <c r="F102" i="5"/>
  <c r="J101" i="5"/>
  <c r="G101" i="5"/>
  <c r="F101" i="5"/>
  <c r="J100" i="5"/>
  <c r="G100" i="5"/>
  <c r="F100" i="5"/>
  <c r="J99" i="5"/>
  <c r="G99" i="5"/>
  <c r="F99" i="5"/>
  <c r="J98" i="5"/>
  <c r="G98" i="5"/>
  <c r="F98" i="5"/>
  <c r="J97" i="5"/>
  <c r="G97" i="5"/>
  <c r="F97" i="5"/>
  <c r="J96" i="5"/>
  <c r="G96" i="5"/>
  <c r="F96" i="5"/>
  <c r="J95" i="5"/>
  <c r="G95" i="5"/>
  <c r="F95" i="5"/>
  <c r="J94" i="5"/>
  <c r="G94" i="5"/>
  <c r="F94" i="5"/>
  <c r="J93" i="5"/>
  <c r="G93" i="5"/>
  <c r="F93" i="5"/>
  <c r="J92" i="5"/>
  <c r="G92" i="5"/>
  <c r="F92" i="5"/>
  <c r="J91" i="5"/>
  <c r="G91" i="5"/>
  <c r="F91" i="5"/>
  <c r="J90" i="5"/>
  <c r="G90" i="5"/>
  <c r="F90" i="5"/>
  <c r="J89" i="5"/>
  <c r="G89" i="5"/>
  <c r="F89" i="5"/>
  <c r="J88" i="5"/>
  <c r="G88" i="5"/>
  <c r="F88" i="5"/>
  <c r="J87" i="5"/>
  <c r="G87" i="5"/>
  <c r="F87" i="5"/>
  <c r="J86" i="5"/>
  <c r="G86" i="5"/>
  <c r="F86" i="5"/>
  <c r="J85" i="5"/>
  <c r="G85" i="5"/>
  <c r="F85" i="5"/>
  <c r="J84" i="5"/>
  <c r="G84" i="5"/>
  <c r="F84" i="5"/>
  <c r="J83" i="5"/>
  <c r="G83" i="5"/>
  <c r="F83" i="5"/>
  <c r="J82" i="5"/>
  <c r="G82" i="5"/>
  <c r="F82" i="5"/>
  <c r="J81" i="5"/>
  <c r="G81" i="5"/>
  <c r="F81" i="5"/>
  <c r="J80" i="5"/>
  <c r="G80" i="5"/>
  <c r="F80" i="5"/>
  <c r="J79" i="5"/>
  <c r="G79" i="5"/>
  <c r="F79" i="5"/>
  <c r="J78" i="5"/>
  <c r="G78" i="5"/>
  <c r="F78" i="5"/>
  <c r="J77" i="5"/>
  <c r="G77" i="5"/>
  <c r="F77" i="5"/>
  <c r="J76" i="5"/>
  <c r="G76" i="5"/>
  <c r="F76" i="5"/>
  <c r="J75" i="5"/>
  <c r="G75" i="5"/>
  <c r="F75" i="5"/>
  <c r="J74" i="5"/>
  <c r="G74" i="5"/>
  <c r="F74" i="5"/>
  <c r="J73" i="5"/>
  <c r="G73" i="5"/>
  <c r="F73" i="5"/>
  <c r="J72" i="5"/>
  <c r="G72" i="5"/>
  <c r="F72" i="5"/>
  <c r="J71" i="5"/>
  <c r="G71" i="5"/>
  <c r="F71" i="5"/>
  <c r="J70" i="5"/>
  <c r="G70" i="5"/>
  <c r="F70" i="5"/>
  <c r="J69" i="5"/>
  <c r="G69" i="5"/>
  <c r="F69" i="5"/>
  <c r="J68" i="5"/>
  <c r="G68" i="5"/>
  <c r="F68" i="5"/>
  <c r="J67" i="5"/>
  <c r="G67" i="5"/>
  <c r="F67" i="5"/>
  <c r="J66" i="5"/>
  <c r="G66" i="5"/>
  <c r="F66" i="5"/>
  <c r="J65" i="5"/>
  <c r="G65" i="5"/>
  <c r="F65" i="5"/>
  <c r="J64" i="5"/>
  <c r="G64" i="5"/>
  <c r="F64" i="5"/>
  <c r="J63" i="5"/>
  <c r="G63" i="5"/>
  <c r="F63" i="5"/>
  <c r="J62" i="5"/>
  <c r="G62" i="5"/>
  <c r="F62" i="5"/>
  <c r="J61" i="5"/>
  <c r="G61" i="5"/>
  <c r="F61" i="5"/>
  <c r="J60" i="5"/>
  <c r="G60" i="5"/>
  <c r="F60" i="5"/>
  <c r="J59" i="5"/>
  <c r="G59" i="5"/>
  <c r="F59" i="5"/>
  <c r="J58" i="5"/>
  <c r="G58" i="5"/>
  <c r="F58" i="5"/>
  <c r="J57" i="5"/>
  <c r="G57" i="5"/>
  <c r="F57" i="5"/>
  <c r="J56" i="5"/>
  <c r="G56" i="5"/>
  <c r="F56" i="5"/>
  <c r="J55" i="5"/>
  <c r="G55" i="5"/>
  <c r="F55" i="5"/>
  <c r="J54" i="5"/>
  <c r="G54" i="5"/>
  <c r="F54" i="5"/>
  <c r="J53" i="5"/>
  <c r="G53" i="5"/>
  <c r="F53" i="5"/>
  <c r="J52" i="5"/>
  <c r="G52" i="5"/>
  <c r="F52" i="5"/>
  <c r="J51" i="5"/>
  <c r="G51" i="5"/>
  <c r="F51" i="5"/>
  <c r="J50" i="5"/>
  <c r="G50" i="5"/>
  <c r="F50" i="5"/>
  <c r="J49" i="5"/>
  <c r="G49" i="5"/>
  <c r="F49" i="5"/>
  <c r="J48" i="5"/>
  <c r="G48" i="5"/>
  <c r="F48" i="5"/>
  <c r="J47" i="5"/>
  <c r="G47" i="5"/>
  <c r="F47" i="5"/>
  <c r="J46" i="5"/>
  <c r="G46" i="5"/>
  <c r="F46" i="5"/>
  <c r="J45" i="5"/>
  <c r="G45" i="5"/>
  <c r="F45" i="5"/>
  <c r="J44" i="5"/>
  <c r="G44" i="5"/>
  <c r="F44" i="5"/>
  <c r="J43" i="5"/>
  <c r="G43" i="5"/>
  <c r="F43" i="5"/>
  <c r="J42" i="5"/>
  <c r="F42" i="5"/>
  <c r="J41" i="5"/>
  <c r="G41" i="5"/>
  <c r="F41" i="5"/>
  <c r="J40" i="5"/>
  <c r="G40" i="5"/>
  <c r="F40" i="5"/>
  <c r="J39" i="5"/>
  <c r="G39" i="5"/>
  <c r="F39" i="5"/>
  <c r="J38" i="5"/>
  <c r="G38" i="5"/>
  <c r="F38" i="5"/>
  <c r="J37" i="5"/>
  <c r="G37" i="5"/>
  <c r="F37" i="5"/>
  <c r="J36" i="5"/>
  <c r="G36" i="5"/>
  <c r="F36" i="5"/>
  <c r="J35" i="5"/>
  <c r="G35" i="5"/>
  <c r="F35" i="5"/>
  <c r="J34" i="5"/>
  <c r="G34" i="5"/>
  <c r="F34" i="5"/>
  <c r="J33" i="5"/>
  <c r="G33" i="5"/>
  <c r="F33" i="5"/>
  <c r="J32" i="5"/>
  <c r="G32" i="5"/>
  <c r="F32" i="5"/>
  <c r="J31" i="5"/>
  <c r="G31" i="5"/>
  <c r="F31" i="5"/>
  <c r="J30" i="5"/>
  <c r="G30" i="5"/>
  <c r="F30" i="5"/>
  <c r="J29" i="5"/>
  <c r="G29" i="5"/>
  <c r="F29" i="5"/>
  <c r="J28" i="5"/>
  <c r="G28" i="5"/>
  <c r="F28" i="5"/>
  <c r="J27" i="5"/>
  <c r="G27" i="5"/>
  <c r="F27" i="5"/>
  <c r="J26" i="5"/>
  <c r="G26" i="5"/>
  <c r="F26" i="5"/>
  <c r="J25" i="5"/>
  <c r="G25" i="5"/>
  <c r="F25" i="5"/>
  <c r="J24" i="5"/>
  <c r="G24" i="5"/>
  <c r="F24" i="5"/>
  <c r="J23" i="5"/>
  <c r="G23" i="5"/>
  <c r="F23" i="5"/>
  <c r="J22" i="5"/>
  <c r="G22" i="5"/>
  <c r="F22" i="5"/>
  <c r="J21" i="5"/>
  <c r="G21" i="5"/>
  <c r="F21" i="5"/>
  <c r="J20" i="5"/>
  <c r="G20" i="5"/>
  <c r="F20" i="5"/>
  <c r="J19" i="5"/>
  <c r="G19" i="5"/>
  <c r="F19" i="5"/>
  <c r="J18" i="5"/>
  <c r="G18" i="5"/>
  <c r="F18" i="5"/>
  <c r="J17" i="5"/>
  <c r="G17" i="5"/>
  <c r="F17" i="5"/>
  <c r="J16" i="5"/>
  <c r="G16" i="5"/>
  <c r="F16" i="5"/>
  <c r="J15" i="5"/>
  <c r="G15" i="5"/>
  <c r="F15" i="5"/>
  <c r="J14" i="5"/>
  <c r="G14" i="5"/>
  <c r="F14" i="5"/>
  <c r="J13" i="5"/>
  <c r="G13" i="5"/>
  <c r="F13" i="5"/>
  <c r="J12" i="5"/>
  <c r="G12" i="5"/>
  <c r="F12" i="5"/>
  <c r="J11" i="5"/>
  <c r="G11" i="5"/>
  <c r="F11" i="5"/>
  <c r="J10" i="5"/>
  <c r="G10" i="5"/>
  <c r="F10" i="5"/>
  <c r="J9" i="5"/>
  <c r="G9" i="5"/>
  <c r="F9" i="5"/>
  <c r="J8" i="5"/>
  <c r="G8" i="5"/>
  <c r="F8" i="5"/>
  <c r="J7" i="5"/>
  <c r="G7" i="5"/>
  <c r="F7" i="5"/>
  <c r="J6" i="5"/>
  <c r="G6" i="5"/>
  <c r="F6" i="5"/>
  <c r="J5" i="5"/>
  <c r="G5" i="5"/>
  <c r="F5" i="5"/>
  <c r="J4" i="5"/>
  <c r="G4" i="5"/>
  <c r="F4" i="5"/>
  <c r="J3" i="5"/>
  <c r="G3" i="5"/>
  <c r="F3" i="5"/>
  <c r="J2" i="5"/>
  <c r="G2" i="5"/>
  <c r="F2" i="5"/>
  <c r="B3" i="1"/>
  <c r="C3" i="1" l="1"/>
  <c r="D2" i="1"/>
  <c r="D3" i="1"/>
  <c r="B33" i="1"/>
  <c r="B34" i="1"/>
  <c r="B35" i="1"/>
  <c r="B36" i="1"/>
  <c r="B37" i="1"/>
  <c r="B32" i="1"/>
  <c r="B26" i="1"/>
  <c r="B27" i="1"/>
  <c r="B28" i="1"/>
  <c r="B29" i="1"/>
  <c r="B30" i="1"/>
  <c r="B31" i="1"/>
  <c r="B21" i="1"/>
  <c r="B22" i="1"/>
  <c r="B23" i="1"/>
  <c r="B24" i="1"/>
  <c r="B25" i="1"/>
  <c r="B20" i="1"/>
  <c r="B9" i="1"/>
  <c r="B10" i="1"/>
  <c r="B11" i="1"/>
  <c r="B12" i="1"/>
  <c r="B13" i="1"/>
  <c r="B14" i="1"/>
  <c r="B15" i="1"/>
  <c r="B16" i="1"/>
  <c r="B17" i="1"/>
  <c r="B18" i="1"/>
  <c r="B19" i="1"/>
  <c r="B8" i="1"/>
  <c r="B4" i="1"/>
  <c r="B5" i="1"/>
  <c r="B6" i="1"/>
  <c r="B7" i="1"/>
  <c r="C14" i="1" l="1"/>
  <c r="D14" i="1"/>
  <c r="D8" i="1"/>
  <c r="C8" i="1"/>
  <c r="C12" i="1"/>
  <c r="D12" i="1"/>
  <c r="C22" i="1"/>
  <c r="D22" i="1"/>
  <c r="C32" i="1"/>
  <c r="D32" i="1"/>
  <c r="C4" i="1"/>
  <c r="D4" i="1"/>
  <c r="C19" i="1"/>
  <c r="D19" i="1"/>
  <c r="D11" i="1"/>
  <c r="C11" i="1"/>
  <c r="C21" i="1"/>
  <c r="D21" i="1"/>
  <c r="C37" i="1"/>
  <c r="D37" i="1"/>
  <c r="C5" i="1"/>
  <c r="D5" i="1"/>
  <c r="C13" i="1"/>
  <c r="D13" i="1"/>
  <c r="C18" i="1"/>
  <c r="D18" i="1"/>
  <c r="C10" i="1"/>
  <c r="D10" i="1"/>
  <c r="C31" i="1"/>
  <c r="D31" i="1"/>
  <c r="D36" i="1"/>
  <c r="C36" i="1"/>
  <c r="C17" i="1"/>
  <c r="D17" i="1"/>
  <c r="C9" i="1"/>
  <c r="D9" i="1"/>
  <c r="C30" i="1"/>
  <c r="D30" i="1"/>
  <c r="D35" i="1"/>
  <c r="C35" i="1"/>
  <c r="C24" i="1"/>
  <c r="D24" i="1"/>
  <c r="C23" i="1"/>
  <c r="D23" i="1"/>
  <c r="C7" i="1"/>
  <c r="D7" i="1"/>
  <c r="D16" i="1"/>
  <c r="C16" i="1"/>
  <c r="D20" i="1"/>
  <c r="C20" i="1"/>
  <c r="C29" i="1"/>
  <c r="D29" i="1"/>
  <c r="C34" i="1"/>
  <c r="D34" i="1"/>
  <c r="D27" i="1"/>
  <c r="C27" i="1"/>
  <c r="C26" i="1"/>
  <c r="D26" i="1"/>
  <c r="C6" i="1"/>
  <c r="D6" i="1"/>
  <c r="C15" i="1"/>
  <c r="D15" i="1"/>
  <c r="C25" i="1"/>
  <c r="D25" i="1"/>
  <c r="D28" i="1"/>
  <c r="C28" i="1"/>
  <c r="C33" i="1"/>
  <c r="D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Stacey Brook</author>
  </authors>
  <commentList>
    <comment ref="H1" authorId="0" shapeId="0" xr:uid="{A0330A0D-169F-4F13-888E-6A87D2307F05}">
      <text>
        <r>
          <rPr>
            <b/>
            <sz val="9"/>
            <color rgb="FF000000"/>
            <rFont val="Tahoma"/>
            <family val="2"/>
          </rPr>
          <t>Stacey Brook: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Copy column G and Paste|Values in column H.</t>
        </r>
      </text>
    </comment>
    <comment ref="I1" authorId="0" shapeId="0" xr:uid="{D2833A83-C467-4DDF-B40F-5EA75DF92188}">
      <text>
        <r>
          <rPr>
            <b/>
            <sz val="9"/>
            <color rgb="FF000000"/>
            <rFont val="Tahoma"/>
            <family val="2"/>
          </rPr>
          <t>Stacey Brook: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Highlight column H, and then Data|Text to Columns and choose Delimited and then in other choose /</t>
        </r>
      </text>
    </comment>
  </commentList>
</comments>
</file>

<file path=xl/sharedStrings.xml><?xml version="1.0" encoding="utf-8"?>
<sst xmlns="http://schemas.openxmlformats.org/spreadsheetml/2006/main" count="172" uniqueCount="110">
  <si>
    <t>Month</t>
  </si>
  <si>
    <t>Year</t>
  </si>
  <si>
    <t>County Tax Growth Rate</t>
  </si>
  <si>
    <t>County Unemployment Rate</t>
  </si>
  <si>
    <t>County Tax</t>
  </si>
  <si>
    <t>State of North Carolina Total Tax</t>
  </si>
  <si>
    <t>State Tax Growth Rate</t>
  </si>
  <si>
    <t>Home Attendance</t>
  </si>
  <si>
    <t>Number of Home Games</t>
  </si>
  <si>
    <t>RA4</t>
  </si>
  <si>
    <t>University</t>
  </si>
  <si>
    <t xml:space="preserve">Appalachian State </t>
  </si>
  <si>
    <t>Duke</t>
  </si>
  <si>
    <t>East Carolina</t>
  </si>
  <si>
    <t>North Carolina State</t>
  </si>
  <si>
    <t>North Carolina</t>
  </si>
  <si>
    <t>Start</t>
  </si>
  <si>
    <t>Wake Forest</t>
  </si>
  <si>
    <t>Charlotte</t>
  </si>
  <si>
    <t>Date</t>
  </si>
  <si>
    <t>Opponent</t>
  </si>
  <si>
    <t>Result</t>
  </si>
  <si>
    <t>Game Time</t>
  </si>
  <si>
    <t>Attendance</t>
  </si>
  <si>
    <t>@ 2 Georgia</t>
  </si>
  <si>
    <t>L 10-31</t>
  </si>
  <si>
    <t>Savannah State</t>
  </si>
  <si>
    <t>W 54-7</t>
  </si>
  <si>
    <t>@ Texas State</t>
  </si>
  <si>
    <t>W 20-13</t>
  </si>
  <si>
    <t>L 19-20</t>
  </si>
  <si>
    <t>New Mexico State</t>
  </si>
  <si>
    <t>W 45-31</t>
  </si>
  <si>
    <t>@ Idaho</t>
  </si>
  <si>
    <t>W 23-20</t>
  </si>
  <si>
    <t>Coastal Carolina</t>
  </si>
  <si>
    <t>W 37-29</t>
  </si>
  <si>
    <t>@ Massachusetts</t>
  </si>
  <si>
    <t>L 27-30</t>
  </si>
  <si>
    <t>@ Louisiana-Monroe</t>
  </si>
  <si>
    <t>L 45-52</t>
  </si>
  <si>
    <t>Georgia Southern</t>
  </si>
  <si>
    <t>W 27-6</t>
  </si>
  <si>
    <t>@ Georgia State</t>
  </si>
  <si>
    <t>W 31-10</t>
  </si>
  <si>
    <t>Louisiana</t>
  </si>
  <si>
    <t>W 63-14</t>
  </si>
  <si>
    <t>+ Toledo</t>
  </si>
  <si>
    <t>W 34-0</t>
  </si>
  <si>
    <t>@ 17 Penn State</t>
  </si>
  <si>
    <t>L 38-45</t>
  </si>
  <si>
    <t>@ Charlotte</t>
  </si>
  <si>
    <t>W 45-9</t>
  </si>
  <si>
    <t>Gardner-Webb</t>
  </si>
  <si>
    <t>W 72-7</t>
  </si>
  <si>
    <t>South Alabama</t>
  </si>
  <si>
    <t>W 52-7</t>
  </si>
  <si>
    <t>@ Arkansas State</t>
  </si>
  <si>
    <t>W 35-9</t>
  </si>
  <si>
    <t>W 27-17</t>
  </si>
  <si>
    <t>@ Georgia Southern</t>
  </si>
  <si>
    <t>L 14-34</t>
  </si>
  <si>
    <t>@ Coastal Carolina</t>
  </si>
  <si>
    <t>W 23-7</t>
  </si>
  <si>
    <t>W 38-7</t>
  </si>
  <si>
    <t>Georgia State</t>
  </si>
  <si>
    <t>W 45-17</t>
  </si>
  <si>
    <t>Troy</t>
  </si>
  <si>
    <t>W 21-10</t>
  </si>
  <si>
    <t>W 30-19</t>
  </si>
  <si>
    <t>+ Middle Tennessee State</t>
  </si>
  <si>
    <t>W 45-13</t>
  </si>
  <si>
    <t>East Tennessee State</t>
  </si>
  <si>
    <t>W 42-7</t>
  </si>
  <si>
    <t>W 56-41</t>
  </si>
  <si>
    <t>@ North Carolina</t>
  </si>
  <si>
    <t>W 34-31</t>
  </si>
  <si>
    <t>W 56-37</t>
  </si>
  <si>
    <t>@ Louisiana</t>
  </si>
  <si>
    <t>W 17-7</t>
  </si>
  <si>
    <t>Louisiana-Monroe</t>
  </si>
  <si>
    <t>@ South Alabama</t>
  </si>
  <si>
    <t>W 30-3</t>
  </si>
  <si>
    <t>L 21-24</t>
  </si>
  <si>
    <t>@ South Carolina</t>
  </si>
  <si>
    <t>W 20-15</t>
  </si>
  <si>
    <t>W 56-27</t>
  </si>
  <si>
    <t>Texas State</t>
  </si>
  <si>
    <t>W 35-13</t>
  </si>
  <si>
    <t>@ Troy</t>
  </si>
  <si>
    <t>W 48-13</t>
  </si>
  <si>
    <t>W 45-38</t>
  </si>
  <si>
    <t>+ UAB</t>
  </si>
  <si>
    <t>W 31-17</t>
  </si>
  <si>
    <t>W 35-20</t>
  </si>
  <si>
    <t>@ Marshall</t>
  </si>
  <si>
    <t>L 7-17</t>
  </si>
  <si>
    <t>Campbell</t>
  </si>
  <si>
    <t>W 52-21</t>
  </si>
  <si>
    <t>Arkansas State</t>
  </si>
  <si>
    <t>W 31-13</t>
  </si>
  <si>
    <t>W 38-17</t>
  </si>
  <si>
    <t>W 17-13</t>
  </si>
  <si>
    <t>@ 9 Coastal Carolina</t>
  </si>
  <si>
    <t>L 23-34</t>
  </si>
  <si>
    <t>W 47-10</t>
  </si>
  <si>
    <t>16 Louisiana</t>
  </si>
  <si>
    <t>W 34-26</t>
  </si>
  <si>
    <t>+ North Texas</t>
  </si>
  <si>
    <t>W 56-28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</si>
</sst>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Red][&lt;=-0.5]\(#,##0\);#,##0"/>
    <numFmt numFmtId="165" formatCode="0.00000000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333333"/>
      <name val="Helvetica Neue"/>
      <family val="2"/>
    </font>
    <font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8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3" borderId="0" xfId="0" applyFill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14" fontId="0" fillId="0" borderId="0" xfId="0" applyNumberFormat="1" applyAlignment="1">
      <alignment vertical="center"/>
    </xf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2" fillId="2" borderId="0" xfId="0" applyFont="1" applyFill="1"/>
    <xf numFmtId="14" fontId="6" fillId="0" borderId="0" xfId="0" applyNumberFormat="1" applyFont="1"/>
    <xf numFmtId="0" fontId="6" fillId="0" borderId="0" xfId="0" applyFont="1"/>
    <xf numFmtId="0" fontId="3" fillId="0" borderId="0" xfId="1"/>
    <xf numFmtId="20" fontId="6" fillId="0" borderId="0" xfId="0" applyNumberFormat="1" applyFont="1"/>
    <xf numFmtId="3" fontId="6" fillId="0" borderId="0" xfId="0" applyNumberFormat="1" applyFont="1"/>
    <xf numFmtId="164" fontId="9" fillId="0" borderId="0" xfId="3" applyNumberFormat="1" applyFont="1"/>
    <xf numFmtId="0" fontId="1" fillId="0" borderId="0" xfId="3" applyFont="1"/>
    <xf numFmtId="165" fontId="1" fillId="0" borderId="0" xfId="0" applyNumberFormat="1" applyFont="1"/>
    <xf numFmtId="165" fontId="0" fillId="0" borderId="0" xfId="0" applyNumberFormat="1"/>
  </cellXfs>
  <cellStyles count="4">
    <cellStyle name="Currency 2" xfId="2" xr:uid="{6C35996A-1240-4CAF-91A9-AFE25D57CC67}"/>
    <cellStyle name="Hyperlink" xfId="1" builtinId="8"/>
    <cellStyle name="Normal" xfId="0" builtinId="0"/>
    <cellStyle name="Normal 3" xfId="3" xr:uid="{8328B7DA-AA7F-4426-B877-0270C0DE1986}"/>
  </cellStyles>
  <dxfs count="0"/>
  <tableStyles count="0" defaultTableStyle="TableStyleMedium2" defaultPivotStyle="PivotStyleLight16"/>
  <colors>
    <mruColors>
      <color rgb="FFCC0033"/>
      <color rgb="FF9D2235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fbstats.com/2018/team/539/index.html" TargetMode="External"/><Relationship Id="rId18" Type="http://schemas.openxmlformats.org/officeDocument/2006/relationships/hyperlink" Target="https://cfbstats.com/2018/team/253/index.html" TargetMode="External"/><Relationship Id="rId26" Type="http://schemas.openxmlformats.org/officeDocument/2006/relationships/hyperlink" Target="https://cfbstats.com/2019/team/457/index.html" TargetMode="External"/><Relationship Id="rId39" Type="http://schemas.openxmlformats.org/officeDocument/2006/relationships/hyperlink" Target="https://cfbstats.com/2020/team/388/index.html" TargetMode="External"/><Relationship Id="rId21" Type="http://schemas.openxmlformats.org/officeDocument/2006/relationships/hyperlink" Target="https://cfbstats.com/2018/team/254/index.html" TargetMode="External"/><Relationship Id="rId34" Type="http://schemas.openxmlformats.org/officeDocument/2006/relationships/hyperlink" Target="https://cfbstats.com/2019/team/670/index.html" TargetMode="External"/><Relationship Id="rId42" Type="http://schemas.openxmlformats.org/officeDocument/2006/relationships/hyperlink" Target="https://cfbstats.com/2020/team/670/index.html" TargetMode="External"/><Relationship Id="rId47" Type="http://schemas.openxmlformats.org/officeDocument/2006/relationships/hyperlink" Target="https://cfbstats.com/2020/team/253/index.html" TargetMode="External"/><Relationship Id="rId50" Type="http://schemas.openxmlformats.org/officeDocument/2006/relationships/comments" Target="../comments1.xml"/><Relationship Id="rId7" Type="http://schemas.openxmlformats.org/officeDocument/2006/relationships/hyperlink" Target="https://cfbstats.com/2017/team/400/index.html" TargetMode="External"/><Relationship Id="rId2" Type="http://schemas.openxmlformats.org/officeDocument/2006/relationships/hyperlink" Target="https://cfbstats.com/2017/team/670/index.html" TargetMode="External"/><Relationship Id="rId16" Type="http://schemas.openxmlformats.org/officeDocument/2006/relationships/hyperlink" Target="https://cfbstats.com/2018/team/30/index.html" TargetMode="External"/><Relationship Id="rId29" Type="http://schemas.openxmlformats.org/officeDocument/2006/relationships/hyperlink" Target="https://cfbstats.com/2019/team/498/index.html" TargetMode="External"/><Relationship Id="rId11" Type="http://schemas.openxmlformats.org/officeDocument/2006/relationships/hyperlink" Target="https://cfbstats.com/2017/team/671/index.html" TargetMode="External"/><Relationship Id="rId24" Type="http://schemas.openxmlformats.org/officeDocument/2006/relationships/hyperlink" Target="https://cfbstats.com/2018/team/419/index.html" TargetMode="External"/><Relationship Id="rId32" Type="http://schemas.openxmlformats.org/officeDocument/2006/relationships/hyperlink" Target="https://cfbstats.com/2019/team/648/index.html" TargetMode="External"/><Relationship Id="rId37" Type="http://schemas.openxmlformats.org/officeDocument/2006/relationships/hyperlink" Target="https://cfbstats.com/2019/team/9/index.html" TargetMode="External"/><Relationship Id="rId40" Type="http://schemas.openxmlformats.org/officeDocument/2006/relationships/hyperlink" Target="https://cfbstats.com/2020/team/30/index.html" TargetMode="External"/><Relationship Id="rId45" Type="http://schemas.openxmlformats.org/officeDocument/2006/relationships/hyperlink" Target="https://cfbstats.com/2020/team/716/index.html" TargetMode="External"/><Relationship Id="rId5" Type="http://schemas.openxmlformats.org/officeDocument/2006/relationships/hyperlink" Target="https://cfbstats.com/2017/team/295/index.html" TargetMode="External"/><Relationship Id="rId15" Type="http://schemas.openxmlformats.org/officeDocument/2006/relationships/hyperlink" Target="https://cfbstats.com/2018/team/646/index.html" TargetMode="External"/><Relationship Id="rId23" Type="http://schemas.openxmlformats.org/officeDocument/2006/relationships/hyperlink" Target="https://cfbstats.com/2018/team/671/index.html" TargetMode="External"/><Relationship Id="rId28" Type="http://schemas.openxmlformats.org/officeDocument/2006/relationships/hyperlink" Target="https://cfbstats.com/2019/team/671/index.html" TargetMode="External"/><Relationship Id="rId36" Type="http://schemas.openxmlformats.org/officeDocument/2006/relationships/hyperlink" Target="https://cfbstats.com/2019/team/671/index.html" TargetMode="External"/><Relationship Id="rId49" Type="http://schemas.openxmlformats.org/officeDocument/2006/relationships/vmlDrawing" Target="../drawings/vmlDrawing1.vml"/><Relationship Id="rId10" Type="http://schemas.openxmlformats.org/officeDocument/2006/relationships/hyperlink" Target="https://cfbstats.com/2017/team/254/index.html" TargetMode="External"/><Relationship Id="rId19" Type="http://schemas.openxmlformats.org/officeDocument/2006/relationships/hyperlink" Target="https://cfbstats.com/2018/team/149/index.html" TargetMode="External"/><Relationship Id="rId31" Type="http://schemas.openxmlformats.org/officeDocument/2006/relationships/hyperlink" Target="https://cfbstats.com/2019/team/253/index.html" TargetMode="External"/><Relationship Id="rId44" Type="http://schemas.openxmlformats.org/officeDocument/2006/relationships/hyperlink" Target="https://cfbstats.com/2020/team/149/index.html" TargetMode="External"/><Relationship Id="rId4" Type="http://schemas.openxmlformats.org/officeDocument/2006/relationships/hyperlink" Target="https://cfbstats.com/2017/team/472/index.html" TargetMode="External"/><Relationship Id="rId9" Type="http://schemas.openxmlformats.org/officeDocument/2006/relationships/hyperlink" Target="https://cfbstats.com/2017/team/253/index.html" TargetMode="External"/><Relationship Id="rId14" Type="http://schemas.openxmlformats.org/officeDocument/2006/relationships/hyperlink" Target="https://cfbstats.com/2018/team/458/index.html" TargetMode="External"/><Relationship Id="rId22" Type="http://schemas.openxmlformats.org/officeDocument/2006/relationships/hyperlink" Target="https://cfbstats.com/2018/team/716/index.html" TargetMode="External"/><Relationship Id="rId27" Type="http://schemas.openxmlformats.org/officeDocument/2006/relationships/hyperlink" Target="https://cfbstats.com/2019/team/149/index.html" TargetMode="External"/><Relationship Id="rId30" Type="http://schemas.openxmlformats.org/officeDocument/2006/relationships/hyperlink" Target="https://cfbstats.com/2019/team/646/index.html" TargetMode="External"/><Relationship Id="rId35" Type="http://schemas.openxmlformats.org/officeDocument/2006/relationships/hyperlink" Target="https://cfbstats.com/2019/team/716/index.html" TargetMode="External"/><Relationship Id="rId43" Type="http://schemas.openxmlformats.org/officeDocument/2006/relationships/hyperlink" Target="https://cfbstats.com/2020/team/254/index.html" TargetMode="External"/><Relationship Id="rId48" Type="http://schemas.openxmlformats.org/officeDocument/2006/relationships/hyperlink" Target="https://cfbstats.com/2020/team/497/index.html" TargetMode="External"/><Relationship Id="rId8" Type="http://schemas.openxmlformats.org/officeDocument/2006/relationships/hyperlink" Target="https://cfbstats.com/2017/team/498/index.html" TargetMode="External"/><Relationship Id="rId3" Type="http://schemas.openxmlformats.org/officeDocument/2006/relationships/hyperlink" Target="https://cfbstats.com/2017/team/749/index.html" TargetMode="External"/><Relationship Id="rId12" Type="http://schemas.openxmlformats.org/officeDocument/2006/relationships/hyperlink" Target="https://cfbstats.com/2017/team/709/index.html" TargetMode="External"/><Relationship Id="rId17" Type="http://schemas.openxmlformats.org/officeDocument/2006/relationships/hyperlink" Target="https://cfbstats.com/2018/team/671/index.html" TargetMode="External"/><Relationship Id="rId25" Type="http://schemas.openxmlformats.org/officeDocument/2006/relationships/hyperlink" Target="https://cfbstats.com/2019/team/458/index.html" TargetMode="External"/><Relationship Id="rId33" Type="http://schemas.openxmlformats.org/officeDocument/2006/relationships/hyperlink" Target="https://cfbstats.com/2019/team/254/index.html" TargetMode="External"/><Relationship Id="rId38" Type="http://schemas.openxmlformats.org/officeDocument/2006/relationships/hyperlink" Target="https://cfbstats.com/2020/team/458/index.html" TargetMode="External"/><Relationship Id="rId46" Type="http://schemas.openxmlformats.org/officeDocument/2006/relationships/hyperlink" Target="https://cfbstats.com/2020/team/671/index.html" TargetMode="External"/><Relationship Id="rId20" Type="http://schemas.openxmlformats.org/officeDocument/2006/relationships/hyperlink" Target="https://cfbstats.com/2018/team/670/index.html" TargetMode="External"/><Relationship Id="rId41" Type="http://schemas.openxmlformats.org/officeDocument/2006/relationships/hyperlink" Target="https://cfbstats.com/2020/team/498/index.html" TargetMode="External"/><Relationship Id="rId1" Type="http://schemas.openxmlformats.org/officeDocument/2006/relationships/hyperlink" Target="https://cfbstats.com/2017/team/257/index.html" TargetMode="External"/><Relationship Id="rId6" Type="http://schemas.openxmlformats.org/officeDocument/2006/relationships/hyperlink" Target="https://cfbstats.com/2017/team/149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E8C3-F75B-49B7-B4EA-058B4999120C}">
  <dimension ref="A1:I37"/>
  <sheetViews>
    <sheetView tabSelected="1" zoomScale="142"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 x14ac:dyDescent="0.2"/>
  <cols>
    <col min="1" max="1" width="6.6640625" customWidth="1"/>
    <col min="2" max="2" width="5" customWidth="1"/>
    <col min="3" max="3" width="16.1640625" bestFit="1" customWidth="1"/>
    <col min="4" max="4" width="21.6640625" bestFit="1" customWidth="1"/>
    <col min="5" max="5" width="10.6640625" customWidth="1"/>
    <col min="6" max="6" width="21.5" bestFit="1" customWidth="1"/>
    <col min="7" max="7" width="28.5" bestFit="1" customWidth="1"/>
    <col min="8" max="8" width="20.83203125" style="22" bestFit="1" customWidth="1"/>
    <col min="9" max="9" width="24.8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4</v>
      </c>
      <c r="F1" s="1" t="s">
        <v>2</v>
      </c>
      <c r="G1" s="1" t="s">
        <v>5</v>
      </c>
      <c r="H1" s="21" t="s">
        <v>6</v>
      </c>
      <c r="I1" s="1" t="s">
        <v>3</v>
      </c>
    </row>
    <row r="2" spans="1:9" x14ac:dyDescent="0.2">
      <c r="A2">
        <v>7</v>
      </c>
      <c r="B2" s="13">
        <v>2017</v>
      </c>
      <c r="C2">
        <f>IF(ISBLANK($B$2)=TRUE,"",SUMIFS('Schedule Data'!$J:$J,'Schedule Data'!$H:$H,$A2,'Schedule Data'!$I:$I,$B2))</f>
        <v>0</v>
      </c>
      <c r="D2">
        <f>IF(ISBLANK($B$2)=TRUE,"",COUNTIFS('Schedule Data'!$F:$F,"Home",'Schedule Data'!$H:$H,$A2,'Schedule Data'!$I:$I,$B2))</f>
        <v>0</v>
      </c>
      <c r="E2" s="20">
        <v>3642251.26</v>
      </c>
      <c r="F2" s="20">
        <f>((3642251.26-3711040.65)/3711040.65)</f>
        <v>-1.8536415115797809E-2</v>
      </c>
      <c r="G2" s="20">
        <v>719996006.39999998</v>
      </c>
      <c r="H2" s="20">
        <f>((719996006.4-698590349.28)/698590349.28)</f>
        <v>3.0641215044069362E-2</v>
      </c>
      <c r="I2">
        <v>5</v>
      </c>
    </row>
    <row r="3" spans="1:9" x14ac:dyDescent="0.2">
      <c r="A3">
        <v>8</v>
      </c>
      <c r="B3">
        <f t="shared" ref="B3:B7" si="0">IF(ISBLANK(B$2)=TRUE,"",B$2)</f>
        <v>2017</v>
      </c>
      <c r="C3">
        <f>IF(ISBLANK($B$2)=TRUE,"",SUMIFS('Schedule Data'!$J:$J,'Schedule Data'!$H:$H,$A3,'Schedule Data'!$I:$I,$B3))</f>
        <v>0</v>
      </c>
      <c r="D3">
        <f>IF(ISBLANK($B$2)=TRUE,"",COUNTIFS('Schedule Data'!$F:$F,"Home",'Schedule Data'!$H:$H,$A3,'Schedule Data'!$I:$I,$B3))</f>
        <v>0</v>
      </c>
      <c r="E3" s="20">
        <v>3900846.07</v>
      </c>
      <c r="F3" s="20">
        <f>((3900846.07-3805861.19)/3805861.19)</f>
        <v>2.4957526104623876E-2</v>
      </c>
      <c r="G3" s="20">
        <v>693819867.49000001</v>
      </c>
      <c r="H3" s="20">
        <f>((693819867.49-672308256.66)/672308256.66)</f>
        <v>3.1996648288790695E-2</v>
      </c>
      <c r="I3">
        <v>4.8</v>
      </c>
    </row>
    <row r="4" spans="1:9" x14ac:dyDescent="0.2">
      <c r="A4">
        <v>9</v>
      </c>
      <c r="B4">
        <f t="shared" si="0"/>
        <v>2017</v>
      </c>
      <c r="C4">
        <f>IF(ISBLANK($B$2)=TRUE,"",SUMIFS('Schedule Data'!$J:$J,'Schedule Data'!$H:$H,$A4,'Schedule Data'!$I:$I,$B4))</f>
        <v>55235</v>
      </c>
      <c r="D4">
        <f>IF(ISBLANK($B$2)=TRUE,"",COUNTIFS('Schedule Data'!$F:$F,"Home",'Schedule Data'!$H:$H,$A4,'Schedule Data'!$I:$I,$B4))</f>
        <v>2</v>
      </c>
      <c r="E4" s="20">
        <v>3809916.18</v>
      </c>
      <c r="F4" s="20">
        <f>((3809916.18-3766876.62)/3766876.62)</f>
        <v>1.1425794986616805E-2</v>
      </c>
      <c r="G4" s="20">
        <v>702600104.92999995</v>
      </c>
      <c r="H4" s="20">
        <f>((702600104.93-686028711.01)/686028711.01)</f>
        <v>2.415553992718885E-2</v>
      </c>
      <c r="I4">
        <v>3.8</v>
      </c>
    </row>
    <row r="5" spans="1:9" x14ac:dyDescent="0.2">
      <c r="A5">
        <v>10</v>
      </c>
      <c r="B5">
        <f t="shared" si="0"/>
        <v>2017</v>
      </c>
      <c r="C5">
        <f>IF(ISBLANK($B$2)=TRUE,"",SUMIFS('Schedule Data'!$J:$J,'Schedule Data'!$H:$H,$A5,'Schedule Data'!$I:$I,$B5))</f>
        <v>52966</v>
      </c>
      <c r="D5">
        <f>IF(ISBLANK($B$2)=TRUE,"",COUNTIFS('Schedule Data'!$F:$F,"Home",'Schedule Data'!$H:$H,$A5,'Schedule Data'!$I:$I,$B5))</f>
        <v>2</v>
      </c>
      <c r="E5" s="20">
        <v>3854763.34</v>
      </c>
      <c r="F5" s="20">
        <f>((3854763.34-3670782.14)/3670782.14)</f>
        <v>5.0120435640999307E-2</v>
      </c>
      <c r="G5" s="20">
        <v>692918246.95000005</v>
      </c>
      <c r="H5" s="20">
        <f>((692918246.95-670492587.81)/670492587.81)</f>
        <v>3.3446542956198866E-2</v>
      </c>
      <c r="I5">
        <v>3.7</v>
      </c>
    </row>
    <row r="6" spans="1:9" x14ac:dyDescent="0.2">
      <c r="A6">
        <v>11</v>
      </c>
      <c r="B6">
        <f t="shared" si="0"/>
        <v>2017</v>
      </c>
      <c r="C6">
        <f>IF(ISBLANK($B$2)=TRUE,"",SUMIFS('Schedule Data'!$J:$J,'Schedule Data'!$H:$H,$A6,'Schedule Data'!$I:$I,$B6))</f>
        <v>23110</v>
      </c>
      <c r="D6">
        <f>IF(ISBLANK($B$2)=TRUE,"",COUNTIFS('Schedule Data'!$F:$F,"Home",'Schedule Data'!$H:$H,$A6,'Schedule Data'!$I:$I,$B6))</f>
        <v>1</v>
      </c>
      <c r="E6" s="20">
        <v>3935199.3</v>
      </c>
      <c r="F6" s="20">
        <f>((3935199.3-3828237.1)/3828237.1)</f>
        <v>2.7940327938413147E-2</v>
      </c>
      <c r="G6" s="20">
        <v>665833169.87</v>
      </c>
      <c r="H6" s="20">
        <f>((665833169.87-633661683.89)/633661683.89)</f>
        <v>5.0770761114198606E-2</v>
      </c>
      <c r="I6">
        <v>3.9</v>
      </c>
    </row>
    <row r="7" spans="1:9" x14ac:dyDescent="0.2">
      <c r="A7">
        <v>12</v>
      </c>
      <c r="B7">
        <f t="shared" si="0"/>
        <v>2017</v>
      </c>
      <c r="C7">
        <f>IF(ISBLANK($B$2)=TRUE,"",SUMIFS('Schedule Data'!$J:$J,'Schedule Data'!$H:$H,$A7,'Schedule Data'!$I:$I,$B7))</f>
        <v>23411</v>
      </c>
      <c r="D7">
        <f>IF(ISBLANK($B$2)=TRUE,"",COUNTIFS('Schedule Data'!$F:$F,"Home",'Schedule Data'!$H:$H,$A7,'Schedule Data'!$I:$I,$B7))</f>
        <v>1</v>
      </c>
      <c r="E7" s="20">
        <v>3373304.33</v>
      </c>
      <c r="F7" s="20">
        <f>((3373304.33-3388488.99)/3388488.99)</f>
        <v>-4.481248144766776E-3</v>
      </c>
      <c r="G7" s="20">
        <v>683199997.38999999</v>
      </c>
      <c r="H7" s="20">
        <f>((683199997.39-647106084.17)/647106084.17)</f>
        <v>5.577742831192091E-2</v>
      </c>
      <c r="I7">
        <v>3.8</v>
      </c>
    </row>
    <row r="8" spans="1:9" x14ac:dyDescent="0.2">
      <c r="A8">
        <v>1</v>
      </c>
      <c r="B8">
        <f>IF(ISBLANK(B$2)=TRUE,"",B$2+1)</f>
        <v>2018</v>
      </c>
      <c r="C8">
        <f>IF(ISBLANK($B$2)=TRUE,"",SUMIFS('Schedule Data'!$J:$J,'Schedule Data'!$H:$H,$A8,'Schedule Data'!$I:$I,$B8))</f>
        <v>0</v>
      </c>
      <c r="D8">
        <f>IF(ISBLANK($B$2)=TRUE,"",COUNTIFS('Schedule Data'!$F:$F,"Home",'Schedule Data'!$H:$H,$A8,'Schedule Data'!$I:$I,$B8))</f>
        <v>0</v>
      </c>
      <c r="E8" s="20">
        <v>3874321.14</v>
      </c>
      <c r="F8" s="20">
        <f>((3874321.14-3585704.99)/3585704.99)</f>
        <v>8.0490768427661383E-2</v>
      </c>
      <c r="G8" s="20">
        <v>790419010.00999999</v>
      </c>
      <c r="H8" s="20">
        <f>((790419010.01-771093949.84)/-771093949.84)</f>
        <v>-2.5061874981654124E-2</v>
      </c>
      <c r="I8">
        <v>4.4000000000000004</v>
      </c>
    </row>
    <row r="9" spans="1:9" x14ac:dyDescent="0.2">
      <c r="A9">
        <v>2</v>
      </c>
      <c r="B9">
        <f t="shared" ref="B9:B19" si="1">IF(ISBLANK(B$2)=TRUE,"",B$2+1)</f>
        <v>2018</v>
      </c>
      <c r="C9">
        <f>IF(ISBLANK($B$2)=TRUE,"",SUMIFS('Schedule Data'!$J:$J,'Schedule Data'!$H:$H,$A9,'Schedule Data'!$I:$I,$B9))</f>
        <v>0</v>
      </c>
      <c r="D9">
        <f>IF(ISBLANK($B$2)=TRUE,"",COUNTIFS('Schedule Data'!$F:$F,"Home",'Schedule Data'!$H:$H,$A9,'Schedule Data'!$I:$I,$B9))</f>
        <v>0</v>
      </c>
      <c r="E9" s="20">
        <v>2869103.56</v>
      </c>
      <c r="F9" s="20">
        <f>((2869103.56-2772493.41)/2772493.41)</f>
        <v>3.4845943962045309E-2</v>
      </c>
      <c r="G9" s="20">
        <v>651419347.89999998</v>
      </c>
      <c r="H9" s="20">
        <f>((651419347.9-607281325.7)/607281325.7)</f>
        <v>7.2681342784784275E-2</v>
      </c>
      <c r="I9">
        <v>4.5</v>
      </c>
    </row>
    <row r="10" spans="1:9" x14ac:dyDescent="0.2">
      <c r="A10">
        <v>3</v>
      </c>
      <c r="B10">
        <f t="shared" si="1"/>
        <v>2018</v>
      </c>
      <c r="C10">
        <f>IF(ISBLANK($B$2)=TRUE,"",SUMIFS('Schedule Data'!$J:$J,'Schedule Data'!$H:$H,$A10,'Schedule Data'!$I:$I,$B10))</f>
        <v>0</v>
      </c>
      <c r="D10">
        <f>IF(ISBLANK($B$2)=TRUE,"",COUNTIFS('Schedule Data'!$F:$F,"Home",'Schedule Data'!$H:$H,$A10,'Schedule Data'!$I:$I,$B10))</f>
        <v>0</v>
      </c>
      <c r="E10" s="20">
        <v>2826225.26</v>
      </c>
      <c r="F10" s="20">
        <f>((2826225.26-2734221.67)/2734221.67)</f>
        <v>3.3648914061894568E-2</v>
      </c>
      <c r="G10" s="20">
        <v>637383567.57000005</v>
      </c>
      <c r="H10" s="20">
        <f>((637383567.57-607983011.99)/607983011.99)</f>
        <v>4.8357528089096706E-2</v>
      </c>
      <c r="I10">
        <v>4.3</v>
      </c>
    </row>
    <row r="11" spans="1:9" x14ac:dyDescent="0.2">
      <c r="A11">
        <v>4</v>
      </c>
      <c r="B11">
        <f t="shared" si="1"/>
        <v>2018</v>
      </c>
      <c r="C11">
        <f>IF(ISBLANK($B$2)=TRUE,"",SUMIFS('Schedule Data'!$J:$J,'Schedule Data'!$H:$H,$A11,'Schedule Data'!$I:$I,$B11))</f>
        <v>0</v>
      </c>
      <c r="D11">
        <f>IF(ISBLANK($B$2)=TRUE,"",COUNTIFS('Schedule Data'!$F:$F,"Home",'Schedule Data'!$H:$H,$A11,'Schedule Data'!$I:$I,$B11))</f>
        <v>0</v>
      </c>
      <c r="E11" s="20">
        <v>2980950.74</v>
      </c>
      <c r="F11" s="20">
        <f>((2980950.74-2960377.1)/2960377.1)</f>
        <v>6.9496686756562636E-3</v>
      </c>
      <c r="G11" s="20">
        <v>731055324.87</v>
      </c>
      <c r="H11" s="20">
        <f>((731055324.87-710075036.84)/710075036.84)</f>
        <v>2.9546578800132391E-2</v>
      </c>
      <c r="I11">
        <v>3.7</v>
      </c>
    </row>
    <row r="12" spans="1:9" x14ac:dyDescent="0.2">
      <c r="A12">
        <v>5</v>
      </c>
      <c r="B12">
        <f t="shared" si="1"/>
        <v>2018</v>
      </c>
      <c r="C12">
        <f>IF(ISBLANK($B$2)=TRUE,"",SUMIFS('Schedule Data'!$J:$J,'Schedule Data'!$H:$H,$A12,'Schedule Data'!$I:$I,$B12))</f>
        <v>0</v>
      </c>
      <c r="D12">
        <f>IF(ISBLANK($B$2)=TRUE,"",COUNTIFS('Schedule Data'!$F:$F,"Home",'Schedule Data'!$H:$H,$A12,'Schedule Data'!$I:$I,$B12))</f>
        <v>0</v>
      </c>
      <c r="E12" s="20">
        <v>3256317.41</v>
      </c>
      <c r="F12" s="20">
        <f>((3256317.41-3047156.6)/3047156.6)</f>
        <v>6.8641306455992465E-2</v>
      </c>
      <c r="G12" s="20">
        <v>690527639.45000005</v>
      </c>
      <c r="H12" s="20">
        <f>((690527639.45-676934402.09)/676934402.09)</f>
        <v>2.0080582871887728E-2</v>
      </c>
      <c r="I12">
        <v>3.7</v>
      </c>
    </row>
    <row r="13" spans="1:9" x14ac:dyDescent="0.2">
      <c r="A13">
        <v>6</v>
      </c>
      <c r="B13">
        <f t="shared" si="1"/>
        <v>2018</v>
      </c>
      <c r="C13">
        <f>IF(ISBLANK($B$2)=TRUE,"",SUMIFS('Schedule Data'!$J:$J,'Schedule Data'!$H:$H,$A13,'Schedule Data'!$I:$I,$B13))</f>
        <v>0</v>
      </c>
      <c r="D13">
        <f>IF(ISBLANK($B$2)=TRUE,"",COUNTIFS('Schedule Data'!$F:$F,"Home",'Schedule Data'!$H:$H,$A13,'Schedule Data'!$I:$I,$B13))</f>
        <v>0</v>
      </c>
      <c r="E13" s="20">
        <v>3286224.69</v>
      </c>
      <c r="F13" s="20">
        <f>((3286224.69-3300832.07)/3300832.07)</f>
        <v>-4.4253629661323212E-3</v>
      </c>
      <c r="G13" s="20">
        <v>708333660.15999997</v>
      </c>
      <c r="H13" s="22">
        <f>((708333660.16-689846631)/689846631)</f>
        <v>2.6798752547651374E-2</v>
      </c>
      <c r="I13">
        <v>4.4000000000000004</v>
      </c>
    </row>
    <row r="14" spans="1:9" x14ac:dyDescent="0.2">
      <c r="A14">
        <v>7</v>
      </c>
      <c r="B14">
        <f t="shared" si="1"/>
        <v>2018</v>
      </c>
      <c r="C14">
        <f>IF(ISBLANK($B$2)=TRUE,"",SUMIFS('Schedule Data'!$J:$J,'Schedule Data'!$H:$H,$A14,'Schedule Data'!$I:$I,$B14))</f>
        <v>0</v>
      </c>
      <c r="D14">
        <f>IF(ISBLANK($B$2)=TRUE,"",COUNTIFS('Schedule Data'!$F:$F,"Home",'Schedule Data'!$H:$H,$A14,'Schedule Data'!$I:$I,$B14))</f>
        <v>0</v>
      </c>
      <c r="E14" s="20">
        <v>3834609.35</v>
      </c>
      <c r="F14">
        <f t="shared" ref="F14:F21" si="2">((E14-E2)/E2)</f>
        <v>5.2812965462465195E-2</v>
      </c>
      <c r="G14" s="20">
        <v>771784181.03999996</v>
      </c>
      <c r="H14" s="22">
        <f>((G14-G2)/G2)</f>
        <v>7.1928419296299007E-2</v>
      </c>
      <c r="I14">
        <v>4.0999999999999996</v>
      </c>
    </row>
    <row r="15" spans="1:9" x14ac:dyDescent="0.2">
      <c r="A15">
        <v>8</v>
      </c>
      <c r="B15">
        <f t="shared" si="1"/>
        <v>2018</v>
      </c>
      <c r="C15">
        <f>IF(ISBLANK($B$2)=TRUE,"",SUMIFS('Schedule Data'!$J:$J,'Schedule Data'!$H:$H,$A15,'Schedule Data'!$I:$I,$B15))</f>
        <v>0</v>
      </c>
      <c r="D15">
        <f>IF(ISBLANK($B$2)=TRUE,"",COUNTIFS('Schedule Data'!$F:$F,"Home",'Schedule Data'!$H:$H,$A15,'Schedule Data'!$I:$I,$B15))</f>
        <v>0</v>
      </c>
      <c r="E15" s="20">
        <v>4051346.24</v>
      </c>
      <c r="F15">
        <f t="shared" si="2"/>
        <v>3.85814172872503E-2</v>
      </c>
      <c r="G15" s="20">
        <v>733775649.58000004</v>
      </c>
      <c r="H15" s="22">
        <f t="shared" ref="H15:H36" si="3">((G15-G3)/G3)</f>
        <v>5.7588120436138875E-2</v>
      </c>
      <c r="I15">
        <v>4</v>
      </c>
    </row>
    <row r="16" spans="1:9" x14ac:dyDescent="0.2">
      <c r="A16">
        <v>9</v>
      </c>
      <c r="B16">
        <f t="shared" si="1"/>
        <v>2018</v>
      </c>
      <c r="C16">
        <f>IF(ISBLANK($B$2)=TRUE,"",SUMIFS('Schedule Data'!$J:$J,'Schedule Data'!$H:$H,$A16,'Schedule Data'!$I:$I,$B16))</f>
        <v>46946</v>
      </c>
      <c r="D16">
        <f>IF(ISBLANK($B$2)=TRUE,"",COUNTIFS('Schedule Data'!$F:$F,"Home",'Schedule Data'!$H:$H,$A16,'Schedule Data'!$I:$I,$B16))</f>
        <v>2</v>
      </c>
      <c r="E16" s="20">
        <v>4011405.13</v>
      </c>
      <c r="F16">
        <f t="shared" si="2"/>
        <v>5.2885402323995412E-2</v>
      </c>
      <c r="G16" s="20">
        <v>747799718.02999997</v>
      </c>
      <c r="H16" s="22">
        <f t="shared" si="3"/>
        <v>6.4331919085755418E-2</v>
      </c>
      <c r="I16">
        <v>3.1</v>
      </c>
    </row>
    <row r="17" spans="1:9" x14ac:dyDescent="0.2">
      <c r="A17">
        <v>10</v>
      </c>
      <c r="B17">
        <f t="shared" si="1"/>
        <v>2018</v>
      </c>
      <c r="C17">
        <f>IF(ISBLANK($B$2)=TRUE,"",SUMIFS('Schedule Data'!$J:$J,'Schedule Data'!$H:$H,$A17,'Schedule Data'!$I:$I,$B17))</f>
        <v>27082</v>
      </c>
      <c r="D17">
        <f>IF(ISBLANK($B$2)=TRUE,"",COUNTIFS('Schedule Data'!$F:$F,"Home",'Schedule Data'!$H:$H,$A17,'Schedule Data'!$I:$I,$B17))</f>
        <v>1</v>
      </c>
      <c r="E17" s="20">
        <v>3806149.45</v>
      </c>
      <c r="F17">
        <f t="shared" si="2"/>
        <v>-1.2611381221654885E-2</v>
      </c>
      <c r="G17" s="20">
        <v>725003981.58000004</v>
      </c>
      <c r="H17" s="22">
        <f t="shared" si="3"/>
        <v>4.6305223987434196E-2</v>
      </c>
      <c r="I17">
        <v>3.4</v>
      </c>
    </row>
    <row r="18" spans="1:9" x14ac:dyDescent="0.2">
      <c r="A18">
        <v>11</v>
      </c>
      <c r="B18">
        <f t="shared" si="1"/>
        <v>2018</v>
      </c>
      <c r="C18">
        <f>IF(ISBLANK($B$2)=TRUE,"",SUMIFS('Schedule Data'!$J:$J,'Schedule Data'!$H:$H,$A18,'Schedule Data'!$I:$I,$B18))</f>
        <v>42725</v>
      </c>
      <c r="D18">
        <f>IF(ISBLANK($B$2)=TRUE,"",COUNTIFS('Schedule Data'!$F:$F,"Home",'Schedule Data'!$H:$H,$A18,'Schedule Data'!$I:$I,$B18))</f>
        <v>2</v>
      </c>
      <c r="E18" s="20">
        <v>4128938.49</v>
      </c>
      <c r="F18">
        <f t="shared" si="2"/>
        <v>4.9232370518057476E-2</v>
      </c>
      <c r="G18" s="20">
        <v>736344318.34000003</v>
      </c>
      <c r="H18" s="22">
        <f t="shared" si="3"/>
        <v>0.1058991225741531</v>
      </c>
      <c r="I18">
        <v>3.5</v>
      </c>
    </row>
    <row r="19" spans="1:9" x14ac:dyDescent="0.2">
      <c r="A19">
        <v>12</v>
      </c>
      <c r="B19">
        <f t="shared" si="1"/>
        <v>2018</v>
      </c>
      <c r="C19">
        <f>IF(ISBLANK($B$2)=TRUE,"",SUMIFS('Schedule Data'!$J:$J,'Schedule Data'!$H:$H,$A19,'Schedule Data'!$I:$I,$B19))</f>
        <v>14963</v>
      </c>
      <c r="D19">
        <f>IF(ISBLANK($B$2)=TRUE,"",COUNTIFS('Schedule Data'!$F:$F,"Home",'Schedule Data'!$H:$H,$A19,'Schedule Data'!$I:$I,$B19))</f>
        <v>1</v>
      </c>
      <c r="E19" s="20">
        <v>3639968.78</v>
      </c>
      <c r="F19">
        <f t="shared" si="2"/>
        <v>7.9051405954825224E-2</v>
      </c>
      <c r="G19" s="20">
        <v>737254839.23000002</v>
      </c>
      <c r="H19" s="22">
        <f t="shared" si="3"/>
        <v>7.9120084962680706E-2</v>
      </c>
      <c r="I19">
        <v>3.7</v>
      </c>
    </row>
    <row r="20" spans="1:9" x14ac:dyDescent="0.2">
      <c r="A20">
        <v>1</v>
      </c>
      <c r="B20">
        <f>IF(ISBLANK(B$2)=TRUE,"",B$2+2)</f>
        <v>2019</v>
      </c>
      <c r="C20">
        <f>IF(ISBLANK($B$2)=TRUE,"",SUMIFS('Schedule Data'!$J:$J,'Schedule Data'!$H:$H,$A20,'Schedule Data'!$I:$I,$B20))</f>
        <v>0</v>
      </c>
      <c r="D20">
        <f>IF(ISBLANK($B$2)=TRUE,"",COUNTIFS('Schedule Data'!$F:$F,"Home",'Schedule Data'!$H:$H,$A20,'Schedule Data'!$I:$I,$B20))</f>
        <v>0</v>
      </c>
      <c r="E20" s="20">
        <v>3822157.61</v>
      </c>
      <c r="F20">
        <f t="shared" si="2"/>
        <v>-1.3463914867934841E-2</v>
      </c>
      <c r="G20" s="20">
        <v>823750492.84000003</v>
      </c>
      <c r="H20" s="22">
        <f t="shared" si="3"/>
        <v>4.2169384096136998E-2</v>
      </c>
      <c r="I20">
        <v>4.4000000000000004</v>
      </c>
    </row>
    <row r="21" spans="1:9" x14ac:dyDescent="0.2">
      <c r="A21">
        <v>2</v>
      </c>
      <c r="B21">
        <f t="shared" ref="B21:B31" si="4">IF(ISBLANK(B$2)=TRUE,"",B$2+2)</f>
        <v>2019</v>
      </c>
      <c r="C21">
        <f>IF(ISBLANK($B$2)=TRUE,"",SUMIFS('Schedule Data'!$J:$J,'Schedule Data'!$H:$H,$A21,'Schedule Data'!$I:$I,$B21))</f>
        <v>0</v>
      </c>
      <c r="D21">
        <f>IF(ISBLANK($B$2)=TRUE,"",COUNTIFS('Schedule Data'!$F:$F,"Home",'Schedule Data'!$H:$H,$A21,'Schedule Data'!$I:$I,$B21))</f>
        <v>0</v>
      </c>
      <c r="E21" s="20">
        <v>3156389.51</v>
      </c>
      <c r="F21">
        <f t="shared" si="2"/>
        <v>0.1001309098790424</v>
      </c>
      <c r="G21" s="20">
        <v>676787727.88</v>
      </c>
      <c r="H21" s="22">
        <f t="shared" si="3"/>
        <v>3.8943239960220435E-2</v>
      </c>
      <c r="I21">
        <v>4.2</v>
      </c>
    </row>
    <row r="22" spans="1:9" x14ac:dyDescent="0.2">
      <c r="A22">
        <v>3</v>
      </c>
      <c r="B22">
        <f t="shared" si="4"/>
        <v>2019</v>
      </c>
      <c r="C22">
        <f>IF(ISBLANK($B$2)=TRUE,"",SUMIFS('Schedule Data'!$J:$J,'Schedule Data'!$H:$H,$A22,'Schedule Data'!$I:$I,$B22))</f>
        <v>0</v>
      </c>
      <c r="D22">
        <f>IF(ISBLANK($B$2)=TRUE,"",COUNTIFS('Schedule Data'!$F:$F,"Home",'Schedule Data'!$H:$H,$A22,'Schedule Data'!$I:$I,$B22))</f>
        <v>0</v>
      </c>
      <c r="E22" s="20">
        <v>2891268.01</v>
      </c>
      <c r="F22">
        <f t="shared" ref="F22:F36" si="5">((E22-E10)/E10)</f>
        <v>2.3014000660371993E-2</v>
      </c>
      <c r="G22" s="20">
        <v>685126592.69000006</v>
      </c>
      <c r="H22" s="22">
        <f t="shared" si="3"/>
        <v>7.490470032357191E-2</v>
      </c>
      <c r="I22">
        <v>4.3</v>
      </c>
    </row>
    <row r="23" spans="1:9" x14ac:dyDescent="0.2">
      <c r="A23">
        <v>4</v>
      </c>
      <c r="B23">
        <f t="shared" si="4"/>
        <v>2019</v>
      </c>
      <c r="C23">
        <f>IF(ISBLANK($B$2)=TRUE,"",SUMIFS('Schedule Data'!$J:$J,'Schedule Data'!$H:$H,$A23,'Schedule Data'!$I:$I,$B23))</f>
        <v>0</v>
      </c>
      <c r="D23">
        <f>IF(ISBLANK($B$2)=TRUE,"",COUNTIFS('Schedule Data'!$F:$F,"Home",'Schedule Data'!$H:$H,$A23,'Schedule Data'!$I:$I,$B23))</f>
        <v>0</v>
      </c>
      <c r="E23" s="20">
        <v>3378567.63</v>
      </c>
      <c r="F23">
        <f t="shared" si="5"/>
        <v>0.13338593109391658</v>
      </c>
      <c r="G23" s="20">
        <v>786572328.65999997</v>
      </c>
      <c r="H23" s="22">
        <f t="shared" si="3"/>
        <v>7.5940906113873496E-2</v>
      </c>
      <c r="I23">
        <v>3.3</v>
      </c>
    </row>
    <row r="24" spans="1:9" x14ac:dyDescent="0.2">
      <c r="A24">
        <v>5</v>
      </c>
      <c r="B24">
        <f t="shared" si="4"/>
        <v>2019</v>
      </c>
      <c r="C24">
        <f>IF(ISBLANK($B$2)=TRUE,"",SUMIFS('Schedule Data'!$J:$J,'Schedule Data'!$H:$H,$A24,'Schedule Data'!$I:$I,$B24))</f>
        <v>0</v>
      </c>
      <c r="D24">
        <f>IF(ISBLANK($B$2)=TRUE,"",COUNTIFS('Schedule Data'!$F:$F,"Home",'Schedule Data'!$H:$H,$A24,'Schedule Data'!$I:$I,$B24))</f>
        <v>0</v>
      </c>
      <c r="E24" s="20">
        <v>3655721.52</v>
      </c>
      <c r="F24">
        <f t="shared" si="5"/>
        <v>0.12265515295697167</v>
      </c>
      <c r="G24" s="20">
        <v>744247194.87</v>
      </c>
      <c r="H24" s="22">
        <f t="shared" si="3"/>
        <v>7.7794938755510454E-2</v>
      </c>
      <c r="I24">
        <v>3.8</v>
      </c>
    </row>
    <row r="25" spans="1:9" x14ac:dyDescent="0.2">
      <c r="A25">
        <v>6</v>
      </c>
      <c r="B25">
        <f t="shared" si="4"/>
        <v>2019</v>
      </c>
      <c r="C25">
        <f>IF(ISBLANK($B$2)=TRUE,"",SUMIFS('Schedule Data'!$J:$J,'Schedule Data'!$H:$H,$A25,'Schedule Data'!$I:$I,$B25))</f>
        <v>0</v>
      </c>
      <c r="D25">
        <f>IF(ISBLANK($B$2)=TRUE,"",COUNTIFS('Schedule Data'!$F:$F,"Home",'Schedule Data'!$H:$H,$A25,'Schedule Data'!$I:$I,$B25))</f>
        <v>0</v>
      </c>
      <c r="E25" s="20">
        <v>3744635.19</v>
      </c>
      <c r="F25">
        <f t="shared" si="5"/>
        <v>0.13949456998328377</v>
      </c>
      <c r="G25" s="20">
        <v>763364885.98000002</v>
      </c>
      <c r="H25" s="22">
        <f t="shared" si="3"/>
        <v>7.7691106487258382E-2</v>
      </c>
      <c r="I25">
        <v>4.2</v>
      </c>
    </row>
    <row r="26" spans="1:9" x14ac:dyDescent="0.2">
      <c r="A26">
        <v>7</v>
      </c>
      <c r="B26">
        <f t="shared" si="4"/>
        <v>2019</v>
      </c>
      <c r="C26">
        <f>IF(ISBLANK($B$2)=TRUE,"",SUMIFS('Schedule Data'!$J:$J,'Schedule Data'!$H:$H,$A26,'Schedule Data'!$I:$I,$B26))</f>
        <v>0</v>
      </c>
      <c r="D26">
        <f>IF(ISBLANK($B$2)=TRUE,"",COUNTIFS('Schedule Data'!$F:$F,"Home",'Schedule Data'!$H:$H,$A26,'Schedule Data'!$I:$I,$B26))</f>
        <v>0</v>
      </c>
      <c r="E26" s="20">
        <v>3974578.06</v>
      </c>
      <c r="F26">
        <f t="shared" si="5"/>
        <v>3.6501426149185175E-2</v>
      </c>
      <c r="G26" s="20">
        <v>806994309.45000005</v>
      </c>
      <c r="H26" s="22">
        <f t="shared" si="3"/>
        <v>4.5621728554417235E-2</v>
      </c>
      <c r="I26">
        <v>4.2</v>
      </c>
    </row>
    <row r="27" spans="1:9" x14ac:dyDescent="0.2">
      <c r="A27">
        <v>8</v>
      </c>
      <c r="B27">
        <f t="shared" si="4"/>
        <v>2019</v>
      </c>
      <c r="C27">
        <f>IF(ISBLANK($B$2)=TRUE,"",SUMIFS('Schedule Data'!$J:$J,'Schedule Data'!$H:$H,$A27,'Schedule Data'!$I:$I,$B27))</f>
        <v>25147</v>
      </c>
      <c r="D27">
        <f>IF(ISBLANK($B$2)=TRUE,"",COUNTIFS('Schedule Data'!$F:$F,"Home",'Schedule Data'!$H:$H,$A27,'Schedule Data'!$I:$I,$B27))</f>
        <v>1</v>
      </c>
      <c r="E27" s="20">
        <v>4440106.8499999996</v>
      </c>
      <c r="F27">
        <f t="shared" si="5"/>
        <v>9.5958377035678735E-2</v>
      </c>
      <c r="G27" s="20">
        <v>789408990.60000002</v>
      </c>
      <c r="H27" s="22">
        <f t="shared" si="3"/>
        <v>7.5817916623212425E-2</v>
      </c>
      <c r="I27">
        <v>4.2</v>
      </c>
    </row>
    <row r="28" spans="1:9" x14ac:dyDescent="0.2">
      <c r="A28">
        <v>9</v>
      </c>
      <c r="B28">
        <f t="shared" si="4"/>
        <v>2019</v>
      </c>
      <c r="C28">
        <f>IF(ISBLANK($B$2)=TRUE,"",SUMIFS('Schedule Data'!$J:$J,'Schedule Data'!$H:$H,$A28,'Schedule Data'!$I:$I,$B28))</f>
        <v>54237</v>
      </c>
      <c r="D28">
        <f>IF(ISBLANK($B$2)=TRUE,"",COUNTIFS('Schedule Data'!$F:$F,"Home",'Schedule Data'!$H:$H,$A28,'Schedule Data'!$I:$I,$B28))</f>
        <v>2</v>
      </c>
      <c r="E28" s="20">
        <v>4450644.47</v>
      </c>
      <c r="F28">
        <f t="shared" si="5"/>
        <v>0.10949762633424161</v>
      </c>
      <c r="G28" s="20">
        <v>793969394.74000001</v>
      </c>
      <c r="H28" s="22">
        <f t="shared" si="3"/>
        <v>6.1740698206772818E-2</v>
      </c>
      <c r="I28">
        <v>3.2</v>
      </c>
    </row>
    <row r="29" spans="1:9" x14ac:dyDescent="0.2">
      <c r="A29">
        <v>10</v>
      </c>
      <c r="B29">
        <f t="shared" si="4"/>
        <v>2019</v>
      </c>
      <c r="C29">
        <f>IF(ISBLANK($B$2)=TRUE,"",SUMIFS('Schedule Data'!$J:$J,'Schedule Data'!$H:$H,$A29,'Schedule Data'!$I:$I,$B29))</f>
        <v>46513</v>
      </c>
      <c r="D29">
        <f>IF(ISBLANK($B$2)=TRUE,"",COUNTIFS('Schedule Data'!$F:$F,"Home",'Schedule Data'!$H:$H,$A29,'Schedule Data'!$I:$I,$B29))</f>
        <v>2</v>
      </c>
      <c r="E29" s="20">
        <v>4446159.13</v>
      </c>
      <c r="F29">
        <f t="shared" si="5"/>
        <v>0.16815148443527347</v>
      </c>
      <c r="G29" s="20">
        <v>772836238.37</v>
      </c>
      <c r="H29" s="22">
        <f t="shared" si="3"/>
        <v>6.5975164282214283E-2</v>
      </c>
      <c r="I29">
        <v>3.3</v>
      </c>
    </row>
    <row r="30" spans="1:9" x14ac:dyDescent="0.2">
      <c r="A30">
        <v>11</v>
      </c>
      <c r="B30">
        <f t="shared" si="4"/>
        <v>2019</v>
      </c>
      <c r="C30">
        <f>IF(ISBLANK($B$2)=TRUE,"",SUMIFS('Schedule Data'!$J:$J,'Schedule Data'!$H:$H,$A30,'Schedule Data'!$I:$I,$B30))</f>
        <v>22125</v>
      </c>
      <c r="D30">
        <f>IF(ISBLANK($B$2)=TRUE,"",COUNTIFS('Schedule Data'!$F:$F,"Home",'Schedule Data'!$H:$H,$A30,'Schedule Data'!$I:$I,$B30))</f>
        <v>1</v>
      </c>
      <c r="E30" s="20">
        <v>4523269.76</v>
      </c>
      <c r="F30">
        <f t="shared" si="5"/>
        <v>9.5504273302942699E-2</v>
      </c>
      <c r="G30" s="20">
        <v>760082257.15999997</v>
      </c>
      <c r="H30" s="22">
        <f t="shared" si="3"/>
        <v>3.223755277084811E-2</v>
      </c>
      <c r="I30">
        <v>3.1</v>
      </c>
    </row>
    <row r="31" spans="1:9" x14ac:dyDescent="0.2">
      <c r="A31">
        <v>12</v>
      </c>
      <c r="B31">
        <f t="shared" si="4"/>
        <v>2019</v>
      </c>
      <c r="C31">
        <f>IF(ISBLANK($B$2)=TRUE,"",SUMIFS('Schedule Data'!$J:$J,'Schedule Data'!$H:$H,$A31,'Schedule Data'!$I:$I,$B31))</f>
        <v>18618</v>
      </c>
      <c r="D31">
        <f>IF(ISBLANK($B$2)=TRUE,"",COUNTIFS('Schedule Data'!$F:$F,"Home",'Schedule Data'!$H:$H,$A31,'Schedule Data'!$I:$I,$B31))</f>
        <v>1</v>
      </c>
      <c r="E31" s="20">
        <v>4119772.38</v>
      </c>
      <c r="F31">
        <f t="shared" si="5"/>
        <v>0.13181530639391917</v>
      </c>
      <c r="G31" s="20">
        <v>750982884.74000001</v>
      </c>
      <c r="H31" s="22">
        <f t="shared" si="3"/>
        <v>1.8620488845265182E-2</v>
      </c>
      <c r="I31">
        <v>3</v>
      </c>
    </row>
    <row r="32" spans="1:9" x14ac:dyDescent="0.2">
      <c r="A32">
        <v>1</v>
      </c>
      <c r="B32">
        <f>IF(ISBLANK(B$2)=TRUE,"",B$2+3)</f>
        <v>2020</v>
      </c>
      <c r="C32">
        <f>IF(ISBLANK($B$2)=TRUE,"",SUMIFS('Schedule Data'!$J:$J,'Schedule Data'!$H:$H,$A32,'Schedule Data'!$I:$I,$B32))</f>
        <v>0</v>
      </c>
      <c r="D32">
        <f>IF(ISBLANK($B$2)=TRUE,"",COUNTIFS('Schedule Data'!$F:$F,"Home",'Schedule Data'!$H:$H,$A32,'Schedule Data'!$I:$I,$B32))</f>
        <v>0</v>
      </c>
      <c r="E32" s="20">
        <v>4385935.3099999996</v>
      </c>
      <c r="F32">
        <f t="shared" si="5"/>
        <v>0.14750247308613726</v>
      </c>
      <c r="G32" s="20">
        <v>862680604.66999996</v>
      </c>
      <c r="H32" s="22">
        <f t="shared" si="3"/>
        <v>4.7259591549114202E-2</v>
      </c>
      <c r="I32">
        <v>3.6</v>
      </c>
    </row>
    <row r="33" spans="1:9" x14ac:dyDescent="0.2">
      <c r="A33">
        <v>2</v>
      </c>
      <c r="B33">
        <f t="shared" ref="B33:B37" si="6">IF(ISBLANK(B$2)=TRUE,"",B$2+3)</f>
        <v>2020</v>
      </c>
      <c r="C33">
        <f>IF(ISBLANK($B$2)=TRUE,"",SUMIFS('Schedule Data'!$J:$J,'Schedule Data'!$H:$H,$A33,'Schedule Data'!$I:$I,$B33))</f>
        <v>0</v>
      </c>
      <c r="D33">
        <f>IF(ISBLANK($B$2)=TRUE,"",COUNTIFS('Schedule Data'!$F:$F,"Home",'Schedule Data'!$H:$H,$A33,'Schedule Data'!$I:$I,$B33))</f>
        <v>0</v>
      </c>
      <c r="E33" s="20">
        <v>3581766.34</v>
      </c>
      <c r="F33">
        <f t="shared" si="5"/>
        <v>0.13476690017259629</v>
      </c>
      <c r="G33" s="20">
        <v>707454416.38999999</v>
      </c>
      <c r="H33" s="22">
        <f t="shared" si="3"/>
        <v>4.5312122614961842E-2</v>
      </c>
      <c r="I33">
        <v>3.4</v>
      </c>
    </row>
    <row r="34" spans="1:9" x14ac:dyDescent="0.2">
      <c r="A34">
        <v>3</v>
      </c>
      <c r="B34">
        <f t="shared" si="6"/>
        <v>2020</v>
      </c>
      <c r="C34">
        <f>IF(ISBLANK($B$2)=TRUE,"",SUMIFS('Schedule Data'!$J:$J,'Schedule Data'!$H:$H,$A34,'Schedule Data'!$I:$I,$B34))</f>
        <v>0</v>
      </c>
      <c r="D34">
        <f>IF(ISBLANK($B$2)=TRUE,"",COUNTIFS('Schedule Data'!$F:$F,"Home",'Schedule Data'!$H:$H,$A34,'Schedule Data'!$I:$I,$B34))</f>
        <v>0</v>
      </c>
      <c r="E34" s="20">
        <v>3133671.15</v>
      </c>
      <c r="F34">
        <f t="shared" si="5"/>
        <v>8.3839733695251634E-2</v>
      </c>
      <c r="G34" s="20">
        <v>682087510.79999995</v>
      </c>
      <c r="H34" s="22">
        <f t="shared" si="3"/>
        <v>-4.4357961323144863E-3</v>
      </c>
      <c r="I34">
        <v>4.4000000000000004</v>
      </c>
    </row>
    <row r="35" spans="1:9" x14ac:dyDescent="0.2">
      <c r="A35">
        <v>4</v>
      </c>
      <c r="B35">
        <f t="shared" si="6"/>
        <v>2020</v>
      </c>
      <c r="C35">
        <f>IF(ISBLANK($B$2)=TRUE,"",SUMIFS('Schedule Data'!$J:$J,'Schedule Data'!$H:$H,$A35,'Schedule Data'!$I:$I,$B35))</f>
        <v>0</v>
      </c>
      <c r="D35">
        <f>IF(ISBLANK($B$2)=TRUE,"",COUNTIFS('Schedule Data'!$F:$F,"Home",'Schedule Data'!$H:$H,$A35,'Schedule Data'!$I:$I,$B35))</f>
        <v>0</v>
      </c>
      <c r="E35" s="20">
        <v>3063698.92</v>
      </c>
      <c r="F35">
        <f t="shared" si="5"/>
        <v>-9.3195917466361328E-2</v>
      </c>
      <c r="G35" s="20">
        <v>720385696.5</v>
      </c>
      <c r="H35" s="22">
        <f t="shared" si="3"/>
        <v>-8.414564020165205E-2</v>
      </c>
      <c r="I35">
        <v>15.8</v>
      </c>
    </row>
    <row r="36" spans="1:9" x14ac:dyDescent="0.2">
      <c r="A36">
        <v>5</v>
      </c>
      <c r="B36">
        <f t="shared" si="6"/>
        <v>2020</v>
      </c>
      <c r="C36">
        <f>IF(ISBLANK($B$2)=TRUE,"",SUMIFS('Schedule Data'!$J:$J,'Schedule Data'!$H:$H,$A36,'Schedule Data'!$I:$I,$B36))</f>
        <v>0</v>
      </c>
      <c r="D36">
        <f>IF(ISBLANK($B$2)=TRUE,"",COUNTIFS('Schedule Data'!$F:$F,"Home",'Schedule Data'!$H:$H,$A36,'Schedule Data'!$I:$I,$B36))</f>
        <v>0</v>
      </c>
      <c r="E36" s="20">
        <v>2489075.86</v>
      </c>
      <c r="F36">
        <f t="shared" si="5"/>
        <v>-0.31912870102862761</v>
      </c>
      <c r="G36" s="20">
        <v>651869412.89999998</v>
      </c>
      <c r="H36" s="22">
        <f t="shared" si="3"/>
        <v>-0.12412244561584938</v>
      </c>
      <c r="I36">
        <v>13.2</v>
      </c>
    </row>
    <row r="37" spans="1:9" x14ac:dyDescent="0.2">
      <c r="A37">
        <v>6</v>
      </c>
      <c r="B37">
        <f t="shared" si="6"/>
        <v>2020</v>
      </c>
      <c r="C37">
        <f>IF(ISBLANK($B$2)=TRUE,"",SUMIFS('Schedule Data'!$J:$J,'Schedule Data'!$H:$H,$A37,'Schedule Data'!$I:$I,$B37))</f>
        <v>0</v>
      </c>
      <c r="D37">
        <f>IF(ISBLANK($B$2)=TRUE,"",COUNTIFS('Schedule Data'!$F:$F,"Home",'Schedule Data'!$H:$H,$A37,'Schedule Data'!$I:$I,$B37))</f>
        <v>0</v>
      </c>
      <c r="E37" s="20">
        <v>3071745.93</v>
      </c>
      <c r="F37">
        <f>((E37-E25)/E25)</f>
        <v>-0.17969420941109079</v>
      </c>
      <c r="G37" s="20">
        <v>720739236.80999994</v>
      </c>
      <c r="H37" s="22">
        <f>((G37-G25)/G25)</f>
        <v>-5.5839153664079932E-2</v>
      </c>
      <c r="I37">
        <v>9.5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1BAB-EFF6-41B1-9B4E-202DA72C6D28}">
  <dimension ref="A1:J102"/>
  <sheetViews>
    <sheetView topLeftCell="A15" workbookViewId="0">
      <selection activeCell="G43" sqref="G43"/>
    </sheetView>
  </sheetViews>
  <sheetFormatPr baseColWidth="10" defaultColWidth="8.83203125" defaultRowHeight="15" x14ac:dyDescent="0.2"/>
  <cols>
    <col min="1" max="1" width="14" customWidth="1"/>
    <col min="2" max="2" width="16.83203125" bestFit="1" customWidth="1"/>
    <col min="3" max="3" width="7.83203125" bestFit="1" customWidth="1"/>
    <col min="4" max="4" width="11.1640625" bestFit="1" customWidth="1"/>
    <col min="5" max="5" width="11.33203125" bestFit="1" customWidth="1"/>
  </cols>
  <sheetData>
    <row r="1" spans="1:10" x14ac:dyDescent="0.2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3"/>
      <c r="G1" s="3"/>
      <c r="J1" s="3"/>
    </row>
    <row r="2" spans="1:10" ht="16" x14ac:dyDescent="0.2">
      <c r="A2" s="14">
        <v>42980</v>
      </c>
      <c r="B2" s="16" t="s">
        <v>24</v>
      </c>
      <c r="C2" s="15" t="s">
        <v>25</v>
      </c>
      <c r="D2" s="17">
        <v>0.13541666666666666</v>
      </c>
      <c r="E2" s="18">
        <v>92746</v>
      </c>
      <c r="F2" t="str">
        <f t="shared" ref="F2:F65" si="0">IF(MID(B2,1,1)="@","",IF(MID(B2,1,1)="+","","Home"))</f>
        <v/>
      </c>
      <c r="G2" t="str">
        <f t="shared" ref="G2:G65" si="1">TEXT(A2,"M/YYYY")</f>
        <v>9/2017</v>
      </c>
      <c r="H2">
        <v>9</v>
      </c>
      <c r="I2">
        <v>2017</v>
      </c>
      <c r="J2" t="str">
        <f t="shared" ref="J2:J65" si="2">IF(MID(B2,1,1)="@","",IF(MID(B2,1,1)="+","",E2))</f>
        <v/>
      </c>
    </row>
    <row r="3" spans="1:10" ht="16" x14ac:dyDescent="0.2">
      <c r="A3" s="14">
        <v>42987</v>
      </c>
      <c r="B3" s="15" t="s">
        <v>26</v>
      </c>
      <c r="C3" s="15" t="s">
        <v>27</v>
      </c>
      <c r="D3" s="17">
        <v>0.13333333333333333</v>
      </c>
      <c r="E3" s="18">
        <v>20109</v>
      </c>
      <c r="F3" t="str">
        <f t="shared" si="0"/>
        <v>Home</v>
      </c>
      <c r="G3" t="str">
        <f t="shared" si="1"/>
        <v>9/2017</v>
      </c>
      <c r="H3">
        <v>9</v>
      </c>
      <c r="I3">
        <v>2017</v>
      </c>
      <c r="J3">
        <f t="shared" si="2"/>
        <v>20109</v>
      </c>
    </row>
    <row r="4" spans="1:10" ht="16" x14ac:dyDescent="0.2">
      <c r="A4" s="14">
        <v>42994</v>
      </c>
      <c r="B4" s="16" t="s">
        <v>28</v>
      </c>
      <c r="C4" s="15" t="s">
        <v>29</v>
      </c>
      <c r="D4" s="17">
        <v>0.12430555555555556</v>
      </c>
      <c r="E4" s="18">
        <v>19520</v>
      </c>
      <c r="F4" t="str">
        <f t="shared" si="0"/>
        <v/>
      </c>
      <c r="G4" t="str">
        <f t="shared" si="1"/>
        <v>9/2017</v>
      </c>
      <c r="H4">
        <v>9</v>
      </c>
      <c r="I4">
        <v>2017</v>
      </c>
      <c r="J4" t="str">
        <f t="shared" si="2"/>
        <v/>
      </c>
    </row>
    <row r="5" spans="1:10" ht="16" x14ac:dyDescent="0.2">
      <c r="A5" s="14">
        <v>43001</v>
      </c>
      <c r="B5" s="16" t="s">
        <v>17</v>
      </c>
      <c r="C5" s="15" t="s">
        <v>30</v>
      </c>
      <c r="D5" s="17">
        <v>0.16041666666666668</v>
      </c>
      <c r="E5" s="18">
        <v>35126</v>
      </c>
      <c r="F5" t="str">
        <f t="shared" si="0"/>
        <v>Home</v>
      </c>
      <c r="G5" t="str">
        <f t="shared" si="1"/>
        <v>9/2017</v>
      </c>
      <c r="H5">
        <v>9</v>
      </c>
      <c r="I5">
        <v>2017</v>
      </c>
      <c r="J5">
        <f t="shared" si="2"/>
        <v>35126</v>
      </c>
    </row>
    <row r="6" spans="1:10" ht="16" x14ac:dyDescent="0.2">
      <c r="A6" s="14">
        <v>43015</v>
      </c>
      <c r="B6" s="16" t="s">
        <v>31</v>
      </c>
      <c r="C6" s="15" t="s">
        <v>32</v>
      </c>
      <c r="D6" s="17">
        <v>0.14791666666666667</v>
      </c>
      <c r="E6" s="18">
        <v>22787</v>
      </c>
      <c r="F6" t="str">
        <f t="shared" si="0"/>
        <v>Home</v>
      </c>
      <c r="G6" t="str">
        <f t="shared" si="1"/>
        <v>10/2017</v>
      </c>
      <c r="H6">
        <v>10</v>
      </c>
      <c r="I6">
        <v>2017</v>
      </c>
      <c r="J6">
        <f t="shared" si="2"/>
        <v>22787</v>
      </c>
    </row>
    <row r="7" spans="1:10" ht="16" x14ac:dyDescent="0.2">
      <c r="A7" s="14">
        <v>43022</v>
      </c>
      <c r="B7" s="16" t="s">
        <v>33</v>
      </c>
      <c r="C7" s="15" t="s">
        <v>34</v>
      </c>
      <c r="D7" s="17">
        <v>0.12361111111111112</v>
      </c>
      <c r="E7" s="18">
        <v>10168</v>
      </c>
      <c r="F7" t="str">
        <f t="shared" si="0"/>
        <v/>
      </c>
      <c r="G7" t="str">
        <f t="shared" si="1"/>
        <v>10/2017</v>
      </c>
      <c r="H7">
        <v>10</v>
      </c>
      <c r="I7">
        <v>2017</v>
      </c>
      <c r="J7" t="str">
        <f t="shared" si="2"/>
        <v/>
      </c>
    </row>
    <row r="8" spans="1:10" ht="16" x14ac:dyDescent="0.2">
      <c r="A8" s="14">
        <v>43029</v>
      </c>
      <c r="B8" s="16" t="s">
        <v>35</v>
      </c>
      <c r="C8" s="15" t="s">
        <v>36</v>
      </c>
      <c r="D8" s="17">
        <v>0.15277777777777779</v>
      </c>
      <c r="E8" s="18">
        <v>30179</v>
      </c>
      <c r="F8" t="str">
        <f t="shared" si="0"/>
        <v>Home</v>
      </c>
      <c r="G8" t="str">
        <f t="shared" si="1"/>
        <v>10/2017</v>
      </c>
      <c r="H8">
        <v>10</v>
      </c>
      <c r="I8">
        <v>2017</v>
      </c>
      <c r="J8">
        <f t="shared" si="2"/>
        <v>30179</v>
      </c>
    </row>
    <row r="9" spans="1:10" ht="16" x14ac:dyDescent="0.2">
      <c r="A9" s="14">
        <v>43036</v>
      </c>
      <c r="B9" s="16" t="s">
        <v>37</v>
      </c>
      <c r="C9" s="15" t="s">
        <v>38</v>
      </c>
      <c r="D9" s="17">
        <v>0.15486111111111112</v>
      </c>
      <c r="E9" s="18">
        <v>11889</v>
      </c>
      <c r="F9" t="str">
        <f t="shared" si="0"/>
        <v/>
      </c>
      <c r="G9" t="str">
        <f t="shared" si="1"/>
        <v>10/2017</v>
      </c>
      <c r="H9">
        <v>10</v>
      </c>
      <c r="I9">
        <v>2017</v>
      </c>
      <c r="J9" t="str">
        <f t="shared" si="2"/>
        <v/>
      </c>
    </row>
    <row r="10" spans="1:10" ht="16" x14ac:dyDescent="0.2">
      <c r="A10" s="14">
        <v>43043</v>
      </c>
      <c r="B10" s="16" t="s">
        <v>39</v>
      </c>
      <c r="C10" s="15" t="s">
        <v>40</v>
      </c>
      <c r="D10" s="17">
        <v>0.13750000000000001</v>
      </c>
      <c r="E10" s="18">
        <v>7397</v>
      </c>
      <c r="F10" t="str">
        <f t="shared" si="0"/>
        <v/>
      </c>
      <c r="G10" t="str">
        <f t="shared" si="1"/>
        <v>11/2017</v>
      </c>
      <c r="H10">
        <v>11</v>
      </c>
      <c r="I10">
        <v>2017</v>
      </c>
      <c r="J10" t="str">
        <f t="shared" si="2"/>
        <v/>
      </c>
    </row>
    <row r="11" spans="1:10" ht="16" x14ac:dyDescent="0.2">
      <c r="A11" s="14">
        <v>43048</v>
      </c>
      <c r="B11" s="16" t="s">
        <v>41</v>
      </c>
      <c r="C11" s="15" t="s">
        <v>42</v>
      </c>
      <c r="D11" s="17">
        <v>0.12291666666666666</v>
      </c>
      <c r="E11" s="18">
        <v>23110</v>
      </c>
      <c r="F11" t="str">
        <f t="shared" si="0"/>
        <v>Home</v>
      </c>
      <c r="G11" t="str">
        <f t="shared" si="1"/>
        <v>11/2017</v>
      </c>
      <c r="H11">
        <v>11</v>
      </c>
      <c r="I11">
        <v>2017</v>
      </c>
      <c r="J11">
        <f t="shared" si="2"/>
        <v>23110</v>
      </c>
    </row>
    <row r="12" spans="1:10" ht="16" x14ac:dyDescent="0.2">
      <c r="A12" s="14">
        <v>43064</v>
      </c>
      <c r="B12" s="16" t="s">
        <v>43</v>
      </c>
      <c r="C12" s="15" t="s">
        <v>44</v>
      </c>
      <c r="D12" s="17">
        <v>0.12847222222222221</v>
      </c>
      <c r="E12" s="18">
        <v>13154</v>
      </c>
      <c r="F12" t="str">
        <f t="shared" si="0"/>
        <v/>
      </c>
      <c r="G12" t="str">
        <f t="shared" si="1"/>
        <v>11/2017</v>
      </c>
      <c r="H12">
        <v>11</v>
      </c>
      <c r="I12">
        <v>2017</v>
      </c>
      <c r="J12" t="str">
        <f t="shared" si="2"/>
        <v/>
      </c>
    </row>
    <row r="13" spans="1:10" ht="16" x14ac:dyDescent="0.2">
      <c r="A13" s="14">
        <v>43071</v>
      </c>
      <c r="B13" s="16" t="s">
        <v>45</v>
      </c>
      <c r="C13" s="15" t="s">
        <v>46</v>
      </c>
      <c r="D13" s="17">
        <v>0.12152777777777778</v>
      </c>
      <c r="E13" s="18">
        <v>23411</v>
      </c>
      <c r="F13" t="str">
        <f t="shared" si="0"/>
        <v>Home</v>
      </c>
      <c r="G13" t="str">
        <f t="shared" si="1"/>
        <v>12/2017</v>
      </c>
      <c r="H13">
        <v>12</v>
      </c>
      <c r="I13">
        <v>2017</v>
      </c>
      <c r="J13">
        <f t="shared" si="2"/>
        <v>23411</v>
      </c>
    </row>
    <row r="14" spans="1:10" ht="16" x14ac:dyDescent="0.2">
      <c r="A14" s="14">
        <v>43092</v>
      </c>
      <c r="B14" s="16" t="s">
        <v>47</v>
      </c>
      <c r="C14" s="15" t="s">
        <v>48</v>
      </c>
      <c r="D14" s="17">
        <v>0.13402777777777777</v>
      </c>
      <c r="E14" s="18">
        <v>28706</v>
      </c>
      <c r="F14" t="str">
        <f t="shared" si="0"/>
        <v/>
      </c>
      <c r="G14" t="str">
        <f t="shared" si="1"/>
        <v>12/2017</v>
      </c>
      <c r="H14">
        <v>12</v>
      </c>
      <c r="I14">
        <v>2017</v>
      </c>
      <c r="J14" t="str">
        <f t="shared" si="2"/>
        <v/>
      </c>
    </row>
    <row r="15" spans="1:10" ht="16" x14ac:dyDescent="0.2">
      <c r="A15" s="14">
        <v>43344</v>
      </c>
      <c r="B15" s="16" t="s">
        <v>49</v>
      </c>
      <c r="C15" s="15" t="s">
        <v>50</v>
      </c>
      <c r="D15" s="17">
        <v>0.15277777777777779</v>
      </c>
      <c r="E15" s="18">
        <v>105232</v>
      </c>
      <c r="F15" t="str">
        <f t="shared" si="0"/>
        <v/>
      </c>
      <c r="G15" t="str">
        <f t="shared" si="1"/>
        <v>9/2018</v>
      </c>
      <c r="H15">
        <v>9</v>
      </c>
      <c r="I15">
        <v>2018</v>
      </c>
      <c r="J15" t="str">
        <f t="shared" si="2"/>
        <v/>
      </c>
    </row>
    <row r="16" spans="1:10" ht="16" x14ac:dyDescent="0.2">
      <c r="A16" s="14">
        <v>43351</v>
      </c>
      <c r="B16" s="16" t="s">
        <v>51</v>
      </c>
      <c r="C16" s="15" t="s">
        <v>52</v>
      </c>
      <c r="D16" s="17">
        <v>0.12013888888888889</v>
      </c>
      <c r="E16" s="18">
        <v>19151</v>
      </c>
      <c r="F16" t="str">
        <f t="shared" si="0"/>
        <v/>
      </c>
      <c r="G16" t="str">
        <f t="shared" si="1"/>
        <v>9/2018</v>
      </c>
      <c r="H16">
        <v>9</v>
      </c>
      <c r="I16">
        <v>2018</v>
      </c>
      <c r="J16" t="str">
        <f t="shared" si="2"/>
        <v/>
      </c>
    </row>
    <row r="17" spans="1:10" ht="16" x14ac:dyDescent="0.2">
      <c r="A17" s="14">
        <v>43365</v>
      </c>
      <c r="B17" s="15" t="s">
        <v>53</v>
      </c>
      <c r="C17" s="15" t="s">
        <v>54</v>
      </c>
      <c r="D17" s="17">
        <v>0.125</v>
      </c>
      <c r="E17" s="18">
        <v>21084</v>
      </c>
      <c r="F17" t="str">
        <f t="shared" si="0"/>
        <v>Home</v>
      </c>
      <c r="G17" t="str">
        <f t="shared" si="1"/>
        <v>9/2018</v>
      </c>
      <c r="H17">
        <v>9</v>
      </c>
      <c r="I17">
        <v>2018</v>
      </c>
      <c r="J17">
        <f t="shared" si="2"/>
        <v>21084</v>
      </c>
    </row>
    <row r="18" spans="1:10" ht="16" x14ac:dyDescent="0.2">
      <c r="A18" s="14">
        <v>43372</v>
      </c>
      <c r="B18" s="16" t="s">
        <v>55</v>
      </c>
      <c r="C18" s="15" t="s">
        <v>56</v>
      </c>
      <c r="D18" s="17">
        <v>0.12847222222222221</v>
      </c>
      <c r="E18" s="18">
        <v>25862</v>
      </c>
      <c r="F18" t="str">
        <f t="shared" si="0"/>
        <v>Home</v>
      </c>
      <c r="G18" t="str">
        <f t="shared" si="1"/>
        <v>9/2018</v>
      </c>
      <c r="H18">
        <v>9</v>
      </c>
      <c r="I18">
        <v>2018</v>
      </c>
      <c r="J18">
        <f t="shared" si="2"/>
        <v>25862</v>
      </c>
    </row>
    <row r="19" spans="1:10" ht="16" x14ac:dyDescent="0.2">
      <c r="A19" s="14">
        <v>43382</v>
      </c>
      <c r="B19" s="16" t="s">
        <v>57</v>
      </c>
      <c r="C19" s="15" t="s">
        <v>58</v>
      </c>
      <c r="D19" s="17">
        <v>0.14097222222222222</v>
      </c>
      <c r="E19" s="18">
        <v>21421</v>
      </c>
      <c r="F19" t="str">
        <f t="shared" si="0"/>
        <v/>
      </c>
      <c r="G19" t="str">
        <f t="shared" si="1"/>
        <v>10/2018</v>
      </c>
      <c r="H19">
        <v>10</v>
      </c>
      <c r="I19">
        <v>2018</v>
      </c>
      <c r="J19" t="str">
        <f t="shared" si="2"/>
        <v/>
      </c>
    </row>
    <row r="20" spans="1:10" ht="16" x14ac:dyDescent="0.2">
      <c r="A20" s="14">
        <v>43393</v>
      </c>
      <c r="B20" s="16" t="s">
        <v>45</v>
      </c>
      <c r="C20" s="15" t="s">
        <v>59</v>
      </c>
      <c r="D20" s="17">
        <v>0.12847222222222221</v>
      </c>
      <c r="E20" s="18">
        <v>27082</v>
      </c>
      <c r="F20" t="str">
        <f t="shared" si="0"/>
        <v>Home</v>
      </c>
      <c r="G20" t="str">
        <f t="shared" si="1"/>
        <v>10/2018</v>
      </c>
      <c r="H20">
        <v>10</v>
      </c>
      <c r="I20">
        <v>2018</v>
      </c>
      <c r="J20">
        <f t="shared" si="2"/>
        <v>27082</v>
      </c>
    </row>
    <row r="21" spans="1:10" ht="16" x14ac:dyDescent="0.2">
      <c r="A21" s="14">
        <v>43398</v>
      </c>
      <c r="B21" s="16" t="s">
        <v>60</v>
      </c>
      <c r="C21" s="15" t="s">
        <v>61</v>
      </c>
      <c r="D21" s="17">
        <v>0.12986111111111112</v>
      </c>
      <c r="E21" s="18">
        <v>19252</v>
      </c>
      <c r="F21" t="str">
        <f t="shared" si="0"/>
        <v/>
      </c>
      <c r="G21" t="str">
        <f t="shared" si="1"/>
        <v>10/2018</v>
      </c>
      <c r="H21">
        <v>10</v>
      </c>
      <c r="I21">
        <v>2018</v>
      </c>
      <c r="J21" t="str">
        <f t="shared" si="2"/>
        <v/>
      </c>
    </row>
    <row r="22" spans="1:10" ht="16" x14ac:dyDescent="0.2">
      <c r="A22" s="14">
        <v>43407</v>
      </c>
      <c r="B22" s="16" t="s">
        <v>62</v>
      </c>
      <c r="C22" s="15" t="s">
        <v>63</v>
      </c>
      <c r="D22" s="17">
        <v>0.12361111111111112</v>
      </c>
      <c r="E22" s="18">
        <v>13004</v>
      </c>
      <c r="F22" t="str">
        <f t="shared" si="0"/>
        <v/>
      </c>
      <c r="G22" t="str">
        <f t="shared" si="1"/>
        <v>11/2018</v>
      </c>
      <c r="H22">
        <v>11</v>
      </c>
      <c r="I22">
        <v>2018</v>
      </c>
      <c r="J22" t="str">
        <f t="shared" si="2"/>
        <v/>
      </c>
    </row>
    <row r="23" spans="1:10" ht="16" x14ac:dyDescent="0.2">
      <c r="A23" s="14">
        <v>43414</v>
      </c>
      <c r="B23" s="16" t="s">
        <v>28</v>
      </c>
      <c r="C23" s="15" t="s">
        <v>64</v>
      </c>
      <c r="D23" s="17">
        <v>0.11319444444444444</v>
      </c>
      <c r="E23" s="18">
        <v>11482</v>
      </c>
      <c r="F23" t="str">
        <f t="shared" si="0"/>
        <v/>
      </c>
      <c r="G23" t="str">
        <f t="shared" si="1"/>
        <v>11/2018</v>
      </c>
      <c r="H23">
        <v>11</v>
      </c>
      <c r="I23">
        <v>2018</v>
      </c>
      <c r="J23" t="str">
        <f t="shared" si="2"/>
        <v/>
      </c>
    </row>
    <row r="24" spans="1:10" ht="16" x14ac:dyDescent="0.2">
      <c r="A24" s="14">
        <v>43421</v>
      </c>
      <c r="B24" s="16" t="s">
        <v>65</v>
      </c>
      <c r="C24" s="15" t="s">
        <v>66</v>
      </c>
      <c r="D24" s="17">
        <v>0.11874999999999999</v>
      </c>
      <c r="E24" s="18">
        <v>22315</v>
      </c>
      <c r="F24" t="str">
        <f t="shared" si="0"/>
        <v>Home</v>
      </c>
      <c r="G24" t="str">
        <f t="shared" si="1"/>
        <v>11/2018</v>
      </c>
      <c r="H24">
        <v>11</v>
      </c>
      <c r="I24">
        <v>2018</v>
      </c>
      <c r="J24">
        <f t="shared" si="2"/>
        <v>22315</v>
      </c>
    </row>
    <row r="25" spans="1:10" ht="16" x14ac:dyDescent="0.2">
      <c r="A25" s="14">
        <v>43428</v>
      </c>
      <c r="B25" s="16" t="s">
        <v>67</v>
      </c>
      <c r="C25" s="15" t="s">
        <v>68</v>
      </c>
      <c r="D25" s="17">
        <v>0.14583333333333334</v>
      </c>
      <c r="E25" s="18">
        <v>20410</v>
      </c>
      <c r="F25" t="str">
        <f t="shared" si="0"/>
        <v>Home</v>
      </c>
      <c r="G25" t="str">
        <f t="shared" si="1"/>
        <v>11/2018</v>
      </c>
      <c r="H25">
        <v>11</v>
      </c>
      <c r="I25">
        <v>2018</v>
      </c>
      <c r="J25">
        <f t="shared" si="2"/>
        <v>20410</v>
      </c>
    </row>
    <row r="26" spans="1:10" ht="16" x14ac:dyDescent="0.2">
      <c r="A26" s="14">
        <v>43435</v>
      </c>
      <c r="B26" s="16" t="s">
        <v>45</v>
      </c>
      <c r="C26" s="15" t="s">
        <v>69</v>
      </c>
      <c r="D26" s="17">
        <v>0.12847222222222221</v>
      </c>
      <c r="E26" s="18">
        <v>14963</v>
      </c>
      <c r="F26" t="str">
        <f t="shared" si="0"/>
        <v>Home</v>
      </c>
      <c r="G26" t="str">
        <f t="shared" si="1"/>
        <v>12/2018</v>
      </c>
      <c r="H26">
        <v>12</v>
      </c>
      <c r="I26">
        <v>2018</v>
      </c>
      <c r="J26">
        <f t="shared" si="2"/>
        <v>14963</v>
      </c>
    </row>
    <row r="27" spans="1:10" ht="16" x14ac:dyDescent="0.2">
      <c r="A27" s="14">
        <v>43449</v>
      </c>
      <c r="B27" s="16" t="s">
        <v>70</v>
      </c>
      <c r="C27" s="15" t="s">
        <v>71</v>
      </c>
      <c r="D27" s="17">
        <v>0.12708333333333333</v>
      </c>
      <c r="E27" s="18">
        <v>23942</v>
      </c>
      <c r="F27" t="str">
        <f t="shared" si="0"/>
        <v/>
      </c>
      <c r="G27" t="str">
        <f t="shared" si="1"/>
        <v>12/2018</v>
      </c>
      <c r="H27">
        <v>12</v>
      </c>
      <c r="I27">
        <v>2018</v>
      </c>
      <c r="J27" t="str">
        <f t="shared" si="2"/>
        <v/>
      </c>
    </row>
    <row r="28" spans="1:10" ht="16" x14ac:dyDescent="0.2">
      <c r="A28" s="14">
        <v>43708</v>
      </c>
      <c r="B28" s="15" t="s">
        <v>72</v>
      </c>
      <c r="C28" s="15" t="s">
        <v>73</v>
      </c>
      <c r="D28" s="17">
        <v>0.125</v>
      </c>
      <c r="E28" s="18">
        <v>25147</v>
      </c>
      <c r="F28" t="str">
        <f t="shared" si="0"/>
        <v>Home</v>
      </c>
      <c r="G28" t="str">
        <f t="shared" si="1"/>
        <v>8/2019</v>
      </c>
      <c r="H28">
        <v>8</v>
      </c>
      <c r="I28">
        <v>2019</v>
      </c>
      <c r="J28">
        <f t="shared" si="2"/>
        <v>25147</v>
      </c>
    </row>
    <row r="29" spans="1:10" ht="16" x14ac:dyDescent="0.2">
      <c r="A29" s="14">
        <v>43715</v>
      </c>
      <c r="B29" s="16" t="s">
        <v>18</v>
      </c>
      <c r="C29" s="15" t="s">
        <v>74</v>
      </c>
      <c r="D29" s="17">
        <v>0.15972222222222221</v>
      </c>
      <c r="E29" s="18">
        <v>29182</v>
      </c>
      <c r="F29" t="str">
        <f t="shared" si="0"/>
        <v>Home</v>
      </c>
      <c r="G29" t="str">
        <f t="shared" si="1"/>
        <v>9/2019</v>
      </c>
      <c r="H29">
        <v>9</v>
      </c>
      <c r="I29">
        <v>2019</v>
      </c>
      <c r="J29">
        <f t="shared" si="2"/>
        <v>29182</v>
      </c>
    </row>
    <row r="30" spans="1:10" ht="16" x14ac:dyDescent="0.2">
      <c r="A30" s="14">
        <v>43729</v>
      </c>
      <c r="B30" s="16" t="s">
        <v>75</v>
      </c>
      <c r="C30" s="15" t="s">
        <v>76</v>
      </c>
      <c r="D30" s="17">
        <v>0.13750000000000001</v>
      </c>
      <c r="E30" s="18">
        <v>50500</v>
      </c>
      <c r="F30" t="str">
        <f t="shared" si="0"/>
        <v/>
      </c>
      <c r="G30" t="str">
        <f t="shared" si="1"/>
        <v>9/2019</v>
      </c>
      <c r="H30">
        <v>9</v>
      </c>
      <c r="I30">
        <v>2019</v>
      </c>
      <c r="J30" t="str">
        <f t="shared" si="2"/>
        <v/>
      </c>
    </row>
    <row r="31" spans="1:10" ht="16" x14ac:dyDescent="0.2">
      <c r="A31" s="14">
        <v>43736</v>
      </c>
      <c r="B31" s="16" t="s">
        <v>35</v>
      </c>
      <c r="C31" s="15" t="s">
        <v>77</v>
      </c>
      <c r="D31" s="17">
        <v>0.22708333333333333</v>
      </c>
      <c r="E31" s="18">
        <v>25055</v>
      </c>
      <c r="F31" t="str">
        <f t="shared" si="0"/>
        <v>Home</v>
      </c>
      <c r="G31" t="str">
        <f t="shared" si="1"/>
        <v>9/2019</v>
      </c>
      <c r="H31">
        <v>9</v>
      </c>
      <c r="I31">
        <v>2019</v>
      </c>
      <c r="J31">
        <f t="shared" si="2"/>
        <v>25055</v>
      </c>
    </row>
    <row r="32" spans="1:10" ht="16" x14ac:dyDescent="0.2">
      <c r="A32" s="14">
        <v>43747</v>
      </c>
      <c r="B32" s="16" t="s">
        <v>78</v>
      </c>
      <c r="C32" s="15" t="s">
        <v>79</v>
      </c>
      <c r="D32" s="17">
        <v>0.125</v>
      </c>
      <c r="E32" s="18">
        <v>21012</v>
      </c>
      <c r="F32" t="str">
        <f t="shared" si="0"/>
        <v/>
      </c>
      <c r="G32" t="str">
        <f t="shared" si="1"/>
        <v>10/2019</v>
      </c>
      <c r="H32">
        <v>10</v>
      </c>
      <c r="I32">
        <v>2019</v>
      </c>
      <c r="J32" t="str">
        <f t="shared" si="2"/>
        <v/>
      </c>
    </row>
    <row r="33" spans="1:10" ht="16" x14ac:dyDescent="0.2">
      <c r="A33" s="14">
        <v>43757</v>
      </c>
      <c r="B33" s="16" t="s">
        <v>80</v>
      </c>
      <c r="C33" s="15" t="s">
        <v>56</v>
      </c>
      <c r="D33" s="17">
        <v>0.12847222222222221</v>
      </c>
      <c r="E33" s="18">
        <v>27717</v>
      </c>
      <c r="F33" t="str">
        <f t="shared" si="0"/>
        <v>Home</v>
      </c>
      <c r="G33" t="str">
        <f t="shared" si="1"/>
        <v>10/2019</v>
      </c>
      <c r="H33">
        <v>10</v>
      </c>
      <c r="I33">
        <v>2019</v>
      </c>
      <c r="J33">
        <f t="shared" si="2"/>
        <v>27717</v>
      </c>
    </row>
    <row r="34" spans="1:10" ht="16" x14ac:dyDescent="0.2">
      <c r="A34" s="14">
        <v>43764</v>
      </c>
      <c r="B34" s="16" t="s">
        <v>81</v>
      </c>
      <c r="C34" s="15" t="s">
        <v>82</v>
      </c>
      <c r="D34" s="17">
        <v>0.12291666666666666</v>
      </c>
      <c r="E34" s="18">
        <v>17969</v>
      </c>
      <c r="F34" t="str">
        <f t="shared" si="0"/>
        <v/>
      </c>
      <c r="G34" t="str">
        <f t="shared" si="1"/>
        <v>10/2019</v>
      </c>
      <c r="H34">
        <v>10</v>
      </c>
      <c r="I34">
        <v>2019</v>
      </c>
      <c r="J34" t="str">
        <f t="shared" si="2"/>
        <v/>
      </c>
    </row>
    <row r="35" spans="1:10" ht="16" x14ac:dyDescent="0.2">
      <c r="A35" s="14">
        <v>43769</v>
      </c>
      <c r="B35" s="16" t="s">
        <v>41</v>
      </c>
      <c r="C35" s="15" t="s">
        <v>83</v>
      </c>
      <c r="D35" s="17">
        <v>0.1388888888888889</v>
      </c>
      <c r="E35" s="18">
        <v>18796</v>
      </c>
      <c r="F35" t="str">
        <f t="shared" si="0"/>
        <v>Home</v>
      </c>
      <c r="G35" t="str">
        <f t="shared" si="1"/>
        <v>10/2019</v>
      </c>
      <c r="H35">
        <v>10</v>
      </c>
      <c r="I35">
        <v>2019</v>
      </c>
      <c r="J35">
        <f t="shared" si="2"/>
        <v>18796</v>
      </c>
    </row>
    <row r="36" spans="1:10" ht="16" x14ac:dyDescent="0.2">
      <c r="A36" s="14">
        <v>43778</v>
      </c>
      <c r="B36" s="16" t="s">
        <v>84</v>
      </c>
      <c r="C36" s="15" t="s">
        <v>85</v>
      </c>
      <c r="D36" s="17">
        <v>0.14930555555555555</v>
      </c>
      <c r="E36" s="18">
        <v>80849</v>
      </c>
      <c r="F36" t="str">
        <f t="shared" si="0"/>
        <v/>
      </c>
      <c r="G36" t="str">
        <f t="shared" si="1"/>
        <v>11/2019</v>
      </c>
      <c r="H36">
        <v>11</v>
      </c>
      <c r="I36">
        <v>2019</v>
      </c>
      <c r="J36" t="str">
        <f t="shared" si="2"/>
        <v/>
      </c>
    </row>
    <row r="37" spans="1:10" ht="16" x14ac:dyDescent="0.2">
      <c r="A37" s="14">
        <v>43785</v>
      </c>
      <c r="B37" s="16" t="s">
        <v>43</v>
      </c>
      <c r="C37" s="15" t="s">
        <v>86</v>
      </c>
      <c r="D37" s="17">
        <v>0.14166666666666666</v>
      </c>
      <c r="E37" s="18">
        <v>17908</v>
      </c>
      <c r="F37" t="str">
        <f t="shared" si="0"/>
        <v/>
      </c>
      <c r="G37" t="str">
        <f t="shared" si="1"/>
        <v>11/2019</v>
      </c>
      <c r="H37">
        <v>11</v>
      </c>
      <c r="I37">
        <v>2019</v>
      </c>
      <c r="J37" t="str">
        <f t="shared" si="2"/>
        <v/>
      </c>
    </row>
    <row r="38" spans="1:10" ht="16" x14ac:dyDescent="0.2">
      <c r="A38" s="14">
        <v>43792</v>
      </c>
      <c r="B38" s="16" t="s">
        <v>87</v>
      </c>
      <c r="C38" s="15" t="s">
        <v>88</v>
      </c>
      <c r="D38" s="17">
        <v>0.12291666666666666</v>
      </c>
      <c r="E38" s="18">
        <v>22125</v>
      </c>
      <c r="F38" t="str">
        <f t="shared" si="0"/>
        <v>Home</v>
      </c>
      <c r="G38" t="str">
        <f t="shared" si="1"/>
        <v>11/2019</v>
      </c>
      <c r="H38">
        <v>11</v>
      </c>
      <c r="I38">
        <v>2019</v>
      </c>
      <c r="J38">
        <f t="shared" si="2"/>
        <v>22125</v>
      </c>
    </row>
    <row r="39" spans="1:10" ht="16" x14ac:dyDescent="0.2">
      <c r="A39" s="14">
        <v>43798</v>
      </c>
      <c r="B39" s="16" t="s">
        <v>89</v>
      </c>
      <c r="C39" s="15" t="s">
        <v>90</v>
      </c>
      <c r="D39" s="17">
        <v>0.12847222222222221</v>
      </c>
      <c r="E39" s="18">
        <v>18989</v>
      </c>
      <c r="F39" t="str">
        <f t="shared" si="0"/>
        <v/>
      </c>
      <c r="G39" t="str">
        <f t="shared" si="1"/>
        <v>11/2019</v>
      </c>
      <c r="H39">
        <v>11</v>
      </c>
      <c r="I39">
        <v>2019</v>
      </c>
      <c r="J39" t="str">
        <f t="shared" si="2"/>
        <v/>
      </c>
    </row>
    <row r="40" spans="1:10" ht="16" x14ac:dyDescent="0.2">
      <c r="A40" s="14">
        <v>43806</v>
      </c>
      <c r="B40" s="16" t="s">
        <v>45</v>
      </c>
      <c r="C40" s="15" t="s">
        <v>91</v>
      </c>
      <c r="D40" s="17">
        <v>0.15069444444444444</v>
      </c>
      <c r="E40" s="18">
        <v>18618</v>
      </c>
      <c r="F40" t="str">
        <f t="shared" si="0"/>
        <v>Home</v>
      </c>
      <c r="G40" t="str">
        <f t="shared" si="1"/>
        <v>12/2019</v>
      </c>
      <c r="H40">
        <v>12</v>
      </c>
      <c r="I40">
        <v>2019</v>
      </c>
      <c r="J40">
        <f t="shared" si="2"/>
        <v>18618</v>
      </c>
    </row>
    <row r="41" spans="1:10" ht="16" x14ac:dyDescent="0.2">
      <c r="A41" s="14">
        <v>43820</v>
      </c>
      <c r="B41" s="16" t="s">
        <v>92</v>
      </c>
      <c r="C41" s="15" t="s">
        <v>93</v>
      </c>
      <c r="D41" s="17">
        <v>0.14097222222222222</v>
      </c>
      <c r="E41" s="18">
        <v>21202</v>
      </c>
      <c r="F41" t="str">
        <f t="shared" si="0"/>
        <v/>
      </c>
      <c r="G41" t="str">
        <f t="shared" si="1"/>
        <v>12/2019</v>
      </c>
      <c r="H41">
        <v>12</v>
      </c>
      <c r="I41">
        <v>2019</v>
      </c>
      <c r="J41" t="str">
        <f t="shared" si="2"/>
        <v/>
      </c>
    </row>
    <row r="42" spans="1:10" ht="16" x14ac:dyDescent="0.2">
      <c r="A42" s="14">
        <v>44086</v>
      </c>
      <c r="B42" s="16" t="s">
        <v>18</v>
      </c>
      <c r="C42" s="15" t="s">
        <v>94</v>
      </c>
      <c r="D42" s="17">
        <v>0.14722222222222223</v>
      </c>
      <c r="E42" s="15">
        <v>0</v>
      </c>
      <c r="F42" t="str">
        <f t="shared" si="0"/>
        <v>Home</v>
      </c>
      <c r="G42" t="str">
        <f t="shared" si="1"/>
        <v>9/2020</v>
      </c>
      <c r="H42">
        <v>9</v>
      </c>
      <c r="I42">
        <v>2020</v>
      </c>
      <c r="J42">
        <f t="shared" si="2"/>
        <v>0</v>
      </c>
    </row>
    <row r="43" spans="1:10" ht="16" x14ac:dyDescent="0.2">
      <c r="A43" s="14">
        <v>44093</v>
      </c>
      <c r="B43" s="16" t="s">
        <v>95</v>
      </c>
      <c r="C43" s="15" t="s">
        <v>96</v>
      </c>
      <c r="D43" s="17">
        <v>0.13958333333333334</v>
      </c>
      <c r="E43" s="18">
        <v>12050</v>
      </c>
      <c r="F43" t="str">
        <f t="shared" si="0"/>
        <v/>
      </c>
      <c r="G43" t="str">
        <f>TEXT(A42,"M/YYYY")</f>
        <v>9/2020</v>
      </c>
      <c r="H43">
        <v>9</v>
      </c>
      <c r="I43">
        <v>2020</v>
      </c>
      <c r="J43" t="str">
        <f t="shared" si="2"/>
        <v/>
      </c>
    </row>
    <row r="44" spans="1:10" ht="16" x14ac:dyDescent="0.2">
      <c r="A44" s="14">
        <v>44100</v>
      </c>
      <c r="B44" s="15" t="s">
        <v>97</v>
      </c>
      <c r="C44" s="15" t="s">
        <v>98</v>
      </c>
      <c r="D44" s="17">
        <v>0.13958333333333334</v>
      </c>
      <c r="E44" s="15">
        <v>0</v>
      </c>
      <c r="F44" t="str">
        <f t="shared" si="0"/>
        <v>Home</v>
      </c>
      <c r="G44" t="str">
        <f t="shared" si="1"/>
        <v>9/2020</v>
      </c>
      <c r="H44">
        <v>9</v>
      </c>
      <c r="I44">
        <v>2020</v>
      </c>
      <c r="J44">
        <f t="shared" si="2"/>
        <v>0</v>
      </c>
    </row>
    <row r="45" spans="1:10" ht="16" x14ac:dyDescent="0.2">
      <c r="A45" s="14">
        <v>44126</v>
      </c>
      <c r="B45" s="16" t="s">
        <v>99</v>
      </c>
      <c r="C45" s="15" t="s">
        <v>66</v>
      </c>
      <c r="D45" s="17">
        <v>0.14305555555555555</v>
      </c>
      <c r="E45" s="18">
        <v>2100</v>
      </c>
      <c r="F45" t="str">
        <f t="shared" si="0"/>
        <v>Home</v>
      </c>
      <c r="G45" t="str">
        <f t="shared" si="1"/>
        <v>10/2020</v>
      </c>
      <c r="H45">
        <v>10</v>
      </c>
      <c r="I45">
        <v>2020</v>
      </c>
      <c r="J45">
        <f t="shared" si="2"/>
        <v>2100</v>
      </c>
    </row>
    <row r="46" spans="1:10" ht="16" x14ac:dyDescent="0.2">
      <c r="A46" s="14">
        <v>44135</v>
      </c>
      <c r="B46" s="16" t="s">
        <v>39</v>
      </c>
      <c r="C46" s="15" t="s">
        <v>100</v>
      </c>
      <c r="D46" s="17">
        <v>0.12708333333333333</v>
      </c>
      <c r="E46" s="18">
        <v>5493</v>
      </c>
      <c r="F46" t="str">
        <f t="shared" si="0"/>
        <v/>
      </c>
      <c r="G46" t="str">
        <f t="shared" si="1"/>
        <v>10/2020</v>
      </c>
      <c r="H46">
        <v>10</v>
      </c>
      <c r="I46">
        <v>2020</v>
      </c>
      <c r="J46" t="str">
        <f t="shared" si="2"/>
        <v/>
      </c>
    </row>
    <row r="47" spans="1:10" ht="16" x14ac:dyDescent="0.2">
      <c r="A47" s="14">
        <v>44142</v>
      </c>
      <c r="B47" s="16" t="s">
        <v>28</v>
      </c>
      <c r="C47" s="15" t="s">
        <v>101</v>
      </c>
      <c r="D47" s="17">
        <v>0.12916666666666668</v>
      </c>
      <c r="E47" s="18">
        <v>6745</v>
      </c>
      <c r="F47" t="str">
        <f t="shared" si="0"/>
        <v/>
      </c>
      <c r="G47" t="str">
        <f t="shared" si="1"/>
        <v>11/2020</v>
      </c>
      <c r="H47">
        <v>11</v>
      </c>
      <c r="I47">
        <v>2020</v>
      </c>
      <c r="J47" t="str">
        <f t="shared" si="2"/>
        <v/>
      </c>
    </row>
    <row r="48" spans="1:10" ht="16" x14ac:dyDescent="0.2">
      <c r="A48" s="14">
        <v>44149</v>
      </c>
      <c r="B48" s="16" t="s">
        <v>65</v>
      </c>
      <c r="C48" s="15" t="s">
        <v>102</v>
      </c>
      <c r="D48" s="17">
        <v>0.13055555555555556</v>
      </c>
      <c r="E48" s="18">
        <v>2170</v>
      </c>
      <c r="F48" t="str">
        <f t="shared" si="0"/>
        <v>Home</v>
      </c>
      <c r="G48" t="str">
        <f t="shared" si="1"/>
        <v>11/2020</v>
      </c>
      <c r="H48">
        <v>11</v>
      </c>
      <c r="I48">
        <v>2020</v>
      </c>
      <c r="J48">
        <f t="shared" si="2"/>
        <v>2170</v>
      </c>
    </row>
    <row r="49" spans="1:10" ht="16" x14ac:dyDescent="0.2">
      <c r="A49" s="14">
        <v>44156</v>
      </c>
      <c r="B49" s="16" t="s">
        <v>103</v>
      </c>
      <c r="C49" s="15" t="s">
        <v>104</v>
      </c>
      <c r="D49" s="17">
        <v>0.14930555555555555</v>
      </c>
      <c r="E49" s="18">
        <v>5000</v>
      </c>
      <c r="F49" t="str">
        <f t="shared" si="0"/>
        <v/>
      </c>
      <c r="G49" t="str">
        <f t="shared" si="1"/>
        <v>11/2020</v>
      </c>
      <c r="H49">
        <v>11</v>
      </c>
      <c r="I49">
        <v>2020</v>
      </c>
      <c r="J49" t="str">
        <f t="shared" si="2"/>
        <v/>
      </c>
    </row>
    <row r="50" spans="1:10" ht="16" x14ac:dyDescent="0.2">
      <c r="A50" s="14">
        <v>44163</v>
      </c>
      <c r="B50" s="16" t="s">
        <v>67</v>
      </c>
      <c r="C50" s="15" t="s">
        <v>105</v>
      </c>
      <c r="D50" s="17">
        <v>0.12916666666666668</v>
      </c>
      <c r="E50" s="18">
        <v>2170</v>
      </c>
      <c r="F50" t="str">
        <f t="shared" si="0"/>
        <v>Home</v>
      </c>
      <c r="G50" t="str">
        <f t="shared" si="1"/>
        <v>11/2020</v>
      </c>
      <c r="H50">
        <v>11</v>
      </c>
      <c r="I50">
        <v>2020</v>
      </c>
      <c r="J50">
        <f t="shared" si="2"/>
        <v>2170</v>
      </c>
    </row>
    <row r="51" spans="1:10" ht="16" x14ac:dyDescent="0.2">
      <c r="A51" s="14">
        <v>44169</v>
      </c>
      <c r="B51" s="16" t="s">
        <v>106</v>
      </c>
      <c r="C51" s="15" t="s">
        <v>83</v>
      </c>
      <c r="D51" s="17">
        <v>0.14027777777777778</v>
      </c>
      <c r="E51" s="18">
        <v>2170</v>
      </c>
      <c r="F51" t="str">
        <f t="shared" si="0"/>
        <v>Home</v>
      </c>
      <c r="G51" t="str">
        <f t="shared" si="1"/>
        <v>12/2020</v>
      </c>
      <c r="H51">
        <v>12</v>
      </c>
      <c r="I51">
        <v>2020</v>
      </c>
      <c r="J51">
        <f t="shared" si="2"/>
        <v>2170</v>
      </c>
    </row>
    <row r="52" spans="1:10" ht="16" x14ac:dyDescent="0.2">
      <c r="A52" s="14">
        <v>44177</v>
      </c>
      <c r="B52" s="16" t="s">
        <v>60</v>
      </c>
      <c r="C52" s="15" t="s">
        <v>107</v>
      </c>
      <c r="D52" s="17">
        <v>0.13680555555555557</v>
      </c>
      <c r="E52" s="18">
        <v>6228</v>
      </c>
      <c r="F52" t="str">
        <f t="shared" si="0"/>
        <v/>
      </c>
      <c r="G52" t="str">
        <f t="shared" si="1"/>
        <v>12/2020</v>
      </c>
      <c r="H52">
        <v>12</v>
      </c>
      <c r="I52">
        <v>2020</v>
      </c>
      <c r="J52" t="str">
        <f t="shared" si="2"/>
        <v/>
      </c>
    </row>
    <row r="53" spans="1:10" ht="16" x14ac:dyDescent="0.2">
      <c r="A53" s="14">
        <v>44186</v>
      </c>
      <c r="B53" s="16" t="s">
        <v>108</v>
      </c>
      <c r="C53" s="15" t="s">
        <v>109</v>
      </c>
      <c r="D53" s="17">
        <v>0.15208333333333332</v>
      </c>
      <c r="E53" s="18">
        <v>5000</v>
      </c>
      <c r="F53" t="str">
        <f t="shared" si="0"/>
        <v/>
      </c>
      <c r="G53" t="str">
        <f t="shared" si="1"/>
        <v>12/2020</v>
      </c>
      <c r="H53">
        <v>12</v>
      </c>
      <c r="I53">
        <v>2020</v>
      </c>
      <c r="J53" t="str">
        <f t="shared" si="2"/>
        <v/>
      </c>
    </row>
    <row r="54" spans="1:10" x14ac:dyDescent="0.2">
      <c r="A54" s="4"/>
      <c r="B54" s="8"/>
      <c r="C54" s="5"/>
      <c r="D54" s="6"/>
      <c r="E54" s="7"/>
      <c r="F54" t="str">
        <f t="shared" si="0"/>
        <v>Home</v>
      </c>
      <c r="G54" t="str">
        <f t="shared" si="1"/>
        <v>1/1900</v>
      </c>
      <c r="H54">
        <v>1</v>
      </c>
      <c r="I54">
        <v>1900</v>
      </c>
      <c r="J54">
        <f t="shared" si="2"/>
        <v>0</v>
      </c>
    </row>
    <row r="55" spans="1:10" x14ac:dyDescent="0.2">
      <c r="A55" s="4"/>
      <c r="B55" s="8"/>
      <c r="C55" s="5"/>
      <c r="D55" s="6"/>
      <c r="E55" s="7"/>
      <c r="F55" t="str">
        <f t="shared" si="0"/>
        <v>Home</v>
      </c>
      <c r="G55" t="str">
        <f t="shared" si="1"/>
        <v>1/1900</v>
      </c>
      <c r="H55">
        <v>1</v>
      </c>
      <c r="I55">
        <v>1900</v>
      </c>
      <c r="J55">
        <f t="shared" si="2"/>
        <v>0</v>
      </c>
    </row>
    <row r="56" spans="1:10" x14ac:dyDescent="0.2">
      <c r="A56" s="4"/>
      <c r="B56" s="8"/>
      <c r="C56" s="5"/>
      <c r="D56" s="6"/>
      <c r="E56" s="7"/>
      <c r="F56" t="str">
        <f t="shared" si="0"/>
        <v>Home</v>
      </c>
      <c r="G56" t="str">
        <f t="shared" si="1"/>
        <v>1/1900</v>
      </c>
      <c r="H56">
        <v>1</v>
      </c>
      <c r="I56">
        <v>1900</v>
      </c>
      <c r="J56">
        <f t="shared" si="2"/>
        <v>0</v>
      </c>
    </row>
    <row r="57" spans="1:10" x14ac:dyDescent="0.2">
      <c r="A57" s="9"/>
      <c r="B57" s="10"/>
      <c r="C57" s="11"/>
      <c r="D57" s="12"/>
      <c r="E57" s="11"/>
      <c r="F57" t="str">
        <f t="shared" si="0"/>
        <v>Home</v>
      </c>
      <c r="G57" t="str">
        <f t="shared" si="1"/>
        <v>1/1900</v>
      </c>
      <c r="H57">
        <v>1</v>
      </c>
      <c r="I57">
        <v>1900</v>
      </c>
      <c r="J57">
        <f t="shared" si="2"/>
        <v>0</v>
      </c>
    </row>
    <row r="58" spans="1:10" x14ac:dyDescent="0.2">
      <c r="A58" s="9"/>
      <c r="B58" s="10"/>
      <c r="C58" s="11"/>
      <c r="D58" s="12"/>
      <c r="E58" s="11"/>
      <c r="F58" t="str">
        <f t="shared" si="0"/>
        <v>Home</v>
      </c>
      <c r="G58" t="str">
        <f t="shared" si="1"/>
        <v>1/1900</v>
      </c>
      <c r="H58">
        <v>1</v>
      </c>
      <c r="I58">
        <v>1900</v>
      </c>
      <c r="J58">
        <f t="shared" si="2"/>
        <v>0</v>
      </c>
    </row>
    <row r="59" spans="1:10" x14ac:dyDescent="0.2">
      <c r="A59" s="9"/>
      <c r="B59" s="10"/>
      <c r="C59" s="11"/>
      <c r="D59" s="12"/>
      <c r="E59" s="11"/>
      <c r="F59" t="str">
        <f t="shared" si="0"/>
        <v>Home</v>
      </c>
      <c r="G59" t="str">
        <f t="shared" si="1"/>
        <v>1/1900</v>
      </c>
      <c r="H59">
        <v>1</v>
      </c>
      <c r="I59">
        <v>1900</v>
      </c>
      <c r="J59">
        <f t="shared" si="2"/>
        <v>0</v>
      </c>
    </row>
    <row r="60" spans="1:10" x14ac:dyDescent="0.2">
      <c r="A60" s="9"/>
      <c r="B60" s="10"/>
      <c r="C60" s="11"/>
      <c r="D60" s="12"/>
      <c r="E60" s="11"/>
      <c r="F60" t="str">
        <f t="shared" si="0"/>
        <v>Home</v>
      </c>
      <c r="G60" t="str">
        <f t="shared" si="1"/>
        <v>1/1900</v>
      </c>
      <c r="H60">
        <v>1</v>
      </c>
      <c r="I60">
        <v>1900</v>
      </c>
      <c r="J60">
        <f t="shared" si="2"/>
        <v>0</v>
      </c>
    </row>
    <row r="61" spans="1:10" x14ac:dyDescent="0.2">
      <c r="A61" s="9"/>
      <c r="B61" s="10"/>
      <c r="C61" s="11"/>
      <c r="D61" s="12"/>
      <c r="E61" s="11"/>
      <c r="F61" t="str">
        <f t="shared" si="0"/>
        <v>Home</v>
      </c>
      <c r="G61" t="str">
        <f t="shared" si="1"/>
        <v>1/1900</v>
      </c>
      <c r="H61">
        <v>1</v>
      </c>
      <c r="I61">
        <v>1900</v>
      </c>
      <c r="J61">
        <f t="shared" si="2"/>
        <v>0</v>
      </c>
    </row>
    <row r="62" spans="1:10" x14ac:dyDescent="0.2">
      <c r="A62" s="4"/>
      <c r="B62" s="5"/>
      <c r="C62" s="5"/>
      <c r="D62" s="6"/>
      <c r="E62" s="7"/>
      <c r="F62" t="str">
        <f t="shared" si="0"/>
        <v>Home</v>
      </c>
      <c r="G62" t="str">
        <f t="shared" si="1"/>
        <v>1/1900</v>
      </c>
      <c r="H62">
        <v>1</v>
      </c>
      <c r="I62">
        <v>1900</v>
      </c>
      <c r="J62">
        <f t="shared" si="2"/>
        <v>0</v>
      </c>
    </row>
    <row r="63" spans="1:10" x14ac:dyDescent="0.2">
      <c r="A63" s="4"/>
      <c r="B63" s="8"/>
      <c r="C63" s="5"/>
      <c r="D63" s="6"/>
      <c r="E63" s="7"/>
      <c r="F63" t="str">
        <f t="shared" si="0"/>
        <v>Home</v>
      </c>
      <c r="G63" t="str">
        <f t="shared" si="1"/>
        <v>1/1900</v>
      </c>
      <c r="H63">
        <v>1</v>
      </c>
      <c r="I63">
        <v>1900</v>
      </c>
      <c r="J63">
        <f t="shared" si="2"/>
        <v>0</v>
      </c>
    </row>
    <row r="64" spans="1:10" x14ac:dyDescent="0.2">
      <c r="A64" s="4"/>
      <c r="B64" s="8"/>
      <c r="C64" s="5"/>
      <c r="D64" s="6"/>
      <c r="E64" s="7"/>
      <c r="F64" t="str">
        <f t="shared" si="0"/>
        <v>Home</v>
      </c>
      <c r="G64" t="str">
        <f t="shared" si="1"/>
        <v>1/1900</v>
      </c>
      <c r="H64">
        <v>1</v>
      </c>
      <c r="I64">
        <v>1900</v>
      </c>
      <c r="J64">
        <f t="shared" si="2"/>
        <v>0</v>
      </c>
    </row>
    <row r="65" spans="1:10" x14ac:dyDescent="0.2">
      <c r="A65" s="4"/>
      <c r="B65" s="8"/>
      <c r="C65" s="5"/>
      <c r="D65" s="6"/>
      <c r="E65" s="7"/>
      <c r="F65" t="str">
        <f t="shared" si="0"/>
        <v>Home</v>
      </c>
      <c r="G65" t="str">
        <f t="shared" si="1"/>
        <v>1/1900</v>
      </c>
      <c r="H65">
        <v>1</v>
      </c>
      <c r="I65">
        <v>1900</v>
      </c>
      <c r="J65">
        <f t="shared" si="2"/>
        <v>0</v>
      </c>
    </row>
    <row r="66" spans="1:10" x14ac:dyDescent="0.2">
      <c r="A66" s="4"/>
      <c r="B66" s="8"/>
      <c r="C66" s="5"/>
      <c r="D66" s="6"/>
      <c r="E66" s="7"/>
      <c r="F66" t="str">
        <f t="shared" ref="F66:F102" si="3">IF(MID(B66,1,1)="@","",IF(MID(B66,1,1)="+","","Home"))</f>
        <v>Home</v>
      </c>
      <c r="G66" t="str">
        <f t="shared" ref="G66:G102" si="4">TEXT(A66,"M/YYYY")</f>
        <v>1/1900</v>
      </c>
      <c r="H66">
        <v>1</v>
      </c>
      <c r="I66">
        <v>1900</v>
      </c>
      <c r="J66">
        <f t="shared" ref="J66:J102" si="5">IF(MID(B66,1,1)="@","",IF(MID(B66,1,1)="+","",E66))</f>
        <v>0</v>
      </c>
    </row>
    <row r="67" spans="1:10" x14ac:dyDescent="0.2">
      <c r="A67" s="4"/>
      <c r="B67" s="8"/>
      <c r="C67" s="5"/>
      <c r="D67" s="6"/>
      <c r="E67" s="7"/>
      <c r="F67" t="str">
        <f t="shared" si="3"/>
        <v>Home</v>
      </c>
      <c r="G67" t="str">
        <f t="shared" si="4"/>
        <v>1/1900</v>
      </c>
      <c r="H67">
        <v>1</v>
      </c>
      <c r="I67">
        <v>1900</v>
      </c>
      <c r="J67">
        <f t="shared" si="5"/>
        <v>0</v>
      </c>
    </row>
    <row r="68" spans="1:10" x14ac:dyDescent="0.2">
      <c r="A68" s="4"/>
      <c r="B68" s="8"/>
      <c r="C68" s="5"/>
      <c r="D68" s="6"/>
      <c r="E68" s="7"/>
      <c r="F68" t="str">
        <f t="shared" si="3"/>
        <v>Home</v>
      </c>
      <c r="G68" t="str">
        <f t="shared" si="4"/>
        <v>1/1900</v>
      </c>
      <c r="H68">
        <v>1</v>
      </c>
      <c r="I68">
        <v>1900</v>
      </c>
      <c r="J68">
        <f t="shared" si="5"/>
        <v>0</v>
      </c>
    </row>
    <row r="69" spans="1:10" x14ac:dyDescent="0.2">
      <c r="A69" s="4"/>
      <c r="B69" s="8"/>
      <c r="C69" s="5"/>
      <c r="D69" s="6"/>
      <c r="E69" s="7"/>
      <c r="F69" t="str">
        <f t="shared" si="3"/>
        <v>Home</v>
      </c>
      <c r="G69" t="str">
        <f t="shared" si="4"/>
        <v>1/1900</v>
      </c>
      <c r="H69">
        <v>1</v>
      </c>
      <c r="I69">
        <v>1900</v>
      </c>
      <c r="J69">
        <f t="shared" si="5"/>
        <v>0</v>
      </c>
    </row>
    <row r="70" spans="1:10" x14ac:dyDescent="0.2">
      <c r="A70" s="4"/>
      <c r="B70" s="8"/>
      <c r="C70" s="5"/>
      <c r="D70" s="6"/>
      <c r="E70" s="7"/>
      <c r="F70" t="str">
        <f t="shared" si="3"/>
        <v>Home</v>
      </c>
      <c r="G70" t="str">
        <f t="shared" si="4"/>
        <v>1/1900</v>
      </c>
      <c r="H70">
        <v>1</v>
      </c>
      <c r="I70">
        <v>1900</v>
      </c>
      <c r="J70">
        <f t="shared" si="5"/>
        <v>0</v>
      </c>
    </row>
    <row r="71" spans="1:10" x14ac:dyDescent="0.2">
      <c r="A71" s="4"/>
      <c r="B71" s="8"/>
      <c r="C71" s="5"/>
      <c r="D71" s="6"/>
      <c r="E71" s="7"/>
      <c r="F71" t="str">
        <f t="shared" si="3"/>
        <v>Home</v>
      </c>
      <c r="G71" t="str">
        <f t="shared" si="4"/>
        <v>1/1900</v>
      </c>
      <c r="H71">
        <v>1</v>
      </c>
      <c r="I71">
        <v>1900</v>
      </c>
      <c r="J71">
        <f t="shared" si="5"/>
        <v>0</v>
      </c>
    </row>
    <row r="72" spans="1:10" x14ac:dyDescent="0.2">
      <c r="A72" s="4"/>
      <c r="B72" s="8"/>
      <c r="C72" s="5"/>
      <c r="D72" s="6"/>
      <c r="E72" s="7"/>
      <c r="F72" t="str">
        <f t="shared" si="3"/>
        <v>Home</v>
      </c>
      <c r="G72" t="str">
        <f t="shared" si="4"/>
        <v>1/1900</v>
      </c>
      <c r="H72">
        <v>1</v>
      </c>
      <c r="I72">
        <v>1900</v>
      </c>
      <c r="J72">
        <f t="shared" si="5"/>
        <v>0</v>
      </c>
    </row>
    <row r="73" spans="1:10" x14ac:dyDescent="0.2">
      <c r="A73" s="4"/>
      <c r="B73" s="8"/>
      <c r="C73" s="5"/>
      <c r="D73" s="6"/>
      <c r="E73" s="7"/>
      <c r="F73" t="str">
        <f t="shared" si="3"/>
        <v>Home</v>
      </c>
      <c r="G73" t="str">
        <f t="shared" si="4"/>
        <v>1/1900</v>
      </c>
      <c r="H73">
        <v>1</v>
      </c>
      <c r="I73">
        <v>1900</v>
      </c>
      <c r="J73">
        <f t="shared" si="5"/>
        <v>0</v>
      </c>
    </row>
    <row r="74" spans="1:10" x14ac:dyDescent="0.2">
      <c r="A74" s="4"/>
      <c r="B74" s="8"/>
      <c r="C74" s="5"/>
      <c r="D74" s="6"/>
      <c r="E74" s="7"/>
      <c r="F74" t="str">
        <f t="shared" si="3"/>
        <v>Home</v>
      </c>
      <c r="G74" t="str">
        <f t="shared" si="4"/>
        <v>1/1900</v>
      </c>
      <c r="H74">
        <v>1</v>
      </c>
      <c r="I74">
        <v>1900</v>
      </c>
      <c r="J74">
        <f t="shared" si="5"/>
        <v>0</v>
      </c>
    </row>
    <row r="75" spans="1:10" x14ac:dyDescent="0.2">
      <c r="A75" s="4"/>
      <c r="B75" s="8"/>
      <c r="C75" s="5"/>
      <c r="D75" s="6"/>
      <c r="E75" s="7"/>
      <c r="F75" t="str">
        <f t="shared" si="3"/>
        <v>Home</v>
      </c>
      <c r="G75" t="str">
        <f t="shared" si="4"/>
        <v>1/1900</v>
      </c>
      <c r="H75">
        <v>1</v>
      </c>
      <c r="I75">
        <v>1900</v>
      </c>
      <c r="J75">
        <f t="shared" si="5"/>
        <v>0</v>
      </c>
    </row>
    <row r="76" spans="1:10" x14ac:dyDescent="0.2">
      <c r="A76" s="4"/>
      <c r="B76" s="8"/>
      <c r="C76" s="5"/>
      <c r="D76" s="6"/>
      <c r="E76" s="7"/>
      <c r="F76" t="str">
        <f t="shared" si="3"/>
        <v>Home</v>
      </c>
      <c r="G76" t="str">
        <f t="shared" si="4"/>
        <v>1/1900</v>
      </c>
      <c r="H76">
        <v>1</v>
      </c>
      <c r="I76">
        <v>1900</v>
      </c>
      <c r="J76">
        <f t="shared" si="5"/>
        <v>0</v>
      </c>
    </row>
    <row r="77" spans="1:10" x14ac:dyDescent="0.2">
      <c r="A77" s="4"/>
      <c r="B77" s="5"/>
      <c r="C77" s="5"/>
      <c r="D77" s="6"/>
      <c r="E77" s="7"/>
      <c r="F77" t="str">
        <f t="shared" si="3"/>
        <v>Home</v>
      </c>
      <c r="G77" t="str">
        <f t="shared" si="4"/>
        <v>1/1900</v>
      </c>
      <c r="H77">
        <v>1</v>
      </c>
      <c r="I77">
        <v>1900</v>
      </c>
      <c r="J77">
        <f t="shared" si="5"/>
        <v>0</v>
      </c>
    </row>
    <row r="78" spans="1:10" x14ac:dyDescent="0.2">
      <c r="A78" s="4"/>
      <c r="B78" s="8"/>
      <c r="C78" s="5"/>
      <c r="D78" s="6"/>
      <c r="E78" s="7"/>
      <c r="F78" t="str">
        <f t="shared" si="3"/>
        <v>Home</v>
      </c>
      <c r="G78" t="str">
        <f t="shared" si="4"/>
        <v>1/1900</v>
      </c>
      <c r="H78">
        <v>1</v>
      </c>
      <c r="I78">
        <v>1900</v>
      </c>
      <c r="J78">
        <f t="shared" si="5"/>
        <v>0</v>
      </c>
    </row>
    <row r="79" spans="1:10" x14ac:dyDescent="0.2">
      <c r="A79" s="4"/>
      <c r="B79" s="8"/>
      <c r="C79" s="5"/>
      <c r="D79" s="6"/>
      <c r="E79" s="7"/>
      <c r="F79" t="str">
        <f t="shared" si="3"/>
        <v>Home</v>
      </c>
      <c r="G79" t="str">
        <f t="shared" si="4"/>
        <v>1/1900</v>
      </c>
      <c r="H79">
        <v>1</v>
      </c>
      <c r="I79">
        <v>1900</v>
      </c>
      <c r="J79">
        <f t="shared" si="5"/>
        <v>0</v>
      </c>
    </row>
    <row r="80" spans="1:10" x14ac:dyDescent="0.2">
      <c r="A80" s="4"/>
      <c r="B80" s="8"/>
      <c r="C80" s="5"/>
      <c r="D80" s="6"/>
      <c r="E80" s="7"/>
      <c r="F80" t="str">
        <f t="shared" si="3"/>
        <v>Home</v>
      </c>
      <c r="G80" t="str">
        <f t="shared" si="4"/>
        <v>1/1900</v>
      </c>
      <c r="H80">
        <v>1</v>
      </c>
      <c r="I80">
        <v>1900</v>
      </c>
      <c r="J80">
        <f t="shared" si="5"/>
        <v>0</v>
      </c>
    </row>
    <row r="81" spans="1:10" x14ac:dyDescent="0.2">
      <c r="A81" s="4"/>
      <c r="B81" s="8"/>
      <c r="C81" s="5"/>
      <c r="D81" s="6"/>
      <c r="E81" s="7"/>
      <c r="F81" t="str">
        <f t="shared" si="3"/>
        <v>Home</v>
      </c>
      <c r="G81" t="str">
        <f t="shared" si="4"/>
        <v>1/1900</v>
      </c>
      <c r="H81">
        <v>1</v>
      </c>
      <c r="I81">
        <v>1900</v>
      </c>
      <c r="J81">
        <f t="shared" si="5"/>
        <v>0</v>
      </c>
    </row>
    <row r="82" spans="1:10" x14ac:dyDescent="0.2">
      <c r="A82" s="4"/>
      <c r="B82" s="8"/>
      <c r="C82" s="5"/>
      <c r="D82" s="6"/>
      <c r="E82" s="7"/>
      <c r="F82" t="str">
        <f t="shared" si="3"/>
        <v>Home</v>
      </c>
      <c r="G82" t="str">
        <f t="shared" si="4"/>
        <v>1/1900</v>
      </c>
      <c r="H82">
        <v>1</v>
      </c>
      <c r="I82">
        <v>1900</v>
      </c>
      <c r="J82">
        <f t="shared" si="5"/>
        <v>0</v>
      </c>
    </row>
    <row r="83" spans="1:10" x14ac:dyDescent="0.2">
      <c r="A83" s="4"/>
      <c r="B83" s="8"/>
      <c r="C83" s="5"/>
      <c r="D83" s="6"/>
      <c r="E83" s="7"/>
      <c r="F83" t="str">
        <f t="shared" si="3"/>
        <v>Home</v>
      </c>
      <c r="G83" t="str">
        <f t="shared" si="4"/>
        <v>1/1900</v>
      </c>
      <c r="H83">
        <v>1</v>
      </c>
      <c r="I83">
        <v>1900</v>
      </c>
      <c r="J83">
        <f t="shared" si="5"/>
        <v>0</v>
      </c>
    </row>
    <row r="84" spans="1:10" x14ac:dyDescent="0.2">
      <c r="A84" s="4"/>
      <c r="B84" s="8"/>
      <c r="C84" s="5"/>
      <c r="D84" s="6"/>
      <c r="E84" s="7"/>
      <c r="F84" t="str">
        <f t="shared" si="3"/>
        <v>Home</v>
      </c>
      <c r="G84" t="str">
        <f t="shared" si="4"/>
        <v>1/1900</v>
      </c>
      <c r="H84">
        <v>1</v>
      </c>
      <c r="I84">
        <v>1900</v>
      </c>
      <c r="J84">
        <f t="shared" si="5"/>
        <v>0</v>
      </c>
    </row>
    <row r="85" spans="1:10" x14ac:dyDescent="0.2">
      <c r="A85" s="4"/>
      <c r="B85" s="8"/>
      <c r="C85" s="5"/>
      <c r="D85" s="6"/>
      <c r="E85" s="7"/>
      <c r="F85" t="str">
        <f t="shared" si="3"/>
        <v>Home</v>
      </c>
      <c r="G85" t="str">
        <f t="shared" si="4"/>
        <v>1/1900</v>
      </c>
      <c r="H85">
        <v>1</v>
      </c>
      <c r="I85">
        <v>1900</v>
      </c>
      <c r="J85">
        <f t="shared" si="5"/>
        <v>0</v>
      </c>
    </row>
    <row r="86" spans="1:10" x14ac:dyDescent="0.2">
      <c r="A86" s="4"/>
      <c r="B86" s="8"/>
      <c r="C86" s="5"/>
      <c r="D86" s="6"/>
      <c r="E86" s="7"/>
      <c r="F86" t="str">
        <f t="shared" si="3"/>
        <v>Home</v>
      </c>
      <c r="G86" t="str">
        <f t="shared" si="4"/>
        <v>1/1900</v>
      </c>
      <c r="H86">
        <v>1</v>
      </c>
      <c r="I86">
        <v>1900</v>
      </c>
      <c r="J86">
        <f t="shared" si="5"/>
        <v>0</v>
      </c>
    </row>
    <row r="87" spans="1:10" x14ac:dyDescent="0.2">
      <c r="A87" s="4"/>
      <c r="B87" s="8"/>
      <c r="C87" s="5"/>
      <c r="D87" s="6"/>
      <c r="E87" s="7"/>
      <c r="F87" t="str">
        <f t="shared" si="3"/>
        <v>Home</v>
      </c>
      <c r="G87" t="str">
        <f t="shared" si="4"/>
        <v>1/1900</v>
      </c>
      <c r="H87">
        <v>1</v>
      </c>
      <c r="I87">
        <v>1900</v>
      </c>
      <c r="J87">
        <f t="shared" si="5"/>
        <v>0</v>
      </c>
    </row>
    <row r="88" spans="1:10" x14ac:dyDescent="0.2">
      <c r="A88" s="4"/>
      <c r="B88" s="8"/>
      <c r="C88" s="5"/>
      <c r="D88" s="6"/>
      <c r="E88" s="7"/>
      <c r="F88" t="str">
        <f t="shared" si="3"/>
        <v>Home</v>
      </c>
      <c r="G88" t="str">
        <f t="shared" si="4"/>
        <v>1/1900</v>
      </c>
      <c r="H88">
        <v>1</v>
      </c>
      <c r="I88">
        <v>1900</v>
      </c>
      <c r="J88">
        <f t="shared" si="5"/>
        <v>0</v>
      </c>
    </row>
    <row r="89" spans="1:10" x14ac:dyDescent="0.2">
      <c r="A89" s="4"/>
      <c r="B89" s="8"/>
      <c r="C89" s="5"/>
      <c r="D89" s="6"/>
      <c r="E89" s="7"/>
      <c r="F89" t="str">
        <f t="shared" si="3"/>
        <v>Home</v>
      </c>
      <c r="G89" t="str">
        <f t="shared" si="4"/>
        <v>1/1900</v>
      </c>
      <c r="H89">
        <v>1</v>
      </c>
      <c r="I89">
        <v>1900</v>
      </c>
      <c r="J89">
        <f t="shared" si="5"/>
        <v>0</v>
      </c>
    </row>
    <row r="90" spans="1:10" x14ac:dyDescent="0.2">
      <c r="A90" s="4"/>
      <c r="B90" s="8"/>
      <c r="C90" s="5"/>
      <c r="D90" s="6"/>
      <c r="E90" s="7"/>
      <c r="F90" t="str">
        <f t="shared" si="3"/>
        <v>Home</v>
      </c>
      <c r="G90" t="str">
        <f t="shared" si="4"/>
        <v>1/1900</v>
      </c>
      <c r="H90">
        <v>1</v>
      </c>
      <c r="I90">
        <v>1900</v>
      </c>
      <c r="J90">
        <f t="shared" si="5"/>
        <v>0</v>
      </c>
    </row>
    <row r="91" spans="1:10" x14ac:dyDescent="0.2">
      <c r="A91" s="4"/>
      <c r="B91" s="8"/>
      <c r="C91" s="5"/>
      <c r="D91" s="6"/>
      <c r="E91" s="7"/>
      <c r="F91" t="str">
        <f t="shared" si="3"/>
        <v>Home</v>
      </c>
      <c r="G91" t="str">
        <f t="shared" si="4"/>
        <v>1/1900</v>
      </c>
      <c r="H91">
        <v>1</v>
      </c>
      <c r="I91">
        <v>1900</v>
      </c>
      <c r="J91">
        <f t="shared" si="5"/>
        <v>0</v>
      </c>
    </row>
    <row r="92" spans="1:10" x14ac:dyDescent="0.2">
      <c r="A92" s="4"/>
      <c r="B92" s="5"/>
      <c r="C92" s="5"/>
      <c r="D92" s="6"/>
      <c r="E92" s="7"/>
      <c r="F92" t="str">
        <f t="shared" si="3"/>
        <v>Home</v>
      </c>
      <c r="G92" t="str">
        <f t="shared" si="4"/>
        <v>1/1900</v>
      </c>
      <c r="H92">
        <v>1</v>
      </c>
      <c r="I92">
        <v>1900</v>
      </c>
      <c r="J92">
        <f t="shared" si="5"/>
        <v>0</v>
      </c>
    </row>
    <row r="93" spans="1:10" x14ac:dyDescent="0.2">
      <c r="A93" s="4"/>
      <c r="B93" s="8"/>
      <c r="C93" s="5"/>
      <c r="D93" s="6"/>
      <c r="E93" s="7"/>
      <c r="F93" t="str">
        <f t="shared" si="3"/>
        <v>Home</v>
      </c>
      <c r="G93" t="str">
        <f t="shared" si="4"/>
        <v>1/1900</v>
      </c>
      <c r="H93">
        <v>1</v>
      </c>
      <c r="I93">
        <v>1900</v>
      </c>
      <c r="J93">
        <f t="shared" si="5"/>
        <v>0</v>
      </c>
    </row>
    <row r="94" spans="1:10" x14ac:dyDescent="0.2">
      <c r="A94" s="4"/>
      <c r="B94" s="8"/>
      <c r="C94" s="5"/>
      <c r="D94" s="6"/>
      <c r="E94" s="7"/>
      <c r="F94" t="str">
        <f t="shared" si="3"/>
        <v>Home</v>
      </c>
      <c r="G94" t="str">
        <f t="shared" si="4"/>
        <v>1/1900</v>
      </c>
      <c r="H94">
        <v>1</v>
      </c>
      <c r="I94">
        <v>1900</v>
      </c>
      <c r="J94">
        <f t="shared" si="5"/>
        <v>0</v>
      </c>
    </row>
    <row r="95" spans="1:10" x14ac:dyDescent="0.2">
      <c r="A95" s="4"/>
      <c r="B95" s="8"/>
      <c r="C95" s="5"/>
      <c r="D95" s="6"/>
      <c r="E95" s="7"/>
      <c r="F95" t="str">
        <f t="shared" si="3"/>
        <v>Home</v>
      </c>
      <c r="G95" t="str">
        <f t="shared" si="4"/>
        <v>1/1900</v>
      </c>
      <c r="H95">
        <v>1</v>
      </c>
      <c r="I95">
        <v>1900</v>
      </c>
      <c r="J95">
        <f t="shared" si="5"/>
        <v>0</v>
      </c>
    </row>
    <row r="96" spans="1:10" x14ac:dyDescent="0.2">
      <c r="A96" s="4"/>
      <c r="B96" s="8"/>
      <c r="C96" s="5"/>
      <c r="D96" s="6"/>
      <c r="E96" s="7"/>
      <c r="F96" t="str">
        <f t="shared" si="3"/>
        <v>Home</v>
      </c>
      <c r="G96" t="str">
        <f t="shared" si="4"/>
        <v>1/1900</v>
      </c>
      <c r="H96">
        <v>1</v>
      </c>
      <c r="I96">
        <v>1900</v>
      </c>
      <c r="J96">
        <f t="shared" si="5"/>
        <v>0</v>
      </c>
    </row>
    <row r="97" spans="1:10" x14ac:dyDescent="0.2">
      <c r="A97" s="4"/>
      <c r="B97" s="8"/>
      <c r="C97" s="5"/>
      <c r="D97" s="6"/>
      <c r="E97" s="7"/>
      <c r="F97" t="str">
        <f t="shared" si="3"/>
        <v>Home</v>
      </c>
      <c r="G97" t="str">
        <f t="shared" si="4"/>
        <v>1/1900</v>
      </c>
      <c r="H97">
        <v>1</v>
      </c>
      <c r="I97">
        <v>1900</v>
      </c>
      <c r="J97">
        <f t="shared" si="5"/>
        <v>0</v>
      </c>
    </row>
    <row r="98" spans="1:10" x14ac:dyDescent="0.2">
      <c r="A98" s="4"/>
      <c r="B98" s="8"/>
      <c r="C98" s="5"/>
      <c r="D98" s="6"/>
      <c r="E98" s="7"/>
      <c r="F98" t="str">
        <f t="shared" si="3"/>
        <v>Home</v>
      </c>
      <c r="G98" t="str">
        <f t="shared" si="4"/>
        <v>1/1900</v>
      </c>
      <c r="H98">
        <v>1</v>
      </c>
      <c r="I98">
        <v>1900</v>
      </c>
      <c r="J98">
        <f t="shared" si="5"/>
        <v>0</v>
      </c>
    </row>
    <row r="99" spans="1:10" x14ac:dyDescent="0.2">
      <c r="A99" s="4"/>
      <c r="B99" s="8"/>
      <c r="C99" s="5"/>
      <c r="D99" s="6"/>
      <c r="E99" s="7"/>
      <c r="F99" t="str">
        <f t="shared" si="3"/>
        <v>Home</v>
      </c>
      <c r="G99" t="str">
        <f t="shared" si="4"/>
        <v>1/1900</v>
      </c>
      <c r="H99">
        <v>1</v>
      </c>
      <c r="I99">
        <v>1900</v>
      </c>
      <c r="J99">
        <f t="shared" si="5"/>
        <v>0</v>
      </c>
    </row>
    <row r="100" spans="1:10" x14ac:dyDescent="0.2">
      <c r="A100" s="4"/>
      <c r="B100" s="8"/>
      <c r="C100" s="5"/>
      <c r="D100" s="6"/>
      <c r="E100" s="7"/>
      <c r="F100" t="str">
        <f t="shared" si="3"/>
        <v>Home</v>
      </c>
      <c r="G100" t="str">
        <f t="shared" si="4"/>
        <v>1/1900</v>
      </c>
      <c r="H100">
        <v>1</v>
      </c>
      <c r="I100">
        <v>1900</v>
      </c>
      <c r="J100">
        <f t="shared" si="5"/>
        <v>0</v>
      </c>
    </row>
    <row r="101" spans="1:10" x14ac:dyDescent="0.2">
      <c r="A101" s="4"/>
      <c r="B101" s="8"/>
      <c r="C101" s="5"/>
      <c r="D101" s="6"/>
      <c r="E101" s="7"/>
      <c r="F101" t="str">
        <f t="shared" si="3"/>
        <v>Home</v>
      </c>
      <c r="G101" t="str">
        <f t="shared" si="4"/>
        <v>1/1900</v>
      </c>
      <c r="H101">
        <v>1</v>
      </c>
      <c r="I101">
        <v>1900</v>
      </c>
      <c r="J101">
        <f t="shared" si="5"/>
        <v>0</v>
      </c>
    </row>
    <row r="102" spans="1:10" x14ac:dyDescent="0.2">
      <c r="A102" s="4"/>
      <c r="B102" s="8"/>
      <c r="C102" s="5"/>
      <c r="D102" s="6"/>
      <c r="E102" s="7"/>
      <c r="F102" t="str">
        <f t="shared" si="3"/>
        <v>Home</v>
      </c>
      <c r="G102" t="str">
        <f t="shared" si="4"/>
        <v>1/1900</v>
      </c>
      <c r="H102">
        <v>1</v>
      </c>
      <c r="I102">
        <v>1900</v>
      </c>
      <c r="J102">
        <f t="shared" si="5"/>
        <v>0</v>
      </c>
    </row>
  </sheetData>
  <hyperlinks>
    <hyperlink ref="B2" r:id="rId1" display="https://cfbstats.com/2017/team/257/index.html" xr:uid="{480D6E11-998D-504E-908C-20D2778A7CE3}"/>
    <hyperlink ref="B4" r:id="rId2" display="https://cfbstats.com/2017/team/670/index.html" xr:uid="{94889B63-7CB2-484A-B241-B29EDC178B7C}"/>
    <hyperlink ref="B5" r:id="rId3" display="https://cfbstats.com/2017/team/749/index.html" xr:uid="{F646702C-B9F6-3B49-83D3-0FC4D30705D2}"/>
    <hyperlink ref="B6" r:id="rId4" display="https://cfbstats.com/2017/team/472/index.html" xr:uid="{972581E9-F320-5140-80D3-A65D1117B368}"/>
    <hyperlink ref="B7" r:id="rId5" display="https://cfbstats.com/2017/team/295/index.html" xr:uid="{93453205-8405-7B47-8A8F-5E322FFDC870}"/>
    <hyperlink ref="B8" r:id="rId6" display="https://cfbstats.com/2017/team/149/index.html" xr:uid="{3561A80F-CD57-0746-982F-D771CD45A191}"/>
    <hyperlink ref="B9" r:id="rId7" display="https://cfbstats.com/2017/team/400/index.html" xr:uid="{BF5F2575-85A6-C446-9696-C00C1FECD824}"/>
    <hyperlink ref="B10" r:id="rId8" display="https://cfbstats.com/2017/team/498/index.html" xr:uid="{72AF515F-0091-3248-A2C9-E8C7BB21B4BE}"/>
    <hyperlink ref="B11" r:id="rId9" display="https://cfbstats.com/2017/team/253/index.html" xr:uid="{2AFA594A-8667-DE40-BFC8-B056B35E04E8}"/>
    <hyperlink ref="B12" r:id="rId10" display="https://cfbstats.com/2017/team/254/index.html" xr:uid="{6D98E253-7E67-5D4F-B24D-8DDB2059F614}"/>
    <hyperlink ref="B13" r:id="rId11" display="https://cfbstats.com/2017/team/671/index.html" xr:uid="{C4E37D60-324A-4244-9055-C3F0A81963DD}"/>
    <hyperlink ref="B14" r:id="rId12" display="https://cfbstats.com/2017/team/709/index.html" xr:uid="{4BEAA342-21BD-F24F-8838-835345AF2F3B}"/>
    <hyperlink ref="B15" r:id="rId13" display="https://cfbstats.com/2018/team/539/index.html" xr:uid="{5B7EA2FF-BFC5-0443-9702-5B5EC68843EB}"/>
    <hyperlink ref="B16" r:id="rId14" display="https://cfbstats.com/2018/team/458/index.html" xr:uid="{4517D1B1-6746-7442-99CD-FB69A8811F4A}"/>
    <hyperlink ref="B18" r:id="rId15" display="https://cfbstats.com/2018/team/646/index.html" xr:uid="{57354D75-32DB-404E-88D0-8A86A9D730FB}"/>
    <hyperlink ref="B19" r:id="rId16" display="https://cfbstats.com/2018/team/30/index.html" xr:uid="{C1429A83-872C-0947-ACDC-C7D081CE9B86}"/>
    <hyperlink ref="B20" r:id="rId17" display="https://cfbstats.com/2018/team/671/index.html" xr:uid="{E95F64B8-9625-E347-BA2F-DAE84958D8E2}"/>
    <hyperlink ref="B21" r:id="rId18" display="https://cfbstats.com/2018/team/253/index.html" xr:uid="{B8C46C3E-DBFB-8E4A-8D41-4F8691ECFD2B}"/>
    <hyperlink ref="B22" r:id="rId19" display="https://cfbstats.com/2018/team/149/index.html" xr:uid="{F95772EC-A83C-C64F-9645-1715BD122E59}"/>
    <hyperlink ref="B23" r:id="rId20" display="https://cfbstats.com/2018/team/670/index.html" xr:uid="{17F79155-E9FE-DF4A-BD29-B16977C05CEA}"/>
    <hyperlink ref="B24" r:id="rId21" display="https://cfbstats.com/2018/team/254/index.html" xr:uid="{D5304F17-4B68-0447-A726-A6426721B772}"/>
    <hyperlink ref="B25" r:id="rId22" display="https://cfbstats.com/2018/team/716/index.html" xr:uid="{B4C657FF-8A03-0C4D-B390-D0D49819A65A}"/>
    <hyperlink ref="B26" r:id="rId23" display="https://cfbstats.com/2018/team/671/index.html" xr:uid="{66DBC22B-89AD-D048-84DE-BC8770C60CCD}"/>
    <hyperlink ref="B27" r:id="rId24" display="https://cfbstats.com/2018/team/419/index.html" xr:uid="{65A654B5-FB97-7447-B8AC-2159147238B5}"/>
    <hyperlink ref="B29" r:id="rId25" display="https://cfbstats.com/2019/team/458/index.html" xr:uid="{4FF2F130-BDE6-4F4E-AAC8-930478C7CAE9}"/>
    <hyperlink ref="B30" r:id="rId26" display="https://cfbstats.com/2019/team/457/index.html" xr:uid="{BE7050EF-369D-C444-82F5-FE661AB11659}"/>
    <hyperlink ref="B31" r:id="rId27" display="https://cfbstats.com/2019/team/149/index.html" xr:uid="{34914985-5B3C-304B-B242-3610BED04F10}"/>
    <hyperlink ref="B32" r:id="rId28" display="https://cfbstats.com/2019/team/671/index.html" xr:uid="{DE14EC13-63C0-1E4B-858E-51095268FFC4}"/>
    <hyperlink ref="B33" r:id="rId29" display="https://cfbstats.com/2019/team/498/index.html" xr:uid="{35130007-0704-F546-9A4A-6CE77C4ABAC5}"/>
    <hyperlink ref="B34" r:id="rId30" display="https://cfbstats.com/2019/team/646/index.html" xr:uid="{6EA66B89-0772-D141-A62B-6FED95929777}"/>
    <hyperlink ref="B35" r:id="rId31" display="https://cfbstats.com/2019/team/253/index.html" xr:uid="{09A81E93-35DC-1341-A4D7-AF1CE371EE9F}"/>
    <hyperlink ref="B36" r:id="rId32" display="https://cfbstats.com/2019/team/648/index.html" xr:uid="{46752CB5-A385-DD47-882F-13715DC95BEA}"/>
    <hyperlink ref="B37" r:id="rId33" display="https://cfbstats.com/2019/team/254/index.html" xr:uid="{1A88BDE8-2400-7141-9EE1-AF6E2B6F2487}"/>
    <hyperlink ref="B38" r:id="rId34" display="https://cfbstats.com/2019/team/670/index.html" xr:uid="{5C887C23-4866-684A-9B57-10B64DC7FC6F}"/>
    <hyperlink ref="B39" r:id="rId35" display="https://cfbstats.com/2019/team/716/index.html" xr:uid="{62CE8BD7-9361-3146-896D-02C6C5124748}"/>
    <hyperlink ref="B40" r:id="rId36" display="https://cfbstats.com/2019/team/671/index.html" xr:uid="{A42AD01C-DCC6-1C47-A5A2-60CE513D93F0}"/>
    <hyperlink ref="B41" r:id="rId37" display="https://cfbstats.com/2019/team/9/index.html" xr:uid="{3720B930-B80C-9645-8946-443416936AE4}"/>
    <hyperlink ref="B42" r:id="rId38" display="https://cfbstats.com/2020/team/458/index.html" xr:uid="{AD62C079-B3AA-444D-88A3-288CB6C61DAD}"/>
    <hyperlink ref="B43" r:id="rId39" display="https://cfbstats.com/2020/team/388/index.html" xr:uid="{8D06E4BD-EA49-E54D-9EFA-1E2A8911B194}"/>
    <hyperlink ref="B45" r:id="rId40" display="https://cfbstats.com/2020/team/30/index.html" xr:uid="{F71D1199-CF5E-0144-B6F2-EE0E7B79B277}"/>
    <hyperlink ref="B46" r:id="rId41" display="https://cfbstats.com/2020/team/498/index.html" xr:uid="{17BADE16-9768-914F-AC78-6DD8D1E11352}"/>
    <hyperlink ref="B47" r:id="rId42" display="https://cfbstats.com/2020/team/670/index.html" xr:uid="{03C7C149-F9F5-664D-B4BD-C0841078C628}"/>
    <hyperlink ref="B48" r:id="rId43" display="https://cfbstats.com/2020/team/254/index.html" xr:uid="{79446A1F-31ED-0148-AFFE-DC4DF5ACBA6E}"/>
    <hyperlink ref="B49" r:id="rId44" display="https://cfbstats.com/2020/team/149/index.html" xr:uid="{C8316C71-40DD-864E-A123-6F32895A116E}"/>
    <hyperlink ref="B50" r:id="rId45" display="https://cfbstats.com/2020/team/716/index.html" xr:uid="{990EEEC3-4E0D-414C-83F5-6667288DED30}"/>
    <hyperlink ref="B51" r:id="rId46" display="https://cfbstats.com/2020/team/671/index.html" xr:uid="{1982709F-82F3-1B44-BF8E-70E68102821E}"/>
    <hyperlink ref="B52" r:id="rId47" display="https://cfbstats.com/2020/team/253/index.html" xr:uid="{CD60FD87-76A2-3D41-ACE5-DEFED9B0A4C0}"/>
    <hyperlink ref="B53" r:id="rId48" display="https://cfbstats.com/2020/team/497/index.html" xr:uid="{1CBF5672-0896-B646-ABF4-1DE9AA9A3A7F}"/>
  </hyperlinks>
  <pageMargins left="0.7" right="0.7" top="0.75" bottom="0.75" header="0.3" footer="0.3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0D96-873C-4F09-843E-317F44763252}">
  <dimension ref="A1:C50"/>
  <sheetViews>
    <sheetView topLeftCell="A2" zoomScale="150" workbookViewId="0">
      <selection activeCell="B3" sqref="B3"/>
    </sheetView>
  </sheetViews>
  <sheetFormatPr baseColWidth="10" defaultColWidth="8.83203125" defaultRowHeight="15" x14ac:dyDescent="0.2"/>
  <cols>
    <col min="1" max="1" width="4.5" customWidth="1"/>
    <col min="2" max="2" width="23.33203125" customWidth="1"/>
    <col min="3" max="3" width="5.83203125" customWidth="1"/>
  </cols>
  <sheetData>
    <row r="1" spans="1:3" x14ac:dyDescent="0.2">
      <c r="A1" t="s">
        <v>9</v>
      </c>
      <c r="B1" t="s">
        <v>10</v>
      </c>
      <c r="C1" t="s">
        <v>16</v>
      </c>
    </row>
    <row r="2" spans="1:3" x14ac:dyDescent="0.2">
      <c r="A2">
        <v>1</v>
      </c>
      <c r="B2" t="s">
        <v>11</v>
      </c>
      <c r="C2">
        <v>2016</v>
      </c>
    </row>
    <row r="3" spans="1:3" x14ac:dyDescent="0.2">
      <c r="A3">
        <v>2</v>
      </c>
      <c r="B3" t="s">
        <v>11</v>
      </c>
      <c r="C3">
        <v>2017</v>
      </c>
    </row>
    <row r="4" spans="1:3" x14ac:dyDescent="0.2">
      <c r="A4">
        <v>3</v>
      </c>
      <c r="B4" t="s">
        <v>11</v>
      </c>
      <c r="C4">
        <v>2018</v>
      </c>
    </row>
    <row r="5" spans="1:3" x14ac:dyDescent="0.2">
      <c r="A5">
        <v>4</v>
      </c>
      <c r="B5" t="s">
        <v>11</v>
      </c>
      <c r="C5">
        <v>2019</v>
      </c>
    </row>
    <row r="6" spans="1:3" x14ac:dyDescent="0.2">
      <c r="A6">
        <v>5</v>
      </c>
      <c r="B6" t="s">
        <v>11</v>
      </c>
      <c r="C6">
        <v>2020</v>
      </c>
    </row>
    <row r="7" spans="1:3" x14ac:dyDescent="0.2">
      <c r="A7">
        <v>6</v>
      </c>
      <c r="B7" t="s">
        <v>11</v>
      </c>
      <c r="C7">
        <v>2021</v>
      </c>
    </row>
    <row r="8" spans="1:3" x14ac:dyDescent="0.2">
      <c r="A8">
        <v>7</v>
      </c>
      <c r="B8" t="s">
        <v>11</v>
      </c>
      <c r="C8">
        <v>2022</v>
      </c>
    </row>
    <row r="9" spans="1:3" x14ac:dyDescent="0.2">
      <c r="A9">
        <v>8</v>
      </c>
      <c r="B9" t="s">
        <v>12</v>
      </c>
      <c r="C9">
        <v>2016</v>
      </c>
    </row>
    <row r="10" spans="1:3" x14ac:dyDescent="0.2">
      <c r="A10">
        <v>9</v>
      </c>
      <c r="B10" t="s">
        <v>12</v>
      </c>
      <c r="C10">
        <v>2017</v>
      </c>
    </row>
    <row r="11" spans="1:3" x14ac:dyDescent="0.2">
      <c r="A11">
        <v>10</v>
      </c>
      <c r="B11" t="s">
        <v>12</v>
      </c>
      <c r="C11">
        <v>2018</v>
      </c>
    </row>
    <row r="12" spans="1:3" x14ac:dyDescent="0.2">
      <c r="A12">
        <v>11</v>
      </c>
      <c r="B12" t="s">
        <v>12</v>
      </c>
      <c r="C12">
        <v>2019</v>
      </c>
    </row>
    <row r="13" spans="1:3" x14ac:dyDescent="0.2">
      <c r="A13">
        <v>12</v>
      </c>
      <c r="B13" t="s">
        <v>12</v>
      </c>
      <c r="C13">
        <v>2020</v>
      </c>
    </row>
    <row r="14" spans="1:3" x14ac:dyDescent="0.2">
      <c r="A14">
        <v>13</v>
      </c>
      <c r="B14" t="s">
        <v>12</v>
      </c>
      <c r="C14">
        <v>2021</v>
      </c>
    </row>
    <row r="15" spans="1:3" x14ac:dyDescent="0.2">
      <c r="A15">
        <v>14</v>
      </c>
      <c r="B15" t="s">
        <v>12</v>
      </c>
      <c r="C15">
        <v>2022</v>
      </c>
    </row>
    <row r="16" spans="1:3" x14ac:dyDescent="0.2">
      <c r="A16">
        <v>15</v>
      </c>
      <c r="B16" t="s">
        <v>13</v>
      </c>
      <c r="C16">
        <v>2016</v>
      </c>
    </row>
    <row r="17" spans="1:3" x14ac:dyDescent="0.2">
      <c r="A17">
        <v>16</v>
      </c>
      <c r="B17" t="s">
        <v>13</v>
      </c>
      <c r="C17">
        <v>2017</v>
      </c>
    </row>
    <row r="18" spans="1:3" x14ac:dyDescent="0.2">
      <c r="A18">
        <v>17</v>
      </c>
      <c r="B18" t="s">
        <v>13</v>
      </c>
      <c r="C18">
        <v>2018</v>
      </c>
    </row>
    <row r="19" spans="1:3" x14ac:dyDescent="0.2">
      <c r="A19">
        <v>18</v>
      </c>
      <c r="B19" t="s">
        <v>13</v>
      </c>
      <c r="C19">
        <v>2019</v>
      </c>
    </row>
    <row r="20" spans="1:3" x14ac:dyDescent="0.2">
      <c r="A20">
        <v>19</v>
      </c>
      <c r="B20" t="s">
        <v>13</v>
      </c>
      <c r="C20">
        <v>2020</v>
      </c>
    </row>
    <row r="21" spans="1:3" x14ac:dyDescent="0.2">
      <c r="A21">
        <v>20</v>
      </c>
      <c r="B21" t="s">
        <v>13</v>
      </c>
      <c r="C21">
        <v>2021</v>
      </c>
    </row>
    <row r="22" spans="1:3" x14ac:dyDescent="0.2">
      <c r="A22">
        <v>21</v>
      </c>
      <c r="B22" t="s">
        <v>13</v>
      </c>
      <c r="C22">
        <v>2022</v>
      </c>
    </row>
    <row r="23" spans="1:3" x14ac:dyDescent="0.2">
      <c r="A23">
        <v>22</v>
      </c>
      <c r="B23" t="s">
        <v>14</v>
      </c>
      <c r="C23">
        <v>2016</v>
      </c>
    </row>
    <row r="24" spans="1:3" x14ac:dyDescent="0.2">
      <c r="A24">
        <v>23</v>
      </c>
      <c r="B24" t="s">
        <v>14</v>
      </c>
      <c r="C24">
        <v>2017</v>
      </c>
    </row>
    <row r="25" spans="1:3" x14ac:dyDescent="0.2">
      <c r="A25">
        <v>24</v>
      </c>
      <c r="B25" t="s">
        <v>14</v>
      </c>
      <c r="C25">
        <v>2018</v>
      </c>
    </row>
    <row r="26" spans="1:3" x14ac:dyDescent="0.2">
      <c r="A26">
        <v>25</v>
      </c>
      <c r="B26" t="s">
        <v>14</v>
      </c>
      <c r="C26">
        <v>2019</v>
      </c>
    </row>
    <row r="27" spans="1:3" x14ac:dyDescent="0.2">
      <c r="A27">
        <v>26</v>
      </c>
      <c r="B27" t="s">
        <v>14</v>
      </c>
      <c r="C27">
        <v>2020</v>
      </c>
    </row>
    <row r="28" spans="1:3" x14ac:dyDescent="0.2">
      <c r="A28">
        <v>27</v>
      </c>
      <c r="B28" t="s">
        <v>14</v>
      </c>
      <c r="C28">
        <v>2021</v>
      </c>
    </row>
    <row r="29" spans="1:3" x14ac:dyDescent="0.2">
      <c r="A29">
        <v>28</v>
      </c>
      <c r="B29" t="s">
        <v>14</v>
      </c>
      <c r="C29">
        <v>2022</v>
      </c>
    </row>
    <row r="30" spans="1:3" x14ac:dyDescent="0.2">
      <c r="A30">
        <v>29</v>
      </c>
      <c r="B30" t="s">
        <v>15</v>
      </c>
      <c r="C30">
        <v>2016</v>
      </c>
    </row>
    <row r="31" spans="1:3" x14ac:dyDescent="0.2">
      <c r="A31">
        <v>30</v>
      </c>
      <c r="B31" t="s">
        <v>15</v>
      </c>
      <c r="C31">
        <v>2017</v>
      </c>
    </row>
    <row r="32" spans="1:3" x14ac:dyDescent="0.2">
      <c r="A32">
        <v>31</v>
      </c>
      <c r="B32" t="s">
        <v>15</v>
      </c>
      <c r="C32">
        <v>2018</v>
      </c>
    </row>
    <row r="33" spans="1:3" x14ac:dyDescent="0.2">
      <c r="A33">
        <v>32</v>
      </c>
      <c r="B33" t="s">
        <v>15</v>
      </c>
      <c r="C33">
        <v>2019</v>
      </c>
    </row>
    <row r="34" spans="1:3" x14ac:dyDescent="0.2">
      <c r="A34">
        <v>33</v>
      </c>
      <c r="B34" t="s">
        <v>15</v>
      </c>
      <c r="C34">
        <v>2020</v>
      </c>
    </row>
    <row r="35" spans="1:3" x14ac:dyDescent="0.2">
      <c r="A35">
        <v>34</v>
      </c>
      <c r="B35" t="s">
        <v>15</v>
      </c>
      <c r="C35">
        <v>2021</v>
      </c>
    </row>
    <row r="36" spans="1:3" x14ac:dyDescent="0.2">
      <c r="A36">
        <v>35</v>
      </c>
      <c r="B36" t="s">
        <v>15</v>
      </c>
      <c r="C36">
        <v>2022</v>
      </c>
    </row>
    <row r="37" spans="1:3" x14ac:dyDescent="0.2">
      <c r="A37">
        <v>36</v>
      </c>
      <c r="B37" t="s">
        <v>18</v>
      </c>
      <c r="C37">
        <v>2016</v>
      </c>
    </row>
    <row r="38" spans="1:3" x14ac:dyDescent="0.2">
      <c r="A38">
        <v>37</v>
      </c>
      <c r="B38" t="s">
        <v>18</v>
      </c>
      <c r="C38">
        <v>2017</v>
      </c>
    </row>
    <row r="39" spans="1:3" x14ac:dyDescent="0.2">
      <c r="A39">
        <v>38</v>
      </c>
      <c r="B39" t="s">
        <v>18</v>
      </c>
      <c r="C39">
        <v>2018</v>
      </c>
    </row>
    <row r="40" spans="1:3" x14ac:dyDescent="0.2">
      <c r="A40">
        <v>39</v>
      </c>
      <c r="B40" t="s">
        <v>18</v>
      </c>
      <c r="C40">
        <v>2019</v>
      </c>
    </row>
    <row r="41" spans="1:3" x14ac:dyDescent="0.2">
      <c r="A41">
        <v>40</v>
      </c>
      <c r="B41" t="s">
        <v>18</v>
      </c>
      <c r="C41">
        <v>2020</v>
      </c>
    </row>
    <row r="42" spans="1:3" x14ac:dyDescent="0.2">
      <c r="A42">
        <v>41</v>
      </c>
      <c r="B42" t="s">
        <v>18</v>
      </c>
      <c r="C42">
        <v>2021</v>
      </c>
    </row>
    <row r="43" spans="1:3" x14ac:dyDescent="0.2">
      <c r="A43">
        <v>42</v>
      </c>
      <c r="B43" t="s">
        <v>18</v>
      </c>
      <c r="C43">
        <v>2022</v>
      </c>
    </row>
    <row r="44" spans="1:3" x14ac:dyDescent="0.2">
      <c r="A44">
        <v>43</v>
      </c>
      <c r="B44" t="s">
        <v>17</v>
      </c>
      <c r="C44">
        <v>2016</v>
      </c>
    </row>
    <row r="45" spans="1:3" x14ac:dyDescent="0.2">
      <c r="A45">
        <v>44</v>
      </c>
      <c r="B45" t="s">
        <v>17</v>
      </c>
      <c r="C45">
        <v>2017</v>
      </c>
    </row>
    <row r="46" spans="1:3" x14ac:dyDescent="0.2">
      <c r="A46">
        <v>45</v>
      </c>
      <c r="B46" t="s">
        <v>17</v>
      </c>
      <c r="C46">
        <v>2018</v>
      </c>
    </row>
    <row r="47" spans="1:3" x14ac:dyDescent="0.2">
      <c r="A47">
        <v>46</v>
      </c>
      <c r="B47" t="s">
        <v>17</v>
      </c>
      <c r="C47">
        <v>2019</v>
      </c>
    </row>
    <row r="48" spans="1:3" x14ac:dyDescent="0.2">
      <c r="A48">
        <v>47</v>
      </c>
      <c r="B48" t="s">
        <v>17</v>
      </c>
      <c r="C48">
        <v>2020</v>
      </c>
    </row>
    <row r="49" spans="1:3" x14ac:dyDescent="0.2">
      <c r="A49">
        <v>48</v>
      </c>
      <c r="B49" t="s">
        <v>17</v>
      </c>
      <c r="C49">
        <v>2021</v>
      </c>
    </row>
    <row r="50" spans="1:3" x14ac:dyDescent="0.2">
      <c r="A50">
        <v>49</v>
      </c>
      <c r="B50" t="s">
        <v>17</v>
      </c>
      <c r="C50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2FBC-EABB-4640-B782-6CAED2947287}">
  <dimension ref="A1:D37"/>
  <sheetViews>
    <sheetView workbookViewId="0"/>
  </sheetViews>
  <sheetFormatPr baseColWidth="10" defaultRowHeight="15" x14ac:dyDescent="0.2"/>
  <cols>
    <col min="1" max="2" width="10.1640625" bestFit="1" customWidth="1"/>
    <col min="4" max="4" width="28.5" bestFit="1" customWidth="1"/>
  </cols>
  <sheetData>
    <row r="1" spans="1:4" x14ac:dyDescent="0.2">
      <c r="A1" s="1" t="s">
        <v>4</v>
      </c>
      <c r="B1" s="19"/>
      <c r="D1" s="1" t="s">
        <v>5</v>
      </c>
    </row>
    <row r="2" spans="1:4" x14ac:dyDescent="0.2">
      <c r="A2" s="19">
        <v>3642251.26</v>
      </c>
      <c r="B2" s="19"/>
      <c r="D2" s="20">
        <v>719996006.39999998</v>
      </c>
    </row>
    <row r="3" spans="1:4" x14ac:dyDescent="0.2">
      <c r="A3" s="19">
        <v>3900846.07</v>
      </c>
      <c r="B3" s="19"/>
      <c r="D3" s="20">
        <v>693819867.49000001</v>
      </c>
    </row>
    <row r="4" spans="1:4" x14ac:dyDescent="0.2">
      <c r="A4" s="19">
        <v>3809916.18</v>
      </c>
      <c r="B4" s="19"/>
      <c r="D4" s="20">
        <v>702600104.92999995</v>
      </c>
    </row>
    <row r="5" spans="1:4" x14ac:dyDescent="0.2">
      <c r="A5" s="19">
        <v>3854763.34</v>
      </c>
      <c r="B5" s="19"/>
      <c r="D5" s="20">
        <v>692918246.95000005</v>
      </c>
    </row>
    <row r="6" spans="1:4" x14ac:dyDescent="0.2">
      <c r="A6" s="19">
        <v>3935199.3</v>
      </c>
      <c r="B6" s="19"/>
      <c r="D6" s="20">
        <v>665833169.87</v>
      </c>
    </row>
    <row r="7" spans="1:4" x14ac:dyDescent="0.2">
      <c r="A7" s="19">
        <v>3373304.33</v>
      </c>
      <c r="B7" s="19"/>
      <c r="D7" s="20">
        <v>683199997.38999999</v>
      </c>
    </row>
    <row r="8" spans="1:4" x14ac:dyDescent="0.2">
      <c r="A8" s="19">
        <v>3874321.14</v>
      </c>
      <c r="B8" s="19"/>
      <c r="D8" s="20">
        <v>790419010.00999999</v>
      </c>
    </row>
    <row r="9" spans="1:4" x14ac:dyDescent="0.2">
      <c r="A9" s="19">
        <v>2869103.56</v>
      </c>
      <c r="B9" s="19"/>
      <c r="D9" s="20">
        <v>651419347.89999998</v>
      </c>
    </row>
    <row r="10" spans="1:4" x14ac:dyDescent="0.2">
      <c r="A10" s="19">
        <v>2826225.26</v>
      </c>
      <c r="B10" s="19"/>
      <c r="D10" s="20">
        <v>637383567.57000005</v>
      </c>
    </row>
    <row r="11" spans="1:4" x14ac:dyDescent="0.2">
      <c r="A11" s="19">
        <v>2980950.74</v>
      </c>
      <c r="B11" s="19"/>
      <c r="D11" s="20">
        <v>731055324.87</v>
      </c>
    </row>
    <row r="12" spans="1:4" x14ac:dyDescent="0.2">
      <c r="A12" s="19">
        <v>3256317.41</v>
      </c>
      <c r="B12" s="19"/>
      <c r="D12" s="20">
        <v>690527639.45000005</v>
      </c>
    </row>
    <row r="13" spans="1:4" x14ac:dyDescent="0.2">
      <c r="A13" s="19">
        <v>3286224.69</v>
      </c>
      <c r="B13" s="19"/>
      <c r="D13" s="20">
        <v>708333660.15999997</v>
      </c>
    </row>
    <row r="14" spans="1:4" x14ac:dyDescent="0.2">
      <c r="A14" s="19">
        <v>3834609.35</v>
      </c>
      <c r="B14" s="19"/>
      <c r="D14" s="20">
        <v>771784181.03999996</v>
      </c>
    </row>
    <row r="15" spans="1:4" x14ac:dyDescent="0.2">
      <c r="A15" s="19">
        <v>4051346.24</v>
      </c>
      <c r="B15" s="19"/>
      <c r="D15" s="20">
        <v>733775649.58000004</v>
      </c>
    </row>
    <row r="16" spans="1:4" x14ac:dyDescent="0.2">
      <c r="A16" s="19">
        <v>4011405.13</v>
      </c>
      <c r="B16" s="19"/>
      <c r="D16" s="20">
        <v>747799718.02999997</v>
      </c>
    </row>
    <row r="17" spans="1:4" x14ac:dyDescent="0.2">
      <c r="A17" s="19">
        <v>3806149.45</v>
      </c>
      <c r="B17" s="19"/>
      <c r="D17" s="20">
        <v>725003981.58000004</v>
      </c>
    </row>
    <row r="18" spans="1:4" x14ac:dyDescent="0.2">
      <c r="A18" s="19">
        <v>4128938.49</v>
      </c>
      <c r="B18" s="19"/>
      <c r="D18" s="20">
        <v>736344318.34000003</v>
      </c>
    </row>
    <row r="19" spans="1:4" x14ac:dyDescent="0.2">
      <c r="A19" s="19">
        <v>3639968.78</v>
      </c>
      <c r="B19" s="19"/>
      <c r="D19" s="20">
        <v>737254839.23000002</v>
      </c>
    </row>
    <row r="20" spans="1:4" x14ac:dyDescent="0.2">
      <c r="A20" s="19">
        <v>3822157.61</v>
      </c>
      <c r="B20" s="19"/>
      <c r="D20" s="20">
        <v>823750492.84000003</v>
      </c>
    </row>
    <row r="21" spans="1:4" x14ac:dyDescent="0.2">
      <c r="A21" s="19">
        <v>3156389.51</v>
      </c>
      <c r="B21" s="19"/>
      <c r="D21" s="20">
        <v>676787727.88</v>
      </c>
    </row>
    <row r="22" spans="1:4" x14ac:dyDescent="0.2">
      <c r="A22" s="19">
        <v>2891268.01</v>
      </c>
      <c r="B22" s="19"/>
      <c r="D22" s="20">
        <v>685126592.69000006</v>
      </c>
    </row>
    <row r="23" spans="1:4" x14ac:dyDescent="0.2">
      <c r="A23" s="19">
        <v>3378567.63</v>
      </c>
      <c r="B23" s="19"/>
      <c r="D23" s="20">
        <v>786572328.65999997</v>
      </c>
    </row>
    <row r="24" spans="1:4" x14ac:dyDescent="0.2">
      <c r="A24" s="19">
        <v>3655721.52</v>
      </c>
      <c r="B24" s="19"/>
      <c r="D24" s="20">
        <v>744247194.87</v>
      </c>
    </row>
    <row r="25" spans="1:4" x14ac:dyDescent="0.2">
      <c r="A25" s="19">
        <v>3744635.19</v>
      </c>
      <c r="B25" s="19"/>
      <c r="D25" s="20">
        <v>763364885.98000002</v>
      </c>
    </row>
    <row r="26" spans="1:4" x14ac:dyDescent="0.2">
      <c r="A26" s="19">
        <v>3974578.06</v>
      </c>
      <c r="B26" s="19"/>
      <c r="D26" s="20">
        <v>806994309.45000005</v>
      </c>
    </row>
    <row r="27" spans="1:4" x14ac:dyDescent="0.2">
      <c r="A27" s="19">
        <v>4440106.8499999996</v>
      </c>
      <c r="B27" s="19"/>
      <c r="D27" s="20">
        <v>789408990.60000002</v>
      </c>
    </row>
    <row r="28" spans="1:4" x14ac:dyDescent="0.2">
      <c r="A28" s="19">
        <v>4450644.47</v>
      </c>
      <c r="B28" s="19"/>
      <c r="D28" s="20">
        <v>793969394.74000001</v>
      </c>
    </row>
    <row r="29" spans="1:4" x14ac:dyDescent="0.2">
      <c r="A29" s="19">
        <v>4446159.13</v>
      </c>
      <c r="B29" s="19"/>
      <c r="D29" s="20">
        <v>772836238.37</v>
      </c>
    </row>
    <row r="30" spans="1:4" x14ac:dyDescent="0.2">
      <c r="A30" s="19">
        <v>4523269.76</v>
      </c>
      <c r="B30" s="19"/>
      <c r="D30" s="20">
        <v>760082257.15999997</v>
      </c>
    </row>
    <row r="31" spans="1:4" x14ac:dyDescent="0.2">
      <c r="A31" s="19">
        <v>4119772.38</v>
      </c>
      <c r="B31" s="19"/>
      <c r="D31" s="20">
        <v>750982884.74000001</v>
      </c>
    </row>
    <row r="32" spans="1:4" x14ac:dyDescent="0.2">
      <c r="A32" s="19">
        <v>4385935.3099999996</v>
      </c>
      <c r="B32" s="19"/>
      <c r="D32" s="20">
        <v>862680604.66999996</v>
      </c>
    </row>
    <row r="33" spans="1:4" x14ac:dyDescent="0.2">
      <c r="A33" s="19">
        <v>3581766.34</v>
      </c>
      <c r="B33" s="19"/>
      <c r="D33" s="20">
        <v>707454416.38999999</v>
      </c>
    </row>
    <row r="34" spans="1:4" x14ac:dyDescent="0.2">
      <c r="A34" s="19">
        <v>3133671.15</v>
      </c>
      <c r="B34" s="19"/>
      <c r="D34" s="20">
        <v>682087510.79999995</v>
      </c>
    </row>
    <row r="35" spans="1:4" x14ac:dyDescent="0.2">
      <c r="A35" s="19">
        <v>3063698.92</v>
      </c>
      <c r="B35" s="19"/>
      <c r="D35" s="20">
        <v>720385696.5</v>
      </c>
    </row>
    <row r="36" spans="1:4" x14ac:dyDescent="0.2">
      <c r="A36" s="19">
        <v>2489075.86</v>
      </c>
      <c r="B36" s="19"/>
      <c r="D36" s="20">
        <v>651869412.89999998</v>
      </c>
    </row>
    <row r="37" spans="1:4" x14ac:dyDescent="0.2">
      <c r="A37" s="19">
        <v>3071745.93</v>
      </c>
      <c r="D37" s="20">
        <v>720739236.80999994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Schedule Data</vt:lpstr>
      <vt:lpstr>University &amp; First Year Assiged</vt:lpstr>
      <vt:lpstr>Sheet2</vt:lpstr>
    </vt:vector>
  </TitlesOfParts>
  <Company>University of Central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Brook</dc:creator>
  <cp:lastModifiedBy>Tyler Berry</cp:lastModifiedBy>
  <dcterms:created xsi:type="dcterms:W3CDTF">2022-09-14T16:03:12Z</dcterms:created>
  <dcterms:modified xsi:type="dcterms:W3CDTF">2025-10-08T16:37:08Z</dcterms:modified>
</cp:coreProperties>
</file>