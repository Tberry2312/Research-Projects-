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erry/Desktop/"/>
    </mc:Choice>
  </mc:AlternateContent>
  <xr:revisionPtr revIDLastSave="0" documentId="8_{535FDCD8-B288-B048-954E-E8F53CE2EB68}" xr6:coauthVersionLast="47" xr6:coauthVersionMax="47" xr10:uidLastSave="{00000000-0000-0000-0000-000000000000}"/>
  <bookViews>
    <workbookView xWindow="0" yWindow="860" windowWidth="34200" windowHeight="21380" tabRatio="735" xr2:uid="{0C4398AF-ABCA-4F5F-B211-5B881A01B018}"/>
  </bookViews>
  <sheets>
    <sheet name="Sheet1" sheetId="1" r:id="rId1"/>
    <sheet name="Variable Revenue" sheetId="4" r:id="rId2"/>
    <sheet name="CPI" sheetId="6" r:id="rId3"/>
    <sheet name="unitid" sheetId="7" r:id="rId4"/>
    <sheet name="2017" sheetId="8" r:id="rId5"/>
    <sheet name="2018" sheetId="9" r:id="rId6"/>
    <sheet name="2019" sheetId="11" r:id="rId7"/>
    <sheet name="2020" sheetId="12" r:id="rId8"/>
    <sheet name="2021" sheetId="14" r:id="rId9"/>
    <sheet name="2022" sheetId="16" r:id="rId10"/>
    <sheet name="2023" sheetId="15" r:id="rId11"/>
    <sheet name="2017 (2)" sheetId="17" r:id="rId12"/>
    <sheet name="2018 (2)" sheetId="18" r:id="rId13"/>
    <sheet name="2019 (2)" sheetId="19" r:id="rId14"/>
    <sheet name="2020 (2)" sheetId="20" r:id="rId15"/>
    <sheet name="2021 (2)" sheetId="21" r:id="rId16"/>
    <sheet name="2022 (2)" sheetId="22" r:id="rId17"/>
    <sheet name="2023 (2)" sheetId="23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8" i="1"/>
  <c r="M17" i="1"/>
  <c r="N45" i="1"/>
  <c r="I49" i="1" l="1"/>
  <c r="J49" i="1"/>
  <c r="I42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N25" i="1"/>
  <c r="M25" i="1"/>
  <c r="B24" i="1"/>
  <c r="J57" i="1"/>
  <c r="J56" i="1"/>
  <c r="J55" i="1"/>
  <c r="J54" i="1"/>
  <c r="J53" i="1"/>
  <c r="J52" i="1"/>
  <c r="I51" i="1"/>
  <c r="J51" i="1"/>
  <c r="J22" i="1"/>
  <c r="J21" i="1"/>
  <c r="J20" i="1"/>
  <c r="J19" i="1"/>
  <c r="J18" i="1"/>
  <c r="J17" i="1"/>
  <c r="J16" i="1"/>
  <c r="I57" i="1"/>
  <c r="I56" i="1"/>
  <c r="I55" i="1"/>
  <c r="I54" i="1"/>
  <c r="I53" i="1"/>
  <c r="I52" i="1"/>
  <c r="I22" i="1"/>
  <c r="I21" i="1"/>
  <c r="I20" i="1"/>
  <c r="I19" i="1"/>
  <c r="I18" i="1"/>
  <c r="I16" i="1"/>
  <c r="I17" i="1"/>
  <c r="J15" i="1"/>
  <c r="J14" i="1"/>
  <c r="J13" i="1"/>
  <c r="J12" i="1"/>
  <c r="J11" i="1"/>
  <c r="J10" i="1"/>
  <c r="J9" i="1"/>
  <c r="I15" i="1"/>
  <c r="I14" i="1"/>
  <c r="I13" i="1"/>
  <c r="I12" i="1"/>
  <c r="I11" i="1"/>
  <c r="I10" i="1"/>
  <c r="I9" i="1"/>
  <c r="F57" i="1"/>
  <c r="G57" i="1" s="1"/>
  <c r="H57" i="1" s="1"/>
  <c r="F56" i="1"/>
  <c r="G56" i="1" s="1"/>
  <c r="H56" i="1" s="1"/>
  <c r="F55" i="1"/>
  <c r="G55" i="1" s="1"/>
  <c r="H55" i="1" s="1"/>
  <c r="F54" i="1"/>
  <c r="G54" i="1" s="1"/>
  <c r="H54" i="1" s="1"/>
  <c r="F53" i="1"/>
  <c r="G53" i="1" s="1"/>
  <c r="H53" i="1" s="1"/>
  <c r="F52" i="1"/>
  <c r="G52" i="1" s="1"/>
  <c r="H52" i="1" s="1"/>
  <c r="F51" i="1"/>
  <c r="F16" i="1"/>
  <c r="G16" i="1" s="1"/>
  <c r="H16" i="1" s="1"/>
  <c r="F22" i="1"/>
  <c r="G22" i="1" s="1"/>
  <c r="H22" i="1" s="1"/>
  <c r="F21" i="1"/>
  <c r="G21" i="1" s="1"/>
  <c r="H21" i="1" s="1"/>
  <c r="F20" i="1"/>
  <c r="G20" i="1" s="1"/>
  <c r="H20" i="1" s="1"/>
  <c r="F19" i="1"/>
  <c r="G19" i="1" s="1"/>
  <c r="H19" i="1" s="1"/>
  <c r="F18" i="1"/>
  <c r="G18" i="1" s="1"/>
  <c r="H18" i="1" s="1"/>
  <c r="F17" i="1"/>
  <c r="G17" i="1" s="1"/>
  <c r="H17" i="1" s="1"/>
  <c r="L3" i="1"/>
  <c r="L4" i="1"/>
  <c r="L5" i="1"/>
  <c r="L6" i="1"/>
  <c r="L7" i="1"/>
  <c r="L8" i="1"/>
  <c r="L2" i="1"/>
  <c r="G2" i="1"/>
  <c r="J8" i="1"/>
  <c r="J7" i="1"/>
  <c r="J6" i="1"/>
  <c r="J5" i="1"/>
  <c r="J4" i="1"/>
  <c r="I7" i="1"/>
  <c r="I6" i="1"/>
  <c r="I5" i="1"/>
  <c r="I8" i="1"/>
  <c r="I4" i="1"/>
  <c r="G3" i="1"/>
  <c r="J3" i="1"/>
  <c r="I3" i="1"/>
  <c r="J2" i="1"/>
  <c r="H5" i="1"/>
  <c r="H6" i="1"/>
  <c r="H7" i="1"/>
  <c r="H2" i="1"/>
  <c r="H3" i="1"/>
  <c r="G4" i="1"/>
  <c r="H4" i="1" s="1"/>
  <c r="G5" i="1"/>
  <c r="G6" i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51" i="1"/>
  <c r="H51" i="1" s="1"/>
  <c r="N2" i="1"/>
  <c r="I2" i="1"/>
  <c r="N51" i="1" l="1"/>
  <c r="N52" i="1"/>
  <c r="N53" i="1"/>
  <c r="N54" i="1"/>
  <c r="N55" i="1"/>
  <c r="N56" i="1"/>
  <c r="N57" i="1"/>
  <c r="R16" i="6"/>
  <c r="R17" i="6"/>
  <c r="R18" i="6"/>
  <c r="R19" i="6"/>
  <c r="R20" i="6"/>
  <c r="R21" i="6"/>
  <c r="R22" i="6"/>
  <c r="Q16" i="6"/>
  <c r="Q17" i="6"/>
  <c r="Q18" i="6"/>
  <c r="Q19" i="6"/>
  <c r="Q20" i="6"/>
  <c r="Q21" i="6"/>
  <c r="Q22" i="6"/>
  <c r="P18" i="6"/>
  <c r="P19" i="6" s="1"/>
  <c r="P20" i="6" s="1"/>
  <c r="P21" i="6" s="1"/>
  <c r="P22" i="6" s="1"/>
  <c r="P17" i="6"/>
  <c r="C2" i="1"/>
  <c r="M2" i="1" s="1"/>
  <c r="M57" i="1"/>
  <c r="M56" i="1"/>
  <c r="M55" i="1"/>
  <c r="M54" i="1"/>
  <c r="M53" i="1"/>
  <c r="M52" i="1"/>
  <c r="M5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3" i="1"/>
  <c r="C9" i="1"/>
  <c r="M9" i="1" s="1"/>
  <c r="N9" i="1" s="1"/>
  <c r="C16" i="1"/>
  <c r="N16" i="1" s="1"/>
  <c r="C23" i="1"/>
  <c r="C30" i="1"/>
  <c r="C37" i="1"/>
  <c r="C44" i="1"/>
  <c r="C51" i="1"/>
  <c r="A51" i="4"/>
  <c r="A44" i="4"/>
  <c r="A37" i="4"/>
  <c r="A30" i="4"/>
  <c r="A23" i="4"/>
  <c r="A16" i="4"/>
  <c r="A9" i="4"/>
  <c r="A2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B52" i="1"/>
  <c r="B53" i="1" s="1"/>
  <c r="B54" i="1" s="1"/>
  <c r="B55" i="1" s="1"/>
  <c r="B56" i="1" s="1"/>
  <c r="B57" i="1" s="1"/>
  <c r="A57" i="4" s="1"/>
  <c r="B45" i="1"/>
  <c r="B46" i="1" s="1"/>
  <c r="B47" i="1" s="1"/>
  <c r="B48" i="1" s="1"/>
  <c r="B49" i="1" s="1"/>
  <c r="B50" i="1" s="1"/>
  <c r="A50" i="4" s="1"/>
  <c r="B38" i="1"/>
  <c r="B39" i="1" s="1"/>
  <c r="B40" i="1" s="1"/>
  <c r="B41" i="1" s="1"/>
  <c r="B42" i="1" s="1"/>
  <c r="B43" i="1" s="1"/>
  <c r="A43" i="4" s="1"/>
  <c r="D31" i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B31" i="1"/>
  <c r="B3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B25" i="1"/>
  <c r="B26" i="1" s="1"/>
  <c r="B27" i="1" s="1"/>
  <c r="B28" i="1" s="1"/>
  <c r="B29" i="1" s="1"/>
  <c r="A29" i="4" s="1"/>
  <c r="B17" i="1"/>
  <c r="B18" i="1" s="1"/>
  <c r="B19" i="1" s="1"/>
  <c r="B20" i="1" s="1"/>
  <c r="B21" i="1" s="1"/>
  <c r="B22" i="1" s="1"/>
  <c r="A22" i="4" s="1"/>
  <c r="B10" i="1"/>
  <c r="B11" i="1" s="1"/>
  <c r="B12" i="1" s="1"/>
  <c r="B13" i="1" s="1"/>
  <c r="B14" i="1" s="1"/>
  <c r="B15" i="1" s="1"/>
  <c r="A15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  <c r="I30" i="1" l="1"/>
  <c r="F30" i="1"/>
  <c r="G30" i="1" s="1"/>
  <c r="H30" i="1" s="1"/>
  <c r="J30" i="1"/>
  <c r="M30" i="1"/>
  <c r="N30" i="1" s="1"/>
  <c r="B33" i="1"/>
  <c r="B34" i="1" s="1"/>
  <c r="B35" i="1" s="1"/>
  <c r="B36" i="1" s="1"/>
  <c r="A36" i="4" s="1"/>
  <c r="A32" i="4"/>
  <c r="M37" i="1"/>
  <c r="N37" i="1" s="1"/>
  <c r="F37" i="1"/>
  <c r="G37" i="1" s="1"/>
  <c r="H37" i="1" s="1"/>
  <c r="I37" i="1"/>
  <c r="J37" i="1"/>
  <c r="M44" i="1"/>
  <c r="N44" i="1" s="1"/>
  <c r="I44" i="1"/>
  <c r="F44" i="1"/>
  <c r="G44" i="1" s="1"/>
  <c r="H44" i="1" s="1"/>
  <c r="J44" i="1"/>
  <c r="M23" i="1"/>
  <c r="N23" i="1" s="1"/>
  <c r="I23" i="1"/>
  <c r="J23" i="1"/>
  <c r="F23" i="1"/>
  <c r="G23" i="1" s="1"/>
  <c r="H23" i="1" s="1"/>
  <c r="A18" i="4"/>
  <c r="A31" i="4"/>
  <c r="C32" i="1"/>
  <c r="C43" i="1"/>
  <c r="C50" i="1"/>
  <c r="C48" i="1"/>
  <c r="C47" i="1"/>
  <c r="C46" i="1"/>
  <c r="A47" i="4"/>
  <c r="C45" i="1"/>
  <c r="C19" i="1"/>
  <c r="M19" i="1" s="1"/>
  <c r="N19" i="1" s="1"/>
  <c r="C27" i="1"/>
  <c r="C24" i="1"/>
  <c r="C40" i="1"/>
  <c r="A39" i="4"/>
  <c r="C55" i="1"/>
  <c r="C39" i="1"/>
  <c r="C31" i="1"/>
  <c r="C15" i="1"/>
  <c r="M15" i="1" s="1"/>
  <c r="N15" i="1" s="1"/>
  <c r="C56" i="1"/>
  <c r="A42" i="4"/>
  <c r="C54" i="1"/>
  <c r="C38" i="1"/>
  <c r="C14" i="1"/>
  <c r="M14" i="1" s="1"/>
  <c r="N14" i="1" s="1"/>
  <c r="C22" i="1"/>
  <c r="M22" i="1" s="1"/>
  <c r="N22" i="1" s="1"/>
  <c r="C53" i="1"/>
  <c r="C29" i="1"/>
  <c r="C21" i="1"/>
  <c r="M21" i="1" s="1"/>
  <c r="N21" i="1" s="1"/>
  <c r="C13" i="1"/>
  <c r="M13" i="1" s="1"/>
  <c r="N13" i="1" s="1"/>
  <c r="A26" i="4"/>
  <c r="C52" i="1"/>
  <c r="C28" i="1"/>
  <c r="C20" i="1"/>
  <c r="M20" i="1" s="1"/>
  <c r="N20" i="1" s="1"/>
  <c r="C12" i="1"/>
  <c r="M12" i="1" s="1"/>
  <c r="N12" i="1" s="1"/>
  <c r="C11" i="1"/>
  <c r="M11" i="1" s="1"/>
  <c r="N11" i="1" s="1"/>
  <c r="C10" i="1"/>
  <c r="M10" i="1" s="1"/>
  <c r="N10" i="1" s="1"/>
  <c r="C42" i="1"/>
  <c r="C26" i="1"/>
  <c r="C18" i="1"/>
  <c r="N18" i="1" s="1"/>
  <c r="A10" i="4"/>
  <c r="A34" i="4"/>
  <c r="C57" i="1"/>
  <c r="C49" i="1"/>
  <c r="C41" i="1"/>
  <c r="C25" i="1"/>
  <c r="C17" i="1"/>
  <c r="N17" i="1" s="1"/>
  <c r="A11" i="4"/>
  <c r="A19" i="4"/>
  <c r="A27" i="4"/>
  <c r="A12" i="4"/>
  <c r="A20" i="4"/>
  <c r="A28" i="4"/>
  <c r="A52" i="4"/>
  <c r="A13" i="4"/>
  <c r="A21" i="4"/>
  <c r="A45" i="4"/>
  <c r="A53" i="4"/>
  <c r="A14" i="4"/>
  <c r="A38" i="4"/>
  <c r="A46" i="4"/>
  <c r="A54" i="4"/>
  <c r="A55" i="4"/>
  <c r="A24" i="4"/>
  <c r="A40" i="4"/>
  <c r="A48" i="4"/>
  <c r="A56" i="4"/>
  <c r="A17" i="4"/>
  <c r="A25" i="4"/>
  <c r="A41" i="4"/>
  <c r="A49" i="4"/>
  <c r="B3" i="1"/>
  <c r="C3" i="1" s="1"/>
  <c r="M3" i="1" s="1"/>
  <c r="N3" i="1" s="1"/>
  <c r="C36" i="1" l="1"/>
  <c r="C33" i="1"/>
  <c r="C34" i="1"/>
  <c r="A35" i="4"/>
  <c r="C35" i="1"/>
  <c r="J32" i="1"/>
  <c r="F32" i="1"/>
  <c r="G32" i="1" s="1"/>
  <c r="H32" i="1" s="1"/>
  <c r="I32" i="1"/>
  <c r="M32" i="1"/>
  <c r="N32" i="1" s="1"/>
  <c r="I31" i="1"/>
  <c r="J31" i="1"/>
  <c r="F31" i="1"/>
  <c r="G31" i="1" s="1"/>
  <c r="H31" i="1" s="1"/>
  <c r="M31" i="1"/>
  <c r="N31" i="1" s="1"/>
  <c r="A33" i="4"/>
  <c r="M39" i="1"/>
  <c r="N39" i="1" s="1"/>
  <c r="J39" i="1"/>
  <c r="I39" i="1"/>
  <c r="F39" i="1"/>
  <c r="G39" i="1" s="1"/>
  <c r="H39" i="1" s="1"/>
  <c r="M38" i="1"/>
  <c r="N38" i="1" s="1"/>
  <c r="J38" i="1"/>
  <c r="I38" i="1"/>
  <c r="F38" i="1"/>
  <c r="G38" i="1" s="1"/>
  <c r="H38" i="1" s="1"/>
  <c r="M40" i="1"/>
  <c r="N40" i="1" s="1"/>
  <c r="J40" i="1"/>
  <c r="F40" i="1"/>
  <c r="G40" i="1" s="1"/>
  <c r="H40" i="1" s="1"/>
  <c r="I40" i="1"/>
  <c r="M43" i="1"/>
  <c r="N43" i="1" s="1"/>
  <c r="I43" i="1"/>
  <c r="J43" i="1"/>
  <c r="F43" i="1"/>
  <c r="G43" i="1" s="1"/>
  <c r="H43" i="1" s="1"/>
  <c r="M41" i="1"/>
  <c r="N41" i="1" s="1"/>
  <c r="J41" i="1"/>
  <c r="I41" i="1"/>
  <c r="F41" i="1"/>
  <c r="G41" i="1" s="1"/>
  <c r="H41" i="1" s="1"/>
  <c r="M42" i="1"/>
  <c r="N42" i="1" s="1"/>
  <c r="J42" i="1"/>
  <c r="F42" i="1"/>
  <c r="G42" i="1" s="1"/>
  <c r="H42" i="1" s="1"/>
  <c r="M50" i="1"/>
  <c r="N50" i="1" s="1"/>
  <c r="I50" i="1"/>
  <c r="F50" i="1"/>
  <c r="G50" i="1" s="1"/>
  <c r="H50" i="1" s="1"/>
  <c r="J50" i="1"/>
  <c r="M48" i="1"/>
  <c r="N48" i="1" s="1"/>
  <c r="F48" i="1"/>
  <c r="G48" i="1" s="1"/>
  <c r="H48" i="1" s="1"/>
  <c r="I48" i="1"/>
  <c r="J48" i="1"/>
  <c r="M45" i="1"/>
  <c r="I45" i="1"/>
  <c r="F45" i="1"/>
  <c r="G45" i="1" s="1"/>
  <c r="H45" i="1" s="1"/>
  <c r="J45" i="1"/>
  <c r="M47" i="1"/>
  <c r="N47" i="1" s="1"/>
  <c r="J47" i="1"/>
  <c r="F47" i="1"/>
  <c r="G47" i="1" s="1"/>
  <c r="H47" i="1" s="1"/>
  <c r="I47" i="1"/>
  <c r="M49" i="1"/>
  <c r="N49" i="1" s="1"/>
  <c r="F49" i="1"/>
  <c r="G49" i="1" s="1"/>
  <c r="H49" i="1" s="1"/>
  <c r="M46" i="1"/>
  <c r="N46" i="1" s="1"/>
  <c r="I46" i="1"/>
  <c r="J46" i="1"/>
  <c r="F46" i="1"/>
  <c r="G46" i="1" s="1"/>
  <c r="H46" i="1" s="1"/>
  <c r="M29" i="1"/>
  <c r="N29" i="1" s="1"/>
  <c r="I29" i="1"/>
  <c r="F29" i="1"/>
  <c r="G29" i="1" s="1"/>
  <c r="H29" i="1" s="1"/>
  <c r="J29" i="1"/>
  <c r="M26" i="1"/>
  <c r="N26" i="1" s="1"/>
  <c r="J26" i="1"/>
  <c r="I26" i="1"/>
  <c r="F26" i="1"/>
  <c r="G26" i="1" s="1"/>
  <c r="H26" i="1" s="1"/>
  <c r="M27" i="1"/>
  <c r="N27" i="1" s="1"/>
  <c r="J27" i="1"/>
  <c r="F27" i="1"/>
  <c r="G27" i="1" s="1"/>
  <c r="H27" i="1" s="1"/>
  <c r="I27" i="1"/>
  <c r="M28" i="1"/>
  <c r="N28" i="1" s="1"/>
  <c r="J28" i="1"/>
  <c r="F28" i="1"/>
  <c r="G28" i="1" s="1"/>
  <c r="H28" i="1" s="1"/>
  <c r="I28" i="1"/>
  <c r="F25" i="1"/>
  <c r="G25" i="1" s="1"/>
  <c r="H25" i="1" s="1"/>
  <c r="J25" i="1"/>
  <c r="I25" i="1"/>
  <c r="M24" i="1"/>
  <c r="N24" i="1" s="1"/>
  <c r="I24" i="1"/>
  <c r="F24" i="1"/>
  <c r="G24" i="1" s="1"/>
  <c r="H24" i="1" s="1"/>
  <c r="J24" i="1"/>
  <c r="A3" i="4"/>
  <c r="B4" i="1"/>
  <c r="F34" i="1" l="1"/>
  <c r="G34" i="1" s="1"/>
  <c r="H34" i="1" s="1"/>
  <c r="I34" i="1"/>
  <c r="J34" i="1"/>
  <c r="M34" i="1"/>
  <c r="N34" i="1" s="1"/>
  <c r="I35" i="1"/>
  <c r="J35" i="1"/>
  <c r="F35" i="1"/>
  <c r="G35" i="1" s="1"/>
  <c r="H35" i="1" s="1"/>
  <c r="M35" i="1"/>
  <c r="N35" i="1" s="1"/>
  <c r="J33" i="1"/>
  <c r="I33" i="1"/>
  <c r="F33" i="1"/>
  <c r="G33" i="1" s="1"/>
  <c r="H33" i="1" s="1"/>
  <c r="M33" i="1"/>
  <c r="N33" i="1" s="1"/>
  <c r="J36" i="1"/>
  <c r="F36" i="1"/>
  <c r="G36" i="1" s="1"/>
  <c r="H36" i="1" s="1"/>
  <c r="I36" i="1"/>
  <c r="M36" i="1"/>
  <c r="N36" i="1" s="1"/>
  <c r="A4" i="4"/>
  <c r="C4" i="1"/>
  <c r="M4" i="1" s="1"/>
  <c r="N4" i="1" s="1"/>
  <c r="B5" i="1"/>
  <c r="A5" i="4" l="1"/>
  <c r="C5" i="1"/>
  <c r="M5" i="1" s="1"/>
  <c r="N5" i="1" s="1"/>
  <c r="B6" i="1"/>
  <c r="A6" i="4" l="1"/>
  <c r="C6" i="1"/>
  <c r="M6" i="1" s="1"/>
  <c r="N6" i="1" s="1"/>
  <c r="B7" i="1"/>
  <c r="A7" i="4" l="1"/>
  <c r="C7" i="1"/>
  <c r="M7" i="1" s="1"/>
  <c r="N7" i="1" s="1"/>
  <c r="B8" i="1"/>
  <c r="A8" i="4" l="1"/>
  <c r="C8" i="1"/>
  <c r="M8" i="1" s="1"/>
  <c r="N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Stacey Brook</author>
  </authors>
  <commentList>
    <comment ref="I1" authorId="0" shapeId="0" xr:uid="{7E0DD7A6-BF20-46DB-B89E-2C5B333A7C2B}">
      <text>
        <r>
          <rPr>
            <b/>
            <sz val="9"/>
            <color rgb="FF000000"/>
            <rFont val="Tahoma"/>
            <family val="2"/>
          </rPr>
          <t>Stacey Brook: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Calculate as Assist Coach Salary / FTE.
</t>
        </r>
        <r>
          <rPr>
            <sz val="9"/>
            <color rgb="FF000000"/>
            <rFont val="Tahoma"/>
            <family val="2"/>
          </rPr>
          <t>NOTE:  STATA does not allow for "/" in variable names, hence the slight difference.</t>
        </r>
      </text>
    </comment>
    <comment ref="J1" authorId="0" shapeId="0" xr:uid="{41679C19-53BF-4FB3-B092-513ECA003815}">
      <text>
        <r>
          <rPr>
            <b/>
            <sz val="9"/>
            <color rgb="FF000000"/>
            <rFont val="Tahoma"/>
            <family val="2"/>
          </rPr>
          <t>Stacey Brook: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Assist Coach Salary / Position</t>
        </r>
      </text>
    </comment>
  </commentList>
</comments>
</file>

<file path=xl/sharedStrings.xml><?xml version="1.0" encoding="utf-8"?>
<sst xmlns="http://schemas.openxmlformats.org/spreadsheetml/2006/main" count="5933" uniqueCount="296">
  <si>
    <t>University</t>
  </si>
  <si>
    <t>FY</t>
  </si>
  <si>
    <t>Ticket Sales</t>
  </si>
  <si>
    <t>Guarantee</t>
  </si>
  <si>
    <t>Contributions</t>
  </si>
  <si>
    <t>Concessions</t>
  </si>
  <si>
    <t>Variable Revenue</t>
  </si>
  <si>
    <t>LnRealHeadCoachSalary</t>
  </si>
  <si>
    <t>RealVariableRevenue</t>
  </si>
  <si>
    <t>TotalRevenue</t>
  </si>
  <si>
    <t>RealTotalRevenue</t>
  </si>
  <si>
    <t>WinningPercentage</t>
  </si>
  <si>
    <t>HeadCoachSalary</t>
  </si>
  <si>
    <t>RealHeadCoachSalary</t>
  </si>
  <si>
    <t>AssistantCoachSalaryFTE</t>
  </si>
  <si>
    <t>AssistantCoachSalaryPositions</t>
  </si>
  <si>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</si>
  <si>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</si>
  <si>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</si>
  <si>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</si>
  <si>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</si>
  <si>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</si>
  <si>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</si>
  <si>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</si>
  <si>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</si>
  <si>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</si>
  <si>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</si>
  <si>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</si>
  <si>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</si>
  <si>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</si>
  <si>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</si>
  <si>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</si>
  <si>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</si>
  <si>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</si>
  <si>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</si>
  <si>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</si>
  <si>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</si>
  <si>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</si>
  <si>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</si>
  <si>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</si>
  <si>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</si>
  <si>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</si>
  <si>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</si>
  <si>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</si>
  <si>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</si>
  <si>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</si>
  <si>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unitid</t>
  </si>
  <si>
    <t>Univeristy</t>
  </si>
  <si>
    <t>Akron</t>
  </si>
  <si>
    <t>Alabama</t>
  </si>
  <si>
    <t>Alabama A&amp;M</t>
  </si>
  <si>
    <t>Alabama State</t>
  </si>
  <si>
    <t>Albany</t>
  </si>
  <si>
    <t>Alcorn State</t>
  </si>
  <si>
    <t>Appalachian State</t>
  </si>
  <si>
    <t>Arizona</t>
  </si>
  <si>
    <t>Arizona State</t>
  </si>
  <si>
    <t>Arkansas</t>
  </si>
  <si>
    <t>Arkansas Little Rock</t>
  </si>
  <si>
    <t>Arkansas Pine Bluff</t>
  </si>
  <si>
    <t>Arkansas State</t>
  </si>
  <si>
    <t>Army</t>
  </si>
  <si>
    <t>Auburn</t>
  </si>
  <si>
    <t>Austin Peay State</t>
  </si>
  <si>
    <t>Ball State</t>
  </si>
  <si>
    <t>Binghamton</t>
  </si>
  <si>
    <t>Boise State</t>
  </si>
  <si>
    <t>Bowling Green</t>
  </si>
  <si>
    <t>Buffalo</t>
  </si>
  <si>
    <t>Cal Poly</t>
  </si>
  <si>
    <t>Cal State Bakersfield</t>
  </si>
  <si>
    <t>Cal State Fullerton</t>
  </si>
  <si>
    <t>Cal State Northridge</t>
  </si>
  <si>
    <t>California</t>
  </si>
  <si>
    <t>Central Arkansas</t>
  </si>
  <si>
    <t>Central Connecticut State</t>
  </si>
  <si>
    <t>Central Michigan</t>
  </si>
  <si>
    <t>Charlotte</t>
  </si>
  <si>
    <t>Chicago State</t>
  </si>
  <si>
    <t>Cincinnati</t>
  </si>
  <si>
    <t>Citadel</t>
  </si>
  <si>
    <t>Clemson</t>
  </si>
  <si>
    <t>Cleveland State</t>
  </si>
  <si>
    <t>Coastal Carolina</t>
  </si>
  <si>
    <t>College of Charleston</t>
  </si>
  <si>
    <t>Colorado</t>
  </si>
  <si>
    <t>Colorado State</t>
  </si>
  <si>
    <t>Connecticut</t>
  </si>
  <si>
    <t>Coppin State</t>
  </si>
  <si>
    <t>East Carolina</t>
  </si>
  <si>
    <t>East Tennessee State</t>
  </si>
  <si>
    <t>Eastern Illinois</t>
  </si>
  <si>
    <t>Eastern Kentucky</t>
  </si>
  <si>
    <t>Eastern Michigan</t>
  </si>
  <si>
    <t>Eastern Washington</t>
  </si>
  <si>
    <t>Florida</t>
  </si>
  <si>
    <t>Florida Atlantic</t>
  </si>
  <si>
    <t>Florida Gulf Coast</t>
  </si>
  <si>
    <t>Florida International</t>
  </si>
  <si>
    <t>Florida State</t>
  </si>
  <si>
    <t>Fresno State</t>
  </si>
  <si>
    <t>George Mason</t>
  </si>
  <si>
    <t>Georgia</t>
  </si>
  <si>
    <t>Georgia Southern</t>
  </si>
  <si>
    <t>Georgia State</t>
  </si>
  <si>
    <t>Georgia Tech</t>
  </si>
  <si>
    <t>Grambling State</t>
  </si>
  <si>
    <t>Hawaii</t>
  </si>
  <si>
    <t>Houston</t>
  </si>
  <si>
    <t>Idaho</t>
  </si>
  <si>
    <t>Idaho State</t>
  </si>
  <si>
    <t>Illinois</t>
  </si>
  <si>
    <t>Illinois Chicago</t>
  </si>
  <si>
    <t>Illinois State</t>
  </si>
  <si>
    <t>Indiana</t>
  </si>
  <si>
    <t>Indiana State</t>
  </si>
  <si>
    <t>Iowa</t>
  </si>
  <si>
    <t>Iowa State</t>
  </si>
  <si>
    <t>IUPUI</t>
  </si>
  <si>
    <t>Jackson State</t>
  </si>
  <si>
    <t>Jacksonville State</t>
  </si>
  <si>
    <t>James Madison</t>
  </si>
  <si>
    <t>Kansas</t>
  </si>
  <si>
    <t>Kansas State</t>
  </si>
  <si>
    <t>Kennessaw State</t>
  </si>
  <si>
    <t>Kent State</t>
  </si>
  <si>
    <t>Kentucky</t>
  </si>
  <si>
    <t>Lamar</t>
  </si>
  <si>
    <t>Long Beach State</t>
  </si>
  <si>
    <t>Longwood</t>
  </si>
  <si>
    <t>Louisiana LaFayette</t>
  </si>
  <si>
    <t>Louisiana Monroe</t>
  </si>
  <si>
    <t>Louisiana Tech</t>
  </si>
  <si>
    <t>Louisville</t>
  </si>
  <si>
    <t>LSU</t>
  </si>
  <si>
    <t>Maine</t>
  </si>
  <si>
    <t>Marshall</t>
  </si>
  <si>
    <t>Maryland</t>
  </si>
  <si>
    <t>Maryland Baltimore County</t>
  </si>
  <si>
    <t>Maryland Eastern Shore</t>
  </si>
  <si>
    <t>Massachusetts</t>
  </si>
  <si>
    <t>Massachusetts Lowell</t>
  </si>
  <si>
    <t>McNeese State</t>
  </si>
  <si>
    <t>Memphis</t>
  </si>
  <si>
    <t>Miami (Ohio)</t>
  </si>
  <si>
    <t>Michigan</t>
  </si>
  <si>
    <t>Michigan State</t>
  </si>
  <si>
    <t>Middle Tennessee State</t>
  </si>
  <si>
    <t>Minnesota</t>
  </si>
  <si>
    <t>Mississippi</t>
  </si>
  <si>
    <t>Mississippi State</t>
  </si>
  <si>
    <t>Mississippi Valley State</t>
  </si>
  <si>
    <t>Missouri</t>
  </si>
  <si>
    <t>Missouri Kansas City</t>
  </si>
  <si>
    <t>Missouri State</t>
  </si>
  <si>
    <t>Montana</t>
  </si>
  <si>
    <t>Montana State</t>
  </si>
  <si>
    <t>Morehead State</t>
  </si>
  <si>
    <t>Morgan State</t>
  </si>
  <si>
    <t>Murray State</t>
  </si>
  <si>
    <t>Navy</t>
  </si>
  <si>
    <t>Nebraska</t>
  </si>
  <si>
    <t>Nebraska Omaha</t>
  </si>
  <si>
    <t>Nevada</t>
  </si>
  <si>
    <t>New Hampshire</t>
  </si>
  <si>
    <t>New Mexico</t>
  </si>
  <si>
    <t>New Mexico State</t>
  </si>
  <si>
    <t>New Orleans</t>
  </si>
  <si>
    <t>Nicholls State</t>
  </si>
  <si>
    <t>NJIT</t>
  </si>
  <si>
    <t>Norfolk State</t>
  </si>
  <si>
    <t>North Alabama</t>
  </si>
  <si>
    <t>North Carolina</t>
  </si>
  <si>
    <t>North Carolina A&amp;T</t>
  </si>
  <si>
    <t>North Carolina Central</t>
  </si>
  <si>
    <t>North Carolina State</t>
  </si>
  <si>
    <t>North Carolina Wilmington</t>
  </si>
  <si>
    <t>North Dakota</t>
  </si>
  <si>
    <t>North Dakota State</t>
  </si>
  <si>
    <t>North Florida</t>
  </si>
  <si>
    <t>North Texas</t>
  </si>
  <si>
    <t>Northern Arizona</t>
  </si>
  <si>
    <t>Northern Colorado</t>
  </si>
  <si>
    <t>Northern Illinois</t>
  </si>
  <si>
    <t>Northern Iowa</t>
  </si>
  <si>
    <t>Northwestern State</t>
  </si>
  <si>
    <t>Oakland</t>
  </si>
  <si>
    <t>Ohio</t>
  </si>
  <si>
    <t>Ohio State</t>
  </si>
  <si>
    <t>Oklahoma</t>
  </si>
  <si>
    <t>Oklahoma State</t>
  </si>
  <si>
    <t>Old Dominion</t>
  </si>
  <si>
    <t>Oregon</t>
  </si>
  <si>
    <t>Oregon State</t>
  </si>
  <si>
    <t>Penn State</t>
  </si>
  <si>
    <t>Portland State</t>
  </si>
  <si>
    <t>Prairie View A&amp;M</t>
  </si>
  <si>
    <t>Purdue</t>
  </si>
  <si>
    <t>Purdue Fort Wayne</t>
  </si>
  <si>
    <t>Radford</t>
  </si>
  <si>
    <t>Rhode Island</t>
  </si>
  <si>
    <t>Rutgers</t>
  </si>
  <si>
    <t>Sacramento State</t>
  </si>
  <si>
    <t>Sam Houston State</t>
  </si>
  <si>
    <t>San Diego State</t>
  </si>
  <si>
    <t>San Jose State</t>
  </si>
  <si>
    <t>Savannah State</t>
  </si>
  <si>
    <t>South Alabama</t>
  </si>
  <si>
    <t>South Carolina</t>
  </si>
  <si>
    <t>South Carolina State</t>
  </si>
  <si>
    <t>South Carolina Upstate</t>
  </si>
  <si>
    <t>South Dakota</t>
  </si>
  <si>
    <t>South Dakota State</t>
  </si>
  <si>
    <t>South Florida</t>
  </si>
  <si>
    <t>Southeast Missouri State</t>
  </si>
  <si>
    <t>Southeastern Louisiana</t>
  </si>
  <si>
    <t>Southern</t>
  </si>
  <si>
    <t>Southern Illinois</t>
  </si>
  <si>
    <t>Southern Illinois Edwardsville</t>
  </si>
  <si>
    <t>Southern Mississippi</t>
  </si>
  <si>
    <t>Southern Utah</t>
  </si>
  <si>
    <t>Stephen F. Austin</t>
  </si>
  <si>
    <t>Stony Brook</t>
  </si>
  <si>
    <t>Tennessee</t>
  </si>
  <si>
    <t>Tennessee Chattanooga</t>
  </si>
  <si>
    <t>Tennessee Martin</t>
  </si>
  <si>
    <t>Tennessee State</t>
  </si>
  <si>
    <t>Tennessee Tech</t>
  </si>
  <si>
    <t>Texas</t>
  </si>
  <si>
    <t>Texas A&amp;M</t>
  </si>
  <si>
    <t>Texas A&amp;M Corpus Christi</t>
  </si>
  <si>
    <t>Texas Arlington</t>
  </si>
  <si>
    <t>Texas Southern</t>
  </si>
  <si>
    <t>Texas State</t>
  </si>
  <si>
    <t>Texas Tech</t>
  </si>
  <si>
    <t>Toledo</t>
  </si>
  <si>
    <t>Towson</t>
  </si>
  <si>
    <t>Troy</t>
  </si>
  <si>
    <t>UAB</t>
  </si>
  <si>
    <t>UC Davis</t>
  </si>
  <si>
    <t>UC Irvine</t>
  </si>
  <si>
    <t>UC Riverside</t>
  </si>
  <si>
    <t>UC Santa Barbara</t>
  </si>
  <si>
    <t>UCF</t>
  </si>
  <si>
    <t>UCLA</t>
  </si>
  <si>
    <t>UNLV</t>
  </si>
  <si>
    <t>Utah</t>
  </si>
  <si>
    <t>Utah State</t>
  </si>
  <si>
    <t>Utah Valley</t>
  </si>
  <si>
    <t>UTEP</t>
  </si>
  <si>
    <t>UTRGV</t>
  </si>
  <si>
    <t>UTSA</t>
  </si>
  <si>
    <t>VCU</t>
  </si>
  <si>
    <t>Vermont</t>
  </si>
  <si>
    <t>Virginia</t>
  </si>
  <si>
    <t>Virginia Tech</t>
  </si>
  <si>
    <t>VMI</t>
  </si>
  <si>
    <t>Washington</t>
  </si>
  <si>
    <t>Washington State</t>
  </si>
  <si>
    <t>Weber State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</si>
  <si>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</si>
  <si>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</si>
  <si>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</si>
  <si>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</si>
  <si>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</si>
  <si>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</si>
  <si>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</si>
  <si>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</si>
  <si>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</t>
  </si>
  <si>
    <t>Wisconsin Green Bay</t>
  </si>
  <si>
    <t>Wisconsin Milwaukee</t>
  </si>
  <si>
    <t>Wright State</t>
  </si>
  <si>
    <t>Wyoming</t>
  </si>
  <si>
    <t>Youngstown State</t>
  </si>
  <si>
    <t>RA6</t>
  </si>
  <si>
    <t>North Carolina Asheville</t>
  </si>
  <si>
    <t>North Carolina Greensboro</t>
  </si>
  <si>
    <t>Total Revenue</t>
  </si>
  <si>
    <t>College Of Charleston</t>
  </si>
  <si>
    <t>Kennesaw State</t>
  </si>
  <si>
    <t>Louisiana Lafayette</t>
  </si>
  <si>
    <t>SIU Edwardsville</t>
  </si>
  <si>
    <t>Air Force</t>
  </si>
  <si>
    <t>Utah Valley State</t>
  </si>
  <si>
    <t>Volleyball</t>
  </si>
  <si>
    <t>Female</t>
  </si>
  <si>
    <t xml:space="preserve">Volleyball </t>
  </si>
  <si>
    <t>Coaching Other Comp</t>
  </si>
  <si>
    <t>Coaching Salaries</t>
  </si>
  <si>
    <t>FTE</t>
  </si>
  <si>
    <t>Number of Positions</t>
  </si>
  <si>
    <t>Sport</t>
  </si>
  <si>
    <t>Gender</t>
  </si>
  <si>
    <t>Male</t>
  </si>
  <si>
    <t>Women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</si>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</sst>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0.000"/>
    <numFmt numFmtId="165" formatCode="0.000"/>
  </numFmts>
  <fonts count="2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Helv"/>
    </font>
    <font>
      <sz val="12"/>
      <color rgb="FF231F20"/>
      <name val="Times New Roman"/>
      <family val="1"/>
    </font>
    <font>
      <sz val="12"/>
      <color theme="1"/>
      <name val="Times New Roman"/>
      <family val="1"/>
    </font>
    <font>
      <sz val="11"/>
      <color rgb="FF231F20"/>
      <name val="Calibri"/>
      <family val="2"/>
      <scheme val="minor"/>
    </font>
    <font>
      <sz val="11"/>
      <color rgb="FF231F1F"/>
      <name val="Calibri"/>
      <family val="2"/>
      <scheme val="minor"/>
    </font>
    <font>
      <sz val="11"/>
      <name val="Calibri"/>
      <family val="2"/>
      <scheme val="minor"/>
    </font>
    <font>
      <sz val="11"/>
      <color rgb="FF161616"/>
      <name val="Calibri"/>
      <family val="2"/>
      <scheme val="minor"/>
    </font>
    <font>
      <sz val="11"/>
      <color rgb="FF181717"/>
      <name val="Calibri"/>
      <family val="2"/>
      <scheme val="minor"/>
    </font>
    <font>
      <sz val="11"/>
      <color rgb="FF181616"/>
      <name val="Calibri"/>
      <family val="2"/>
      <scheme val="minor"/>
    </font>
    <font>
      <sz val="11"/>
      <color rgb="FF252525"/>
      <name val="Calibri"/>
      <family val="2"/>
      <scheme val="minor"/>
    </font>
    <font>
      <sz val="11"/>
      <color rgb="FF4C4D4F"/>
      <name val="Calibri"/>
      <family val="2"/>
      <scheme val="minor"/>
    </font>
    <font>
      <sz val="11"/>
      <color rgb="FF2B2D3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2C2D3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/>
      <bottom style="medium">
        <color rgb="FFDEDFE0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</cellStyleXfs>
  <cellXfs count="86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0" fillId="0" borderId="0" xfId="2" applyNumberFormat="1" applyFont="1"/>
    <xf numFmtId="0" fontId="0" fillId="0" borderId="2" xfId="2" applyNumberFormat="1" applyFont="1" applyBorder="1"/>
    <xf numFmtId="0" fontId="0" fillId="0" borderId="2" xfId="0" applyBorder="1"/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/>
    </xf>
    <xf numFmtId="0" fontId="0" fillId="0" borderId="3" xfId="0" applyBorder="1"/>
    <xf numFmtId="0" fontId="6" fillId="0" borderId="0" xfId="0" applyFont="1" applyAlignment="1">
      <alignment horizontal="right" vertical="center" wrapText="1"/>
    </xf>
    <xf numFmtId="0" fontId="0" fillId="0" borderId="0" xfId="1" applyNumberFormat="1" applyFont="1"/>
    <xf numFmtId="0" fontId="6" fillId="0" borderId="0" xfId="0" applyFont="1" applyAlignment="1">
      <alignment horizontal="right" vertical="center"/>
    </xf>
    <xf numFmtId="0" fontId="0" fillId="0" borderId="2" xfId="1" applyNumberFormat="1" applyFont="1" applyBorder="1"/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2" xfId="0" applyFont="1" applyBorder="1"/>
    <xf numFmtId="0" fontId="11" fillId="0" borderId="2" xfId="0" applyFont="1" applyBorder="1" applyAlignment="1">
      <alignment horizontal="right" vertical="center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0" fillId="0" borderId="2" xfId="0" applyBorder="1" applyAlignment="1">
      <alignment horizontal="right"/>
    </xf>
    <xf numFmtId="0" fontId="12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0" fontId="0" fillId="0" borderId="2" xfId="1" applyNumberFormat="1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right" vertical="center" wrapText="1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7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left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horizontal="right" wrapText="1"/>
    </xf>
    <xf numFmtId="3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0" fillId="0" borderId="0" xfId="2" applyNumberFormat="1" applyFont="1" applyFill="1" applyBorder="1" applyAlignment="1" applyProtection="1">
      <alignment horizontal="right"/>
      <protection locked="0"/>
    </xf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17" fillId="0" borderId="0" xfId="0" applyFont="1"/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0" xfId="1" applyNumberFormat="1" applyFont="1" applyAlignment="1">
      <alignment horizontal="right"/>
    </xf>
    <xf numFmtId="0" fontId="1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8" fillId="0" borderId="0" xfId="0" applyFont="1" applyAlignment="1">
      <alignment horizontal="right" vertical="center" indent="1"/>
    </xf>
    <xf numFmtId="0" fontId="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0" fillId="3" borderId="0" xfId="0" applyFill="1"/>
    <xf numFmtId="0" fontId="0" fillId="2" borderId="0" xfId="0" applyFill="1"/>
    <xf numFmtId="165" fontId="17" fillId="0" borderId="0" xfId="3" applyNumberFormat="1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Normal 2" xfId="3" xr:uid="{1F22833A-E11E-44C1-9993-66C4A2372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AF9F-02E0-4BB1-BD4E-D5DE30849F32}">
  <dimension ref="A1:N57"/>
  <sheetViews>
    <sheetView tabSelected="1" zoomScaleNormal="86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/>
  <cols>
    <col min="1" max="1" width="4.1640625" customWidth="1"/>
    <col min="2" max="2" width="15.83203125" customWidth="1"/>
    <col min="4" max="4" width="5.6640625" customWidth="1"/>
    <col min="5" max="5" width="18.5" customWidth="1"/>
    <col min="6" max="6" width="16.1640625" customWidth="1"/>
    <col min="7" max="7" width="20.5" customWidth="1"/>
    <col min="8" max="8" width="22.5" bestFit="1" customWidth="1"/>
    <col min="9" max="9" width="22.33203125" customWidth="1"/>
    <col min="10" max="10" width="27.6640625" customWidth="1"/>
    <col min="11" max="11" width="16.83203125" bestFit="1" customWidth="1"/>
    <col min="12" max="12" width="20.5" customWidth="1"/>
    <col min="13" max="13" width="13.5" bestFit="1" customWidth="1"/>
    <col min="14" max="14" width="17.5" bestFit="1" customWidth="1"/>
  </cols>
  <sheetData>
    <row r="1" spans="1:14">
      <c r="A1" t="s">
        <v>274</v>
      </c>
      <c r="B1" t="s">
        <v>0</v>
      </c>
      <c r="C1" t="s">
        <v>46</v>
      </c>
      <c r="D1" t="s">
        <v>1</v>
      </c>
      <c r="E1" t="s">
        <v>11</v>
      </c>
      <c r="F1" t="s">
        <v>12</v>
      </c>
      <c r="G1" t="s">
        <v>13</v>
      </c>
      <c r="H1" t="s">
        <v>7</v>
      </c>
      <c r="I1" t="s">
        <v>14</v>
      </c>
      <c r="J1" t="s">
        <v>15</v>
      </c>
      <c r="K1" t="s">
        <v>6</v>
      </c>
      <c r="L1" t="s">
        <v>8</v>
      </c>
      <c r="M1" t="s">
        <v>9</v>
      </c>
      <c r="N1" t="s">
        <v>10</v>
      </c>
    </row>
    <row r="2" spans="1:14">
      <c r="A2" s="78">
        <v>2</v>
      </c>
      <c r="B2" s="79" t="s">
        <v>55</v>
      </c>
      <c r="C2">
        <f>VLOOKUP(B2,unitid!A:B,2,FALSE)</f>
        <v>104179</v>
      </c>
      <c r="D2">
        <v>2017</v>
      </c>
      <c r="E2" s="80">
        <v>0.57099999999999995</v>
      </c>
      <c r="F2" s="45">
        <v>204778</v>
      </c>
      <c r="G2">
        <f>F2/VLOOKUP($D2,CPI!$P$16:$R$22,3,FALSE)</f>
        <v>252904.81532124631</v>
      </c>
      <c r="H2">
        <f>LN(G2)</f>
        <v>12.440768472892948</v>
      </c>
      <c r="I2" s="45">
        <f>196452/2</f>
        <v>98226</v>
      </c>
      <c r="J2" s="45">
        <f>196452/2</f>
        <v>98226</v>
      </c>
      <c r="K2">
        <v>37645754</v>
      </c>
      <c r="L2">
        <f>K2/VLOOKUP($D2,CPI!$P$16:$R$22,3,FALSE)</f>
        <v>46493238.839128569</v>
      </c>
      <c r="M2">
        <f>IFERROR(IF(VLOOKUP(C2,'2017'!A:C,3,FALSE)="","",VLOOKUP(C2,'2017'!A:C,3,FALSE)),"")</f>
        <v>580596</v>
      </c>
      <c r="N2">
        <f>M2/VLOOKUP($D2,CPI!$P$16:$R$22,3,FALSE)</f>
        <v>717047.35936601751</v>
      </c>
    </row>
    <row r="3" spans="1:14">
      <c r="A3">
        <f>IF(ISBLANK(A$2),"",$A$2)</f>
        <v>2</v>
      </c>
      <c r="B3" t="str">
        <f t="shared" ref="B3:B8" si="0">B2</f>
        <v>Arizona</v>
      </c>
      <c r="C3">
        <f>VLOOKUP(B3,unitid!A:B,2,FALSE)</f>
        <v>104179</v>
      </c>
      <c r="D3">
        <f>IF(D2=2023,2017,D2+1)</f>
        <v>2018</v>
      </c>
      <c r="E3" s="80">
        <v>0.379</v>
      </c>
      <c r="F3" s="45">
        <v>199320</v>
      </c>
      <c r="G3">
        <f>F3/VLOOKUP($D3,CPI!$P$16:$R$22,3,FALSE)</f>
        <v>240737.82618508342</v>
      </c>
      <c r="H3">
        <f t="shared" ref="H3:H57" si="1">LN(G3)</f>
        <v>12.391463762172444</v>
      </c>
      <c r="I3" s="45">
        <f>200376/2</f>
        <v>100188</v>
      </c>
      <c r="J3" s="45">
        <f>200376/2</f>
        <v>100188</v>
      </c>
      <c r="K3">
        <v>39962452</v>
      </c>
      <c r="L3">
        <f>K3/VLOOKUP($D3,CPI!$P$16:$R$22,3,FALSE)</f>
        <v>48266475.132980831</v>
      </c>
      <c r="M3">
        <f>IFERROR(IF(VLOOKUP(C3,'2018'!A:C,3,FALSE)="","",VLOOKUP(C3,'2018'!A:C,3,FALSE)),"")</f>
        <v>574321</v>
      </c>
      <c r="N3">
        <f>M3/VLOOKUP($D3,CPI!$P$16:$R$22,3,FALSE)</f>
        <v>693662.39751376328</v>
      </c>
    </row>
    <row r="4" spans="1:14">
      <c r="A4">
        <f t="shared" ref="A4:A57" si="2">IF(ISBLANK(A$2),"",$A$2)</f>
        <v>2</v>
      </c>
      <c r="B4" t="str">
        <f t="shared" si="0"/>
        <v>Arizona</v>
      </c>
      <c r="C4">
        <f>VLOOKUP(B4,unitid!A:B,2,FALSE)</f>
        <v>104179</v>
      </c>
      <c r="D4">
        <f t="shared" ref="D4:D29" si="3">IF(D3=2023,2017,D3+1)</f>
        <v>2019</v>
      </c>
      <c r="E4" s="80">
        <v>0.66700000000000004</v>
      </c>
      <c r="F4">
        <v>200474</v>
      </c>
      <c r="G4">
        <f>F4/VLOOKUP($D4,CPI!$P$16:$R$22,3,FALSE)</f>
        <v>237215.25150976138</v>
      </c>
      <c r="H4">
        <f t="shared" si="1"/>
        <v>12.376723242140534</v>
      </c>
      <c r="I4">
        <f>201786/2</f>
        <v>100893</v>
      </c>
      <c r="J4">
        <f>201786/2</f>
        <v>100893</v>
      </c>
      <c r="K4">
        <v>37930861</v>
      </c>
      <c r="L4">
        <f>K4/VLOOKUP($D4,CPI!$P$16:$R$22,3,FALSE)</f>
        <v>44882522.083146937</v>
      </c>
      <c r="M4">
        <f>IFERROR(IF(VLOOKUP(C4,'2019'!A:C,3,FALSE)="","",VLOOKUP(C4,'2019'!A:C,3,FALSE)),"")</f>
        <v>564020</v>
      </c>
      <c r="N4">
        <f>M4/VLOOKUP($D4,CPI!$P$16:$R$22,3,FALSE)</f>
        <v>667389.01880810293</v>
      </c>
    </row>
    <row r="5" spans="1:14">
      <c r="A5">
        <f t="shared" si="2"/>
        <v>2</v>
      </c>
      <c r="B5" t="str">
        <f t="shared" si="0"/>
        <v>Arizona</v>
      </c>
      <c r="C5">
        <f>VLOOKUP(B5,unitid!A:B,2,FALSE)</f>
        <v>104179</v>
      </c>
      <c r="D5">
        <f t="shared" si="3"/>
        <v>2020</v>
      </c>
      <c r="E5" s="80">
        <v>0.46899999999999997</v>
      </c>
      <c r="F5" s="46">
        <v>237177</v>
      </c>
      <c r="G5">
        <f>F5/VLOOKUP($D5,CPI!$P$16:$R$22,3,FALSE)</f>
        <v>276322.77663375193</v>
      </c>
      <c r="H5">
        <f t="shared" si="1"/>
        <v>12.529324941946665</v>
      </c>
      <c r="I5" s="46">
        <f>191055/2</f>
        <v>95527.5</v>
      </c>
      <c r="J5" s="46">
        <f>191055/2</f>
        <v>95527.5</v>
      </c>
      <c r="K5">
        <v>38935371</v>
      </c>
      <c r="L5">
        <f>K5/VLOOKUP($D5,CPI!$P$16:$R$22,3,FALSE)</f>
        <v>45361606.833652765</v>
      </c>
      <c r="M5">
        <f>IFERROR(IF(VLOOKUP(C5,'2020'!A:C,3,FALSE)="","",VLOOKUP(C5,'2020'!A:C,3,FALSE)),"")</f>
        <v>515627</v>
      </c>
      <c r="N5">
        <f>M5/VLOOKUP($D5,CPI!$P$16:$R$22,3,FALSE)</f>
        <v>600730.61193678807</v>
      </c>
    </row>
    <row r="6" spans="1:14">
      <c r="A6">
        <f t="shared" si="2"/>
        <v>2</v>
      </c>
      <c r="B6" t="str">
        <f t="shared" si="0"/>
        <v>Arizona</v>
      </c>
      <c r="C6">
        <f>VLOOKUP(B6,unitid!A:B,2,FALSE)</f>
        <v>104179</v>
      </c>
      <c r="D6">
        <f t="shared" si="3"/>
        <v>2021</v>
      </c>
      <c r="E6" s="80">
        <v>0.47599999999999998</v>
      </c>
      <c r="F6" s="30">
        <v>214998</v>
      </c>
      <c r="G6">
        <f>F6/VLOOKUP($D6,CPI!$P$16:$R$22,3,FALSE)</f>
        <v>244847.65610933676</v>
      </c>
      <c r="H6">
        <f t="shared" si="1"/>
        <v>12.408391484323104</v>
      </c>
      <c r="I6" s="30">
        <f>170898/2</f>
        <v>85449</v>
      </c>
      <c r="J6" s="30">
        <f>170898/2</f>
        <v>85449</v>
      </c>
      <c r="K6">
        <v>15156873</v>
      </c>
      <c r="L6">
        <f>K6/VLOOKUP($D6,CPI!$P$16:$R$22,3,FALSE)</f>
        <v>17261206.280974202</v>
      </c>
      <c r="M6">
        <f>IFERROR(IF(VLOOKUP(C6,'2021'!A:C,3,FALSE)="","",VLOOKUP(C6,'2021'!A:C,3,FALSE)),"")</f>
        <v>440705</v>
      </c>
      <c r="N6">
        <f>M6/VLOOKUP($D6,CPI!$P$16:$R$22,3,FALSE)</f>
        <v>501891.11659487651</v>
      </c>
    </row>
    <row r="7" spans="1:14">
      <c r="A7">
        <f t="shared" si="2"/>
        <v>2</v>
      </c>
      <c r="B7" t="str">
        <f t="shared" si="0"/>
        <v>Arizona</v>
      </c>
      <c r="C7">
        <f>VLOOKUP(B7,unitid!A:B,2,FALSE)</f>
        <v>104179</v>
      </c>
      <c r="D7">
        <f t="shared" si="3"/>
        <v>2022</v>
      </c>
      <c r="E7" s="80">
        <v>0.51500000000000001</v>
      </c>
      <c r="F7" s="47">
        <v>238342</v>
      </c>
      <c r="G7">
        <f>F7/VLOOKUP($D7,CPI!$P$16:$R$22,3,FALSE)</f>
        <v>253267.05590284555</v>
      </c>
      <c r="H7">
        <f t="shared" si="1"/>
        <v>12.442199767929409</v>
      </c>
      <c r="I7" s="47">
        <f>195155/2</f>
        <v>97577.5</v>
      </c>
      <c r="J7" s="47">
        <f>195155/2</f>
        <v>97577.5</v>
      </c>
      <c r="K7">
        <v>43066175</v>
      </c>
      <c r="L7">
        <f>K7/VLOOKUP($D7,CPI!$P$16:$R$22,3,FALSE)</f>
        <v>45762993.308970846</v>
      </c>
      <c r="M7">
        <f>IFERROR(IF(VLOOKUP(C7,'2022'!A:C,3,FALSE)="","",VLOOKUP(C7,'2022'!A:C,3,FALSE)),"")</f>
        <v>602965</v>
      </c>
      <c r="N7">
        <f>M7/VLOOKUP($D7,CPI!$P$16:$R$22,3,FALSE)</f>
        <v>640722.8703395091</v>
      </c>
    </row>
    <row r="8" spans="1:14">
      <c r="A8">
        <f t="shared" si="2"/>
        <v>2</v>
      </c>
      <c r="B8" t="str">
        <f t="shared" si="0"/>
        <v>Arizona</v>
      </c>
      <c r="C8">
        <f>VLOOKUP(B8,unitid!A:B,2,FALSE)</f>
        <v>104179</v>
      </c>
      <c r="D8">
        <f t="shared" si="3"/>
        <v>2023</v>
      </c>
      <c r="E8" s="80">
        <v>0.51600000000000001</v>
      </c>
      <c r="F8" s="23">
        <v>269428</v>
      </c>
      <c r="G8">
        <f>F8/VLOOKUP($D8,CPI!$P$16:$R$22,3,FALSE)</f>
        <v>269428</v>
      </c>
      <c r="H8">
        <f t="shared" si="1"/>
        <v>12.504056472227203</v>
      </c>
      <c r="I8" s="23">
        <f>248402/2</f>
        <v>124201</v>
      </c>
      <c r="J8" s="23">
        <f>248402/2</f>
        <v>124201</v>
      </c>
      <c r="K8">
        <v>46328302</v>
      </c>
      <c r="L8">
        <f>K8/VLOOKUP($D8,CPI!$P$16:$R$22,3,FALSE)</f>
        <v>46328302</v>
      </c>
      <c r="M8">
        <f>IFERROR(IF(VLOOKUP(C8,'2023'!A:C,3,FALSE)="","",VLOOKUP(C8,'2023'!A:C,3,FALSE)),"")</f>
        <v>606900</v>
      </c>
      <c r="N8">
        <f>M8/VLOOKUP($D8,CPI!$P$16:$R$22,3,FALSE)</f>
        <v>606900</v>
      </c>
    </row>
    <row r="9" spans="1:14">
      <c r="A9">
        <f t="shared" si="2"/>
        <v>2</v>
      </c>
      <c r="B9" s="79" t="s">
        <v>73</v>
      </c>
      <c r="C9">
        <f>VLOOKUP(B9,unitid!A:B,2,FALSE)</f>
        <v>110635</v>
      </c>
      <c r="D9">
        <f t="shared" si="3"/>
        <v>2017</v>
      </c>
      <c r="E9" s="80">
        <v>0.3</v>
      </c>
      <c r="F9">
        <v>246530</v>
      </c>
      <c r="G9">
        <f>F9/VLOOKUP($D9,CPI!$P$16:$R$22,3,FALSE)</f>
        <v>304469.34788476716</v>
      </c>
      <c r="H9">
        <f t="shared" si="1"/>
        <v>12.626325697304125</v>
      </c>
      <c r="I9">
        <f>273439/2</f>
        <v>136719.5</v>
      </c>
      <c r="J9">
        <f>273439/2</f>
        <v>136719.5</v>
      </c>
      <c r="K9">
        <v>36974162</v>
      </c>
      <c r="L9">
        <f>K9/VLOOKUP($D9,CPI!$P$16:$R$22,3,FALSE)</f>
        <v>45663809.6488287</v>
      </c>
      <c r="M9">
        <f>IFERROR(IF(VLOOKUP(C9,'2017'!A:C,3,FALSE)="","",VLOOKUP(C9,'2017'!A:C,3,FALSE)),"")</f>
        <v>106601</v>
      </c>
      <c r="N9">
        <f>M9/VLOOKUP($D9,CPI!$P$16:$R$22,3,FALSE)</f>
        <v>131654.30963316458</v>
      </c>
    </row>
    <row r="10" spans="1:14">
      <c r="A10">
        <f t="shared" si="2"/>
        <v>2</v>
      </c>
      <c r="B10" t="str">
        <f t="shared" ref="B10:B15" si="4">B9</f>
        <v>California</v>
      </c>
      <c r="C10">
        <f>VLOOKUP(B10,unitid!A:B,2,FALSE)</f>
        <v>110635</v>
      </c>
      <c r="D10">
        <f t="shared" si="3"/>
        <v>2018</v>
      </c>
      <c r="E10" s="80">
        <v>0.41899999999999998</v>
      </c>
      <c r="F10" s="46">
        <v>232227</v>
      </c>
      <c r="G10">
        <f>F10/VLOOKUP($D10,CPI!$P$16:$R$22,3,FALSE)</f>
        <v>280482.75718183507</v>
      </c>
      <c r="H10">
        <f t="shared" si="1"/>
        <v>12.544267530332911</v>
      </c>
      <c r="I10" s="46">
        <f>245718/2</f>
        <v>122859</v>
      </c>
      <c r="J10" s="46">
        <f>245718/2</f>
        <v>122859</v>
      </c>
      <c r="K10">
        <v>29520440</v>
      </c>
      <c r="L10">
        <f>K10/VLOOKUP($D10,CPI!$P$16:$R$22,3,FALSE)</f>
        <v>35654658.607401088</v>
      </c>
      <c r="M10">
        <f>IFERROR(IF(VLOOKUP(C10,'2018'!A:C,3,FALSE)="","",VLOOKUP(C10,'2018'!A:C,3,FALSE)),"")</f>
        <v>111908</v>
      </c>
      <c r="N10">
        <f>M10/VLOOKUP($D10,CPI!$P$16:$R$22,3,FALSE)</f>
        <v>135161.99404334897</v>
      </c>
    </row>
    <row r="11" spans="1:14">
      <c r="A11">
        <f t="shared" si="2"/>
        <v>2</v>
      </c>
      <c r="B11" t="str">
        <f t="shared" si="4"/>
        <v>California</v>
      </c>
      <c r="C11">
        <f>VLOOKUP(B11,unitid!A:B,2,FALSE)</f>
        <v>110635</v>
      </c>
      <c r="D11">
        <f t="shared" si="3"/>
        <v>2019</v>
      </c>
      <c r="E11" s="80">
        <v>0.48399999999999999</v>
      </c>
      <c r="F11">
        <v>267689</v>
      </c>
      <c r="G11">
        <f>F11/VLOOKUP($D11,CPI!$P$16:$R$22,3,FALSE)</f>
        <v>316748.87247920688</v>
      </c>
      <c r="H11">
        <f t="shared" si="1"/>
        <v>12.665864538521824</v>
      </c>
      <c r="I11">
        <f>243823/2</f>
        <v>121911.5</v>
      </c>
      <c r="J11">
        <f>243823/2</f>
        <v>121911.5</v>
      </c>
      <c r="K11">
        <v>27923976</v>
      </c>
      <c r="L11">
        <f>K11/VLOOKUP($D11,CPI!$P$16:$R$22,3,FALSE)</f>
        <v>33041656.22471014</v>
      </c>
      <c r="M11">
        <f>IFERROR(IF(VLOOKUP(C11,'2019'!A:C,3,FALSE)="","",VLOOKUP(C11,'2019'!A:C,3,FALSE)),"")</f>
        <v>115320</v>
      </c>
      <c r="N11">
        <f>M11/VLOOKUP($D11,CPI!$P$16:$R$22,3,FALSE)</f>
        <v>136454.9158699167</v>
      </c>
    </row>
    <row r="12" spans="1:14">
      <c r="A12">
        <f t="shared" si="2"/>
        <v>2</v>
      </c>
      <c r="B12" t="str">
        <f t="shared" si="4"/>
        <v>California</v>
      </c>
      <c r="C12">
        <f>VLOOKUP(B12,unitid!A:B,2,FALSE)</f>
        <v>110635</v>
      </c>
      <c r="D12">
        <f t="shared" si="3"/>
        <v>2020</v>
      </c>
      <c r="E12" s="80">
        <v>0.66700000000000004</v>
      </c>
      <c r="F12" s="46">
        <v>268737</v>
      </c>
      <c r="G12">
        <f>F12/VLOOKUP($D12,CPI!$P$16:$R$22,3,FALSE)</f>
        <v>313091.71641527041</v>
      </c>
      <c r="H12">
        <f t="shared" si="1"/>
        <v>12.654251450290193</v>
      </c>
      <c r="I12" s="46">
        <f>252969/2</f>
        <v>126484.5</v>
      </c>
      <c r="J12" s="46">
        <f>252969/2</f>
        <v>126484.5</v>
      </c>
      <c r="K12">
        <v>23019539</v>
      </c>
      <c r="L12">
        <f>K12/VLOOKUP($D12,CPI!$P$16:$R$22,3,FALSE)</f>
        <v>26818886.035783153</v>
      </c>
      <c r="M12">
        <f>IFERROR(IF(VLOOKUP(C12,'2020'!A:C,3,FALSE)="","",VLOOKUP(C12,'2020'!A:C,3,FALSE)),"")</f>
        <v>103205</v>
      </c>
      <c r="N12">
        <f>M12/VLOOKUP($D12,CPI!$P$16:$R$22,3,FALSE)</f>
        <v>120238.86027096373</v>
      </c>
    </row>
    <row r="13" spans="1:14">
      <c r="A13">
        <f t="shared" si="2"/>
        <v>2</v>
      </c>
      <c r="B13" t="str">
        <f t="shared" si="4"/>
        <v>California</v>
      </c>
      <c r="C13">
        <f>VLOOKUP(B13,unitid!A:B,2,FALSE)</f>
        <v>110635</v>
      </c>
      <c r="D13">
        <f t="shared" si="3"/>
        <v>2021</v>
      </c>
      <c r="E13" s="80">
        <v>4.4999999999999998E-2</v>
      </c>
      <c r="F13" s="30">
        <v>261096</v>
      </c>
      <c r="G13">
        <f>F13/VLOOKUP($D13,CPI!$P$16:$R$22,3,FALSE)</f>
        <v>297345.75958624447</v>
      </c>
      <c r="H13">
        <f t="shared" si="1"/>
        <v>12.60265091435118</v>
      </c>
      <c r="I13" s="30">
        <f>254159/2</f>
        <v>127079.5</v>
      </c>
      <c r="J13" s="30">
        <f>254159/2</f>
        <v>127079.5</v>
      </c>
      <c r="K13">
        <v>12204906</v>
      </c>
      <c r="L13">
        <f>K13/VLOOKUP($D13,CPI!$P$16:$R$22,3,FALSE)</f>
        <v>13899397.329904376</v>
      </c>
      <c r="M13">
        <f>IFERROR(IF(VLOOKUP(C13,'2021'!A:C,3,FALSE)="","",VLOOKUP(C13,'2021'!A:C,3,FALSE)),"")</f>
        <v>104836</v>
      </c>
      <c r="N13">
        <f>M13/VLOOKUP($D13,CPI!$P$16:$R$22,3,FALSE)</f>
        <v>119391.10538646141</v>
      </c>
    </row>
    <row r="14" spans="1:14">
      <c r="A14">
        <f t="shared" si="2"/>
        <v>2</v>
      </c>
      <c r="B14" t="str">
        <f t="shared" si="4"/>
        <v>California</v>
      </c>
      <c r="C14">
        <f>VLOOKUP(B14,unitid!A:B,2,FALSE)</f>
        <v>110635</v>
      </c>
      <c r="D14">
        <f t="shared" si="3"/>
        <v>2022</v>
      </c>
      <c r="E14" s="80">
        <v>0.22600000000000001</v>
      </c>
      <c r="F14" s="30">
        <v>271797</v>
      </c>
      <c r="G14">
        <f>F14/VLOOKUP($D14,CPI!$P$16:$R$22,3,FALSE)</f>
        <v>288817.01921283582</v>
      </c>
      <c r="H14">
        <f t="shared" si="1"/>
        <v>12.573548615056826</v>
      </c>
      <c r="I14" s="30">
        <f>255397/2</f>
        <v>127698.5</v>
      </c>
      <c r="J14" s="30">
        <f>255397/2</f>
        <v>127698.5</v>
      </c>
      <c r="K14">
        <v>24851053</v>
      </c>
      <c r="L14">
        <f>K14/VLOOKUP($D14,CPI!$P$16:$R$22,3,FALSE)</f>
        <v>26407234.26586828</v>
      </c>
      <c r="M14">
        <f>IFERROR(IF(VLOOKUP(C14,'2022'!A:C,3,FALSE)="","",VLOOKUP(C14,'2022'!A:C,3,FALSE)),"")</f>
        <v>129740</v>
      </c>
      <c r="N14">
        <f>M14/VLOOKUP($D14,CPI!$P$16:$R$22,3,FALSE)</f>
        <v>137864.36227284817</v>
      </c>
    </row>
    <row r="15" spans="1:14">
      <c r="A15">
        <f t="shared" si="2"/>
        <v>2</v>
      </c>
      <c r="B15" t="str">
        <f t="shared" si="4"/>
        <v>California</v>
      </c>
      <c r="C15">
        <f>VLOOKUP(B15,unitid!A:B,2,FALSE)</f>
        <v>110635</v>
      </c>
      <c r="D15">
        <f t="shared" si="3"/>
        <v>2023</v>
      </c>
      <c r="E15" s="80">
        <v>0.23300000000000001</v>
      </c>
      <c r="F15">
        <v>273923</v>
      </c>
      <c r="G15">
        <f>F15/VLOOKUP($D15,CPI!$P$16:$R$22,3,FALSE)</f>
        <v>273923</v>
      </c>
      <c r="H15">
        <f t="shared" si="1"/>
        <v>12.520602323978345</v>
      </c>
      <c r="I15">
        <f>253981/2</f>
        <v>126990.5</v>
      </c>
      <c r="J15">
        <f>253981/2</f>
        <v>126990.5</v>
      </c>
      <c r="K15">
        <v>27598334</v>
      </c>
      <c r="L15">
        <f>K15/VLOOKUP($D15,CPI!$P$16:$R$22,3,FALSE)</f>
        <v>27598334</v>
      </c>
      <c r="M15">
        <f>IFERROR(IF(VLOOKUP(C15,'2023'!A:C,3,FALSE)="","",VLOOKUP(C15,'2023'!A:C,3,FALSE)),"")</f>
        <v>97083</v>
      </c>
      <c r="N15">
        <f>M15/VLOOKUP($D15,CPI!$P$16:$R$22,3,FALSE)</f>
        <v>97083</v>
      </c>
    </row>
    <row r="16" spans="1:14">
      <c r="A16">
        <f t="shared" si="2"/>
        <v>2</v>
      </c>
      <c r="B16" s="79" t="s">
        <v>85</v>
      </c>
      <c r="C16">
        <f>VLOOKUP(B16,unitid!A:B,2,FALSE)</f>
        <v>126614</v>
      </c>
      <c r="D16">
        <f t="shared" si="3"/>
        <v>2017</v>
      </c>
      <c r="E16" s="80">
        <v>0.46700000000000003</v>
      </c>
      <c r="F16">
        <f>VLOOKUP(C16,'2017 (2)'!$A:$L,7,FALSE)</f>
        <v>247268</v>
      </c>
      <c r="G16">
        <f>F16/VLOOKUP($D16,CPI!$P$16:$R$22,3,FALSE)</f>
        <v>305380.79224747745</v>
      </c>
      <c r="H16">
        <f t="shared" si="1"/>
        <v>12.629314776034608</v>
      </c>
      <c r="I16">
        <f>VLOOKUP($C16,'2017 (2)'!$A:$L,11,FALSE)/VLOOKUP($C16,'2017 (2)'!$A:$L,10,FALSE)</f>
        <v>123751</v>
      </c>
      <c r="J16">
        <f>VLOOKUP($C16,'2017 (2)'!$A:$L,11,FALSE)/VLOOKUP($C16,'2017 (2)'!$A:$L,9,FALSE)</f>
        <v>123751</v>
      </c>
      <c r="K16">
        <v>31470663</v>
      </c>
      <c r="L16">
        <f>K16/VLOOKUP($D16,CPI!$P$16:$R$22,3,FALSE)</f>
        <v>38866881.276563786</v>
      </c>
      <c r="M16">
        <f>IFERROR(IF(VLOOKUP(C16,'2017'!A:C,3,FALSE)="","",VLOOKUP(C16,'2017'!A:C,3,FALSE)),"")</f>
        <v>596075</v>
      </c>
      <c r="N16">
        <f>M16/VLOOKUP($D16,CPI!$P$16:$R$22,3,FALSE)</f>
        <v>736164.22561316111</v>
      </c>
    </row>
    <row r="17" spans="1:14">
      <c r="A17">
        <f t="shared" si="2"/>
        <v>2</v>
      </c>
      <c r="B17" t="str">
        <f t="shared" ref="B17:B22" si="5">B16</f>
        <v>Colorado</v>
      </c>
      <c r="C17">
        <f>VLOOKUP(B17,unitid!A:B,2,FALSE)</f>
        <v>126614</v>
      </c>
      <c r="D17">
        <f t="shared" si="3"/>
        <v>2018</v>
      </c>
      <c r="E17" s="80">
        <v>0.70599999999999996</v>
      </c>
      <c r="F17">
        <f>VLOOKUP(C17,'2018 (2)'!$A:$L,7,FALSE)</f>
        <v>288410</v>
      </c>
      <c r="G17">
        <f>F17/VLOOKUP($D17,CPI!$P$16:$R$22,3,FALSE)</f>
        <v>348340.33940417378</v>
      </c>
      <c r="H17">
        <f t="shared" si="1"/>
        <v>12.760935267632703</v>
      </c>
      <c r="I17">
        <f>VLOOKUP($C17,'2018 (2)'!$A:$L,11,FALSE)/VLOOKUP($C17,'2018 (2)'!$A:$L,10,FALSE)</f>
        <v>134990.5</v>
      </c>
      <c r="J17">
        <f>VLOOKUP($C17,'2018 (2)'!$A:$L,11,FALSE)/VLOOKUP($C17,'2018 (2)'!$A:$L,9,FALSE)</f>
        <v>134990.5</v>
      </c>
      <c r="K17">
        <v>32665544</v>
      </c>
      <c r="L17">
        <f>K17/VLOOKUP($D17,CPI!$P$16:$R$22,3,FALSE)</f>
        <v>39453301.493644364</v>
      </c>
      <c r="M17">
        <f>IFERROR(IF(VLOOKUP(C17,'2018'!A:C,3,FALSE)="","",VLOOKUP(C17,'2018'!A:C,3,FALSE)),"")</f>
        <v>634684</v>
      </c>
      <c r="N17">
        <f>M17/VLOOKUP($D17,CPI!$P$16:$R$22,3,FALSE)</f>
        <v>766568.56549495028</v>
      </c>
    </row>
    <row r="18" spans="1:14">
      <c r="A18">
        <f t="shared" si="2"/>
        <v>2</v>
      </c>
      <c r="B18" t="str">
        <f t="shared" si="5"/>
        <v>Colorado</v>
      </c>
      <c r="C18">
        <f>VLOOKUP(B18,unitid!A:B,2,FALSE)</f>
        <v>126614</v>
      </c>
      <c r="D18">
        <f t="shared" si="3"/>
        <v>2019</v>
      </c>
      <c r="E18" s="80">
        <v>0.56299999999999994</v>
      </c>
      <c r="F18">
        <f>VLOOKUP(C18,'2019 (2)'!$A:$L,7,FALSE)</f>
        <v>270392</v>
      </c>
      <c r="G18">
        <f>F18/VLOOKUP($D18,CPI!$P$16:$R$22,3,FALSE)</f>
        <v>319947.25643338985</v>
      </c>
      <c r="H18">
        <f t="shared" si="1"/>
        <v>12.675911437545343</v>
      </c>
      <c r="I18">
        <f>VLOOKUP($C18,'2019 (2)'!$A:$L,11,FALSE)/VLOOKUP($C18,'2019 (2)'!$A:$L,10,FALSE)</f>
        <v>141908.5</v>
      </c>
      <c r="J18">
        <f>VLOOKUP($C18,'2019 (2)'!$A:$L,11,FALSE)/VLOOKUP($C18,'2019 (2)'!$A:$L,9,FALSE)</f>
        <v>141908.5</v>
      </c>
      <c r="K18">
        <v>32772249</v>
      </c>
      <c r="L18">
        <f>K18/VLOOKUP($D18,CPI!$P$16:$R$22,3,FALSE)</f>
        <v>38778481.444354512</v>
      </c>
      <c r="M18">
        <f>IFERROR(IF(VLOOKUP(C18,'2019'!A:C,3,FALSE)="","",VLOOKUP(C18,'2019'!A:C,3,FALSE)),"")</f>
        <v>484746</v>
      </c>
      <c r="N18">
        <f>M18/VLOOKUP($D18,CPI!$P$16:$R$22,3,FALSE)</f>
        <v>573586.32195871184</v>
      </c>
    </row>
    <row r="19" spans="1:14">
      <c r="A19">
        <f t="shared" si="2"/>
        <v>2</v>
      </c>
      <c r="B19" t="str">
        <f t="shared" si="5"/>
        <v>Colorado</v>
      </c>
      <c r="C19">
        <f>VLOOKUP(B19,unitid!A:B,2,FALSE)</f>
        <v>126614</v>
      </c>
      <c r="D19">
        <f t="shared" si="3"/>
        <v>2020</v>
      </c>
      <c r="E19" s="80">
        <v>0.433</v>
      </c>
      <c r="F19">
        <f>VLOOKUP(C19,'2020 (2)'!$A:$L,7,FALSE)</f>
        <v>230216</v>
      </c>
      <c r="G19">
        <f>F19/VLOOKUP($D19,CPI!$P$16:$R$22,3,FALSE)</f>
        <v>268212.87201337324</v>
      </c>
      <c r="H19">
        <f t="shared" si="1"/>
        <v>12.499536242762202</v>
      </c>
      <c r="I19">
        <f>VLOOKUP($C19,'2020 (2)'!$A:$L,11,FALSE)/VLOOKUP($C19,'2020 (2)'!$A:$L,10,FALSE)</f>
        <v>118607.5</v>
      </c>
      <c r="J19">
        <f>VLOOKUP($C19,'2020 (2)'!$A:$L,11,FALSE)/VLOOKUP($C19,'2020 (2)'!$A:$L,9,FALSE)</f>
        <v>118607.5</v>
      </c>
      <c r="K19">
        <v>34898028</v>
      </c>
      <c r="L19">
        <f>K19/VLOOKUP($D19,CPI!$P$16:$R$22,3,FALSE)</f>
        <v>40657905.260638341</v>
      </c>
      <c r="M19">
        <f>IFERROR(IF(VLOOKUP(C19,'2020'!A:C,3,FALSE)="","",VLOOKUP(C19,'2020'!A:C,3,FALSE)),"")</f>
        <v>266383</v>
      </c>
      <c r="N19">
        <f>M19/VLOOKUP($D19,CPI!$P$16:$R$22,3,FALSE)</f>
        <v>310349.19156591379</v>
      </c>
    </row>
    <row r="20" spans="1:14">
      <c r="A20">
        <f t="shared" si="2"/>
        <v>2</v>
      </c>
      <c r="B20" t="str">
        <f t="shared" si="5"/>
        <v>Colorado</v>
      </c>
      <c r="C20">
        <f>VLOOKUP(B20,unitid!A:B,2,FALSE)</f>
        <v>126614</v>
      </c>
      <c r="D20">
        <f t="shared" si="3"/>
        <v>2021</v>
      </c>
      <c r="E20" s="80">
        <v>0.4</v>
      </c>
      <c r="F20">
        <f>VLOOKUP(C20,'2021 (2)'!$A:$L,7,FALSE)</f>
        <v>212461</v>
      </c>
      <c r="G20">
        <f>F20/VLOOKUP($D20,CPI!$P$16:$R$22,3,FALSE)</f>
        <v>241958.4268906957</v>
      </c>
      <c r="H20">
        <f t="shared" si="1"/>
        <v>12.396521200673412</v>
      </c>
      <c r="I20">
        <f>VLOOKUP($C20,'2021 (2)'!$A:$L,11,FALSE)/VLOOKUP($C20,'2021 (2)'!$A:$L,10,FALSE)</f>
        <v>95072</v>
      </c>
      <c r="J20">
        <f>VLOOKUP($C20,'2021 (2)'!$A:$L,11,FALSE)/VLOOKUP($C20,'2021 (2)'!$A:$L,9,FALSE)</f>
        <v>95072</v>
      </c>
      <c r="K20">
        <v>3894319</v>
      </c>
      <c r="L20">
        <f>K20/VLOOKUP($D20,CPI!$P$16:$R$22,3,FALSE)</f>
        <v>4434994.1826996356</v>
      </c>
      <c r="M20">
        <f>IFERROR(IF(VLOOKUP(C20,'2021'!A:C,3,FALSE)="","",VLOOKUP(C20,'2021'!A:C,3,FALSE)),"")</f>
        <v>423569</v>
      </c>
      <c r="N20">
        <f>M20/VLOOKUP($D20,CPI!$P$16:$R$22,3,FALSE)</f>
        <v>482376.00745390961</v>
      </c>
    </row>
    <row r="21" spans="1:14">
      <c r="A21">
        <f t="shared" si="2"/>
        <v>2</v>
      </c>
      <c r="B21" t="str">
        <f t="shared" si="5"/>
        <v>Colorado</v>
      </c>
      <c r="C21">
        <f>VLOOKUP(B21,unitid!A:B,2,FALSE)</f>
        <v>126614</v>
      </c>
      <c r="D21">
        <f t="shared" si="3"/>
        <v>2022</v>
      </c>
      <c r="E21" s="80">
        <v>0.51700000000000002</v>
      </c>
      <c r="F21">
        <f>VLOOKUP(C21,'2022 (2)'!$A:$L,7,FALSE)</f>
        <v>256687</v>
      </c>
      <c r="G21">
        <f>F21/VLOOKUP($D21,CPI!$P$16:$R$22,3,FALSE)</f>
        <v>272760.82594982721</v>
      </c>
      <c r="H21">
        <f t="shared" si="1"/>
        <v>12.51635059474933</v>
      </c>
      <c r="I21">
        <f>VLOOKUP($C21,'2022 (2)'!$A:$L,11,FALSE)/VLOOKUP($C21,'2022 (2)'!$A:$L,10,FALSE)</f>
        <v>128169</v>
      </c>
      <c r="J21">
        <f>VLOOKUP($C21,'2022 (2)'!$A:$L,11,FALSE)/VLOOKUP($C21,'2022 (2)'!$A:$L,9,FALSE)</f>
        <v>128169</v>
      </c>
      <c r="K21">
        <v>24851053</v>
      </c>
      <c r="L21">
        <f>K21/VLOOKUP($D21,CPI!$P$16:$R$22,3,FALSE)</f>
        <v>26407234.26586828</v>
      </c>
      <c r="M21">
        <f>IFERROR(IF(VLOOKUP(C21,'2022'!A:C,3,FALSE)="","",VLOOKUP(C21,'2022'!A:C,3,FALSE)),"")</f>
        <v>530417</v>
      </c>
      <c r="N21">
        <f>M21/VLOOKUP($D21,CPI!$P$16:$R$22,3,FALSE)</f>
        <v>563631.89027036622</v>
      </c>
    </row>
    <row r="22" spans="1:14">
      <c r="A22">
        <f t="shared" si="2"/>
        <v>2</v>
      </c>
      <c r="B22" t="str">
        <f t="shared" si="5"/>
        <v>Colorado</v>
      </c>
      <c r="C22">
        <f>VLOOKUP(B22,unitid!A:B,2,FALSE)</f>
        <v>126614</v>
      </c>
      <c r="D22">
        <f t="shared" si="3"/>
        <v>2023</v>
      </c>
      <c r="E22" s="80">
        <v>0.64500000000000002</v>
      </c>
      <c r="F22">
        <f>VLOOKUP(C22,'2023 (2)'!$A:$L,7,FALSE)</f>
        <v>269756</v>
      </c>
      <c r="G22">
        <f>F22/VLOOKUP($D22,CPI!$P$16:$R$22,3,FALSE)</f>
        <v>269756</v>
      </c>
      <c r="H22">
        <f t="shared" si="1"/>
        <v>12.505273125690437</v>
      </c>
      <c r="I22">
        <f>VLOOKUP($C22,'2023 (2)'!$A:$L,11,FALSE)/VLOOKUP($C22,'2023 (2)'!$A:$L,10,FALSE)</f>
        <v>136923</v>
      </c>
      <c r="J22">
        <f>VLOOKUP($C22,'2023 (2)'!$A:$L,11,FALSE)/VLOOKUP($C22,'2023 (2)'!$A:$L,9,FALSE)</f>
        <v>136923</v>
      </c>
      <c r="K22">
        <v>47905550</v>
      </c>
      <c r="L22">
        <f>K22/VLOOKUP($D22,CPI!$P$16:$R$22,3,FALSE)</f>
        <v>47905550</v>
      </c>
      <c r="M22">
        <f>IFERROR(IF(VLOOKUP(C22,'2023'!A:C,3,FALSE)="","",VLOOKUP(C22,'2023'!A:C,3,FALSE)),"")</f>
        <v>747988</v>
      </c>
      <c r="N22">
        <f>M22/VLOOKUP($D22,CPI!$P$16:$R$22,3,FALSE)</f>
        <v>747988</v>
      </c>
    </row>
    <row r="23" spans="1:14">
      <c r="A23">
        <f t="shared" si="2"/>
        <v>2</v>
      </c>
      <c r="B23" s="79" t="s">
        <v>138</v>
      </c>
      <c r="C23">
        <f>VLOOKUP(B23,unitid!A:B,2,FALSE)</f>
        <v>163268</v>
      </c>
      <c r="D23">
        <f t="shared" si="3"/>
        <v>2017</v>
      </c>
      <c r="E23" s="80">
        <v>0.65400000000000003</v>
      </c>
      <c r="F23" s="66">
        <f>VLOOKUP(C23,'2017 (2)'!$A:$L,7,FALSE)</f>
        <v>98917</v>
      </c>
      <c r="G23">
        <f>F23/VLOOKUP($D23,CPI!$P$16:$R$22,3,FALSE)</f>
        <v>122164.42008971531</v>
      </c>
      <c r="H23">
        <f t="shared" si="1"/>
        <v>11.71312312202866</v>
      </c>
      <c r="I23">
        <f>VLOOKUP($C23,'2017 (2)'!$A:$L,11,FALSE)/VLOOKUP($C23,'2017 (2)'!$A:$L,10,FALSE)</f>
        <v>56162.5</v>
      </c>
      <c r="J23">
        <f>VLOOKUP($C23,'2017 (2)'!$A:$L,11,FALSE)/VLOOKUP($C23,'2017 (2)'!$A:$L,9,FALSE)</f>
        <v>22465</v>
      </c>
      <c r="K23">
        <v>596978</v>
      </c>
      <c r="L23">
        <f>K23/VLOOKUP($D23,CPI!$P$16:$R$22,3,FALSE)</f>
        <v>737279.44818704634</v>
      </c>
      <c r="M23">
        <f>IFERROR(IF(VLOOKUP(C23,'2017'!A:C,3,FALSE)="","",VLOOKUP(C23,'2017'!A:C,3,FALSE)),"")</f>
        <v>139065</v>
      </c>
      <c r="N23">
        <f>M23/VLOOKUP($D23,CPI!$P$16:$R$22,3,FALSE)</f>
        <v>171747.9814367223</v>
      </c>
    </row>
    <row r="24" spans="1:14">
      <c r="A24">
        <f t="shared" si="2"/>
        <v>2</v>
      </c>
      <c r="B24" t="str">
        <f>B23</f>
        <v>Maryland Baltimore County</v>
      </c>
      <c r="C24">
        <f>VLOOKUP(B24,unitid!A:B,2,FALSE)</f>
        <v>163268</v>
      </c>
      <c r="D24">
        <f t="shared" si="3"/>
        <v>2018</v>
      </c>
      <c r="E24" s="80">
        <v>0.53800000000000003</v>
      </c>
      <c r="F24" s="66">
        <f>VLOOKUP(C24,'2018 (2)'!$A:$L,7,FALSE)</f>
        <v>83140</v>
      </c>
      <c r="G24">
        <f>F24/VLOOKUP($D24,CPI!$P$16:$R$22,3,FALSE)</f>
        <v>100416.12918436603</v>
      </c>
      <c r="H24">
        <f t="shared" si="1"/>
        <v>11.517078122583731</v>
      </c>
      <c r="I24">
        <f>VLOOKUP($C24,'2018 (2)'!$A:$L,11,FALSE)/VLOOKUP($C24,'2018 (2)'!$A:$L,10,FALSE)</f>
        <v>46358</v>
      </c>
      <c r="J24">
        <f>VLOOKUP($C24,'2018 (2)'!$A:$L,11,FALSE)/VLOOKUP($C24,'2018 (2)'!$A:$L,9,FALSE)</f>
        <v>23179</v>
      </c>
      <c r="K24">
        <v>362973</v>
      </c>
      <c r="L24">
        <f>K24/VLOOKUP($D24,CPI!$P$16:$R$22,3,FALSE)</f>
        <v>438397.20541781199</v>
      </c>
      <c r="M24">
        <f>IFERROR(IF(VLOOKUP(C24,'2018'!A:C,3,FALSE)="","",VLOOKUP(C24,'2018'!A:C,3,FALSE)),"")</f>
        <v>12630</v>
      </c>
      <c r="N24">
        <f>M24/VLOOKUP($D24,CPI!$P$16:$R$22,3,FALSE)</f>
        <v>15254.458883792915</v>
      </c>
    </row>
    <row r="25" spans="1:14">
      <c r="A25">
        <f t="shared" si="2"/>
        <v>2</v>
      </c>
      <c r="B25" t="str">
        <f t="shared" ref="B25:B29" si="6">B24</f>
        <v>Maryland Baltimore County</v>
      </c>
      <c r="C25">
        <f>VLOOKUP(B25,unitid!A:B,2,FALSE)</f>
        <v>163268</v>
      </c>
      <c r="D25">
        <f t="shared" si="3"/>
        <v>2019</v>
      </c>
      <c r="E25" s="80">
        <v>0.26900000000000002</v>
      </c>
      <c r="F25" s="66">
        <f>VLOOKUP(C25,'2019 (2)'!$A:$L,7,FALSE)</f>
        <v>141877</v>
      </c>
      <c r="G25">
        <f>F25/VLOOKUP($D25,CPI!$P$16:$R$22,3,FALSE)</f>
        <v>167879.06780156237</v>
      </c>
      <c r="H25">
        <f t="shared" si="1"/>
        <v>12.030999164665625</v>
      </c>
      <c r="I25">
        <f>VLOOKUP($C25,'2019 (2)'!$A:$L,11,FALSE)/VLOOKUP($C25,'2019 (2)'!$A:$L,10,FALSE)</f>
        <v>35469</v>
      </c>
      <c r="J25">
        <f>VLOOKUP($C25,'2019 (2)'!$A:$L,11,FALSE)/VLOOKUP($C25,'2019 (2)'!$A:$L,9,FALSE)</f>
        <v>35469</v>
      </c>
      <c r="K25">
        <v>468798</v>
      </c>
      <c r="L25">
        <f>K25/VLOOKUP($D25,CPI!$P$16:$R$22,3,FALSE)</f>
        <v>554715.50164746109</v>
      </c>
      <c r="M25" t="str">
        <f>IFERROR(IF(VLOOKUP(C25,'2019'!A:C,3,FALSE)="","",VLOOKUP(C25,'2019'!A:C,3,FALSE)),"")</f>
        <v/>
      </c>
      <c r="N25" t="str">
        <f>IFERROR(M25/VLOOKUP($D25,CPI!$P$16:$R$22,3,FALSE),"")</f>
        <v/>
      </c>
    </row>
    <row r="26" spans="1:14">
      <c r="A26">
        <f t="shared" si="2"/>
        <v>2</v>
      </c>
      <c r="B26" t="str">
        <f t="shared" si="6"/>
        <v>Maryland Baltimore County</v>
      </c>
      <c r="C26">
        <f>VLOOKUP(B26,unitid!A:B,2,FALSE)</f>
        <v>163268</v>
      </c>
      <c r="D26">
        <f t="shared" si="3"/>
        <v>2020</v>
      </c>
      <c r="E26" s="80">
        <v>0.30399999999999999</v>
      </c>
      <c r="F26" s="66">
        <f>VLOOKUP(C26,'2020 (2)'!$A:$L,7,FALSE)</f>
        <v>118188</v>
      </c>
      <c r="G26">
        <f>F26/VLOOKUP($D26,CPI!$P$16:$R$22,3,FALSE)</f>
        <v>137694.78627687285</v>
      </c>
      <c r="H26">
        <f t="shared" si="1"/>
        <v>11.832794821086877</v>
      </c>
      <c r="I26">
        <f>VLOOKUP($C26,'2020 (2)'!$A:$L,11,FALSE)/VLOOKUP($C26,'2020 (2)'!$A:$L,10,FALSE)</f>
        <v>24346.666666666668</v>
      </c>
      <c r="J26">
        <f>VLOOKUP($C26,'2020 (2)'!$A:$L,11,FALSE)/VLOOKUP($C26,'2020 (2)'!$A:$L,9,FALSE)</f>
        <v>18260</v>
      </c>
      <c r="K26">
        <v>490141</v>
      </c>
      <c r="L26">
        <f>K26/VLOOKUP($D26,CPI!$P$16:$R$22,3,FALSE)</f>
        <v>571038.17849978618</v>
      </c>
      <c r="M26">
        <f>IFERROR(IF(VLOOKUP(C26,'2020'!A:C,3,FALSE)="","",VLOOKUP(C26,'2020'!A:C,3,FALSE)),"")</f>
        <v>8161</v>
      </c>
      <c r="N26">
        <f>M26/VLOOKUP($D26,CPI!$P$16:$R$22,3,FALSE)</f>
        <v>9507.9631672044488</v>
      </c>
    </row>
    <row r="27" spans="1:14">
      <c r="A27">
        <f t="shared" si="2"/>
        <v>2</v>
      </c>
      <c r="B27" t="str">
        <f t="shared" si="6"/>
        <v>Maryland Baltimore County</v>
      </c>
      <c r="C27">
        <f>VLOOKUP(B27,unitid!A:B,2,FALSE)</f>
        <v>163268</v>
      </c>
      <c r="D27">
        <f t="shared" si="3"/>
        <v>2021</v>
      </c>
      <c r="E27" s="80">
        <v>0.73299999999999998</v>
      </c>
      <c r="F27" s="66">
        <f>VLOOKUP(C27,'2021 (2)'!$A:$L,7,FALSE)</f>
        <v>149123</v>
      </c>
      <c r="G27">
        <f>F27/VLOOKUP($D27,CPI!$P$16:$R$22,3,FALSE)</f>
        <v>169826.77523508418</v>
      </c>
      <c r="H27">
        <f t="shared" si="1"/>
        <v>12.042534227324957</v>
      </c>
      <c r="I27">
        <f>VLOOKUP($C27,'2021 (2)'!$A:$L,11,FALSE)/VLOOKUP($C27,'2021 (2)'!$A:$L,10,FALSE)</f>
        <v>43578</v>
      </c>
      <c r="J27">
        <f>VLOOKUP($C27,'2021 (2)'!$A:$L,11,FALSE)/VLOOKUP($C27,'2021 (2)'!$A:$L,9,FALSE)</f>
        <v>21789</v>
      </c>
      <c r="K27">
        <v>137148</v>
      </c>
      <c r="L27">
        <f>K27/VLOOKUP($D27,CPI!$P$16:$R$22,3,FALSE)</f>
        <v>156189.20334181396</v>
      </c>
      <c r="M27">
        <f>IFERROR(IF(VLOOKUP(C27,'2021'!A:C,3,FALSE)="","",VLOOKUP(C27,'2021'!A:C,3,FALSE)),"")</f>
        <v>180245</v>
      </c>
      <c r="N27">
        <f>M27/VLOOKUP($D27,CPI!$P$16:$R$22,3,FALSE)</f>
        <v>205269.65727786958</v>
      </c>
    </row>
    <row r="28" spans="1:14">
      <c r="A28">
        <f t="shared" si="2"/>
        <v>2</v>
      </c>
      <c r="B28" t="str">
        <f t="shared" si="6"/>
        <v>Maryland Baltimore County</v>
      </c>
      <c r="C28">
        <f>VLOOKUP(B28,unitid!A:B,2,FALSE)</f>
        <v>163268</v>
      </c>
      <c r="D28">
        <f t="shared" si="3"/>
        <v>2022</v>
      </c>
      <c r="E28" s="80">
        <v>0.61299999999999999</v>
      </c>
      <c r="F28" s="66">
        <f>VLOOKUP(C28,'2022 (2)'!$A:$L,7,FALSE)</f>
        <v>96637</v>
      </c>
      <c r="G28">
        <f>F28/VLOOKUP($D28,CPI!$P$16:$R$22,3,FALSE)</f>
        <v>102688.44132080491</v>
      </c>
      <c r="H28">
        <f t="shared" si="1"/>
        <v>11.539454841586592</v>
      </c>
      <c r="I28">
        <f>VLOOKUP($C28,'2022 (2)'!$A:$L,11,FALSE)/VLOOKUP($C28,'2022 (2)'!$A:$L,10,FALSE)</f>
        <v>41124</v>
      </c>
      <c r="J28">
        <f>VLOOKUP($C28,'2022 (2)'!$A:$L,11,FALSE)/VLOOKUP($C28,'2022 (2)'!$A:$L,9,FALSE)</f>
        <v>41124</v>
      </c>
      <c r="K28">
        <v>697115</v>
      </c>
      <c r="L28">
        <f>K28/VLOOKUP($D28,CPI!$P$16:$R$22,3,FALSE)</f>
        <v>740768.57488697825</v>
      </c>
      <c r="M28">
        <f>IFERROR(IF(VLOOKUP(C28,'2022'!A:C,3,FALSE)="","",VLOOKUP(C28,'2022'!A:C,3,FALSE)),"")</f>
        <v>233454</v>
      </c>
      <c r="N28">
        <f>M28/VLOOKUP($D28,CPI!$P$16:$R$22,3,FALSE)</f>
        <v>248072.96770499073</v>
      </c>
    </row>
    <row r="29" spans="1:14">
      <c r="A29">
        <f t="shared" si="2"/>
        <v>2</v>
      </c>
      <c r="B29" t="str">
        <f t="shared" si="6"/>
        <v>Maryland Baltimore County</v>
      </c>
      <c r="C29">
        <f>VLOOKUP(B29,unitid!A:B,2,FALSE)</f>
        <v>163268</v>
      </c>
      <c r="D29">
        <f t="shared" si="3"/>
        <v>2023</v>
      </c>
      <c r="E29" s="80">
        <v>0.65400000000000003</v>
      </c>
      <c r="F29" s="66">
        <f>VLOOKUP(C29,'2023 (2)'!$A:$L,7,FALSE)</f>
        <v>107432</v>
      </c>
      <c r="G29">
        <f>F29/VLOOKUP($D29,CPI!$P$16:$R$22,3,FALSE)</f>
        <v>107432</v>
      </c>
      <c r="H29">
        <f t="shared" si="1"/>
        <v>11.584613368261012</v>
      </c>
      <c r="I29">
        <f>VLOOKUP($C29,'2023 (2)'!$A:$L,11,FALSE)/VLOOKUP($C29,'2023 (2)'!$A:$L,10,FALSE)</f>
        <v>47130.400000000001</v>
      </c>
      <c r="J29">
        <f>VLOOKUP($C29,'2023 (2)'!$A:$L,11,FALSE)/VLOOKUP($C29,'2023 (2)'!$A:$L,9,FALSE)</f>
        <v>29456.5</v>
      </c>
      <c r="K29">
        <v>841249</v>
      </c>
      <c r="L29">
        <f>K29/VLOOKUP($D29,CPI!$P$16:$R$22,3,FALSE)</f>
        <v>841249</v>
      </c>
      <c r="M29">
        <f>IFERROR(IF(VLOOKUP(C29,'2023'!A:C,3,FALSE)="","",VLOOKUP(C29,'2023'!A:C,3,FALSE)),"")</f>
        <v>182358</v>
      </c>
      <c r="N29">
        <f>M29/VLOOKUP($D29,CPI!$P$16:$R$22,3,FALSE)</f>
        <v>182358</v>
      </c>
    </row>
    <row r="30" spans="1:14">
      <c r="A30">
        <f t="shared" si="2"/>
        <v>2</v>
      </c>
      <c r="B30" s="79" t="s">
        <v>176</v>
      </c>
      <c r="C30">
        <f>VLOOKUP(B30,unitid!A:B,2,FALSE)</f>
        <v>199218</v>
      </c>
      <c r="D30">
        <v>2017</v>
      </c>
      <c r="E30" s="80">
        <v>0.60699999999999998</v>
      </c>
      <c r="F30" s="66">
        <f>VLOOKUP(C30,'2017 (2)'!$A:$L,7,FALSE)</f>
        <v>48668</v>
      </c>
      <c r="G30">
        <f>F30/VLOOKUP($D30,CPI!$P$16:$R$22,3,FALSE)</f>
        <v>60105.92716040989</v>
      </c>
      <c r="H30">
        <f t="shared" si="1"/>
        <v>11.003863737297941</v>
      </c>
      <c r="I30">
        <f>VLOOKUP($C30,'2017 (2)'!$A:$L,11,FALSE)/VLOOKUP($C30,'2017 (2)'!$A:$L,10,FALSE)</f>
        <v>71935</v>
      </c>
      <c r="J30">
        <f>VLOOKUP($C30,'2017 (2)'!$A:$L,11,FALSE)/VLOOKUP($C30,'2017 (2)'!$A:$L,9,FALSE)</f>
        <v>33569.666666666664</v>
      </c>
      <c r="K30">
        <v>2711525</v>
      </c>
      <c r="L30">
        <f>K30/VLOOKUP($D30,CPI!$P$16:$R$22,3,FALSE)</f>
        <v>3348786.1457966305</v>
      </c>
      <c r="M30">
        <f>IFERROR(IF(VLOOKUP(C30,'2017'!A:C,3,FALSE)="","",VLOOKUP(C30,'2017'!A:C,3,FALSE)),"")</f>
        <v>43343</v>
      </c>
      <c r="N30">
        <f>M30/VLOOKUP($D30,CPI!$P$16:$R$22,3,FALSE)</f>
        <v>53529.448527033077</v>
      </c>
    </row>
    <row r="31" spans="1:14">
      <c r="A31">
        <f t="shared" si="2"/>
        <v>2</v>
      </c>
      <c r="B31" t="str">
        <f t="shared" ref="B31:B36" si="7">B30</f>
        <v>North Carolina Wilmington</v>
      </c>
      <c r="C31">
        <f>VLOOKUP(B31,unitid!A:B,2,FALSE)</f>
        <v>199218</v>
      </c>
      <c r="D31">
        <f>IF(D30=2023,2017,D30+1)</f>
        <v>2018</v>
      </c>
      <c r="E31" s="80">
        <v>0.39300000000000002</v>
      </c>
      <c r="F31" s="66">
        <f>VLOOKUP(C31,'2018 (2)'!$A:$L,7,FALSE)</f>
        <v>49303</v>
      </c>
      <c r="G31">
        <f>F31/VLOOKUP($D31,CPI!$P$16:$R$22,3,FALSE)</f>
        <v>59547.948246052423</v>
      </c>
      <c r="H31">
        <f t="shared" si="1"/>
        <v>10.994537119883459</v>
      </c>
      <c r="I31">
        <f>VLOOKUP($C31,'2018 (2)'!$A:$L,11,FALSE)/VLOOKUP($C31,'2018 (2)'!$A:$L,10,FALSE)</f>
        <v>61156.923076923078</v>
      </c>
      <c r="J31">
        <f>VLOOKUP($C31,'2018 (2)'!$A:$L,11,FALSE)/VLOOKUP($C31,'2018 (2)'!$A:$L,9,FALSE)</f>
        <v>26501.333333333332</v>
      </c>
      <c r="K31">
        <v>4503599</v>
      </c>
      <c r="L31">
        <f>K31/VLOOKUP($D31,CPI!$P$16:$R$22,3,FALSE)</f>
        <v>5439427.2188908067</v>
      </c>
      <c r="M31">
        <f>IFERROR(IF(VLOOKUP(C31,'2018'!A:C,3,FALSE)="","",VLOOKUP(C31,'2018'!A:C,3,FALSE)),"")</f>
        <v>50517</v>
      </c>
      <c r="N31">
        <f>M31/VLOOKUP($D31,CPI!$P$16:$R$22,3,FALSE)</f>
        <v>61014.212148263396</v>
      </c>
    </row>
    <row r="32" spans="1:14">
      <c r="A32">
        <f t="shared" si="2"/>
        <v>2</v>
      </c>
      <c r="B32" t="str">
        <f t="shared" si="7"/>
        <v>North Carolina Wilmington</v>
      </c>
      <c r="C32">
        <f>VLOOKUP(B32,unitid!A:B,2,FALSE)</f>
        <v>199218</v>
      </c>
      <c r="D32">
        <f t="shared" ref="D32:D57" si="8">IF(D31=2023,2017,D31+1)</f>
        <v>2019</v>
      </c>
      <c r="E32" s="80">
        <v>0.55600000000000005</v>
      </c>
      <c r="F32" s="66">
        <f>VLOOKUP(C32,'2019 (2)'!$A:$L,7,FALSE)</f>
        <v>51679</v>
      </c>
      <c r="G32">
        <f>F32/VLOOKUP($D32,CPI!$P$16:$R$22,3,FALSE)</f>
        <v>61150.308682287774</v>
      </c>
      <c r="H32">
        <f t="shared" si="1"/>
        <v>11.021090189054954</v>
      </c>
      <c r="I32">
        <f>VLOOKUP($C32,'2019 (2)'!$A:$L,11,FALSE)/VLOOKUP($C32,'2019 (2)'!$A:$L,10,FALSE)</f>
        <v>56187.857142857145</v>
      </c>
      <c r="J32">
        <f>VLOOKUP($C32,'2019 (2)'!$A:$L,11,FALSE)/VLOOKUP($C32,'2019 (2)'!$A:$L,9,FALSE)</f>
        <v>39331.5</v>
      </c>
      <c r="K32">
        <v>2467733</v>
      </c>
      <c r="L32">
        <f>K32/VLOOKUP($D32,CPI!$P$16:$R$22,3,FALSE)</f>
        <v>2919999.1233473569</v>
      </c>
      <c r="M32">
        <f>IFERROR(IF(VLOOKUP(C32,'2019'!A:C,3,FALSE)="","",VLOOKUP(C32,'2019'!A:C,3,FALSE)),"")</f>
        <v>38890</v>
      </c>
      <c r="N32">
        <f>M32/VLOOKUP($D32,CPI!$P$16:$R$22,3,FALSE)</f>
        <v>46017.444313051172</v>
      </c>
    </row>
    <row r="33" spans="1:14">
      <c r="A33">
        <f t="shared" si="2"/>
        <v>2</v>
      </c>
      <c r="B33" t="str">
        <f t="shared" si="7"/>
        <v>North Carolina Wilmington</v>
      </c>
      <c r="C33">
        <f>VLOOKUP(B33,unitid!A:B,2,FALSE)</f>
        <v>199218</v>
      </c>
      <c r="D33">
        <f t="shared" si="8"/>
        <v>2020</v>
      </c>
      <c r="E33" s="80">
        <v>0.48299999999999998</v>
      </c>
      <c r="F33" s="66">
        <f>VLOOKUP(C33,'2020 (2)'!$A:$L,7,FALSE)</f>
        <v>40967</v>
      </c>
      <c r="G33">
        <f>F33/VLOOKUP($D33,CPI!$P$16:$R$22,3,FALSE)</f>
        <v>47728.553739843723</v>
      </c>
      <c r="H33">
        <f t="shared" si="1"/>
        <v>10.773285108678589</v>
      </c>
      <c r="I33">
        <f>VLOOKUP($C33,'2020 (2)'!$A:$L,11,FALSE)/VLOOKUP($C33,'2020 (2)'!$A:$L,10,FALSE)</f>
        <v>41187.428571428572</v>
      </c>
      <c r="J33">
        <f>VLOOKUP($C33,'2020 (2)'!$A:$L,11,FALSE)/VLOOKUP($C33,'2020 (2)'!$A:$L,9,FALSE)</f>
        <v>36039</v>
      </c>
      <c r="K33">
        <v>2224148</v>
      </c>
      <c r="L33">
        <f>K33/VLOOKUP($D33,CPI!$P$16:$R$22,3,FALSE)</f>
        <v>2591240.9340045876</v>
      </c>
      <c r="M33">
        <f>IFERROR(IF(VLOOKUP(C33,'2020'!A:C,3,FALSE)="","",VLOOKUP(C33,'2020'!A:C,3,FALSE)),"")</f>
        <v>7433</v>
      </c>
      <c r="N33">
        <f>M33/VLOOKUP($D33,CPI!$P$16:$R$22,3,FALSE)</f>
        <v>8659.8076487967974</v>
      </c>
    </row>
    <row r="34" spans="1:14">
      <c r="A34">
        <f t="shared" si="2"/>
        <v>2</v>
      </c>
      <c r="B34" t="str">
        <f t="shared" si="7"/>
        <v>North Carolina Wilmington</v>
      </c>
      <c r="C34">
        <f>VLOOKUP(B34,unitid!A:B,2,FALSE)</f>
        <v>199218</v>
      </c>
      <c r="D34">
        <f t="shared" si="8"/>
        <v>2021</v>
      </c>
      <c r="E34" s="80">
        <v>0.25</v>
      </c>
      <c r="F34" s="66">
        <f>VLOOKUP(C34,'2021 (2)'!$A:$L,7,FALSE)</f>
        <v>46967</v>
      </c>
      <c r="G34">
        <f>F34/VLOOKUP($D34,CPI!$P$16:$R$22,3,FALSE)</f>
        <v>53487.752744152131</v>
      </c>
      <c r="H34">
        <f t="shared" si="1"/>
        <v>10.887207986007708</v>
      </c>
      <c r="I34">
        <f>VLOOKUP($C34,'2021 (2)'!$A:$L,11,FALSE)/VLOOKUP($C34,'2021 (2)'!$A:$L,10,FALSE)</f>
        <v>44628.571428571428</v>
      </c>
      <c r="J34">
        <f>VLOOKUP($C34,'2021 (2)'!$A:$L,11,FALSE)/VLOOKUP($C34,'2021 (2)'!$A:$L,9,FALSE)</f>
        <v>39050</v>
      </c>
      <c r="K34">
        <v>1550308</v>
      </c>
      <c r="L34">
        <f>K34/VLOOKUP($D34,CPI!$P$16:$R$22,3,FALSE)</f>
        <v>1765547.958806843</v>
      </c>
      <c r="M34">
        <f>IFERROR(IF(VLOOKUP(C34,'2021'!A:C,3,FALSE)="","",VLOOKUP(C34,'2021'!A:C,3,FALSE)),"")</f>
        <v>3912</v>
      </c>
      <c r="N34">
        <f>M34/VLOOKUP($D34,CPI!$P$16:$R$22,3,FALSE)</f>
        <v>4455.12995795182</v>
      </c>
    </row>
    <row r="35" spans="1:14">
      <c r="A35">
        <f t="shared" si="2"/>
        <v>2</v>
      </c>
      <c r="B35" t="str">
        <f t="shared" si="7"/>
        <v>North Carolina Wilmington</v>
      </c>
      <c r="C35">
        <f>VLOOKUP(B35,unitid!A:B,2,FALSE)</f>
        <v>199218</v>
      </c>
      <c r="D35">
        <f t="shared" si="8"/>
        <v>2022</v>
      </c>
      <c r="E35" s="80">
        <v>0.14799999999999999</v>
      </c>
      <c r="F35" s="66">
        <f>VLOOKUP(C35,'2022 (2)'!$A:$L,7,FALSE)</f>
        <v>48503</v>
      </c>
      <c r="G35">
        <f>F35/VLOOKUP($D35,CPI!$P$16:$R$22,3,FALSE)</f>
        <v>51540.274112224106</v>
      </c>
      <c r="H35">
        <f t="shared" si="1"/>
        <v>10.850118802628847</v>
      </c>
      <c r="I35">
        <f>VLOOKUP($C35,'2022 (2)'!$A:$L,11,FALSE)/VLOOKUP($C35,'2022 (2)'!$A:$L,10,FALSE)</f>
        <v>48683.428571428572</v>
      </c>
      <c r="J35">
        <f>VLOOKUP($C35,'2022 (2)'!$A:$L,11,FALSE)/VLOOKUP($C35,'2022 (2)'!$A:$L,9,FALSE)</f>
        <v>42598</v>
      </c>
      <c r="K35">
        <v>2342879</v>
      </c>
      <c r="L35">
        <f>K35/VLOOKUP($D35,CPI!$P$16:$R$22,3,FALSE)</f>
        <v>2489590.8680241117</v>
      </c>
      <c r="M35">
        <f>IFERROR(IF(VLOOKUP(C35,'2022'!A:C,3,FALSE)="","",VLOOKUP(C35,'2022'!A:C,3,FALSE)),"")</f>
        <v>5017</v>
      </c>
      <c r="N35">
        <f>M35/VLOOKUP($D35,CPI!$P$16:$R$22,3,FALSE)</f>
        <v>5331.1662210796931</v>
      </c>
    </row>
    <row r="36" spans="1:14">
      <c r="A36">
        <f t="shared" si="2"/>
        <v>2</v>
      </c>
      <c r="B36" t="str">
        <f t="shared" si="7"/>
        <v>North Carolina Wilmington</v>
      </c>
      <c r="C36">
        <f>VLOOKUP(B36,unitid!A:B,2,FALSE)</f>
        <v>199218</v>
      </c>
      <c r="D36">
        <f t="shared" si="8"/>
        <v>2023</v>
      </c>
      <c r="E36" s="80">
        <v>0.24</v>
      </c>
      <c r="F36" s="66">
        <f>VLOOKUP(C36,'2023 (2)'!$A:$L,7,FALSE)</f>
        <v>49572</v>
      </c>
      <c r="G36">
        <f>F36/VLOOKUP($D36,CPI!$P$16:$R$22,3,FALSE)</f>
        <v>49572</v>
      </c>
      <c r="H36">
        <f t="shared" si="1"/>
        <v>10.811181437184764</v>
      </c>
      <c r="I36">
        <f>VLOOKUP($C36,'2023 (2)'!$A:$L,11,FALSE)/VLOOKUP($C36,'2023 (2)'!$A:$L,10,FALSE)</f>
        <v>60407</v>
      </c>
      <c r="J36">
        <f>VLOOKUP($C36,'2023 (2)'!$A:$L,11,FALSE)/VLOOKUP($C36,'2023 (2)'!$A:$L,9,FALSE)</f>
        <v>60407</v>
      </c>
      <c r="K36">
        <v>3297691</v>
      </c>
      <c r="L36">
        <f>K36/VLOOKUP($D36,CPI!$P$16:$R$22,3,FALSE)</f>
        <v>3297691</v>
      </c>
      <c r="M36">
        <f>IFERROR(IF(VLOOKUP(C36,'2023'!A:C,3,FALSE)="","",VLOOKUP(C36,'2023'!A:C,3,FALSE)),"")</f>
        <v>21818</v>
      </c>
      <c r="N36">
        <f>M36/VLOOKUP($D36,CPI!$P$16:$R$22,3,FALSE)</f>
        <v>21818</v>
      </c>
    </row>
    <row r="37" spans="1:14">
      <c r="A37">
        <f t="shared" si="2"/>
        <v>2</v>
      </c>
      <c r="B37" s="79" t="s">
        <v>193</v>
      </c>
      <c r="C37">
        <f>VLOOKUP(B37,unitid!A:B,2,FALSE)</f>
        <v>209542</v>
      </c>
      <c r="D37">
        <f t="shared" si="8"/>
        <v>2017</v>
      </c>
      <c r="E37" s="80">
        <v>0.58599999999999997</v>
      </c>
      <c r="F37" s="66">
        <f>VLOOKUP(C37,'2017 (2)'!$A:$L,7,FALSE)</f>
        <v>266767</v>
      </c>
      <c r="G37">
        <f>F37/VLOOKUP($D37,CPI!$P$16:$R$22,3,FALSE)</f>
        <v>329462.43673052243</v>
      </c>
      <c r="H37">
        <f t="shared" si="1"/>
        <v>12.705217625608274</v>
      </c>
      <c r="I37">
        <f>VLOOKUP($C37,'2017 (2)'!$A:$L,11,FALSE)/VLOOKUP($C37,'2017 (2)'!$A:$L,10,FALSE)</f>
        <v>97690</v>
      </c>
      <c r="J37">
        <f>VLOOKUP($C37,'2017 (2)'!$A:$L,11,FALSE)/VLOOKUP($C37,'2017 (2)'!$A:$L,9,FALSE)</f>
        <v>97690</v>
      </c>
      <c r="K37">
        <v>24140635</v>
      </c>
      <c r="L37">
        <f>K37/VLOOKUP($D37,CPI!$P$16:$R$22,3,FALSE)</f>
        <v>29814154.041999701</v>
      </c>
      <c r="M37">
        <f>IFERROR(IF(VLOOKUP(C37,'2017'!A:C,3,FALSE)="","",VLOOKUP(C37,'2017'!A:C,3,FALSE)),"")</f>
        <v>327500</v>
      </c>
      <c r="N37">
        <f>M37/VLOOKUP($D37,CPI!$P$16:$R$22,3,FALSE)</f>
        <v>404468.87369594473</v>
      </c>
    </row>
    <row r="38" spans="1:14">
      <c r="A38">
        <f t="shared" si="2"/>
        <v>2</v>
      </c>
      <c r="B38" t="str">
        <f t="shared" ref="B38:B43" si="9">B37</f>
        <v>Oregon State</v>
      </c>
      <c r="C38">
        <f>VLOOKUP(B38,unitid!A:B,2,FALSE)</f>
        <v>209542</v>
      </c>
      <c r="D38">
        <f t="shared" si="8"/>
        <v>2018</v>
      </c>
      <c r="E38" s="80">
        <v>0.7</v>
      </c>
      <c r="F38" s="66">
        <f>VLOOKUP(C38,'2018 (2)'!$A:$L,7,FALSE)</f>
        <v>240513</v>
      </c>
      <c r="G38">
        <f>F38/VLOOKUP($D38,CPI!$P$16:$R$22,3,FALSE)</f>
        <v>290490.55182246125</v>
      </c>
      <c r="H38">
        <f t="shared" si="1"/>
        <v>12.579326330898242</v>
      </c>
      <c r="I38">
        <f>VLOOKUP($C38,'2018 (2)'!$A:$L,11,FALSE)/VLOOKUP($C38,'2018 (2)'!$A:$L,10,FALSE)</f>
        <v>101745</v>
      </c>
      <c r="J38">
        <f>VLOOKUP($C38,'2018 (2)'!$A:$L,11,FALSE)/VLOOKUP($C38,'2018 (2)'!$A:$L,9,FALSE)</f>
        <v>101745</v>
      </c>
      <c r="K38">
        <v>22399517</v>
      </c>
      <c r="L38">
        <f>K38/VLOOKUP($D38,CPI!$P$16:$R$22,3,FALSE)</f>
        <v>27054038.883081585</v>
      </c>
      <c r="M38">
        <f>IFERROR(IF(VLOOKUP(C38,'2018'!A:C,3,FALSE)="","",VLOOKUP(C38,'2018'!A:C,3,FALSE)),"")</f>
        <v>330601</v>
      </c>
      <c r="N38">
        <f>IFERROR(M38/VLOOKUP($D38,CPI!$P$16:$R$22,3,FALSE),"")</f>
        <v>399298.44508636749</v>
      </c>
    </row>
    <row r="39" spans="1:14">
      <c r="A39">
        <f t="shared" si="2"/>
        <v>2</v>
      </c>
      <c r="B39" t="str">
        <f t="shared" si="9"/>
        <v>Oregon State</v>
      </c>
      <c r="C39">
        <f>VLOOKUP(B39,unitid!A:B,2,FALSE)</f>
        <v>209542</v>
      </c>
      <c r="D39">
        <f t="shared" si="8"/>
        <v>2019</v>
      </c>
      <c r="E39" s="80">
        <v>0.16700000000000001</v>
      </c>
      <c r="F39" s="66">
        <f>VLOOKUP(C39,'2019 (2)'!$A:$L,7,FALSE)</f>
        <v>257681</v>
      </c>
      <c r="G39">
        <f>F39/VLOOKUP($D39,CPI!$P$16:$R$22,3,FALSE)</f>
        <v>304906.68727259804</v>
      </c>
      <c r="H39">
        <f t="shared" si="1"/>
        <v>12.627761065410798</v>
      </c>
      <c r="I39">
        <f>VLOOKUP($C39,'2019 (2)'!$A:$L,11,FALSE)/VLOOKUP($C39,'2019 (2)'!$A:$L,10,FALSE)</f>
        <v>117843.5</v>
      </c>
      <c r="J39">
        <f>VLOOKUP($C39,'2019 (2)'!$A:$L,11,FALSE)/VLOOKUP($C39,'2019 (2)'!$A:$L,9,FALSE)</f>
        <v>78562.333333333328</v>
      </c>
      <c r="K39">
        <v>24042567</v>
      </c>
      <c r="L39">
        <f>K39/VLOOKUP($D39,CPI!$P$16:$R$22,3,FALSE)</f>
        <v>28448894.010421745</v>
      </c>
      <c r="M39">
        <f>IFERROR(IF(VLOOKUP(C39,'2019'!A:C,3,FALSE)="","",VLOOKUP(C39,'2019'!A:C,3,FALSE)),"")</f>
        <v>265053</v>
      </c>
      <c r="N39">
        <f>M39/VLOOKUP($D39,CPI!$P$16:$R$22,3,FALSE)</f>
        <v>313629.76774253411</v>
      </c>
    </row>
    <row r="40" spans="1:14">
      <c r="A40">
        <f t="shared" si="2"/>
        <v>2</v>
      </c>
      <c r="B40" t="str">
        <f t="shared" si="9"/>
        <v>Oregon State</v>
      </c>
      <c r="C40">
        <f>VLOOKUP(B40,unitid!A:B,2,FALSE)</f>
        <v>209542</v>
      </c>
      <c r="D40">
        <f t="shared" si="8"/>
        <v>2020</v>
      </c>
      <c r="E40" s="80">
        <v>0.34499999999999997</v>
      </c>
      <c r="F40" s="66">
        <f>VLOOKUP(C40,'2020 (2)'!$A:$L,7,FALSE)</f>
        <v>267364</v>
      </c>
      <c r="G40">
        <f>F40/VLOOKUP($D40,CPI!$P$16:$R$22,3,FALSE)</f>
        <v>311492.10442794388</v>
      </c>
      <c r="H40">
        <f t="shared" si="1"/>
        <v>12.649129269947615</v>
      </c>
      <c r="I40">
        <f>VLOOKUP($C40,'2020 (2)'!$A:$L,11,FALSE)/VLOOKUP($C40,'2020 (2)'!$A:$L,10,FALSE)</f>
        <v>85230</v>
      </c>
      <c r="J40">
        <f>VLOOKUP($C40,'2020 (2)'!$A:$L,11,FALSE)/VLOOKUP($C40,'2020 (2)'!$A:$L,9,FALSE)</f>
        <v>85230</v>
      </c>
      <c r="K40">
        <v>16130695</v>
      </c>
      <c r="L40">
        <f>K40/VLOOKUP($D40,CPI!$P$16:$R$22,3,FALSE)</f>
        <v>18793046.675825138</v>
      </c>
      <c r="M40">
        <f>IFERROR(IF(VLOOKUP(C40,'2020'!A:C,3,FALSE)="","",VLOOKUP(C40,'2020'!A:C,3,FALSE)),"")</f>
        <v>177140</v>
      </c>
      <c r="N40">
        <f>M40/VLOOKUP($D40,CPI!$P$16:$R$22,3,FALSE)</f>
        <v>206376.7424872682</v>
      </c>
    </row>
    <row r="41" spans="1:14">
      <c r="A41">
        <f t="shared" si="2"/>
        <v>2</v>
      </c>
      <c r="B41" t="str">
        <f t="shared" si="9"/>
        <v>Oregon State</v>
      </c>
      <c r="C41">
        <f>VLOOKUP(B41,unitid!A:B,2,FALSE)</f>
        <v>209542</v>
      </c>
      <c r="D41">
        <f t="shared" si="8"/>
        <v>2021</v>
      </c>
      <c r="E41" s="80">
        <v>0.33300000000000002</v>
      </c>
      <c r="F41" s="66">
        <f>VLOOKUP(C41,'2021 (2)'!$A:$L,7,FALSE)</f>
        <v>281444</v>
      </c>
      <c r="G41">
        <f>F41/VLOOKUP($D41,CPI!$P$16:$R$22,3,FALSE)</f>
        <v>320518.81285424129</v>
      </c>
      <c r="H41">
        <f t="shared" si="1"/>
        <v>12.677696252073346</v>
      </c>
      <c r="I41">
        <f>VLOOKUP($C41,'2021 (2)'!$A:$L,11,FALSE)/VLOOKUP($C41,'2021 (2)'!$A:$L,10,FALSE)</f>
        <v>103150.5</v>
      </c>
      <c r="J41">
        <f>VLOOKUP($C41,'2021 (2)'!$A:$L,11,FALSE)/VLOOKUP($C41,'2021 (2)'!$A:$L,9,FALSE)</f>
        <v>103150.5</v>
      </c>
      <c r="K41">
        <v>6186332</v>
      </c>
      <c r="L41">
        <f>K41/VLOOKUP($D41,CPI!$P$16:$R$22,3,FALSE)</f>
        <v>7045223.1653977502</v>
      </c>
      <c r="M41">
        <f>IFERROR(IF(VLOOKUP(C41,'2021'!A:C,3,FALSE)="","",VLOOKUP(C41,'2021'!A:C,3,FALSE)),"")</f>
        <v>50289</v>
      </c>
      <c r="N41">
        <f>M41/VLOOKUP($D41,CPI!$P$16:$R$22,3,FALSE)</f>
        <v>57270.968930326962</v>
      </c>
    </row>
    <row r="42" spans="1:14">
      <c r="A42">
        <f t="shared" si="2"/>
        <v>2</v>
      </c>
      <c r="B42" t="str">
        <f t="shared" si="9"/>
        <v>Oregon State</v>
      </c>
      <c r="C42">
        <f>VLOOKUP(B42,unitid!A:B,2,FALSE)</f>
        <v>209542</v>
      </c>
      <c r="D42">
        <f t="shared" si="8"/>
        <v>2022</v>
      </c>
      <c r="E42" s="80">
        <v>0.64500000000000002</v>
      </c>
      <c r="F42" s="66">
        <f>VLOOKUP(C42,'2022 (2)'!$A:$L,7,FALSE)</f>
        <v>302587</v>
      </c>
      <c r="G42">
        <f>F42/VLOOKUP($D42,CPI!$P$16:$R$22,3,FALSE)</f>
        <v>321535.09932984674</v>
      </c>
      <c r="H42">
        <f t="shared" si="1"/>
        <v>12.680861990355067</v>
      </c>
      <c r="I42">
        <f>IFERROR(VLOOKUP($C42,'2022 (2)'!$A:$L,11,FALSE)/VLOOKUP($C42,'2022 (2)'!$A:$L,10,FALSE),"" )</f>
        <v>112584</v>
      </c>
      <c r="J42">
        <f>IFERROR(VLOOKUP($C42,'2022 (2)'!$A:$L,11,FALSE)/VLOOKUP($C42,'2022 (2)'!$A:$L,9,FALSE),"" )</f>
        <v>112584</v>
      </c>
      <c r="K42">
        <v>19679981</v>
      </c>
      <c r="L42">
        <f>K42/VLOOKUP($D42,CPI!$P$16:$R$22,3,FALSE)</f>
        <v>20912348.004522651</v>
      </c>
      <c r="M42">
        <f>IFERROR(IF(VLOOKUP(C42,'2022'!A:C,3,FALSE)="","",VLOOKUP(C42,'2022'!A:C,3,FALSE)),"")</f>
        <v>239012</v>
      </c>
      <c r="N42">
        <f>M42/VLOOKUP($D42,CPI!$P$16:$R$22,3,FALSE)</f>
        <v>253979.01152734691</v>
      </c>
    </row>
    <row r="43" spans="1:14">
      <c r="A43">
        <f t="shared" si="2"/>
        <v>2</v>
      </c>
      <c r="B43" t="str">
        <f t="shared" si="9"/>
        <v>Oregon State</v>
      </c>
      <c r="C43">
        <f>VLOOKUP(B43,unitid!A:B,2,FALSE)</f>
        <v>209542</v>
      </c>
      <c r="D43">
        <f t="shared" si="8"/>
        <v>2023</v>
      </c>
      <c r="E43" s="80">
        <v>0.58099999999999996</v>
      </c>
      <c r="F43" s="66">
        <f>VLOOKUP(C43,'2023 (2)'!$A:$L,7,FALSE)</f>
        <v>346679</v>
      </c>
      <c r="G43">
        <f>F43/VLOOKUP($D43,CPI!$P$16:$R$22,3,FALSE)</f>
        <v>346679</v>
      </c>
      <c r="H43">
        <f t="shared" si="1"/>
        <v>12.756154558739679</v>
      </c>
      <c r="I43">
        <f>VLOOKUP($C43,'2023 (2)'!$A:$L,11,FALSE)/VLOOKUP($C43,'2023 (2)'!$A:$L,10,FALSE)</f>
        <v>136748</v>
      </c>
      <c r="J43">
        <f>VLOOKUP($C43,'2023 (2)'!$A:$L,11,FALSE)/VLOOKUP($C43,'2023 (2)'!$A:$L,9,FALSE)</f>
        <v>136748</v>
      </c>
      <c r="K43">
        <v>26730140</v>
      </c>
      <c r="L43">
        <f>K43/VLOOKUP($D43,CPI!$P$16:$R$22,3,FALSE)</f>
        <v>26730140</v>
      </c>
      <c r="M43">
        <f>IFERROR(IF(VLOOKUP(C43,'2023'!A:C,3,FALSE)="","",VLOOKUP(C43,'2023'!A:C,3,FALSE)),"")</f>
        <v>344349</v>
      </c>
      <c r="N43">
        <f>M43/VLOOKUP($D43,CPI!$P$16:$R$22,3,FALSE)</f>
        <v>344349</v>
      </c>
    </row>
    <row r="44" spans="1:14">
      <c r="A44">
        <f t="shared" si="2"/>
        <v>2</v>
      </c>
      <c r="B44" s="79" t="s">
        <v>195</v>
      </c>
      <c r="C44">
        <f>VLOOKUP(B44,unitid!A:B,2,FALSE)</f>
        <v>209807</v>
      </c>
      <c r="D44">
        <f t="shared" si="8"/>
        <v>2017</v>
      </c>
      <c r="E44" s="80">
        <v>0.38700000000000001</v>
      </c>
      <c r="F44" s="66">
        <f>VLOOKUP(C44,'2017 (2)'!$A:$L,7,FALSE)</f>
        <v>141027</v>
      </c>
      <c r="G44">
        <f>F44/VLOOKUP($D44,CPI!$P$16:$R$22,3,FALSE)</f>
        <v>174171.08962051297</v>
      </c>
      <c r="H44">
        <f t="shared" si="1"/>
        <v>12.06779336878086</v>
      </c>
      <c r="I44">
        <f>VLOOKUP($C44,'2017 (2)'!$A:$L,11,FALSE)/VLOOKUP($C44,'2017 (2)'!$A:$L,10,FALSE)</f>
        <v>58301</v>
      </c>
      <c r="J44">
        <f>VLOOKUP($C44,'2017 (2)'!$A:$L,11,FALSE)/VLOOKUP($C44,'2017 (2)'!$A:$L,9,FALSE)</f>
        <v>58301</v>
      </c>
      <c r="K44">
        <v>2182004</v>
      </c>
      <c r="L44">
        <f>K44/VLOOKUP($D44,CPI!$P$16:$R$22,3,FALSE)</f>
        <v>2694817.4054352557</v>
      </c>
      <c r="M44">
        <f>IFERROR(IF(VLOOKUP(C44,'2017'!A:C,3,FALSE)="","",VLOOKUP(C44,'2017'!A:C,3,FALSE)),"")</f>
        <v>239785</v>
      </c>
      <c r="N44">
        <f>M44/VLOOKUP($D44,CPI!$P$16:$R$22,3,FALSE)</f>
        <v>296139.1416158232</v>
      </c>
    </row>
    <row r="45" spans="1:14">
      <c r="A45">
        <f t="shared" si="2"/>
        <v>2</v>
      </c>
      <c r="B45" t="str">
        <f t="shared" ref="B45:B50" si="10">B44</f>
        <v>Portland State</v>
      </c>
      <c r="C45">
        <f>VLOOKUP(B45,unitid!A:B,2,FALSE)</f>
        <v>209807</v>
      </c>
      <c r="D45">
        <f t="shared" si="8"/>
        <v>2018</v>
      </c>
      <c r="E45" s="80">
        <v>0.63600000000000001</v>
      </c>
      <c r="F45" s="66">
        <f>VLOOKUP(C45,'2018 (2)'!$A:$L,7,FALSE)</f>
        <v>91404</v>
      </c>
      <c r="G45">
        <f>F45/VLOOKUP($D45,CPI!$P$16:$R$22,3,FALSE)</f>
        <v>110397.35232099822</v>
      </c>
      <c r="H45">
        <f t="shared" si="1"/>
        <v>11.611841429937892</v>
      </c>
      <c r="I45">
        <f>VLOOKUP($C45,'2018 (2)'!$A:$L,11,FALSE)/VLOOKUP($C45,'2018 (2)'!$A:$L,10,FALSE)</f>
        <v>32186</v>
      </c>
      <c r="J45">
        <f>VLOOKUP($C45,'2018 (2)'!$A:$L,11,FALSE)/VLOOKUP($C45,'2018 (2)'!$A:$L,9,FALSE)</f>
        <v>32186</v>
      </c>
      <c r="K45">
        <v>2367427</v>
      </c>
      <c r="L45">
        <f>K45/VLOOKUP($D45,CPI!$P$16:$R$22,3,FALSE)</f>
        <v>2859367.9993571821</v>
      </c>
      <c r="M45" t="str">
        <f>IFERROR(IF(VLOOKUP(C45,'2018'!A:C,3,FALSE)="","",VLOOKUP(C45,'2018'!A:C,3,FALSE)),"")</f>
        <v/>
      </c>
      <c r="N45" t="str">
        <f>IFERROR(IF(VLOOKUP(D45,'2018'!B:D,3,FALSE)="","",VLOOKUP(D45,'2018'!B:D,3,FALSE)),"")</f>
        <v/>
      </c>
    </row>
    <row r="46" spans="1:14">
      <c r="A46">
        <f t="shared" si="2"/>
        <v>2</v>
      </c>
      <c r="B46" t="str">
        <f t="shared" si="10"/>
        <v>Portland State</v>
      </c>
      <c r="C46">
        <f>VLOOKUP(B46,unitid!A:B,2,FALSE)</f>
        <v>209807</v>
      </c>
      <c r="D46">
        <f t="shared" si="8"/>
        <v>2019</v>
      </c>
      <c r="E46" s="80">
        <v>0.34399999999999997</v>
      </c>
      <c r="F46" s="66">
        <f>VLOOKUP(C46,'2019 (2)'!$A:$L,7,FALSE)</f>
        <v>149082</v>
      </c>
      <c r="G46">
        <f>F46/VLOOKUP($D46,CPI!$P$16:$R$22,3,FALSE)</f>
        <v>176404.54186367433</v>
      </c>
      <c r="H46">
        <f t="shared" si="1"/>
        <v>12.080535169749865</v>
      </c>
      <c r="I46">
        <f>VLOOKUP($C46,'2019 (2)'!$A:$L,11,FALSE)/VLOOKUP($C46,'2019 (2)'!$A:$L,10,FALSE)</f>
        <v>48651</v>
      </c>
      <c r="J46">
        <f>VLOOKUP($C46,'2019 (2)'!$A:$L,11,FALSE)/VLOOKUP($C46,'2019 (2)'!$A:$L,9,FALSE)</f>
        <v>48651</v>
      </c>
      <c r="K46">
        <v>2573376</v>
      </c>
      <c r="L46">
        <f>K46/VLOOKUP($D46,CPI!$P$16:$R$22,3,FALSE)</f>
        <v>3045003.5170106036</v>
      </c>
      <c r="M46">
        <f>IFERROR(IF(VLOOKUP(C46,'2019'!A:C,3,FALSE)="","",VLOOKUP(C46,'2019'!A:C,3,FALSE)),"")</f>
        <v>4407</v>
      </c>
      <c r="N46">
        <f>M46/VLOOKUP($D46,CPI!$P$16:$R$22,3,FALSE)</f>
        <v>5214.6792771307919</v>
      </c>
    </row>
    <row r="47" spans="1:14">
      <c r="A47">
        <f t="shared" si="2"/>
        <v>2</v>
      </c>
      <c r="B47" t="str">
        <f t="shared" si="10"/>
        <v>Portland State</v>
      </c>
      <c r="C47">
        <f>VLOOKUP(B47,unitid!A:B,2,FALSE)</f>
        <v>209807</v>
      </c>
      <c r="D47">
        <f t="shared" si="8"/>
        <v>2020</v>
      </c>
      <c r="E47" s="80">
        <v>0.28999999999999998</v>
      </c>
      <c r="F47" s="66">
        <f>VLOOKUP(C47,'2020 (2)'!$A:$L,7,FALSE)</f>
        <v>155886</v>
      </c>
      <c r="G47">
        <f>F47/VLOOKUP($D47,CPI!$P$16:$R$22,3,FALSE)</f>
        <v>181614.79552540529</v>
      </c>
      <c r="H47">
        <f t="shared" si="1"/>
        <v>12.109643214988091</v>
      </c>
      <c r="I47">
        <f>VLOOKUP($C47,'2020 (2)'!$A:$L,11,FALSE)/VLOOKUP($C47,'2020 (2)'!$A:$L,10,FALSE)</f>
        <v>52312</v>
      </c>
      <c r="J47">
        <f>VLOOKUP($C47,'2020 (2)'!$A:$L,11,FALSE)/VLOOKUP($C47,'2020 (2)'!$A:$L,9,FALSE)</f>
        <v>52312</v>
      </c>
      <c r="K47">
        <v>2385082</v>
      </c>
      <c r="L47">
        <f>K47/VLOOKUP($D47,CPI!$P$16:$R$22,3,FALSE)</f>
        <v>2778736.8958169734</v>
      </c>
      <c r="M47">
        <f>IFERROR(IF(VLOOKUP(C47,'2020'!A:C,3,FALSE)="","",VLOOKUP(C47,'2020'!A:C,3,FALSE)),"")</f>
        <v>6434</v>
      </c>
      <c r="N47">
        <f>M47/VLOOKUP($D47,CPI!$P$16:$R$22,3,FALSE)</f>
        <v>7495.9239085643203</v>
      </c>
    </row>
    <row r="48" spans="1:14">
      <c r="A48">
        <f t="shared" si="2"/>
        <v>2</v>
      </c>
      <c r="B48" t="str">
        <f t="shared" si="10"/>
        <v>Portland State</v>
      </c>
      <c r="C48">
        <f>VLOOKUP(B48,unitid!A:B,2,FALSE)</f>
        <v>209807</v>
      </c>
      <c r="D48">
        <f t="shared" si="8"/>
        <v>2021</v>
      </c>
      <c r="E48" s="80">
        <v>0.27800000000000002</v>
      </c>
      <c r="F48" s="66">
        <f>VLOOKUP(C48,'2021 (2)'!$A:$L,7,FALSE)</f>
        <v>140910</v>
      </c>
      <c r="G48">
        <f>F48/VLOOKUP($D48,CPI!$P$16:$R$22,3,FALSE)</f>
        <v>160473.50776456823</v>
      </c>
      <c r="H48">
        <f t="shared" si="1"/>
        <v>11.985884147271303</v>
      </c>
      <c r="I48">
        <f>VLOOKUP($C48,'2021 (2)'!$A:$L,11,FALSE)/VLOOKUP($C48,'2021 (2)'!$A:$L,10,FALSE)</f>
        <v>72580</v>
      </c>
      <c r="J48">
        <f>VLOOKUP($C48,'2021 (2)'!$A:$L,11,FALSE)/VLOOKUP($C48,'2021 (2)'!$A:$L,9,FALSE)</f>
        <v>72580</v>
      </c>
      <c r="K48">
        <v>491613</v>
      </c>
      <c r="L48">
        <f>K48/VLOOKUP($D48,CPI!$P$16:$R$22,3,FALSE)</f>
        <v>559867.02556711866</v>
      </c>
      <c r="M48">
        <f>IFERROR(IF(VLOOKUP(C48,'2021'!A:C,3,FALSE)="","",VLOOKUP(C48,'2021'!A:C,3,FALSE)),"")</f>
        <v>271640</v>
      </c>
      <c r="N48">
        <f>M48/VLOOKUP($D48,CPI!$P$16:$R$22,3,FALSE)</f>
        <v>309353.65587373014</v>
      </c>
    </row>
    <row r="49" spans="1:14">
      <c r="A49">
        <f t="shared" si="2"/>
        <v>2</v>
      </c>
      <c r="B49" t="str">
        <f t="shared" si="10"/>
        <v>Portland State</v>
      </c>
      <c r="C49">
        <f>VLOOKUP(B49,unitid!A:B,2,FALSE)</f>
        <v>209807</v>
      </c>
      <c r="D49">
        <f t="shared" si="8"/>
        <v>2022</v>
      </c>
      <c r="E49" s="80">
        <v>0.16700000000000001</v>
      </c>
      <c r="F49" s="66">
        <f>VLOOKUP(C49,'2022 (2)'!$A:$L,7,FALSE)</f>
        <v>163833</v>
      </c>
      <c r="G49">
        <f>F49/VLOOKUP($D49,CPI!$P$16:$R$22,3,FALSE)</f>
        <v>174092.27735661736</v>
      </c>
      <c r="H49">
        <f t="shared" si="1"/>
        <v>12.067340767257335</v>
      </c>
      <c r="I49" t="str">
        <f>IFERROR(VLOOKUP($C49,'2022 (2)'!$A:$L,11,FALSE)/VLOOKUP($C49,'2022 (2)'!$A:$L,10,FALSE),"" )</f>
        <v/>
      </c>
      <c r="J49" t="str">
        <f>IFERROR(VLOOKUP($C49,'2022 (2)'!$A:$L,11,FALSE)/VLOOKUP($C49,'2022 (2)'!$A:$L,10,FALSE),"" )</f>
        <v/>
      </c>
      <c r="K49">
        <v>1632398</v>
      </c>
      <c r="L49">
        <f>K49/VLOOKUP($D49,CPI!$P$16:$R$22,3,FALSE)</f>
        <v>1734619.3097384986</v>
      </c>
      <c r="M49">
        <f>IFERROR(IF(VLOOKUP(C49,'2022'!A:C,3,FALSE)="","",VLOOKUP(C49,'2022'!A:C,3,FALSE)),"")</f>
        <v>296334</v>
      </c>
      <c r="N49">
        <f>M49/VLOOKUP($D49,CPI!$P$16:$R$22,3,FALSE)</f>
        <v>314890.53437461227</v>
      </c>
    </row>
    <row r="50" spans="1:14">
      <c r="A50">
        <f t="shared" si="2"/>
        <v>2</v>
      </c>
      <c r="B50" t="str">
        <f t="shared" si="10"/>
        <v>Portland State</v>
      </c>
      <c r="C50">
        <f>VLOOKUP(B50,unitid!A:B,2,FALSE)</f>
        <v>209807</v>
      </c>
      <c r="D50">
        <f t="shared" si="8"/>
        <v>2023</v>
      </c>
      <c r="E50" s="80">
        <v>0.23300000000000001</v>
      </c>
      <c r="F50" s="66">
        <f>VLOOKUP(C50,'2023 (2)'!$A:$L,7,FALSE)</f>
        <v>170455</v>
      </c>
      <c r="G50">
        <f>F50/VLOOKUP($D50,CPI!$P$16:$R$22,3,FALSE)</f>
        <v>170455</v>
      </c>
      <c r="H50">
        <f t="shared" si="1"/>
        <v>12.046226611251388</v>
      </c>
      <c r="I50">
        <f>VLOOKUP($C50,'2023 (2)'!$A:$L,11,FALSE)/VLOOKUP($C50,'2023 (2)'!$A:$L,10,FALSE)</f>
        <v>82341</v>
      </c>
      <c r="J50">
        <f>VLOOKUP($C50,'2023 (2)'!$A:$L,11,FALSE)/VLOOKUP($C50,'2023 (2)'!$A:$L,9,FALSE)</f>
        <v>82341</v>
      </c>
      <c r="K50">
        <v>1994899</v>
      </c>
      <c r="L50">
        <f>K50/VLOOKUP($D50,CPI!$P$16:$R$22,3,FALSE)</f>
        <v>1994899</v>
      </c>
      <c r="M50">
        <f>IFERROR(IF(VLOOKUP(C50,'2023'!A:C,3,FALSE)="","",VLOOKUP(C50,'2023'!A:C,3,FALSE)),"")</f>
        <v>299614</v>
      </c>
      <c r="N50">
        <f>M50/VLOOKUP($D50,CPI!$P$16:$R$22,3,FALSE)</f>
        <v>299614</v>
      </c>
    </row>
    <row r="51" spans="1:14">
      <c r="A51">
        <f t="shared" si="2"/>
        <v>2</v>
      </c>
      <c r="B51" s="79" t="s">
        <v>259</v>
      </c>
      <c r="C51">
        <f>VLOOKUP(B51,unitid!A:B,2,FALSE)</f>
        <v>230782</v>
      </c>
      <c r="D51">
        <f t="shared" si="8"/>
        <v>2017</v>
      </c>
      <c r="E51" s="80">
        <v>0.51900000000000002</v>
      </c>
      <c r="F51" s="66">
        <f>VLOOKUP(C51,'2017 (2)'!$A:$L,7,FALSE)</f>
        <v>97654</v>
      </c>
      <c r="G51">
        <f>F51/VLOOKUP($D51,CPI!$P$16:$R$22,3,FALSE)</f>
        <v>120604.59050962988</v>
      </c>
      <c r="H51">
        <f t="shared" si="1"/>
        <v>11.700272626478089</v>
      </c>
      <c r="I51">
        <f>VLOOKUP($C51,'2017 (2)'!$A:$L,11,FALSE)/VLOOKUP($C51,'2017 (2)'!$A:$L,10,FALSE)</f>
        <v>59351</v>
      </c>
      <c r="J51">
        <f>VLOOKUP($C51,'2017 (2)'!$A:$L,11,FALSE)/VLOOKUP($C51,'2017 (2)'!$A:$L,9,FALSE)</f>
        <v>59351</v>
      </c>
      <c r="K51">
        <v>1925893</v>
      </c>
      <c r="L51">
        <f>K51/VLOOKUP($D51,CPI!$P$16:$R$22,3,FALSE)</f>
        <v>2378515.3360882569</v>
      </c>
      <c r="M51">
        <f>IFERROR(IF(VLOOKUP(C51,'2017'!A:C,3,FALSE)="","",VLOOKUP(C51,'2017'!A:C,3,FALSE)),"")</f>
        <v>392447</v>
      </c>
      <c r="N51">
        <f>M51/VLOOKUP($D51,CPI!$P$16:$R$22,3,FALSE)</f>
        <v>484679.68267283181</v>
      </c>
    </row>
    <row r="52" spans="1:14">
      <c r="A52">
        <f t="shared" si="2"/>
        <v>2</v>
      </c>
      <c r="B52" t="str">
        <f t="shared" ref="B52:B57" si="11">B51</f>
        <v>Weber State</v>
      </c>
      <c r="C52">
        <f>VLOOKUP(B52,unitid!A:B,2,FALSE)</f>
        <v>230782</v>
      </c>
      <c r="D52">
        <f t="shared" si="8"/>
        <v>2018</v>
      </c>
      <c r="E52" s="80">
        <v>0.31</v>
      </c>
      <c r="F52" s="66">
        <f>VLOOKUP(C52,'2018 (2)'!$A:$L,7,FALSE)</f>
        <v>103585</v>
      </c>
      <c r="G52">
        <f>F52/VLOOKUP($D52,CPI!$P$16:$R$22,3,FALSE)</f>
        <v>125109.51096418758</v>
      </c>
      <c r="H52">
        <f t="shared" si="1"/>
        <v>11.736944720457092</v>
      </c>
      <c r="I52">
        <f>VLOOKUP($C52,'2018 (2)'!$A:$L,11,FALSE)/VLOOKUP($C52,'2018 (2)'!$A:$L,10,FALSE)</f>
        <v>64764</v>
      </c>
      <c r="J52">
        <f>VLOOKUP($C52,'2018 (2)'!$A:$L,11,FALSE)/VLOOKUP($C52,'2018 (2)'!$A:$L,9,FALSE)</f>
        <v>64764</v>
      </c>
      <c r="K52">
        <v>2739761</v>
      </c>
      <c r="L52">
        <f>K52/VLOOKUP($D52,CPI!$P$16:$R$22,3,FALSE)</f>
        <v>3309071.379724415</v>
      </c>
      <c r="M52">
        <f>IFERROR(IF(VLOOKUP(C52,'2018'!A:C,3,FALSE)="","",VLOOKUP(C52,'2018'!A:C,3,FALSE)),"")</f>
        <v>397961</v>
      </c>
      <c r="N52">
        <f>M52/VLOOKUP($D52,CPI!$P$16:$R$22,3,FALSE)</f>
        <v>480655.55913326301</v>
      </c>
    </row>
    <row r="53" spans="1:14">
      <c r="A53">
        <f t="shared" si="2"/>
        <v>2</v>
      </c>
      <c r="B53" t="str">
        <f t="shared" si="11"/>
        <v>Weber State</v>
      </c>
      <c r="C53">
        <f>VLOOKUP(B53,unitid!A:B,2,FALSE)</f>
        <v>230782</v>
      </c>
      <c r="D53">
        <f t="shared" si="8"/>
        <v>2019</v>
      </c>
      <c r="E53" s="80">
        <v>0.64300000000000002</v>
      </c>
      <c r="F53" s="66">
        <f>VLOOKUP(C53,'2019 (2)'!$A:$L,7,FALSE)</f>
        <v>110218</v>
      </c>
      <c r="G53">
        <f>F53/VLOOKUP($D53,CPI!$P$16:$R$22,3,FALSE)</f>
        <v>130417.86262010476</v>
      </c>
      <c r="H53">
        <f t="shared" si="1"/>
        <v>11.778498902376349</v>
      </c>
      <c r="I53">
        <f>VLOOKUP($C53,'2019 (2)'!$A:$L,11,FALSE)/VLOOKUP($C53,'2019 (2)'!$A:$L,10,FALSE)</f>
        <v>62366.5</v>
      </c>
      <c r="J53">
        <f>VLOOKUP($C53,'2019 (2)'!$A:$L,11,FALSE)/VLOOKUP($C53,'2019 (2)'!$A:$L,9,FALSE)</f>
        <v>62366.5</v>
      </c>
      <c r="K53">
        <v>2849607</v>
      </c>
      <c r="L53">
        <f>K53/VLOOKUP($D53,CPI!$P$16:$R$22,3,FALSE)</f>
        <v>3371859.8980864184</v>
      </c>
      <c r="M53">
        <f>IFERROR(IF(VLOOKUP(C53,'2019'!A:C,3,FALSE)="","",VLOOKUP(C53,'2019'!A:C,3,FALSE)),"")</f>
        <v>424303</v>
      </c>
      <c r="N53">
        <f>M53/VLOOKUP($D53,CPI!$P$16:$R$22,3,FALSE)</f>
        <v>502065.81831731938</v>
      </c>
    </row>
    <row r="54" spans="1:14">
      <c r="A54">
        <f t="shared" si="2"/>
        <v>2</v>
      </c>
      <c r="B54" t="str">
        <f t="shared" si="11"/>
        <v>Weber State</v>
      </c>
      <c r="C54">
        <f>VLOOKUP(B54,unitid!A:B,2,FALSE)</f>
        <v>230782</v>
      </c>
      <c r="D54">
        <f t="shared" si="8"/>
        <v>2020</v>
      </c>
      <c r="E54" s="80">
        <v>0.74299999999999999</v>
      </c>
      <c r="F54" s="66">
        <f>VLOOKUP(C54,'2020 (2)'!$A:$L,7,FALSE)</f>
        <v>167854</v>
      </c>
      <c r="G54">
        <f>F54/VLOOKUP($D54,CPI!$P$16:$R$22,3,FALSE)</f>
        <v>195558.09943241457</v>
      </c>
      <c r="H54">
        <f t="shared" si="1"/>
        <v>12.183612798054718</v>
      </c>
      <c r="I54">
        <f>VLOOKUP($C54,'2020 (2)'!$A:$L,11,FALSE)/VLOOKUP($C54,'2020 (2)'!$A:$L,10,FALSE)</f>
        <v>62748.5</v>
      </c>
      <c r="J54">
        <f>VLOOKUP($C54,'2020 (2)'!$A:$L,11,FALSE)/VLOOKUP($C54,'2020 (2)'!$A:$L,9,FALSE)</f>
        <v>62748.5</v>
      </c>
      <c r="K54">
        <v>2974837</v>
      </c>
      <c r="L54">
        <f>K54/VLOOKUP($D54,CPI!$P$16:$R$22,3,FALSE)</f>
        <v>3465830.244386347</v>
      </c>
      <c r="M54">
        <f>IFERROR(IF(VLOOKUP(C54,'2020'!A:C,3,FALSE)="","",VLOOKUP(C54,'2020'!A:C,3,FALSE)),"")</f>
        <v>486153</v>
      </c>
      <c r="N54">
        <f>M54/VLOOKUP($D54,CPI!$P$16:$R$22,3,FALSE)</f>
        <v>566391.96392916853</v>
      </c>
    </row>
    <row r="55" spans="1:14">
      <c r="A55">
        <f t="shared" si="2"/>
        <v>2</v>
      </c>
      <c r="B55" t="str">
        <f t="shared" si="11"/>
        <v>Weber State</v>
      </c>
      <c r="C55">
        <f>VLOOKUP(B55,unitid!A:B,2,FALSE)</f>
        <v>230782</v>
      </c>
      <c r="D55">
        <f t="shared" si="8"/>
        <v>2021</v>
      </c>
      <c r="E55" s="80">
        <v>0.90500000000000003</v>
      </c>
      <c r="F55" s="66">
        <f>VLOOKUP(C55,'2021 (2)'!$A:$L,7,FALSE)</f>
        <v>174389</v>
      </c>
      <c r="G55">
        <f>F55/VLOOKUP($D55,CPI!$P$16:$R$22,3,FALSE)</f>
        <v>198600.62838375766</v>
      </c>
      <c r="H55">
        <f t="shared" si="1"/>
        <v>12.199051194655462</v>
      </c>
      <c r="I55">
        <f>VLOOKUP($C55,'2021 (2)'!$A:$L,11,FALSE)/VLOOKUP($C55,'2021 (2)'!$A:$L,10,FALSE)</f>
        <v>60708</v>
      </c>
      <c r="J55">
        <f>VLOOKUP($C55,'2021 (2)'!$A:$L,11,FALSE)/VLOOKUP($C55,'2021 (2)'!$A:$L,9,FALSE)</f>
        <v>60708</v>
      </c>
      <c r="K55">
        <v>870856</v>
      </c>
      <c r="L55">
        <f>K55/VLOOKUP($D55,CPI!$P$16:$R$22,3,FALSE)</f>
        <v>991762.94853325409</v>
      </c>
      <c r="M55">
        <f>IFERROR(IF(VLOOKUP(C55,'2021'!A:C,3,FALSE)="","",VLOOKUP(C55,'2021'!A:C,3,FALSE)),"")</f>
        <v>463117</v>
      </c>
      <c r="N55">
        <f>M55/VLOOKUP($D55,CPI!$P$16:$R$22,3,FALSE)</f>
        <v>527414.72922719142</v>
      </c>
    </row>
    <row r="56" spans="1:14">
      <c r="A56">
        <f t="shared" si="2"/>
        <v>2</v>
      </c>
      <c r="B56" t="str">
        <f t="shared" si="11"/>
        <v>Weber State</v>
      </c>
      <c r="C56">
        <f>VLOOKUP(B56,unitid!A:B,2,FALSE)</f>
        <v>230782</v>
      </c>
      <c r="D56">
        <f t="shared" si="8"/>
        <v>2022</v>
      </c>
      <c r="E56" s="80">
        <v>0.68799999999999994</v>
      </c>
      <c r="F56" s="66">
        <f>VLOOKUP(C56,'2022 (2)'!$A:$L,7,FALSE)</f>
        <v>173333</v>
      </c>
      <c r="G56">
        <f>F56/VLOOKUP($D56,CPI!$P$16:$R$22,3,FALSE)</f>
        <v>184187.1705398458</v>
      </c>
      <c r="H56">
        <f t="shared" si="1"/>
        <v>12.12370775075688</v>
      </c>
      <c r="I56">
        <f>VLOOKUP($C56,'2022 (2)'!$A:$L,11,FALSE)/VLOOKUP($C56,'2022 (2)'!$A:$L,10,FALSE)</f>
        <v>61204</v>
      </c>
      <c r="J56">
        <f>VLOOKUP($C56,'2022 (2)'!$A:$L,11,FALSE)/VLOOKUP($C56,'2022 (2)'!$A:$L,9,FALSE)</f>
        <v>61204</v>
      </c>
      <c r="K56">
        <v>2942259</v>
      </c>
      <c r="L56">
        <f>K56/VLOOKUP($D56,CPI!$P$16:$R$22,3,FALSE)</f>
        <v>3126504.2444623709</v>
      </c>
      <c r="M56">
        <f>IFERROR(IF(VLOOKUP(C56,'2022'!A:C,3,FALSE)="","",VLOOKUP(C56,'2022'!A:C,3,FALSE)),"")</f>
        <v>522631</v>
      </c>
      <c r="N56">
        <f>M56/VLOOKUP($D56,CPI!$P$16:$R$22,3,FALSE)</f>
        <v>555358.32834145916</v>
      </c>
    </row>
    <row r="57" spans="1:14">
      <c r="A57">
        <f t="shared" si="2"/>
        <v>2</v>
      </c>
      <c r="B57" t="str">
        <f t="shared" si="11"/>
        <v>Weber State</v>
      </c>
      <c r="C57">
        <f>VLOOKUP(B57,unitid!A:B,2,FALSE)</f>
        <v>230782</v>
      </c>
      <c r="D57">
        <f t="shared" si="8"/>
        <v>2023</v>
      </c>
      <c r="E57" s="80">
        <v>0.58599999999999997</v>
      </c>
      <c r="F57" s="66">
        <f>VLOOKUP(C57,'2023 (2)'!$A:$L,7,FALSE)</f>
        <v>187556</v>
      </c>
      <c r="G57">
        <f>F57/VLOOKUP($D57,CPI!$P$16:$R$22,3,FALSE)</f>
        <v>187556</v>
      </c>
      <c r="H57">
        <f t="shared" si="1"/>
        <v>12.141832746467259</v>
      </c>
      <c r="I57">
        <f>VLOOKUP($C57,'2023 (2)'!$A:$L,11,FALSE)/VLOOKUP($C57,'2023 (2)'!$A:$L,10,FALSE)</f>
        <v>56016.5</v>
      </c>
      <c r="J57">
        <f>VLOOKUP($C57,'2023 (2)'!$A:$L,11,FALSE)/VLOOKUP($C57,'2023 (2)'!$A:$L,9,FALSE)</f>
        <v>56016.5</v>
      </c>
      <c r="K57">
        <v>2729813</v>
      </c>
      <c r="L57">
        <f>K57/VLOOKUP($D57,CPI!$P$16:$R$22,3,FALSE)</f>
        <v>2729813</v>
      </c>
      <c r="M57">
        <f>IFERROR(IF(VLOOKUP(C57,'2023'!A:C,3,FALSE)="","",VLOOKUP(C57,'2023'!A:C,3,FALSE)),"")</f>
        <v>496824</v>
      </c>
      <c r="N57">
        <f>M57/VLOOKUP($D57,CPI!$P$16:$R$22,3,FALSE)</f>
        <v>496824</v>
      </c>
    </row>
  </sheetData>
  <pageMargins left="0.7" right="0.7" top="0.75" bottom="0.75" header="0.3" footer="0.3"/>
  <ignoredErrors>
    <ignoredError sqref="N25 N38" formula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D2A1-0F76-424E-8C54-5EB2D58EE93B}">
  <dimension ref="A1:G57"/>
  <sheetViews>
    <sheetView zoomScale="167" workbookViewId="0">
      <selection activeCell="D13" sqref="D13"/>
    </sheetView>
  </sheetViews>
  <sheetFormatPr baseColWidth="10" defaultColWidth="8.83203125" defaultRowHeight="15"/>
  <cols>
    <col min="1" max="1" width="15.83203125" customWidth="1"/>
    <col min="2" max="2" width="5.6640625" customWidth="1"/>
    <col min="3" max="3" width="11.33203125" bestFit="1" customWidth="1"/>
    <col min="4" max="4" width="10.33203125" bestFit="1" customWidth="1"/>
    <col min="5" max="5" width="13.33203125" bestFit="1" customWidth="1"/>
    <col min="6" max="6" width="11.83203125" bestFit="1" customWidth="1"/>
    <col min="7" max="7" width="16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tr">
        <f>Sheet1!B2</f>
        <v>Arizona</v>
      </c>
      <c r="B2">
        <v>2017</v>
      </c>
      <c r="C2">
        <v>15490786</v>
      </c>
      <c r="D2">
        <v>1051403</v>
      </c>
      <c r="E2">
        <v>18169527</v>
      </c>
      <c r="F2">
        <v>2934038</v>
      </c>
      <c r="G2">
        <f>SUM(C2:F2)</f>
        <v>37645754</v>
      </c>
    </row>
    <row r="3" spans="1:7">
      <c r="A3" t="str">
        <f>Sheet1!B3</f>
        <v>Arizona</v>
      </c>
      <c r="B3">
        <v>2018</v>
      </c>
      <c r="C3" s="45">
        <v>13768437</v>
      </c>
      <c r="D3" s="45">
        <v>534500</v>
      </c>
      <c r="E3" s="45">
        <v>23226028</v>
      </c>
      <c r="F3" s="45">
        <v>2433487</v>
      </c>
      <c r="G3">
        <f t="shared" ref="G3:G57" si="0">SUM(C3:F3)</f>
        <v>39962452</v>
      </c>
    </row>
    <row r="4" spans="1:7">
      <c r="A4" t="str">
        <f>Sheet1!B4</f>
        <v>Arizona</v>
      </c>
      <c r="B4">
        <v>2019</v>
      </c>
      <c r="C4" s="45">
        <v>14584292</v>
      </c>
      <c r="D4" s="45">
        <v>321320</v>
      </c>
      <c r="E4" s="45">
        <v>20914842</v>
      </c>
      <c r="F4" s="45">
        <v>2110407</v>
      </c>
      <c r="G4">
        <f t="shared" si="0"/>
        <v>37930861</v>
      </c>
    </row>
    <row r="5" spans="1:7">
      <c r="A5" t="str">
        <f>Sheet1!B5</f>
        <v>Arizona</v>
      </c>
      <c r="B5">
        <v>2020</v>
      </c>
      <c r="C5" s="45">
        <v>13031253</v>
      </c>
      <c r="D5" s="45">
        <v>533900</v>
      </c>
      <c r="E5" s="45">
        <v>23493464</v>
      </c>
      <c r="F5" s="45">
        <v>1876754</v>
      </c>
      <c r="G5">
        <f t="shared" si="0"/>
        <v>38935371</v>
      </c>
    </row>
    <row r="6" spans="1:7">
      <c r="A6" t="str">
        <f>Sheet1!B6</f>
        <v>Arizona</v>
      </c>
      <c r="B6">
        <v>2021</v>
      </c>
      <c r="C6" s="45">
        <v>772925</v>
      </c>
      <c r="D6" s="45">
        <v>41400</v>
      </c>
      <c r="E6" s="45">
        <v>13779297</v>
      </c>
      <c r="F6" s="45">
        <v>563251</v>
      </c>
      <c r="G6">
        <f t="shared" si="0"/>
        <v>15156873</v>
      </c>
    </row>
    <row r="7" spans="1:7">
      <c r="A7" t="str">
        <f>Sheet1!B7</f>
        <v>Arizona</v>
      </c>
      <c r="B7">
        <v>2022</v>
      </c>
      <c r="C7" s="45">
        <v>19164426</v>
      </c>
      <c r="D7" s="45">
        <v>1578936</v>
      </c>
      <c r="E7" s="45">
        <v>19865817</v>
      </c>
      <c r="F7" s="45">
        <v>2456996</v>
      </c>
      <c r="G7">
        <f t="shared" si="0"/>
        <v>43066175</v>
      </c>
    </row>
    <row r="8" spans="1:7">
      <c r="A8" t="str">
        <f>Sheet1!B8</f>
        <v>Arizona</v>
      </c>
      <c r="B8">
        <v>2023</v>
      </c>
      <c r="C8" s="45">
        <v>17553528</v>
      </c>
      <c r="D8" s="45">
        <v>586813</v>
      </c>
      <c r="E8" s="45">
        <v>24531439</v>
      </c>
      <c r="F8" s="45">
        <v>3656522</v>
      </c>
      <c r="G8">
        <f t="shared" si="0"/>
        <v>46328302</v>
      </c>
    </row>
    <row r="9" spans="1:7">
      <c r="A9" t="str">
        <f>Sheet1!B9</f>
        <v>California</v>
      </c>
      <c r="B9">
        <v>2017</v>
      </c>
      <c r="C9" s="45">
        <v>13483996</v>
      </c>
      <c r="D9" s="45">
        <v>2168848</v>
      </c>
      <c r="E9" s="45">
        <v>20486038</v>
      </c>
      <c r="F9" s="45">
        <v>835280</v>
      </c>
      <c r="G9">
        <f t="shared" si="0"/>
        <v>36974162</v>
      </c>
    </row>
    <row r="10" spans="1:7">
      <c r="A10" t="str">
        <f>Sheet1!B10</f>
        <v>California</v>
      </c>
      <c r="B10">
        <v>2018</v>
      </c>
      <c r="C10" s="45">
        <v>10528294</v>
      </c>
      <c r="D10" s="45">
        <v>231510</v>
      </c>
      <c r="E10" s="45">
        <v>18098032</v>
      </c>
      <c r="F10" s="45">
        <v>662604</v>
      </c>
      <c r="G10">
        <f t="shared" si="0"/>
        <v>29520440</v>
      </c>
    </row>
    <row r="11" spans="1:7">
      <c r="A11" t="str">
        <f>Sheet1!B11</f>
        <v>California</v>
      </c>
      <c r="B11">
        <v>2019</v>
      </c>
      <c r="C11" s="45">
        <v>11430872</v>
      </c>
      <c r="D11" s="45">
        <v>390000</v>
      </c>
      <c r="E11" s="45">
        <v>15235663</v>
      </c>
      <c r="F11" s="45">
        <v>867441</v>
      </c>
      <c r="G11">
        <f t="shared" si="0"/>
        <v>27923976</v>
      </c>
    </row>
    <row r="12" spans="1:7">
      <c r="A12" t="str">
        <f>Sheet1!B12</f>
        <v>California</v>
      </c>
      <c r="B12">
        <v>2020</v>
      </c>
      <c r="C12" s="45">
        <v>8533447</v>
      </c>
      <c r="D12" s="45">
        <v>388500</v>
      </c>
      <c r="E12" s="45">
        <v>13285517</v>
      </c>
      <c r="F12" s="45">
        <v>812075</v>
      </c>
      <c r="G12">
        <f t="shared" si="0"/>
        <v>23019539</v>
      </c>
    </row>
    <row r="13" spans="1:7">
      <c r="A13" t="str">
        <f>Sheet1!B13</f>
        <v>California</v>
      </c>
      <c r="B13">
        <v>2021</v>
      </c>
      <c r="C13" s="45">
        <v>121832</v>
      </c>
      <c r="D13" s="45">
        <v>0</v>
      </c>
      <c r="E13" s="45">
        <v>12009049</v>
      </c>
      <c r="F13" s="45">
        <v>74025</v>
      </c>
      <c r="G13">
        <f t="shared" si="0"/>
        <v>12204906</v>
      </c>
    </row>
    <row r="14" spans="1:7">
      <c r="A14" t="str">
        <f>Sheet1!B14</f>
        <v>California</v>
      </c>
      <c r="B14">
        <v>2022</v>
      </c>
      <c r="C14" s="45">
        <v>8073384</v>
      </c>
      <c r="D14" s="45">
        <v>528000</v>
      </c>
      <c r="E14" s="45">
        <v>15646730</v>
      </c>
      <c r="F14" s="45">
        <v>602939</v>
      </c>
      <c r="G14">
        <f t="shared" si="0"/>
        <v>24851053</v>
      </c>
    </row>
    <row r="15" spans="1:7">
      <c r="A15" t="str">
        <f>Sheet1!B15</f>
        <v>California</v>
      </c>
      <c r="B15">
        <v>2023</v>
      </c>
      <c r="C15" s="45">
        <v>10227443</v>
      </c>
      <c r="D15" s="45">
        <v>1949866</v>
      </c>
      <c r="E15" s="45">
        <v>14521955</v>
      </c>
      <c r="F15" s="45">
        <v>899070</v>
      </c>
      <c r="G15">
        <f t="shared" si="0"/>
        <v>27598334</v>
      </c>
    </row>
    <row r="16" spans="1:7">
      <c r="A16" t="str">
        <f>Sheet1!B16</f>
        <v>Colorado</v>
      </c>
      <c r="B16">
        <v>2017</v>
      </c>
      <c r="C16" s="45">
        <v>13815396</v>
      </c>
      <c r="D16" s="45">
        <v>1450000</v>
      </c>
      <c r="E16" s="45">
        <v>14587775</v>
      </c>
      <c r="F16" s="45">
        <v>1617492</v>
      </c>
      <c r="G16">
        <f t="shared" si="0"/>
        <v>31470663</v>
      </c>
    </row>
    <row r="17" spans="1:7">
      <c r="A17" t="str">
        <f>Sheet1!B17</f>
        <v>Colorado</v>
      </c>
      <c r="B17">
        <v>2018</v>
      </c>
      <c r="C17" s="45">
        <v>14467860</v>
      </c>
      <c r="D17" s="45">
        <v>125000</v>
      </c>
      <c r="E17" s="45">
        <v>16434097</v>
      </c>
      <c r="F17" s="45">
        <v>1638587</v>
      </c>
      <c r="G17">
        <f t="shared" si="0"/>
        <v>32665544</v>
      </c>
    </row>
    <row r="18" spans="1:7">
      <c r="A18" t="str">
        <f>Sheet1!B18</f>
        <v>Colorado</v>
      </c>
      <c r="B18">
        <v>2019</v>
      </c>
      <c r="C18" s="45">
        <v>14030529</v>
      </c>
      <c r="D18" s="45">
        <v>320000</v>
      </c>
      <c r="E18" s="45">
        <v>16113839</v>
      </c>
      <c r="F18" s="45">
        <v>2307881</v>
      </c>
      <c r="G18">
        <f t="shared" si="0"/>
        <v>32772249</v>
      </c>
    </row>
    <row r="19" spans="1:7">
      <c r="A19" t="str">
        <f>Sheet1!B19</f>
        <v>Colorado</v>
      </c>
      <c r="B19">
        <v>2020</v>
      </c>
      <c r="C19" s="45">
        <v>17693255</v>
      </c>
      <c r="D19" s="45">
        <v>54000</v>
      </c>
      <c r="E19" s="45">
        <v>13282266</v>
      </c>
      <c r="F19" s="45">
        <v>3868507</v>
      </c>
      <c r="G19">
        <f t="shared" si="0"/>
        <v>34898028</v>
      </c>
    </row>
    <row r="20" spans="1:7">
      <c r="A20" t="str">
        <f>Sheet1!B20</f>
        <v>Colorado</v>
      </c>
      <c r="B20">
        <v>2021</v>
      </c>
      <c r="C20" s="45">
        <v>41752</v>
      </c>
      <c r="D20" s="45">
        <v>40000</v>
      </c>
      <c r="E20" s="45">
        <v>3739003</v>
      </c>
      <c r="F20" s="45">
        <v>73564</v>
      </c>
      <c r="G20">
        <f t="shared" si="0"/>
        <v>3894319</v>
      </c>
    </row>
    <row r="21" spans="1:7">
      <c r="A21" t="str">
        <f>Sheet1!B21</f>
        <v>Colorado</v>
      </c>
      <c r="B21">
        <v>2022</v>
      </c>
      <c r="C21" s="45">
        <v>8073384</v>
      </c>
      <c r="D21" s="45">
        <v>528000</v>
      </c>
      <c r="E21" s="45">
        <v>15646730</v>
      </c>
      <c r="F21" s="45">
        <v>602939</v>
      </c>
      <c r="G21">
        <f t="shared" si="0"/>
        <v>24851053</v>
      </c>
    </row>
    <row r="22" spans="1:7">
      <c r="A22" t="str">
        <f>Sheet1!B22</f>
        <v>Colorado</v>
      </c>
      <c r="B22">
        <v>2023</v>
      </c>
      <c r="C22" s="45">
        <v>15721953</v>
      </c>
      <c r="D22" s="45">
        <v>600000</v>
      </c>
      <c r="E22" s="45">
        <v>29333620</v>
      </c>
      <c r="F22" s="45">
        <v>2249977</v>
      </c>
      <c r="G22">
        <f t="shared" si="0"/>
        <v>47905550</v>
      </c>
    </row>
    <row r="23" spans="1:7">
      <c r="A23" t="str">
        <f>Sheet1!B23</f>
        <v>Maryland Baltimore County</v>
      </c>
      <c r="B23">
        <v>2017</v>
      </c>
      <c r="C23" s="45">
        <v>80558</v>
      </c>
      <c r="D23" s="45">
        <v>326000</v>
      </c>
      <c r="E23" s="45">
        <v>190420</v>
      </c>
      <c r="F23" s="45">
        <v>0</v>
      </c>
      <c r="G23">
        <f t="shared" si="0"/>
        <v>596978</v>
      </c>
    </row>
    <row r="24" spans="1:7">
      <c r="A24" t="str">
        <f>Sheet1!B24</f>
        <v>Maryland Baltimore County</v>
      </c>
      <c r="B24">
        <v>2018</v>
      </c>
      <c r="C24" s="45">
        <v>80987</v>
      </c>
      <c r="D24" s="45">
        <v>193500</v>
      </c>
      <c r="E24" s="45">
        <v>88486</v>
      </c>
      <c r="F24" s="45">
        <v>0</v>
      </c>
      <c r="G24">
        <f t="shared" si="0"/>
        <v>362973</v>
      </c>
    </row>
    <row r="25" spans="1:7">
      <c r="A25" t="str">
        <f>Sheet1!B25</f>
        <v>Maryland Baltimore County</v>
      </c>
      <c r="B25">
        <v>2019</v>
      </c>
      <c r="C25" s="45">
        <v>122984</v>
      </c>
      <c r="D25" s="45">
        <v>224500</v>
      </c>
      <c r="E25" s="45">
        <v>121314</v>
      </c>
      <c r="F25" s="45">
        <v>0</v>
      </c>
      <c r="G25">
        <f t="shared" si="0"/>
        <v>468798</v>
      </c>
    </row>
    <row r="26" spans="1:7">
      <c r="A26" t="str">
        <f>Sheet1!B26</f>
        <v>Maryland Baltimore County</v>
      </c>
      <c r="B26">
        <v>2020</v>
      </c>
      <c r="C26" s="45">
        <v>141563</v>
      </c>
      <c r="D26" s="45">
        <v>277500</v>
      </c>
      <c r="E26" s="45">
        <v>71078</v>
      </c>
      <c r="F26" s="45">
        <v>0</v>
      </c>
      <c r="G26">
        <f t="shared" si="0"/>
        <v>490141</v>
      </c>
    </row>
    <row r="27" spans="1:7">
      <c r="A27" t="str">
        <f>Sheet1!B27</f>
        <v>Maryland Baltimore County</v>
      </c>
      <c r="B27">
        <v>2021</v>
      </c>
      <c r="C27" s="45">
        <v>14295</v>
      </c>
      <c r="D27" s="45">
        <v>25000</v>
      </c>
      <c r="E27" s="45">
        <v>97853</v>
      </c>
      <c r="F27" s="45">
        <v>0</v>
      </c>
      <c r="G27">
        <f t="shared" si="0"/>
        <v>137148</v>
      </c>
    </row>
    <row r="28" spans="1:7">
      <c r="A28" t="str">
        <f>Sheet1!B28</f>
        <v>Maryland Baltimore County</v>
      </c>
      <c r="B28">
        <v>2022</v>
      </c>
      <c r="C28" s="45">
        <v>154368</v>
      </c>
      <c r="D28">
        <v>264500</v>
      </c>
      <c r="E28" s="45">
        <v>278247</v>
      </c>
      <c r="F28" s="45">
        <v>0</v>
      </c>
      <c r="G28">
        <f t="shared" si="0"/>
        <v>697115</v>
      </c>
    </row>
    <row r="29" spans="1:7">
      <c r="A29" t="str">
        <f>Sheet1!B29</f>
        <v>Maryland Baltimore County</v>
      </c>
      <c r="B29">
        <v>2023</v>
      </c>
      <c r="C29" s="45">
        <v>160714</v>
      </c>
      <c r="D29" s="45">
        <v>303000</v>
      </c>
      <c r="E29" s="45">
        <v>377535</v>
      </c>
      <c r="F29" s="45">
        <v>0</v>
      </c>
      <c r="G29">
        <f t="shared" si="0"/>
        <v>841249</v>
      </c>
    </row>
    <row r="30" spans="1:7">
      <c r="A30" t="str">
        <f>Sheet1!B30</f>
        <v>North Carolina Wilmington</v>
      </c>
      <c r="B30">
        <v>2017</v>
      </c>
      <c r="C30" s="45">
        <v>642675</v>
      </c>
      <c r="D30" s="45">
        <v>233820</v>
      </c>
      <c r="E30" s="45">
        <v>1835030</v>
      </c>
      <c r="F30" s="45">
        <v>0</v>
      </c>
      <c r="G30">
        <f t="shared" si="0"/>
        <v>2711525</v>
      </c>
    </row>
    <row r="31" spans="1:7">
      <c r="A31" t="str">
        <f>Sheet1!B31</f>
        <v>North Carolina Wilmington</v>
      </c>
      <c r="B31">
        <v>2018</v>
      </c>
      <c r="C31" s="45">
        <v>585187</v>
      </c>
      <c r="D31" s="45">
        <v>291155</v>
      </c>
      <c r="E31" s="45">
        <v>3627257</v>
      </c>
      <c r="F31" s="45">
        <v>0</v>
      </c>
      <c r="G31">
        <f t="shared" si="0"/>
        <v>4503599</v>
      </c>
    </row>
    <row r="32" spans="1:7">
      <c r="A32" t="str">
        <f>Sheet1!B32</f>
        <v>North Carolina Wilmington</v>
      </c>
      <c r="B32">
        <v>2019</v>
      </c>
      <c r="C32" s="45">
        <v>682735</v>
      </c>
      <c r="D32" s="45">
        <v>203200</v>
      </c>
      <c r="E32" s="45">
        <v>1581798</v>
      </c>
      <c r="F32" s="45">
        <v>0</v>
      </c>
      <c r="G32">
        <f t="shared" si="0"/>
        <v>2467733</v>
      </c>
    </row>
    <row r="33" spans="1:7">
      <c r="A33" t="str">
        <f>Sheet1!B33</f>
        <v>North Carolina Wilmington</v>
      </c>
      <c r="B33">
        <v>2020</v>
      </c>
      <c r="C33" s="45">
        <v>688020</v>
      </c>
      <c r="D33" s="45">
        <v>244000</v>
      </c>
      <c r="E33" s="45">
        <v>1292128</v>
      </c>
      <c r="F33" s="45">
        <v>0</v>
      </c>
      <c r="G33">
        <f t="shared" si="0"/>
        <v>2224148</v>
      </c>
    </row>
    <row r="34" spans="1:7">
      <c r="A34" t="str">
        <f>Sheet1!B34</f>
        <v>North Carolina Wilmington</v>
      </c>
      <c r="B34">
        <v>2021</v>
      </c>
      <c r="C34" s="45">
        <v>93893</v>
      </c>
      <c r="D34" s="45">
        <v>201000</v>
      </c>
      <c r="E34" s="45">
        <v>1255415</v>
      </c>
      <c r="F34" s="45">
        <v>0</v>
      </c>
      <c r="G34">
        <f t="shared" si="0"/>
        <v>1550308</v>
      </c>
    </row>
    <row r="35" spans="1:7">
      <c r="A35" t="str">
        <f>Sheet1!B35</f>
        <v>North Carolina Wilmington</v>
      </c>
      <c r="B35">
        <v>2022</v>
      </c>
      <c r="C35" s="45">
        <v>652718</v>
      </c>
      <c r="D35" s="45">
        <v>202000</v>
      </c>
      <c r="E35" s="45">
        <v>1488161</v>
      </c>
      <c r="F35" s="45">
        <v>0</v>
      </c>
      <c r="G35">
        <f t="shared" si="0"/>
        <v>2342879</v>
      </c>
    </row>
    <row r="36" spans="1:7">
      <c r="A36" t="str">
        <f>Sheet1!B36</f>
        <v>North Carolina Wilmington</v>
      </c>
      <c r="B36">
        <v>2023</v>
      </c>
      <c r="C36" s="45">
        <v>923153</v>
      </c>
      <c r="D36" s="45">
        <v>212500</v>
      </c>
      <c r="E36" s="45">
        <v>2162038</v>
      </c>
      <c r="F36" s="45">
        <v>0</v>
      </c>
      <c r="G36">
        <f t="shared" si="0"/>
        <v>3297691</v>
      </c>
    </row>
    <row r="37" spans="1:7">
      <c r="A37" t="str">
        <f>Sheet1!B37</f>
        <v>Oregon State</v>
      </c>
      <c r="B37">
        <v>2017</v>
      </c>
      <c r="C37" s="45">
        <v>13346970</v>
      </c>
      <c r="D37" s="45">
        <v>470000</v>
      </c>
      <c r="E37" s="45">
        <v>9377557</v>
      </c>
      <c r="F37" s="45">
        <v>946108</v>
      </c>
      <c r="G37">
        <f t="shared" si="0"/>
        <v>24140635</v>
      </c>
    </row>
    <row r="38" spans="1:7">
      <c r="A38" t="str">
        <f>Sheet1!B38</f>
        <v>Oregon State</v>
      </c>
      <c r="B38">
        <v>2018</v>
      </c>
      <c r="C38" s="45">
        <v>11356592</v>
      </c>
      <c r="D38" s="45">
        <v>253000</v>
      </c>
      <c r="E38" s="45">
        <v>9712220</v>
      </c>
      <c r="F38" s="45">
        <v>1077705</v>
      </c>
      <c r="G38">
        <f t="shared" si="0"/>
        <v>22399517</v>
      </c>
    </row>
    <row r="39" spans="1:7">
      <c r="A39" t="str">
        <f>Sheet1!B39</f>
        <v>Oregon State</v>
      </c>
      <c r="B39">
        <v>2019</v>
      </c>
      <c r="C39" s="45">
        <v>10916409</v>
      </c>
      <c r="D39" s="45">
        <v>1980000</v>
      </c>
      <c r="E39" s="45">
        <v>9706655</v>
      </c>
      <c r="F39" s="45">
        <v>1439503</v>
      </c>
      <c r="G39">
        <f t="shared" si="0"/>
        <v>24042567</v>
      </c>
    </row>
    <row r="40" spans="1:7">
      <c r="A40" t="str">
        <f>Sheet1!B40</f>
        <v>Oregon State</v>
      </c>
      <c r="B40">
        <v>2020</v>
      </c>
      <c r="C40" s="45">
        <v>7775093</v>
      </c>
      <c r="D40" s="45">
        <v>558500</v>
      </c>
      <c r="E40" s="45">
        <v>6789989</v>
      </c>
      <c r="F40" s="45">
        <v>1007113</v>
      </c>
      <c r="G40">
        <f t="shared" si="0"/>
        <v>16130695</v>
      </c>
    </row>
    <row r="41" spans="1:7">
      <c r="A41" t="str">
        <f>Sheet1!B41</f>
        <v>Oregon State</v>
      </c>
      <c r="B41">
        <v>2021</v>
      </c>
      <c r="C41" s="45">
        <v>99415</v>
      </c>
      <c r="D41" s="45">
        <v>30000</v>
      </c>
      <c r="E41" s="45">
        <v>5672040</v>
      </c>
      <c r="F41" s="45">
        <v>384877</v>
      </c>
      <c r="G41">
        <f t="shared" si="0"/>
        <v>6186332</v>
      </c>
    </row>
    <row r="42" spans="1:7">
      <c r="A42" t="str">
        <f>Sheet1!B42</f>
        <v>Oregon State</v>
      </c>
      <c r="B42">
        <v>2022</v>
      </c>
      <c r="C42" s="45">
        <v>9447886</v>
      </c>
      <c r="D42" s="45">
        <v>203000</v>
      </c>
      <c r="E42" s="45">
        <v>9499130</v>
      </c>
      <c r="F42" s="45">
        <v>529965</v>
      </c>
      <c r="G42">
        <f t="shared" si="0"/>
        <v>19679981</v>
      </c>
    </row>
    <row r="43" spans="1:7">
      <c r="A43" t="str">
        <f>Sheet1!B43</f>
        <v>Oregon State</v>
      </c>
      <c r="B43">
        <v>2023</v>
      </c>
      <c r="C43" s="45">
        <v>9950387</v>
      </c>
      <c r="D43" s="45">
        <v>502918</v>
      </c>
      <c r="E43" s="45">
        <v>14783394</v>
      </c>
      <c r="F43" s="45">
        <v>1493441</v>
      </c>
      <c r="G43">
        <f t="shared" si="0"/>
        <v>26730140</v>
      </c>
    </row>
    <row r="44" spans="1:7">
      <c r="A44" t="str">
        <f>Sheet1!B44</f>
        <v>Portland State</v>
      </c>
      <c r="B44">
        <v>2017</v>
      </c>
      <c r="C44" s="45">
        <v>233989</v>
      </c>
      <c r="D44" s="45">
        <v>1288000</v>
      </c>
      <c r="E44" s="45">
        <v>657253</v>
      </c>
      <c r="F44" s="45">
        <v>2762</v>
      </c>
      <c r="G44">
        <f t="shared" si="0"/>
        <v>2182004</v>
      </c>
    </row>
    <row r="45" spans="1:7">
      <c r="A45" t="str">
        <f>Sheet1!B45</f>
        <v>Portland State</v>
      </c>
      <c r="B45">
        <v>2018</v>
      </c>
      <c r="C45" s="45">
        <v>223137</v>
      </c>
      <c r="D45" s="45">
        <v>1381000</v>
      </c>
      <c r="E45" s="45">
        <v>757097</v>
      </c>
      <c r="F45" s="45">
        <v>6193</v>
      </c>
      <c r="G45">
        <f t="shared" si="0"/>
        <v>2367427</v>
      </c>
    </row>
    <row r="46" spans="1:7">
      <c r="A46" t="str">
        <f>Sheet1!B46</f>
        <v>Portland State</v>
      </c>
      <c r="B46">
        <v>2019</v>
      </c>
      <c r="C46" s="45">
        <v>301740</v>
      </c>
      <c r="D46" s="45">
        <v>1197000</v>
      </c>
      <c r="E46" s="45">
        <v>1074636</v>
      </c>
      <c r="F46" s="45">
        <v>0</v>
      </c>
      <c r="G46">
        <f t="shared" si="0"/>
        <v>2573376</v>
      </c>
    </row>
    <row r="47" spans="1:7">
      <c r="A47" t="str">
        <f>Sheet1!B47</f>
        <v>Portland State</v>
      </c>
      <c r="B47">
        <v>2020</v>
      </c>
      <c r="C47" s="45">
        <v>268106</v>
      </c>
      <c r="D47" s="45">
        <v>1313500</v>
      </c>
      <c r="E47" s="45">
        <v>803476</v>
      </c>
      <c r="F47" s="45">
        <v>0</v>
      </c>
      <c r="G47">
        <f t="shared" si="0"/>
        <v>2385082</v>
      </c>
    </row>
    <row r="48" spans="1:7">
      <c r="A48" t="str">
        <f>Sheet1!B48</f>
        <v>Portland State</v>
      </c>
      <c r="B48">
        <v>2021</v>
      </c>
      <c r="C48" s="45">
        <v>32225</v>
      </c>
      <c r="D48" s="45">
        <v>137722</v>
      </c>
      <c r="E48" s="45">
        <v>321666</v>
      </c>
      <c r="F48" s="45">
        <v>0</v>
      </c>
      <c r="G48">
        <f t="shared" si="0"/>
        <v>491613</v>
      </c>
    </row>
    <row r="49" spans="1:7">
      <c r="A49" t="str">
        <f>Sheet1!B49</f>
        <v>Portland State</v>
      </c>
      <c r="B49">
        <v>2022</v>
      </c>
      <c r="C49" s="45">
        <v>233398</v>
      </c>
      <c r="D49" s="45">
        <v>980000</v>
      </c>
      <c r="E49" s="45">
        <v>419000</v>
      </c>
      <c r="F49" s="45">
        <v>0</v>
      </c>
      <c r="G49">
        <f t="shared" si="0"/>
        <v>1632398</v>
      </c>
    </row>
    <row r="50" spans="1:7">
      <c r="A50" t="str">
        <f>Sheet1!B50</f>
        <v>Portland State</v>
      </c>
      <c r="B50">
        <v>2023</v>
      </c>
      <c r="C50" s="45">
        <v>207538</v>
      </c>
      <c r="D50" s="45">
        <v>1263000</v>
      </c>
      <c r="E50" s="45">
        <v>524361</v>
      </c>
      <c r="F50" s="45">
        <v>0</v>
      </c>
      <c r="G50">
        <f t="shared" si="0"/>
        <v>1994899</v>
      </c>
    </row>
    <row r="51" spans="1:7">
      <c r="A51" t="str">
        <f>Sheet1!B51</f>
        <v>Weber State</v>
      </c>
      <c r="B51">
        <v>2017</v>
      </c>
      <c r="C51" s="45">
        <v>570848</v>
      </c>
      <c r="D51" s="45">
        <v>464115</v>
      </c>
      <c r="E51" s="45">
        <v>888607</v>
      </c>
      <c r="F51" s="45">
        <v>2323</v>
      </c>
      <c r="G51">
        <f t="shared" si="0"/>
        <v>1925893</v>
      </c>
    </row>
    <row r="52" spans="1:7">
      <c r="A52" t="str">
        <f>Sheet1!B52</f>
        <v>Weber State</v>
      </c>
      <c r="B52">
        <v>2018</v>
      </c>
      <c r="C52" s="45">
        <v>822961</v>
      </c>
      <c r="D52" s="45">
        <v>787500</v>
      </c>
      <c r="E52" s="45">
        <v>1118085</v>
      </c>
      <c r="F52" s="45">
        <v>11215</v>
      </c>
      <c r="G52">
        <f t="shared" si="0"/>
        <v>2739761</v>
      </c>
    </row>
    <row r="53" spans="1:7">
      <c r="A53" t="str">
        <f>Sheet1!B53</f>
        <v>Weber State</v>
      </c>
      <c r="B53">
        <v>2019</v>
      </c>
      <c r="C53" s="45">
        <v>928623</v>
      </c>
      <c r="D53" s="45">
        <v>694400</v>
      </c>
      <c r="E53" s="45">
        <v>1212561</v>
      </c>
      <c r="F53" s="45">
        <v>14023</v>
      </c>
      <c r="G53">
        <f t="shared" si="0"/>
        <v>2849607</v>
      </c>
    </row>
    <row r="54" spans="1:7">
      <c r="A54" t="str">
        <f>Sheet1!B54</f>
        <v>Weber State</v>
      </c>
      <c r="B54">
        <v>2020</v>
      </c>
      <c r="C54" s="45">
        <v>852928</v>
      </c>
      <c r="D54" s="45">
        <v>1028101</v>
      </c>
      <c r="E54" s="45">
        <v>1072648</v>
      </c>
      <c r="F54" s="45">
        <v>21160</v>
      </c>
      <c r="G54">
        <f t="shared" si="0"/>
        <v>2974837</v>
      </c>
    </row>
    <row r="55" spans="1:7">
      <c r="A55" t="str">
        <f>Sheet1!B55</f>
        <v>Weber State</v>
      </c>
      <c r="B55">
        <v>2021</v>
      </c>
      <c r="C55" s="45">
        <v>201302</v>
      </c>
      <c r="D55" s="45">
        <v>105500</v>
      </c>
      <c r="E55" s="45">
        <v>554428</v>
      </c>
      <c r="F55" s="45">
        <v>9626</v>
      </c>
      <c r="G55">
        <f t="shared" si="0"/>
        <v>870856</v>
      </c>
    </row>
    <row r="56" spans="1:7">
      <c r="A56" t="str">
        <f>Sheet1!B56</f>
        <v>Weber State</v>
      </c>
      <c r="B56">
        <v>2022</v>
      </c>
      <c r="C56" s="45">
        <v>617398</v>
      </c>
      <c r="D56" s="45">
        <v>802500</v>
      </c>
      <c r="E56" s="45">
        <v>1508880</v>
      </c>
      <c r="F56" s="45">
        <v>13481</v>
      </c>
      <c r="G56">
        <f t="shared" si="0"/>
        <v>2942259</v>
      </c>
    </row>
    <row r="57" spans="1:7">
      <c r="A57" t="str">
        <f>Sheet1!B57</f>
        <v>Weber State</v>
      </c>
      <c r="B57">
        <v>2023</v>
      </c>
      <c r="C57" s="45">
        <v>701967</v>
      </c>
      <c r="D57" s="45">
        <v>757500</v>
      </c>
      <c r="E57" s="45">
        <v>1251171</v>
      </c>
      <c r="F57" s="45">
        <v>19175</v>
      </c>
      <c r="G57">
        <f t="shared" si="0"/>
        <v>2729813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4D2D-C022-444A-B86A-518096F884F7}">
  <dimension ref="A1:R23"/>
  <sheetViews>
    <sheetView zoomScale="166" workbookViewId="0">
      <selection activeCell="R16" sqref="R16"/>
    </sheetView>
  </sheetViews>
  <sheetFormatPr baseColWidth="10" defaultColWidth="8.83203125" defaultRowHeight="15"/>
  <cols>
    <col min="1" max="1" width="20" customWidth="1"/>
    <col min="2" max="2" width="8" customWidth="1"/>
  </cols>
  <sheetData>
    <row r="1" spans="1:18" ht="16">
      <c r="A1" s="84" t="s">
        <v>16</v>
      </c>
      <c r="B1" s="82"/>
      <c r="C1" s="82"/>
      <c r="D1" s="82"/>
      <c r="E1" s="82"/>
      <c r="F1" s="82"/>
    </row>
    <row r="2" spans="1:18" ht="16">
      <c r="A2" s="84" t="s">
        <v>17</v>
      </c>
      <c r="B2" s="82"/>
      <c r="C2" s="82"/>
      <c r="D2" s="82"/>
      <c r="E2" s="82"/>
      <c r="F2" s="82"/>
    </row>
    <row r="3" spans="1:18">
      <c r="A3" s="82"/>
      <c r="B3" s="82"/>
      <c r="C3" s="82"/>
      <c r="D3" s="82"/>
      <c r="E3" s="82"/>
      <c r="F3" s="82"/>
    </row>
    <row r="4" spans="1:18">
      <c r="A4" s="1" t="s">
        <v>18</v>
      </c>
      <c r="B4" s="81" t="s">
        <v>19</v>
      </c>
      <c r="C4" s="82"/>
      <c r="D4" s="82"/>
      <c r="E4" s="82"/>
      <c r="F4" s="82"/>
    </row>
    <row r="5" spans="1:18">
      <c r="A5" s="85" t="s">
        <v>20</v>
      </c>
      <c r="B5" s="82"/>
      <c r="C5" s="82"/>
      <c r="D5" s="82"/>
      <c r="E5" s="82"/>
      <c r="F5" s="82"/>
    </row>
    <row r="6" spans="1:18">
      <c r="A6" s="1" t="s">
        <v>21</v>
      </c>
      <c r="B6" s="81" t="s">
        <v>22</v>
      </c>
      <c r="C6" s="82"/>
      <c r="D6" s="82"/>
      <c r="E6" s="82"/>
      <c r="F6" s="82"/>
    </row>
    <row r="7" spans="1:18">
      <c r="A7" s="1" t="s">
        <v>23</v>
      </c>
      <c r="B7" s="81" t="s">
        <v>24</v>
      </c>
      <c r="C7" s="82"/>
      <c r="D7" s="82"/>
      <c r="E7" s="82"/>
      <c r="F7" s="82"/>
    </row>
    <row r="8" spans="1:18">
      <c r="A8" s="1" t="s">
        <v>25</v>
      </c>
      <c r="B8" s="81" t="s">
        <v>26</v>
      </c>
      <c r="C8" s="82"/>
      <c r="D8" s="82"/>
      <c r="E8" s="82"/>
      <c r="F8" s="82"/>
    </row>
    <row r="9" spans="1:18">
      <c r="A9" s="1" t="s">
        <v>27</v>
      </c>
      <c r="B9" s="81" t="s">
        <v>28</v>
      </c>
      <c r="C9" s="82"/>
      <c r="D9" s="82"/>
      <c r="E9" s="82"/>
      <c r="F9" s="82"/>
    </row>
    <row r="10" spans="1:18">
      <c r="A10" s="1" t="s">
        <v>29</v>
      </c>
      <c r="B10" s="83" t="s">
        <v>30</v>
      </c>
      <c r="C10" s="82"/>
      <c r="D10" s="82"/>
      <c r="E10" s="82"/>
      <c r="F10" s="82"/>
    </row>
    <row r="12" spans="1:18" ht="16" thickBot="1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36</v>
      </c>
      <c r="G12" s="2" t="s">
        <v>37</v>
      </c>
      <c r="H12" s="2" t="s">
        <v>38</v>
      </c>
      <c r="I12" s="2" t="s">
        <v>39</v>
      </c>
      <c r="J12" s="2" t="s">
        <v>40</v>
      </c>
      <c r="K12" s="2" t="s">
        <v>41</v>
      </c>
      <c r="L12" s="2" t="s">
        <v>42</v>
      </c>
      <c r="M12" s="2" t="s">
        <v>43</v>
      </c>
      <c r="N12" s="2" t="s">
        <v>44</v>
      </c>
      <c r="O12" s="2" t="s">
        <v>45</v>
      </c>
    </row>
    <row r="13" spans="1:18" ht="16" thickTop="1">
      <c r="A13" s="3">
        <v>2014</v>
      </c>
      <c r="B13" s="4">
        <v>233.916</v>
      </c>
      <c r="C13" s="4">
        <v>234.78100000000001</v>
      </c>
      <c r="D13" s="4">
        <v>236.29300000000001</v>
      </c>
      <c r="E13" s="4">
        <v>237.072</v>
      </c>
      <c r="F13" s="4">
        <v>237.9</v>
      </c>
      <c r="G13" s="4">
        <v>238.34299999999999</v>
      </c>
      <c r="H13" s="4">
        <v>238.25</v>
      </c>
      <c r="I13" s="4">
        <v>237.852</v>
      </c>
      <c r="J13" s="4">
        <v>238.03100000000001</v>
      </c>
      <c r="K13" s="4">
        <v>237.43299999999999</v>
      </c>
      <c r="L13" s="4">
        <v>236.15100000000001</v>
      </c>
      <c r="M13" s="4">
        <v>234.81200000000001</v>
      </c>
      <c r="N13" s="4">
        <v>236.38399999999999</v>
      </c>
      <c r="O13" s="4">
        <v>237.08799999999999</v>
      </c>
    </row>
    <row r="14" spans="1:18">
      <c r="A14" s="3">
        <v>2015</v>
      </c>
      <c r="B14" s="4">
        <v>233.70699999999999</v>
      </c>
      <c r="C14" s="4">
        <v>234.72200000000001</v>
      </c>
      <c r="D14" s="4">
        <v>236.119</v>
      </c>
      <c r="E14" s="4">
        <v>236.59899999999999</v>
      </c>
      <c r="F14" s="4">
        <v>237.80500000000001</v>
      </c>
      <c r="G14" s="4">
        <v>238.63800000000001</v>
      </c>
      <c r="H14" s="4">
        <v>238.654</v>
      </c>
      <c r="I14" s="4">
        <v>238.316</v>
      </c>
      <c r="J14" s="4">
        <v>237.94499999999999</v>
      </c>
      <c r="K14" s="4">
        <v>237.83799999999999</v>
      </c>
      <c r="L14" s="4">
        <v>237.33600000000001</v>
      </c>
      <c r="M14" s="4">
        <v>236.52500000000001</v>
      </c>
      <c r="N14" s="4">
        <v>236.26499999999999</v>
      </c>
      <c r="O14" s="4">
        <v>237.76900000000001</v>
      </c>
    </row>
    <row r="15" spans="1:18">
      <c r="A15" s="3">
        <v>2016</v>
      </c>
      <c r="B15" s="4">
        <v>236.916</v>
      </c>
      <c r="C15" s="4">
        <v>237.11099999999999</v>
      </c>
      <c r="D15" s="4">
        <v>238.13200000000001</v>
      </c>
      <c r="E15" s="4">
        <v>239.261</v>
      </c>
      <c r="F15" s="4">
        <v>240.22900000000001</v>
      </c>
      <c r="G15" s="4">
        <v>241.018</v>
      </c>
      <c r="H15" s="4">
        <v>240.62799999999999</v>
      </c>
      <c r="I15" s="4">
        <v>240.84899999999999</v>
      </c>
      <c r="J15" s="4">
        <v>241.428</v>
      </c>
      <c r="K15" s="4">
        <v>241.72900000000001</v>
      </c>
      <c r="L15" s="4">
        <v>241.35300000000001</v>
      </c>
      <c r="M15" s="4">
        <v>241.43199999999999</v>
      </c>
      <c r="N15" s="4">
        <v>238.77799999999999</v>
      </c>
      <c r="O15" s="4">
        <v>241.23699999999999</v>
      </c>
    </row>
    <row r="16" spans="1:18">
      <c r="A16" s="3">
        <v>2017</v>
      </c>
      <c r="B16" s="4">
        <v>242.839</v>
      </c>
      <c r="C16" s="4">
        <v>243.60300000000001</v>
      </c>
      <c r="D16" s="4">
        <v>243.80099999999999</v>
      </c>
      <c r="E16" s="4">
        <v>244.524</v>
      </c>
      <c r="F16" s="4">
        <v>244.733</v>
      </c>
      <c r="G16" s="4">
        <v>244.95500000000001</v>
      </c>
      <c r="H16" s="4">
        <v>244.786</v>
      </c>
      <c r="I16" s="4">
        <v>245.51900000000001</v>
      </c>
      <c r="J16" s="4">
        <v>246.81899999999999</v>
      </c>
      <c r="K16" s="4">
        <v>246.66300000000001</v>
      </c>
      <c r="L16" s="4">
        <v>246.66900000000001</v>
      </c>
      <c r="M16" s="4">
        <v>246.524</v>
      </c>
      <c r="N16" s="4">
        <v>244.07599999999999</v>
      </c>
      <c r="O16" s="4">
        <v>246.16300000000001</v>
      </c>
      <c r="P16" s="4">
        <v>2017</v>
      </c>
      <c r="Q16" s="44">
        <f>AVERAGE(N16,O15)</f>
        <v>242.65649999999999</v>
      </c>
      <c r="R16">
        <f t="shared" ref="R16:R21" si="0">Q16/Q$22</f>
        <v>0.80970383952510205</v>
      </c>
    </row>
    <row r="17" spans="1:18">
      <c r="A17" s="3">
        <v>2018</v>
      </c>
      <c r="B17" s="4">
        <v>247.86699999999999</v>
      </c>
      <c r="C17" s="4">
        <v>248.99100000000001</v>
      </c>
      <c r="D17" s="4">
        <v>249.554</v>
      </c>
      <c r="E17" s="4">
        <v>250.54599999999999</v>
      </c>
      <c r="F17" s="4">
        <v>251.58799999999999</v>
      </c>
      <c r="G17" s="4">
        <v>251.989</v>
      </c>
      <c r="H17" s="4">
        <v>252.006</v>
      </c>
      <c r="I17" s="4">
        <v>252.14599999999999</v>
      </c>
      <c r="J17" s="4">
        <v>252.43899999999999</v>
      </c>
      <c r="K17" s="4">
        <v>252.88499999999999</v>
      </c>
      <c r="L17" s="4">
        <v>252.03800000000001</v>
      </c>
      <c r="M17" s="4">
        <v>251.233</v>
      </c>
      <c r="N17" s="4">
        <v>250.089</v>
      </c>
      <c r="O17" s="4">
        <v>252.125</v>
      </c>
      <c r="P17" s="4">
        <f>P16+1</f>
        <v>2018</v>
      </c>
      <c r="Q17" s="44">
        <f t="shared" ref="Q17:Q21" si="1">AVERAGE(N17,O16)</f>
        <v>248.126</v>
      </c>
      <c r="R17">
        <f t="shared" si="0"/>
        <v>0.827954639113337</v>
      </c>
    </row>
    <row r="18" spans="1:18">
      <c r="A18" s="3">
        <v>2019</v>
      </c>
      <c r="B18" s="4">
        <v>251.71199999999999</v>
      </c>
      <c r="C18" s="4">
        <v>252.77600000000001</v>
      </c>
      <c r="D18" s="4">
        <v>254.202</v>
      </c>
      <c r="E18" s="4">
        <v>255.548</v>
      </c>
      <c r="F18" s="4">
        <v>256.09199999999998</v>
      </c>
      <c r="G18" s="4">
        <v>256.14299999999997</v>
      </c>
      <c r="H18" s="4">
        <v>256.57100000000003</v>
      </c>
      <c r="I18" s="4">
        <v>256.55799999999999</v>
      </c>
      <c r="J18" s="4">
        <v>256.75900000000001</v>
      </c>
      <c r="K18" s="4">
        <v>257.346</v>
      </c>
      <c r="L18" s="4">
        <v>257.20800000000003</v>
      </c>
      <c r="M18" s="4">
        <v>256.97399999999999</v>
      </c>
      <c r="N18" s="4">
        <v>254.41200000000001</v>
      </c>
      <c r="O18" s="4">
        <v>256.90300000000002</v>
      </c>
      <c r="P18" s="4">
        <f t="shared" ref="P18:P22" si="2">P17+1</f>
        <v>2019</v>
      </c>
      <c r="Q18" s="44">
        <f t="shared" si="1"/>
        <v>253.26850000000002</v>
      </c>
      <c r="R18">
        <f t="shared" si="0"/>
        <v>0.84511429481906863</v>
      </c>
    </row>
    <row r="19" spans="1:18">
      <c r="A19" s="3">
        <v>2020</v>
      </c>
      <c r="B19" s="4">
        <v>257.971</v>
      </c>
      <c r="C19" s="4">
        <v>258.678</v>
      </c>
      <c r="D19" s="4">
        <v>258.11500000000001</v>
      </c>
      <c r="E19" s="4">
        <v>256.38900000000001</v>
      </c>
      <c r="F19" s="4">
        <v>256.39400000000001</v>
      </c>
      <c r="G19" s="4">
        <v>257.79700000000003</v>
      </c>
      <c r="H19" s="4">
        <v>259.101</v>
      </c>
      <c r="I19" s="4">
        <v>259.91800000000001</v>
      </c>
      <c r="J19" s="4">
        <v>260.27999999999997</v>
      </c>
      <c r="K19" s="4">
        <v>260.38799999999998</v>
      </c>
      <c r="L19" s="4">
        <v>260.22899999999998</v>
      </c>
      <c r="M19" s="4">
        <v>260.47399999999999</v>
      </c>
      <c r="N19" s="4">
        <v>257.55700000000002</v>
      </c>
      <c r="O19" s="4">
        <v>260.065</v>
      </c>
      <c r="P19" s="4">
        <f t="shared" si="2"/>
        <v>2020</v>
      </c>
      <c r="Q19" s="44">
        <f t="shared" si="1"/>
        <v>257.23</v>
      </c>
      <c r="R19">
        <f t="shared" si="0"/>
        <v>0.85833315258829668</v>
      </c>
    </row>
    <row r="20" spans="1:18">
      <c r="A20" s="3">
        <v>2021</v>
      </c>
      <c r="B20" s="4">
        <v>261.58199999999999</v>
      </c>
      <c r="C20" s="4">
        <v>263.01400000000001</v>
      </c>
      <c r="D20" s="4">
        <v>264.87700000000001</v>
      </c>
      <c r="E20" s="4">
        <v>267.05399999999997</v>
      </c>
      <c r="F20" s="4">
        <v>269.19499999999999</v>
      </c>
      <c r="G20" s="4">
        <v>271.69600000000003</v>
      </c>
      <c r="H20" s="4">
        <v>273.00299999999999</v>
      </c>
      <c r="I20" s="4">
        <v>273.56700000000001</v>
      </c>
      <c r="J20" s="4">
        <v>274.31</v>
      </c>
      <c r="K20" s="4">
        <v>276.589</v>
      </c>
      <c r="L20" s="4">
        <v>277.94799999999998</v>
      </c>
      <c r="M20" s="4">
        <v>278.80200000000002</v>
      </c>
      <c r="N20" s="4">
        <v>266.23599999999999</v>
      </c>
      <c r="O20" s="4">
        <v>275.70299999999997</v>
      </c>
      <c r="P20" s="4">
        <f t="shared" si="2"/>
        <v>2021</v>
      </c>
      <c r="Q20" s="44">
        <f t="shared" si="1"/>
        <v>263.15049999999997</v>
      </c>
      <c r="R20">
        <f t="shared" si="0"/>
        <v>0.87808886315821055</v>
      </c>
    </row>
    <row r="21" spans="1:18">
      <c r="A21" s="3">
        <v>2022</v>
      </c>
      <c r="B21" s="4">
        <v>281.14800000000002</v>
      </c>
      <c r="C21" s="4">
        <v>283.71600000000001</v>
      </c>
      <c r="D21" s="4">
        <v>287.50400000000002</v>
      </c>
      <c r="E21" s="4">
        <v>289.10899999999998</v>
      </c>
      <c r="F21" s="4">
        <v>292.29599999999999</v>
      </c>
      <c r="G21" s="4">
        <v>296.31099999999998</v>
      </c>
      <c r="H21" s="4">
        <v>296.27600000000001</v>
      </c>
      <c r="I21" s="4">
        <v>296.17099999999999</v>
      </c>
      <c r="J21" s="4">
        <v>296.80799999999999</v>
      </c>
      <c r="K21" s="4">
        <v>298.012</v>
      </c>
      <c r="L21" s="4">
        <v>297.71100000000001</v>
      </c>
      <c r="M21" s="4">
        <v>296.79700000000003</v>
      </c>
      <c r="N21" s="4">
        <v>288.34699999999998</v>
      </c>
      <c r="O21" s="4">
        <v>296.96300000000002</v>
      </c>
      <c r="P21" s="4">
        <f t="shared" si="2"/>
        <v>2022</v>
      </c>
      <c r="Q21" s="44">
        <f t="shared" si="1"/>
        <v>282.02499999999998</v>
      </c>
      <c r="R21">
        <f t="shared" si="0"/>
        <v>0.94106988826619886</v>
      </c>
    </row>
    <row r="22" spans="1:18">
      <c r="A22" s="3">
        <v>2023</v>
      </c>
      <c r="B22" s="4">
        <v>299.17</v>
      </c>
      <c r="C22" s="4">
        <v>300.83999999999997</v>
      </c>
      <c r="D22" s="4">
        <v>301.83600000000001</v>
      </c>
      <c r="E22" s="4">
        <v>303.363</v>
      </c>
      <c r="F22" s="4">
        <v>304.12700000000001</v>
      </c>
      <c r="G22" s="4">
        <v>305.10899999999998</v>
      </c>
      <c r="H22" s="4">
        <v>305.69099999999997</v>
      </c>
      <c r="I22" s="4">
        <v>307.02600000000001</v>
      </c>
      <c r="J22" s="4">
        <v>307.78899999999999</v>
      </c>
      <c r="K22" s="4">
        <v>307.67099999999999</v>
      </c>
      <c r="L22" s="4">
        <v>307.05099999999999</v>
      </c>
      <c r="M22" s="4">
        <v>306.74599999999998</v>
      </c>
      <c r="N22" s="4">
        <v>302.40800000000002</v>
      </c>
      <c r="O22" s="4">
        <v>306.99599999999998</v>
      </c>
      <c r="P22" s="4">
        <f t="shared" si="2"/>
        <v>2023</v>
      </c>
      <c r="Q22" s="44">
        <f>AVERAGE(N22,O21)</f>
        <v>299.68550000000005</v>
      </c>
      <c r="R22">
        <f>Q22/Q$22</f>
        <v>1</v>
      </c>
    </row>
    <row r="23" spans="1:18">
      <c r="A23" s="3">
        <v>2024</v>
      </c>
      <c r="B23" s="4">
        <v>308.41699999999997</v>
      </c>
      <c r="C23" s="4">
        <v>310.32600000000002</v>
      </c>
      <c r="D23" s="4">
        <v>312.33199999999999</v>
      </c>
      <c r="E23" s="4">
        <v>313.548</v>
      </c>
      <c r="F23" s="4">
        <v>314.06900000000002</v>
      </c>
      <c r="G23" s="4">
        <v>314.17500000000001</v>
      </c>
      <c r="H23" s="4">
        <v>314.54000000000002</v>
      </c>
      <c r="I23" s="4">
        <v>314.79599999999999</v>
      </c>
      <c r="J23" s="4">
        <v>315.30099999999999</v>
      </c>
      <c r="N23" s="4">
        <v>312.14499999999998</v>
      </c>
      <c r="P23" s="4"/>
    </row>
  </sheetData>
  <mergeCells count="10">
    <mergeCell ref="B7:F7"/>
    <mergeCell ref="B8:F8"/>
    <mergeCell ref="B9:F9"/>
    <mergeCell ref="B10:F10"/>
    <mergeCell ref="A1:F1"/>
    <mergeCell ref="A2:F2"/>
    <mergeCell ref="A3:F3"/>
    <mergeCell ref="B4:F4"/>
    <mergeCell ref="A5:F5"/>
    <mergeCell ref="B6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E725-9B73-4026-AB9C-08485DF307F0}">
  <dimension ref="A1:B229"/>
  <sheetViews>
    <sheetView workbookViewId="0">
      <pane ySplit="1" topLeftCell="A210" activePane="bottomLeft" state="frozen"/>
      <selection pane="bottomLeft" activeCell="A92" sqref="A92"/>
    </sheetView>
  </sheetViews>
  <sheetFormatPr baseColWidth="10" defaultColWidth="8.83203125" defaultRowHeight="15"/>
  <cols>
    <col min="1" max="1" width="27.5" bestFit="1" customWidth="1"/>
    <col min="2" max="2" width="7" bestFit="1" customWidth="1"/>
  </cols>
  <sheetData>
    <row r="1" spans="1:2">
      <c r="A1" t="s">
        <v>47</v>
      </c>
      <c r="B1" t="s">
        <v>46</v>
      </c>
    </row>
    <row r="2" spans="1:2">
      <c r="A2" t="s">
        <v>48</v>
      </c>
      <c r="B2">
        <v>200800</v>
      </c>
    </row>
    <row r="3" spans="1:2">
      <c r="A3" t="s">
        <v>49</v>
      </c>
      <c r="B3">
        <v>100751</v>
      </c>
    </row>
    <row r="4" spans="1:2">
      <c r="A4" t="s">
        <v>50</v>
      </c>
      <c r="B4">
        <v>100654</v>
      </c>
    </row>
    <row r="5" spans="1:2">
      <c r="A5" t="s">
        <v>51</v>
      </c>
      <c r="B5">
        <v>100724</v>
      </c>
    </row>
    <row r="6" spans="1:2">
      <c r="A6" t="s">
        <v>52</v>
      </c>
      <c r="B6">
        <v>196060</v>
      </c>
    </row>
    <row r="7" spans="1:2">
      <c r="A7" t="s">
        <v>53</v>
      </c>
      <c r="B7">
        <v>175342</v>
      </c>
    </row>
    <row r="8" spans="1:2">
      <c r="A8" t="s">
        <v>54</v>
      </c>
      <c r="B8">
        <v>197869</v>
      </c>
    </row>
    <row r="9" spans="1:2">
      <c r="A9" t="s">
        <v>55</v>
      </c>
      <c r="B9">
        <v>104179</v>
      </c>
    </row>
    <row r="10" spans="1:2">
      <c r="A10" t="s">
        <v>56</v>
      </c>
      <c r="B10">
        <v>104151</v>
      </c>
    </row>
    <row r="11" spans="1:2">
      <c r="A11" t="s">
        <v>57</v>
      </c>
      <c r="B11">
        <v>106397</v>
      </c>
    </row>
    <row r="12" spans="1:2">
      <c r="A12" t="s">
        <v>58</v>
      </c>
      <c r="B12">
        <v>106245</v>
      </c>
    </row>
    <row r="13" spans="1:2">
      <c r="A13" t="s">
        <v>59</v>
      </c>
      <c r="B13">
        <v>106412</v>
      </c>
    </row>
    <row r="14" spans="1:2">
      <c r="A14" t="s">
        <v>60</v>
      </c>
      <c r="B14">
        <v>106458</v>
      </c>
    </row>
    <row r="15" spans="1:2">
      <c r="A15" t="s">
        <v>61</v>
      </c>
      <c r="B15">
        <v>500001</v>
      </c>
    </row>
    <row r="16" spans="1:2">
      <c r="A16" t="s">
        <v>62</v>
      </c>
      <c r="B16">
        <v>100858</v>
      </c>
    </row>
    <row r="17" spans="1:2">
      <c r="A17" t="s">
        <v>63</v>
      </c>
      <c r="B17">
        <v>219602</v>
      </c>
    </row>
    <row r="18" spans="1:2">
      <c r="A18" t="s">
        <v>64</v>
      </c>
      <c r="B18">
        <v>150136</v>
      </c>
    </row>
    <row r="19" spans="1:2">
      <c r="A19" t="s">
        <v>65</v>
      </c>
      <c r="B19">
        <v>196079</v>
      </c>
    </row>
    <row r="20" spans="1:2">
      <c r="A20" t="s">
        <v>66</v>
      </c>
      <c r="B20">
        <v>142115</v>
      </c>
    </row>
    <row r="21" spans="1:2">
      <c r="A21" t="s">
        <v>67</v>
      </c>
      <c r="B21">
        <v>201441</v>
      </c>
    </row>
    <row r="22" spans="1:2">
      <c r="A22" t="s">
        <v>68</v>
      </c>
      <c r="B22">
        <v>196088</v>
      </c>
    </row>
    <row r="23" spans="1:2">
      <c r="A23" t="s">
        <v>69</v>
      </c>
      <c r="B23">
        <v>110422</v>
      </c>
    </row>
    <row r="24" spans="1:2">
      <c r="A24" t="s">
        <v>70</v>
      </c>
      <c r="B24">
        <v>110486</v>
      </c>
    </row>
    <row r="25" spans="1:2">
      <c r="A25" t="s">
        <v>71</v>
      </c>
      <c r="B25">
        <v>110565</v>
      </c>
    </row>
    <row r="26" spans="1:2">
      <c r="A26" t="s">
        <v>72</v>
      </c>
      <c r="B26">
        <v>110608</v>
      </c>
    </row>
    <row r="27" spans="1:2">
      <c r="A27" t="s">
        <v>73</v>
      </c>
      <c r="B27">
        <v>110635</v>
      </c>
    </row>
    <row r="28" spans="1:2">
      <c r="A28" t="s">
        <v>74</v>
      </c>
      <c r="B28">
        <v>106704</v>
      </c>
    </row>
    <row r="29" spans="1:2">
      <c r="A29" t="s">
        <v>75</v>
      </c>
      <c r="B29">
        <v>128771</v>
      </c>
    </row>
    <row r="30" spans="1:2">
      <c r="A30" t="s">
        <v>76</v>
      </c>
      <c r="B30">
        <v>169248</v>
      </c>
    </row>
    <row r="31" spans="1:2">
      <c r="A31" t="s">
        <v>77</v>
      </c>
      <c r="B31">
        <v>199139</v>
      </c>
    </row>
    <row r="32" spans="1:2">
      <c r="A32" t="s">
        <v>78</v>
      </c>
      <c r="B32">
        <v>144005</v>
      </c>
    </row>
    <row r="33" spans="1:2">
      <c r="A33" t="s">
        <v>79</v>
      </c>
      <c r="B33">
        <v>201885</v>
      </c>
    </row>
    <row r="34" spans="1:2">
      <c r="A34" t="s">
        <v>80</v>
      </c>
      <c r="B34">
        <v>217864</v>
      </c>
    </row>
    <row r="35" spans="1:2">
      <c r="A35" t="s">
        <v>81</v>
      </c>
      <c r="B35">
        <v>217882</v>
      </c>
    </row>
    <row r="36" spans="1:2">
      <c r="A36" t="s">
        <v>82</v>
      </c>
      <c r="B36">
        <v>202134</v>
      </c>
    </row>
    <row r="37" spans="1:2">
      <c r="A37" t="s">
        <v>83</v>
      </c>
      <c r="B37">
        <v>218724</v>
      </c>
    </row>
    <row r="38" spans="1:2">
      <c r="A38" t="s">
        <v>84</v>
      </c>
      <c r="B38">
        <v>217819</v>
      </c>
    </row>
    <row r="39" spans="1:2">
      <c r="A39" t="s">
        <v>85</v>
      </c>
      <c r="B39">
        <v>126614</v>
      </c>
    </row>
    <row r="40" spans="1:2">
      <c r="A40" t="s">
        <v>86</v>
      </c>
      <c r="B40">
        <v>126818</v>
      </c>
    </row>
    <row r="41" spans="1:2">
      <c r="A41" t="s">
        <v>87</v>
      </c>
      <c r="B41">
        <v>129020</v>
      </c>
    </row>
    <row r="42" spans="1:2">
      <c r="A42" t="s">
        <v>88</v>
      </c>
      <c r="B42">
        <v>162283</v>
      </c>
    </row>
    <row r="43" spans="1:2">
      <c r="A43" t="s">
        <v>89</v>
      </c>
      <c r="B43">
        <v>198464</v>
      </c>
    </row>
    <row r="44" spans="1:2">
      <c r="A44" t="s">
        <v>90</v>
      </c>
      <c r="B44">
        <v>220075</v>
      </c>
    </row>
    <row r="45" spans="1:2">
      <c r="A45" t="s">
        <v>91</v>
      </c>
      <c r="B45">
        <v>144892</v>
      </c>
    </row>
    <row r="46" spans="1:2">
      <c r="A46" t="s">
        <v>92</v>
      </c>
      <c r="B46">
        <v>156620</v>
      </c>
    </row>
    <row r="47" spans="1:2">
      <c r="A47" t="s">
        <v>93</v>
      </c>
      <c r="B47">
        <v>169798</v>
      </c>
    </row>
    <row r="48" spans="1:2">
      <c r="A48" t="s">
        <v>94</v>
      </c>
      <c r="B48">
        <v>235097</v>
      </c>
    </row>
    <row r="49" spans="1:2">
      <c r="A49" t="s">
        <v>95</v>
      </c>
      <c r="B49">
        <v>134130</v>
      </c>
    </row>
    <row r="50" spans="1:2">
      <c r="A50" t="s">
        <v>96</v>
      </c>
      <c r="B50">
        <v>133669</v>
      </c>
    </row>
    <row r="51" spans="1:2">
      <c r="A51" t="s">
        <v>97</v>
      </c>
      <c r="B51">
        <v>433660</v>
      </c>
    </row>
    <row r="52" spans="1:2">
      <c r="A52" t="s">
        <v>98</v>
      </c>
      <c r="B52">
        <v>133951</v>
      </c>
    </row>
    <row r="53" spans="1:2">
      <c r="A53" t="s">
        <v>99</v>
      </c>
      <c r="B53">
        <v>134097</v>
      </c>
    </row>
    <row r="54" spans="1:2">
      <c r="A54" t="s">
        <v>100</v>
      </c>
      <c r="B54">
        <v>110556</v>
      </c>
    </row>
    <row r="55" spans="1:2">
      <c r="A55" t="s">
        <v>101</v>
      </c>
      <c r="B55">
        <v>232186</v>
      </c>
    </row>
    <row r="56" spans="1:2">
      <c r="A56" t="s">
        <v>102</v>
      </c>
      <c r="B56">
        <v>139959</v>
      </c>
    </row>
    <row r="57" spans="1:2">
      <c r="A57" t="s">
        <v>103</v>
      </c>
      <c r="B57">
        <v>139931</v>
      </c>
    </row>
    <row r="58" spans="1:2">
      <c r="A58" t="s">
        <v>104</v>
      </c>
      <c r="B58">
        <v>139940</v>
      </c>
    </row>
    <row r="59" spans="1:2">
      <c r="A59" t="s">
        <v>105</v>
      </c>
      <c r="B59">
        <v>139755</v>
      </c>
    </row>
    <row r="60" spans="1:2">
      <c r="A60" t="s">
        <v>106</v>
      </c>
      <c r="B60">
        <v>159009</v>
      </c>
    </row>
    <row r="61" spans="1:2">
      <c r="A61" t="s">
        <v>107</v>
      </c>
      <c r="B61">
        <v>141574</v>
      </c>
    </row>
    <row r="62" spans="1:2">
      <c r="A62" t="s">
        <v>108</v>
      </c>
      <c r="B62">
        <v>225511</v>
      </c>
    </row>
    <row r="63" spans="1:2">
      <c r="A63" t="s">
        <v>109</v>
      </c>
      <c r="B63">
        <v>142285</v>
      </c>
    </row>
    <row r="64" spans="1:2">
      <c r="A64" t="s">
        <v>110</v>
      </c>
      <c r="B64">
        <v>142276</v>
      </c>
    </row>
    <row r="65" spans="1:2">
      <c r="A65" t="s">
        <v>111</v>
      </c>
      <c r="B65">
        <v>145637</v>
      </c>
    </row>
    <row r="66" spans="1:2">
      <c r="A66" t="s">
        <v>112</v>
      </c>
      <c r="B66">
        <v>145600</v>
      </c>
    </row>
    <row r="67" spans="1:2">
      <c r="A67" t="s">
        <v>113</v>
      </c>
      <c r="B67">
        <v>145813</v>
      </c>
    </row>
    <row r="68" spans="1:2">
      <c r="A68" t="s">
        <v>114</v>
      </c>
      <c r="B68">
        <v>151351</v>
      </c>
    </row>
    <row r="69" spans="1:2">
      <c r="A69" t="s">
        <v>115</v>
      </c>
      <c r="B69">
        <v>151324</v>
      </c>
    </row>
    <row r="70" spans="1:2">
      <c r="A70" t="s">
        <v>116</v>
      </c>
      <c r="B70">
        <v>153658</v>
      </c>
    </row>
    <row r="71" spans="1:2">
      <c r="A71" t="s">
        <v>117</v>
      </c>
      <c r="B71">
        <v>153603</v>
      </c>
    </row>
    <row r="72" spans="1:2">
      <c r="A72" t="s">
        <v>118</v>
      </c>
      <c r="B72">
        <v>151111</v>
      </c>
    </row>
    <row r="73" spans="1:2">
      <c r="A73" t="s">
        <v>119</v>
      </c>
      <c r="B73">
        <v>175856</v>
      </c>
    </row>
    <row r="74" spans="1:2">
      <c r="A74" t="s">
        <v>120</v>
      </c>
      <c r="B74">
        <v>101480</v>
      </c>
    </row>
    <row r="75" spans="1:2">
      <c r="A75" t="s">
        <v>121</v>
      </c>
      <c r="B75">
        <v>232423</v>
      </c>
    </row>
    <row r="76" spans="1:2">
      <c r="A76" t="s">
        <v>122</v>
      </c>
      <c r="B76">
        <v>155317</v>
      </c>
    </row>
    <row r="77" spans="1:2">
      <c r="A77" t="s">
        <v>123</v>
      </c>
      <c r="B77">
        <v>155399</v>
      </c>
    </row>
    <row r="78" spans="1:2">
      <c r="A78" t="s">
        <v>124</v>
      </c>
      <c r="B78">
        <v>486840</v>
      </c>
    </row>
    <row r="79" spans="1:2">
      <c r="A79" t="s">
        <v>125</v>
      </c>
      <c r="B79">
        <v>203517</v>
      </c>
    </row>
    <row r="80" spans="1:2">
      <c r="A80" t="s">
        <v>126</v>
      </c>
      <c r="B80">
        <v>157085</v>
      </c>
    </row>
    <row r="81" spans="1:2">
      <c r="A81" t="s">
        <v>127</v>
      </c>
      <c r="B81">
        <v>226091</v>
      </c>
    </row>
    <row r="82" spans="1:2">
      <c r="A82" t="s">
        <v>128</v>
      </c>
      <c r="B82">
        <v>110583</v>
      </c>
    </row>
    <row r="83" spans="1:2">
      <c r="A83" t="s">
        <v>129</v>
      </c>
      <c r="B83">
        <v>232566</v>
      </c>
    </row>
    <row r="84" spans="1:2">
      <c r="A84" t="s">
        <v>130</v>
      </c>
      <c r="B84">
        <v>160658</v>
      </c>
    </row>
    <row r="85" spans="1:2">
      <c r="A85" t="s">
        <v>131</v>
      </c>
      <c r="B85">
        <v>159993</v>
      </c>
    </row>
    <row r="86" spans="1:2">
      <c r="A86" t="s">
        <v>132</v>
      </c>
      <c r="B86">
        <v>159647</v>
      </c>
    </row>
    <row r="87" spans="1:2">
      <c r="A87" t="s">
        <v>133</v>
      </c>
      <c r="B87">
        <v>157289</v>
      </c>
    </row>
    <row r="88" spans="1:2">
      <c r="A88" t="s">
        <v>134</v>
      </c>
      <c r="B88">
        <v>159391</v>
      </c>
    </row>
    <row r="89" spans="1:2">
      <c r="A89" t="s">
        <v>135</v>
      </c>
      <c r="B89">
        <v>161253</v>
      </c>
    </row>
    <row r="90" spans="1:2">
      <c r="A90" t="s">
        <v>136</v>
      </c>
      <c r="B90">
        <v>237525</v>
      </c>
    </row>
    <row r="91" spans="1:2">
      <c r="A91" t="s">
        <v>137</v>
      </c>
      <c r="B91">
        <v>163286</v>
      </c>
    </row>
    <row r="92" spans="1:2">
      <c r="A92" t="s">
        <v>138</v>
      </c>
      <c r="B92">
        <v>163268</v>
      </c>
    </row>
    <row r="93" spans="1:2">
      <c r="A93" t="s">
        <v>139</v>
      </c>
      <c r="B93">
        <v>163338</v>
      </c>
    </row>
    <row r="94" spans="1:2">
      <c r="A94" t="s">
        <v>140</v>
      </c>
      <c r="B94">
        <v>166629</v>
      </c>
    </row>
    <row r="95" spans="1:2">
      <c r="A95" t="s">
        <v>141</v>
      </c>
      <c r="B95">
        <v>166513</v>
      </c>
    </row>
    <row r="96" spans="1:2">
      <c r="A96" t="s">
        <v>142</v>
      </c>
      <c r="B96">
        <v>159717</v>
      </c>
    </row>
    <row r="97" spans="1:2">
      <c r="A97" t="s">
        <v>143</v>
      </c>
      <c r="B97">
        <v>220862</v>
      </c>
    </row>
    <row r="98" spans="1:2">
      <c r="A98" t="s">
        <v>144</v>
      </c>
      <c r="B98">
        <v>204024</v>
      </c>
    </row>
    <row r="99" spans="1:2">
      <c r="A99" t="s">
        <v>145</v>
      </c>
      <c r="B99">
        <v>170976</v>
      </c>
    </row>
    <row r="100" spans="1:2">
      <c r="A100" t="s">
        <v>146</v>
      </c>
      <c r="B100">
        <v>171100</v>
      </c>
    </row>
    <row r="101" spans="1:2">
      <c r="A101" t="s">
        <v>147</v>
      </c>
      <c r="B101">
        <v>220978</v>
      </c>
    </row>
    <row r="102" spans="1:2">
      <c r="A102" t="s">
        <v>148</v>
      </c>
      <c r="B102">
        <v>174066</v>
      </c>
    </row>
    <row r="103" spans="1:2">
      <c r="A103" t="s">
        <v>149</v>
      </c>
      <c r="B103">
        <v>176017</v>
      </c>
    </row>
    <row r="104" spans="1:2">
      <c r="A104" t="s">
        <v>150</v>
      </c>
      <c r="B104">
        <v>176080</v>
      </c>
    </row>
    <row r="105" spans="1:2">
      <c r="A105" t="s">
        <v>151</v>
      </c>
      <c r="B105">
        <v>176044</v>
      </c>
    </row>
    <row r="106" spans="1:2">
      <c r="A106" t="s">
        <v>152</v>
      </c>
      <c r="B106">
        <v>178396</v>
      </c>
    </row>
    <row r="107" spans="1:2">
      <c r="A107" t="s">
        <v>153</v>
      </c>
      <c r="B107">
        <v>178402</v>
      </c>
    </row>
    <row r="108" spans="1:2">
      <c r="A108" t="s">
        <v>154</v>
      </c>
      <c r="B108">
        <v>179566</v>
      </c>
    </row>
    <row r="109" spans="1:2">
      <c r="A109" t="s">
        <v>155</v>
      </c>
      <c r="B109">
        <v>180489</v>
      </c>
    </row>
    <row r="110" spans="1:2">
      <c r="A110" t="s">
        <v>156</v>
      </c>
      <c r="B110">
        <v>180461</v>
      </c>
    </row>
    <row r="111" spans="1:2">
      <c r="A111" t="s">
        <v>157</v>
      </c>
      <c r="B111">
        <v>157386</v>
      </c>
    </row>
    <row r="112" spans="1:2">
      <c r="A112" t="s">
        <v>158</v>
      </c>
      <c r="B112">
        <v>163453</v>
      </c>
    </row>
    <row r="113" spans="1:2">
      <c r="A113" t="s">
        <v>159</v>
      </c>
      <c r="B113">
        <v>157401</v>
      </c>
    </row>
    <row r="114" spans="1:2">
      <c r="A114" t="s">
        <v>160</v>
      </c>
      <c r="B114">
        <v>500000</v>
      </c>
    </row>
    <row r="115" spans="1:2">
      <c r="A115" t="s">
        <v>161</v>
      </c>
      <c r="B115">
        <v>181464</v>
      </c>
    </row>
    <row r="116" spans="1:2">
      <c r="A116" t="s">
        <v>162</v>
      </c>
      <c r="B116">
        <v>181394</v>
      </c>
    </row>
    <row r="117" spans="1:2">
      <c r="A117" t="s">
        <v>163</v>
      </c>
      <c r="B117">
        <v>182290</v>
      </c>
    </row>
    <row r="118" spans="1:2">
      <c r="A118" t="s">
        <v>164</v>
      </c>
      <c r="B118">
        <v>183044</v>
      </c>
    </row>
    <row r="119" spans="1:2">
      <c r="A119" t="s">
        <v>165</v>
      </c>
      <c r="B119">
        <v>187985</v>
      </c>
    </row>
    <row r="120" spans="1:2">
      <c r="A120" t="s">
        <v>166</v>
      </c>
      <c r="B120">
        <v>188030</v>
      </c>
    </row>
    <row r="121" spans="1:2">
      <c r="A121" t="s">
        <v>167</v>
      </c>
      <c r="B121">
        <v>159939</v>
      </c>
    </row>
    <row r="122" spans="1:2">
      <c r="A122" t="s">
        <v>168</v>
      </c>
      <c r="B122">
        <v>159966</v>
      </c>
    </row>
    <row r="123" spans="1:2">
      <c r="A123" t="s">
        <v>169</v>
      </c>
      <c r="B123">
        <v>185828</v>
      </c>
    </row>
    <row r="124" spans="1:2">
      <c r="A124" t="s">
        <v>170</v>
      </c>
      <c r="B124">
        <v>232937</v>
      </c>
    </row>
    <row r="125" spans="1:2">
      <c r="A125" t="s">
        <v>171</v>
      </c>
      <c r="B125">
        <v>101879</v>
      </c>
    </row>
    <row r="126" spans="1:2">
      <c r="A126" t="s">
        <v>172</v>
      </c>
      <c r="B126">
        <v>199120</v>
      </c>
    </row>
    <row r="127" spans="1:2">
      <c r="A127" t="s">
        <v>173</v>
      </c>
      <c r="B127">
        <v>199102</v>
      </c>
    </row>
    <row r="128" spans="1:2">
      <c r="A128" t="s">
        <v>275</v>
      </c>
      <c r="B128">
        <v>199111</v>
      </c>
    </row>
    <row r="129" spans="1:2">
      <c r="A129" t="s">
        <v>276</v>
      </c>
      <c r="B129">
        <v>199148</v>
      </c>
    </row>
    <row r="130" spans="1:2">
      <c r="A130" t="s">
        <v>174</v>
      </c>
      <c r="B130">
        <v>199157</v>
      </c>
    </row>
    <row r="131" spans="1:2">
      <c r="A131" t="s">
        <v>175</v>
      </c>
      <c r="B131">
        <v>199193</v>
      </c>
    </row>
    <row r="132" spans="1:2">
      <c r="A132" t="s">
        <v>176</v>
      </c>
      <c r="B132">
        <v>199218</v>
      </c>
    </row>
    <row r="133" spans="1:2">
      <c r="A133" t="s">
        <v>177</v>
      </c>
      <c r="B133">
        <v>200280</v>
      </c>
    </row>
    <row r="134" spans="1:2">
      <c r="A134" t="s">
        <v>178</v>
      </c>
      <c r="B134">
        <v>200332</v>
      </c>
    </row>
    <row r="135" spans="1:2">
      <c r="A135" t="s">
        <v>179</v>
      </c>
      <c r="B135">
        <v>136172</v>
      </c>
    </row>
    <row r="136" spans="1:2">
      <c r="A136" t="s">
        <v>180</v>
      </c>
      <c r="B136">
        <v>227216</v>
      </c>
    </row>
    <row r="137" spans="1:2">
      <c r="A137" t="s">
        <v>181</v>
      </c>
      <c r="B137">
        <v>105330</v>
      </c>
    </row>
    <row r="138" spans="1:2">
      <c r="A138" t="s">
        <v>182</v>
      </c>
      <c r="B138">
        <v>127741</v>
      </c>
    </row>
    <row r="139" spans="1:2">
      <c r="A139" t="s">
        <v>183</v>
      </c>
      <c r="B139">
        <v>147703</v>
      </c>
    </row>
    <row r="140" spans="1:2">
      <c r="A140" t="s">
        <v>184</v>
      </c>
      <c r="B140">
        <v>154095</v>
      </c>
    </row>
    <row r="141" spans="1:2">
      <c r="A141" t="s">
        <v>185</v>
      </c>
      <c r="B141">
        <v>160038</v>
      </c>
    </row>
    <row r="142" spans="1:2">
      <c r="A142" t="s">
        <v>186</v>
      </c>
      <c r="B142">
        <v>171571</v>
      </c>
    </row>
    <row r="143" spans="1:2">
      <c r="A143" t="s">
        <v>187</v>
      </c>
      <c r="B143">
        <v>204857</v>
      </c>
    </row>
    <row r="144" spans="1:2">
      <c r="A144" t="s">
        <v>188</v>
      </c>
      <c r="B144">
        <v>204796</v>
      </c>
    </row>
    <row r="145" spans="1:2">
      <c r="A145" t="s">
        <v>189</v>
      </c>
      <c r="B145">
        <v>207500</v>
      </c>
    </row>
    <row r="146" spans="1:2">
      <c r="A146" t="s">
        <v>190</v>
      </c>
      <c r="B146">
        <v>207388</v>
      </c>
    </row>
    <row r="147" spans="1:2">
      <c r="A147" t="s">
        <v>191</v>
      </c>
      <c r="B147">
        <v>232982</v>
      </c>
    </row>
    <row r="148" spans="1:2">
      <c r="A148" t="s">
        <v>192</v>
      </c>
      <c r="B148">
        <v>209551</v>
      </c>
    </row>
    <row r="149" spans="1:2">
      <c r="A149" t="s">
        <v>193</v>
      </c>
      <c r="B149">
        <v>209542</v>
      </c>
    </row>
    <row r="150" spans="1:2">
      <c r="A150" t="s">
        <v>194</v>
      </c>
      <c r="B150">
        <v>214777</v>
      </c>
    </row>
    <row r="151" spans="1:2">
      <c r="A151" t="s">
        <v>195</v>
      </c>
      <c r="B151">
        <v>209807</v>
      </c>
    </row>
    <row r="152" spans="1:2">
      <c r="A152" t="s">
        <v>196</v>
      </c>
      <c r="B152">
        <v>227526</v>
      </c>
    </row>
    <row r="153" spans="1:2">
      <c r="A153" t="s">
        <v>197</v>
      </c>
      <c r="B153">
        <v>243780</v>
      </c>
    </row>
    <row r="154" spans="1:2">
      <c r="A154" t="s">
        <v>198</v>
      </c>
      <c r="B154">
        <v>151102</v>
      </c>
    </row>
    <row r="155" spans="1:2">
      <c r="A155" t="s">
        <v>199</v>
      </c>
      <c r="B155">
        <v>233277</v>
      </c>
    </row>
    <row r="156" spans="1:2">
      <c r="A156" t="s">
        <v>200</v>
      </c>
      <c r="B156">
        <v>217484</v>
      </c>
    </row>
    <row r="157" spans="1:2">
      <c r="A157" t="s">
        <v>201</v>
      </c>
      <c r="B157">
        <v>186380</v>
      </c>
    </row>
    <row r="158" spans="1:2">
      <c r="A158" t="s">
        <v>202</v>
      </c>
      <c r="B158">
        <v>110617</v>
      </c>
    </row>
    <row r="159" spans="1:2">
      <c r="A159" t="s">
        <v>203</v>
      </c>
      <c r="B159">
        <v>227881</v>
      </c>
    </row>
    <row r="160" spans="1:2">
      <c r="A160" t="s">
        <v>204</v>
      </c>
      <c r="B160">
        <v>122409</v>
      </c>
    </row>
    <row r="161" spans="1:2">
      <c r="A161" t="s">
        <v>205</v>
      </c>
      <c r="B161">
        <v>122755</v>
      </c>
    </row>
    <row r="162" spans="1:2">
      <c r="A162" t="s">
        <v>206</v>
      </c>
      <c r="B162">
        <v>140960</v>
      </c>
    </row>
    <row r="163" spans="1:2">
      <c r="A163" t="s">
        <v>207</v>
      </c>
      <c r="B163">
        <v>102094</v>
      </c>
    </row>
    <row r="164" spans="1:2">
      <c r="A164" t="s">
        <v>208</v>
      </c>
      <c r="B164">
        <v>218663</v>
      </c>
    </row>
    <row r="165" spans="1:2">
      <c r="A165" t="s">
        <v>209</v>
      </c>
      <c r="B165">
        <v>218733</v>
      </c>
    </row>
    <row r="166" spans="1:2">
      <c r="A166" t="s">
        <v>210</v>
      </c>
      <c r="B166">
        <v>218742</v>
      </c>
    </row>
    <row r="167" spans="1:2">
      <c r="A167" t="s">
        <v>211</v>
      </c>
      <c r="B167">
        <v>219471</v>
      </c>
    </row>
    <row r="168" spans="1:2">
      <c r="A168" t="s">
        <v>212</v>
      </c>
      <c r="B168">
        <v>219356</v>
      </c>
    </row>
    <row r="169" spans="1:2">
      <c r="A169" t="s">
        <v>213</v>
      </c>
      <c r="B169">
        <v>137351</v>
      </c>
    </row>
    <row r="170" spans="1:2">
      <c r="A170" t="s">
        <v>214</v>
      </c>
      <c r="B170">
        <v>179557</v>
      </c>
    </row>
    <row r="171" spans="1:2">
      <c r="A171" t="s">
        <v>215</v>
      </c>
      <c r="B171">
        <v>160612</v>
      </c>
    </row>
    <row r="172" spans="1:2">
      <c r="A172" t="s">
        <v>216</v>
      </c>
      <c r="B172">
        <v>160621</v>
      </c>
    </row>
    <row r="173" spans="1:2">
      <c r="A173" t="s">
        <v>217</v>
      </c>
      <c r="B173">
        <v>149222</v>
      </c>
    </row>
    <row r="174" spans="1:2">
      <c r="A174" t="s">
        <v>218</v>
      </c>
      <c r="B174">
        <v>149231</v>
      </c>
    </row>
    <row r="175" spans="1:2">
      <c r="A175" t="s">
        <v>219</v>
      </c>
      <c r="B175">
        <v>176372</v>
      </c>
    </row>
    <row r="176" spans="1:2">
      <c r="A176" t="s">
        <v>220</v>
      </c>
      <c r="B176">
        <v>230603</v>
      </c>
    </row>
    <row r="177" spans="1:2">
      <c r="A177" t="s">
        <v>221</v>
      </c>
      <c r="B177">
        <v>228431</v>
      </c>
    </row>
    <row r="178" spans="1:2">
      <c r="A178" t="s">
        <v>222</v>
      </c>
      <c r="B178">
        <v>196097</v>
      </c>
    </row>
    <row r="179" spans="1:2">
      <c r="A179" t="s">
        <v>223</v>
      </c>
      <c r="B179">
        <v>221759</v>
      </c>
    </row>
    <row r="180" spans="1:2">
      <c r="A180" t="s">
        <v>224</v>
      </c>
      <c r="B180">
        <v>221740</v>
      </c>
    </row>
    <row r="181" spans="1:2">
      <c r="A181" t="s">
        <v>225</v>
      </c>
      <c r="B181">
        <v>221768</v>
      </c>
    </row>
    <row r="182" spans="1:2">
      <c r="A182" t="s">
        <v>226</v>
      </c>
      <c r="B182">
        <v>221838</v>
      </c>
    </row>
    <row r="183" spans="1:2">
      <c r="A183" t="s">
        <v>227</v>
      </c>
      <c r="B183">
        <v>221847</v>
      </c>
    </row>
    <row r="184" spans="1:2">
      <c r="A184" t="s">
        <v>228</v>
      </c>
      <c r="B184">
        <v>228778</v>
      </c>
    </row>
    <row r="185" spans="1:2">
      <c r="A185" t="s">
        <v>229</v>
      </c>
      <c r="B185">
        <v>228723</v>
      </c>
    </row>
    <row r="186" spans="1:2">
      <c r="A186" t="s">
        <v>230</v>
      </c>
      <c r="B186">
        <v>224147</v>
      </c>
    </row>
    <row r="187" spans="1:2">
      <c r="A187" t="s">
        <v>231</v>
      </c>
      <c r="B187">
        <v>228769</v>
      </c>
    </row>
    <row r="188" spans="1:2">
      <c r="A188" t="s">
        <v>232</v>
      </c>
      <c r="B188">
        <v>229063</v>
      </c>
    </row>
    <row r="189" spans="1:2">
      <c r="A189" t="s">
        <v>233</v>
      </c>
      <c r="B189">
        <v>228459</v>
      </c>
    </row>
    <row r="190" spans="1:2">
      <c r="A190" t="s">
        <v>234</v>
      </c>
      <c r="B190">
        <v>229115</v>
      </c>
    </row>
    <row r="191" spans="1:2">
      <c r="A191" t="s">
        <v>235</v>
      </c>
      <c r="B191">
        <v>206084</v>
      </c>
    </row>
    <row r="192" spans="1:2">
      <c r="A192" t="s">
        <v>236</v>
      </c>
      <c r="B192">
        <v>164076</v>
      </c>
    </row>
    <row r="193" spans="1:2">
      <c r="A193" t="s">
        <v>237</v>
      </c>
      <c r="B193">
        <v>102368</v>
      </c>
    </row>
    <row r="194" spans="1:2">
      <c r="A194" t="s">
        <v>238</v>
      </c>
      <c r="B194">
        <v>100663</v>
      </c>
    </row>
    <row r="195" spans="1:2">
      <c r="A195" t="s">
        <v>239</v>
      </c>
      <c r="B195">
        <v>110644</v>
      </c>
    </row>
    <row r="196" spans="1:2">
      <c r="A196" t="s">
        <v>240</v>
      </c>
      <c r="B196">
        <v>110653</v>
      </c>
    </row>
    <row r="197" spans="1:2">
      <c r="A197" t="s">
        <v>241</v>
      </c>
      <c r="B197">
        <v>110671</v>
      </c>
    </row>
    <row r="198" spans="1:2">
      <c r="A198" t="s">
        <v>242</v>
      </c>
      <c r="B198">
        <v>110705</v>
      </c>
    </row>
    <row r="199" spans="1:2">
      <c r="A199" t="s">
        <v>243</v>
      </c>
      <c r="B199">
        <v>132903</v>
      </c>
    </row>
    <row r="200" spans="1:2">
      <c r="A200" t="s">
        <v>244</v>
      </c>
      <c r="B200">
        <v>110662</v>
      </c>
    </row>
    <row r="201" spans="1:2">
      <c r="A201" t="s">
        <v>245</v>
      </c>
      <c r="B201">
        <v>182281</v>
      </c>
    </row>
    <row r="202" spans="1:2">
      <c r="A202" t="s">
        <v>246</v>
      </c>
      <c r="B202">
        <v>230764</v>
      </c>
    </row>
    <row r="203" spans="1:2">
      <c r="A203" t="s">
        <v>247</v>
      </c>
      <c r="B203">
        <v>230728</v>
      </c>
    </row>
    <row r="204" spans="1:2">
      <c r="A204" t="s">
        <v>248</v>
      </c>
      <c r="B204">
        <v>230737</v>
      </c>
    </row>
    <row r="205" spans="1:2">
      <c r="A205" t="s">
        <v>249</v>
      </c>
      <c r="B205">
        <v>228796</v>
      </c>
    </row>
    <row r="206" spans="1:2">
      <c r="A206" t="s">
        <v>250</v>
      </c>
      <c r="B206">
        <v>227368</v>
      </c>
    </row>
    <row r="207" spans="1:2">
      <c r="A207" t="s">
        <v>251</v>
      </c>
      <c r="B207">
        <v>229027</v>
      </c>
    </row>
    <row r="208" spans="1:2">
      <c r="A208" t="s">
        <v>252</v>
      </c>
      <c r="B208">
        <v>234030</v>
      </c>
    </row>
    <row r="209" spans="1:2">
      <c r="A209" t="s">
        <v>253</v>
      </c>
      <c r="B209">
        <v>231174</v>
      </c>
    </row>
    <row r="210" spans="1:2">
      <c r="A210" t="s">
        <v>254</v>
      </c>
      <c r="B210">
        <v>234076</v>
      </c>
    </row>
    <row r="211" spans="1:2">
      <c r="A211" t="s">
        <v>255</v>
      </c>
      <c r="B211">
        <v>233921</v>
      </c>
    </row>
    <row r="212" spans="1:2">
      <c r="A212" t="s">
        <v>256</v>
      </c>
      <c r="B212">
        <v>234085</v>
      </c>
    </row>
    <row r="213" spans="1:2">
      <c r="A213" t="s">
        <v>257</v>
      </c>
      <c r="B213">
        <v>236948</v>
      </c>
    </row>
    <row r="214" spans="1:2">
      <c r="A214" t="s">
        <v>258</v>
      </c>
      <c r="B214">
        <v>236939</v>
      </c>
    </row>
    <row r="215" spans="1:2">
      <c r="A215" t="s">
        <v>259</v>
      </c>
      <c r="B215">
        <v>230782</v>
      </c>
    </row>
    <row r="216" spans="1:2">
      <c r="A216" t="s">
        <v>260</v>
      </c>
      <c r="B216">
        <v>238032</v>
      </c>
    </row>
    <row r="217" spans="1:2">
      <c r="A217" t="s">
        <v>261</v>
      </c>
      <c r="B217">
        <v>200004</v>
      </c>
    </row>
    <row r="218" spans="1:2">
      <c r="A218" t="s">
        <v>262</v>
      </c>
      <c r="B218">
        <v>149772</v>
      </c>
    </row>
    <row r="219" spans="1:2">
      <c r="A219" t="s">
        <v>263</v>
      </c>
      <c r="B219">
        <v>157951</v>
      </c>
    </row>
    <row r="220" spans="1:2">
      <c r="A220" t="s">
        <v>264</v>
      </c>
      <c r="B220">
        <v>172699</v>
      </c>
    </row>
    <row r="221" spans="1:2">
      <c r="A221" t="s">
        <v>265</v>
      </c>
      <c r="B221">
        <v>156125</v>
      </c>
    </row>
    <row r="222" spans="1:2">
      <c r="A222" t="s">
        <v>266</v>
      </c>
      <c r="B222">
        <v>231624</v>
      </c>
    </row>
    <row r="223" spans="1:2">
      <c r="A223" t="s">
        <v>267</v>
      </c>
      <c r="B223">
        <v>218964</v>
      </c>
    </row>
    <row r="224" spans="1:2">
      <c r="A224" t="s">
        <v>268</v>
      </c>
      <c r="B224">
        <v>240444</v>
      </c>
    </row>
    <row r="225" spans="1:2">
      <c r="A225" t="s">
        <v>269</v>
      </c>
      <c r="B225">
        <v>240277</v>
      </c>
    </row>
    <row r="226" spans="1:2">
      <c r="A226" t="s">
        <v>270</v>
      </c>
      <c r="B226">
        <v>240453</v>
      </c>
    </row>
    <row r="227" spans="1:2">
      <c r="A227" t="s">
        <v>271</v>
      </c>
      <c r="B227">
        <v>206604</v>
      </c>
    </row>
    <row r="228" spans="1:2">
      <c r="A228" t="s">
        <v>272</v>
      </c>
      <c r="B228">
        <v>240727</v>
      </c>
    </row>
    <row r="229" spans="1:2">
      <c r="A229" t="s">
        <v>273</v>
      </c>
      <c r="B229">
        <v>206695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3E7-CD27-497E-8B8F-20E790D3F4F6}">
  <sheetPr>
    <tabColor theme="0"/>
  </sheetPr>
  <dimension ref="A1:C277"/>
  <sheetViews>
    <sheetView workbookViewId="0"/>
  </sheetViews>
  <sheetFormatPr baseColWidth="10" defaultColWidth="11.5" defaultRowHeight="15"/>
  <cols>
    <col min="2" max="2" width="17.5" customWidth="1"/>
    <col min="3" max="3" width="13.5" customWidth="1"/>
  </cols>
  <sheetData>
    <row r="1" spans="1:3">
      <c r="A1" t="s">
        <v>46</v>
      </c>
      <c r="B1" t="s">
        <v>0</v>
      </c>
      <c r="C1" s="5" t="s">
        <v>277</v>
      </c>
    </row>
    <row r="2" spans="1:3" ht="16" thickBot="1">
      <c r="A2">
        <v>200800</v>
      </c>
      <c r="B2" t="s">
        <v>48</v>
      </c>
      <c r="C2" s="6">
        <v>28308</v>
      </c>
    </row>
    <row r="3" spans="1:3" ht="16" thickBot="1">
      <c r="A3">
        <v>100751</v>
      </c>
      <c r="B3" t="s">
        <v>49</v>
      </c>
      <c r="C3" s="6">
        <v>685786</v>
      </c>
    </row>
    <row r="4" spans="1:3" ht="16" thickBot="1">
      <c r="A4">
        <v>196060</v>
      </c>
      <c r="B4" t="s">
        <v>52</v>
      </c>
      <c r="C4" s="7">
        <v>163500</v>
      </c>
    </row>
    <row r="5" spans="1:3" ht="16" thickBot="1">
      <c r="A5">
        <v>197869</v>
      </c>
      <c r="B5" t="s">
        <v>54</v>
      </c>
      <c r="C5" s="6">
        <v>23268</v>
      </c>
    </row>
    <row r="6" spans="1:3" ht="16" thickBot="1">
      <c r="A6">
        <v>104179</v>
      </c>
      <c r="B6" t="s">
        <v>55</v>
      </c>
      <c r="C6" s="6">
        <v>580596</v>
      </c>
    </row>
    <row r="7" spans="1:3">
      <c r="A7">
        <v>104151</v>
      </c>
      <c r="B7" t="s">
        <v>56</v>
      </c>
      <c r="C7" s="5">
        <v>282820</v>
      </c>
    </row>
    <row r="8" spans="1:3" ht="16" thickBot="1">
      <c r="A8">
        <v>106397</v>
      </c>
      <c r="B8" t="s">
        <v>57</v>
      </c>
      <c r="C8" s="6">
        <v>98004</v>
      </c>
    </row>
    <row r="9" spans="1:3" ht="16" thickBot="1">
      <c r="A9">
        <v>106245</v>
      </c>
      <c r="B9" t="s">
        <v>58</v>
      </c>
      <c r="C9" s="16">
        <v>201888</v>
      </c>
    </row>
    <row r="10" spans="1:3" ht="16" thickBot="1">
      <c r="A10">
        <v>106412</v>
      </c>
      <c r="B10" t="s">
        <v>59</v>
      </c>
      <c r="C10" s="17"/>
    </row>
    <row r="11" spans="1:3" ht="16" thickBot="1">
      <c r="A11">
        <v>106458</v>
      </c>
      <c r="B11" t="s">
        <v>60</v>
      </c>
      <c r="C11" s="6">
        <v>288783</v>
      </c>
    </row>
    <row r="12" spans="1:3" ht="16" thickBot="1">
      <c r="A12">
        <v>500001</v>
      </c>
      <c r="B12" t="s">
        <v>61</v>
      </c>
      <c r="C12" s="16">
        <v>280704</v>
      </c>
    </row>
    <row r="13" spans="1:3" ht="16" thickBot="1">
      <c r="A13">
        <v>100858</v>
      </c>
      <c r="B13" t="s">
        <v>62</v>
      </c>
      <c r="C13" s="6">
        <v>119703</v>
      </c>
    </row>
    <row r="14" spans="1:3" ht="16" thickBot="1">
      <c r="A14">
        <v>219602</v>
      </c>
      <c r="B14" t="s">
        <v>63</v>
      </c>
      <c r="C14" s="18">
        <v>8578</v>
      </c>
    </row>
    <row r="15" spans="1:3" ht="16" thickBot="1">
      <c r="A15">
        <v>150136</v>
      </c>
      <c r="B15" t="s">
        <v>64</v>
      </c>
      <c r="C15" s="16">
        <v>103674</v>
      </c>
    </row>
    <row r="16" spans="1:3" ht="16" thickBot="1">
      <c r="A16">
        <v>196079</v>
      </c>
      <c r="B16" t="s">
        <v>65</v>
      </c>
      <c r="C16" s="7">
        <v>634408</v>
      </c>
    </row>
    <row r="17" spans="1:3" ht="16" thickBot="1">
      <c r="A17">
        <v>142115</v>
      </c>
      <c r="B17" t="s">
        <v>66</v>
      </c>
      <c r="C17" s="6">
        <v>439989</v>
      </c>
    </row>
    <row r="18" spans="1:3" ht="16" thickBot="1">
      <c r="A18">
        <v>142115</v>
      </c>
      <c r="B18" t="s">
        <v>66</v>
      </c>
      <c r="C18" s="6"/>
    </row>
    <row r="19" spans="1:3" ht="16" thickBot="1">
      <c r="A19">
        <v>201441</v>
      </c>
      <c r="B19" t="s">
        <v>67</v>
      </c>
      <c r="C19" s="6">
        <v>29614</v>
      </c>
    </row>
    <row r="20" spans="1:3" ht="16" thickBot="1">
      <c r="A20">
        <v>196088</v>
      </c>
      <c r="B20" t="s">
        <v>68</v>
      </c>
      <c r="C20" s="6">
        <v>783529</v>
      </c>
    </row>
    <row r="21" spans="1:3" ht="16" thickBot="1">
      <c r="A21">
        <v>110422</v>
      </c>
      <c r="B21" t="s">
        <v>69</v>
      </c>
      <c r="C21" s="7">
        <v>66081</v>
      </c>
    </row>
    <row r="22" spans="1:3" ht="16" thickBot="1">
      <c r="A22">
        <v>110486</v>
      </c>
      <c r="B22" t="s">
        <v>70</v>
      </c>
      <c r="C22" s="7">
        <v>93169</v>
      </c>
    </row>
    <row r="23" spans="1:3">
      <c r="A23">
        <v>110565</v>
      </c>
      <c r="B23" t="s">
        <v>71</v>
      </c>
      <c r="C23">
        <v>696791</v>
      </c>
    </row>
    <row r="24" spans="1:3" ht="16" thickBot="1">
      <c r="A24">
        <v>110608</v>
      </c>
      <c r="B24" t="s">
        <v>72</v>
      </c>
      <c r="C24" s="7">
        <v>52093</v>
      </c>
    </row>
    <row r="25" spans="1:3" ht="16" thickBot="1">
      <c r="A25">
        <v>110635</v>
      </c>
      <c r="B25" t="s">
        <v>73</v>
      </c>
      <c r="C25" s="6">
        <v>106601</v>
      </c>
    </row>
    <row r="26" spans="1:3" ht="16" thickBot="1">
      <c r="A26">
        <v>106704</v>
      </c>
      <c r="B26" t="s">
        <v>74</v>
      </c>
      <c r="C26" s="7">
        <v>434084</v>
      </c>
    </row>
    <row r="27" spans="1:3" ht="16" thickBot="1">
      <c r="A27">
        <v>128771</v>
      </c>
      <c r="B27" t="s">
        <v>75</v>
      </c>
      <c r="C27" s="7">
        <v>775853</v>
      </c>
    </row>
    <row r="28" spans="1:3" ht="16" thickBot="1">
      <c r="A28">
        <v>169248</v>
      </c>
      <c r="B28" t="s">
        <v>76</v>
      </c>
      <c r="C28" s="6">
        <v>24012</v>
      </c>
    </row>
    <row r="29" spans="1:3" ht="16" thickBot="1">
      <c r="A29">
        <v>199139</v>
      </c>
      <c r="B29" t="s">
        <v>77</v>
      </c>
      <c r="C29" s="16">
        <v>821089</v>
      </c>
    </row>
    <row r="30" spans="1:3" ht="16" thickBot="1">
      <c r="A30">
        <v>144005</v>
      </c>
      <c r="B30" t="s">
        <v>78</v>
      </c>
      <c r="C30" s="7">
        <v>18000</v>
      </c>
    </row>
    <row r="31" spans="1:3" ht="16" thickBot="1">
      <c r="A31">
        <v>201885</v>
      </c>
      <c r="B31" t="s">
        <v>79</v>
      </c>
      <c r="C31" s="6">
        <v>54614</v>
      </c>
    </row>
    <row r="32" spans="1:3" ht="16" thickBot="1">
      <c r="A32">
        <v>217864</v>
      </c>
      <c r="B32" t="s">
        <v>80</v>
      </c>
      <c r="C32" s="16">
        <v>608144</v>
      </c>
    </row>
    <row r="33" spans="1:3" ht="16" thickBot="1">
      <c r="A33">
        <v>217882</v>
      </c>
      <c r="B33" t="s">
        <v>81</v>
      </c>
      <c r="C33" s="6">
        <v>889274</v>
      </c>
    </row>
    <row r="34" spans="1:3" ht="16" thickBot="1">
      <c r="A34">
        <v>202134</v>
      </c>
      <c r="B34" t="s">
        <v>82</v>
      </c>
      <c r="C34" s="7">
        <v>586518</v>
      </c>
    </row>
    <row r="35" spans="1:3" ht="16" thickBot="1">
      <c r="A35">
        <v>218724</v>
      </c>
      <c r="B35" t="s">
        <v>83</v>
      </c>
      <c r="C35" s="6">
        <v>1329351</v>
      </c>
    </row>
    <row r="36" spans="1:3" ht="16" thickBot="1">
      <c r="A36">
        <v>217819</v>
      </c>
      <c r="B36" t="s">
        <v>278</v>
      </c>
      <c r="C36" s="7">
        <v>43415</v>
      </c>
    </row>
    <row r="37" spans="1:3" ht="16" thickBot="1">
      <c r="A37">
        <v>126614</v>
      </c>
      <c r="B37" t="s">
        <v>85</v>
      </c>
      <c r="C37" s="6">
        <v>596075</v>
      </c>
    </row>
    <row r="38" spans="1:3" ht="16" thickBot="1">
      <c r="A38">
        <v>126818</v>
      </c>
      <c r="B38" t="s">
        <v>86</v>
      </c>
      <c r="C38" s="6">
        <v>723497</v>
      </c>
    </row>
    <row r="39" spans="1:3">
      <c r="A39">
        <v>129020</v>
      </c>
      <c r="B39" t="s">
        <v>87</v>
      </c>
      <c r="C39" s="5">
        <v>146499</v>
      </c>
    </row>
    <row r="40" spans="1:3" ht="16" thickBot="1">
      <c r="A40">
        <v>162283</v>
      </c>
      <c r="B40" t="s">
        <v>88</v>
      </c>
      <c r="C40" s="16">
        <v>63030</v>
      </c>
    </row>
    <row r="41" spans="1:3" ht="16" thickBot="1">
      <c r="A41">
        <v>198464</v>
      </c>
      <c r="B41" t="s">
        <v>89</v>
      </c>
      <c r="C41" s="6">
        <v>39867</v>
      </c>
    </row>
    <row r="42" spans="1:3" ht="16" thickBot="1">
      <c r="A42">
        <v>144892</v>
      </c>
      <c r="B42" t="s">
        <v>91</v>
      </c>
      <c r="C42" s="7">
        <v>309054</v>
      </c>
    </row>
    <row r="43" spans="1:3" ht="16" thickBot="1">
      <c r="A43">
        <v>156620</v>
      </c>
      <c r="B43" t="s">
        <v>92</v>
      </c>
      <c r="C43" s="7">
        <v>656707</v>
      </c>
    </row>
    <row r="44" spans="1:3" ht="16" thickBot="1">
      <c r="A44">
        <v>169798</v>
      </c>
      <c r="B44" t="s">
        <v>93</v>
      </c>
      <c r="C44" s="16">
        <v>783759</v>
      </c>
    </row>
    <row r="45" spans="1:3" ht="16" thickBot="1">
      <c r="A45">
        <v>235097</v>
      </c>
      <c r="B45" t="s">
        <v>94</v>
      </c>
      <c r="C45" s="7">
        <v>705015</v>
      </c>
    </row>
    <row r="46" spans="1:3" ht="16" thickBot="1">
      <c r="A46">
        <v>134130</v>
      </c>
      <c r="B46" t="s">
        <v>95</v>
      </c>
      <c r="C46" s="6">
        <v>316677</v>
      </c>
    </row>
    <row r="47" spans="1:3" ht="16" thickBot="1">
      <c r="A47">
        <v>133669</v>
      </c>
      <c r="B47" t="s">
        <v>96</v>
      </c>
      <c r="C47" s="6">
        <v>112144</v>
      </c>
    </row>
    <row r="48" spans="1:3" ht="16" thickBot="1">
      <c r="A48">
        <v>433660</v>
      </c>
      <c r="B48" t="s">
        <v>97</v>
      </c>
      <c r="C48" s="7">
        <v>202564</v>
      </c>
    </row>
    <row r="49" spans="1:3" ht="16" thickBot="1">
      <c r="A49">
        <v>133951</v>
      </c>
      <c r="B49" t="s">
        <v>98</v>
      </c>
      <c r="C49" s="6">
        <v>649598</v>
      </c>
    </row>
    <row r="50" spans="1:3" ht="16" thickBot="1">
      <c r="A50">
        <v>134097</v>
      </c>
      <c r="B50" t="s">
        <v>99</v>
      </c>
      <c r="C50" s="6">
        <v>1332831</v>
      </c>
    </row>
    <row r="51" spans="1:3" ht="16" thickBot="1">
      <c r="A51">
        <v>110556</v>
      </c>
      <c r="B51" t="s">
        <v>100</v>
      </c>
      <c r="C51" s="6">
        <v>429981</v>
      </c>
    </row>
    <row r="52" spans="1:3" ht="16" thickBot="1">
      <c r="A52">
        <v>139959</v>
      </c>
      <c r="B52" t="s">
        <v>102</v>
      </c>
      <c r="C52" s="6">
        <v>65569</v>
      </c>
    </row>
    <row r="53" spans="1:3" ht="16" thickBot="1">
      <c r="A53">
        <v>139931</v>
      </c>
      <c r="B53" t="s">
        <v>103</v>
      </c>
      <c r="C53" s="6">
        <v>66943</v>
      </c>
    </row>
    <row r="54" spans="1:3" ht="16" thickBot="1">
      <c r="A54">
        <v>139940</v>
      </c>
      <c r="B54" t="s">
        <v>104</v>
      </c>
      <c r="C54" s="6">
        <v>241497</v>
      </c>
    </row>
    <row r="55" spans="1:3">
      <c r="A55">
        <v>139755</v>
      </c>
      <c r="B55" t="s">
        <v>105</v>
      </c>
      <c r="C55" s="5">
        <v>56303</v>
      </c>
    </row>
    <row r="56" spans="1:3" ht="16" thickBot="1">
      <c r="A56">
        <v>159009</v>
      </c>
      <c r="B56" t="s">
        <v>106</v>
      </c>
      <c r="C56" s="7">
        <v>560</v>
      </c>
    </row>
    <row r="57" spans="1:3" ht="16" thickBot="1">
      <c r="A57">
        <v>141574</v>
      </c>
      <c r="B57" t="s">
        <v>107</v>
      </c>
      <c r="C57" s="16">
        <v>1790107</v>
      </c>
    </row>
    <row r="58" spans="1:3" ht="16" thickBot="1">
      <c r="A58">
        <v>225511</v>
      </c>
      <c r="B58" t="s">
        <v>108</v>
      </c>
      <c r="C58" s="6">
        <v>14202</v>
      </c>
    </row>
    <row r="59" spans="1:3" ht="16" thickBot="1">
      <c r="A59">
        <v>142285</v>
      </c>
      <c r="B59" t="s">
        <v>109</v>
      </c>
      <c r="C59" s="7">
        <v>708672</v>
      </c>
    </row>
    <row r="60" spans="1:3" ht="16" thickBot="1">
      <c r="A60">
        <v>142276</v>
      </c>
      <c r="B60" t="s">
        <v>110</v>
      </c>
      <c r="C60" s="7">
        <v>352120</v>
      </c>
    </row>
    <row r="61" spans="1:3" ht="16" thickBot="1">
      <c r="A61">
        <v>145637</v>
      </c>
      <c r="B61" t="s">
        <v>111</v>
      </c>
      <c r="C61" s="18">
        <v>929006</v>
      </c>
    </row>
    <row r="62" spans="1:3" ht="16" thickBot="1">
      <c r="A62">
        <v>145600</v>
      </c>
      <c r="B62" t="s">
        <v>112</v>
      </c>
      <c r="C62" s="18">
        <v>402913</v>
      </c>
    </row>
    <row r="63" spans="1:3" ht="16" thickBot="1">
      <c r="A63">
        <v>145813</v>
      </c>
      <c r="B63" t="s">
        <v>113</v>
      </c>
      <c r="C63" s="7">
        <v>318906</v>
      </c>
    </row>
    <row r="64" spans="1:3" ht="16" thickBot="1">
      <c r="A64">
        <v>151351</v>
      </c>
      <c r="B64" t="s">
        <v>114</v>
      </c>
      <c r="C64" s="7">
        <v>74208</v>
      </c>
    </row>
    <row r="65" spans="1:3" ht="16" thickBot="1">
      <c r="A65">
        <v>151324</v>
      </c>
      <c r="B65" t="s">
        <v>115</v>
      </c>
      <c r="C65" s="18">
        <v>557229</v>
      </c>
    </row>
    <row r="66" spans="1:3" ht="16" thickBot="1">
      <c r="A66">
        <v>153658</v>
      </c>
      <c r="B66" t="s">
        <v>116</v>
      </c>
      <c r="C66" s="7">
        <v>201177</v>
      </c>
    </row>
    <row r="67" spans="1:3" ht="16" thickBot="1">
      <c r="A67">
        <v>153603</v>
      </c>
      <c r="B67" t="s">
        <v>117</v>
      </c>
      <c r="C67" s="7">
        <v>269980</v>
      </c>
    </row>
    <row r="68" spans="1:3" ht="16" thickBot="1">
      <c r="A68">
        <v>151111</v>
      </c>
      <c r="B68" t="s">
        <v>118</v>
      </c>
      <c r="C68" s="7">
        <v>3489</v>
      </c>
    </row>
    <row r="69" spans="1:3" ht="16" thickBot="1">
      <c r="A69">
        <v>232423</v>
      </c>
      <c r="B69" t="s">
        <v>121</v>
      </c>
      <c r="C69" s="16">
        <v>48048</v>
      </c>
    </row>
    <row r="70" spans="1:3" ht="16" thickBot="1">
      <c r="A70">
        <v>155317</v>
      </c>
      <c r="B70" t="s">
        <v>122</v>
      </c>
      <c r="C70" s="7">
        <v>116679</v>
      </c>
    </row>
    <row r="71" spans="1:3" ht="16" thickBot="1">
      <c r="A71">
        <v>155399</v>
      </c>
      <c r="B71" t="s">
        <v>123</v>
      </c>
      <c r="C71" s="7">
        <v>93637</v>
      </c>
    </row>
    <row r="72" spans="1:3">
      <c r="A72">
        <v>486840</v>
      </c>
      <c r="B72" t="s">
        <v>279</v>
      </c>
      <c r="C72">
        <v>117806</v>
      </c>
    </row>
    <row r="73" spans="1:3" ht="16" thickBot="1">
      <c r="A73">
        <v>203517</v>
      </c>
      <c r="B73" t="s">
        <v>125</v>
      </c>
      <c r="C73" s="10">
        <v>113135</v>
      </c>
    </row>
    <row r="74" spans="1:3" ht="16" thickBot="1">
      <c r="A74">
        <v>157085</v>
      </c>
      <c r="B74" t="s">
        <v>126</v>
      </c>
      <c r="C74" s="10">
        <v>340382</v>
      </c>
    </row>
    <row r="75" spans="1:3" ht="16" thickBot="1">
      <c r="A75">
        <v>226091</v>
      </c>
      <c r="B75" t="s">
        <v>127</v>
      </c>
      <c r="C75" s="10">
        <v>590930</v>
      </c>
    </row>
    <row r="76" spans="1:3" ht="16" thickBot="1">
      <c r="A76">
        <v>110583</v>
      </c>
      <c r="B76" t="s">
        <v>128</v>
      </c>
      <c r="C76" s="19">
        <v>1130529</v>
      </c>
    </row>
    <row r="77" spans="1:3" ht="16" thickBot="1">
      <c r="A77">
        <v>160658</v>
      </c>
      <c r="B77" t="s">
        <v>280</v>
      </c>
      <c r="C77" s="10">
        <v>125738</v>
      </c>
    </row>
    <row r="78" spans="1:3" ht="16" thickBot="1">
      <c r="A78">
        <v>159993</v>
      </c>
      <c r="B78" t="s">
        <v>131</v>
      </c>
      <c r="C78" s="10">
        <v>62205</v>
      </c>
    </row>
    <row r="79" spans="1:3" ht="16" thickBot="1">
      <c r="A79">
        <v>159647</v>
      </c>
      <c r="B79" t="s">
        <v>132</v>
      </c>
      <c r="C79" s="10">
        <v>744748</v>
      </c>
    </row>
    <row r="80" spans="1:3" ht="16" thickBot="1">
      <c r="A80">
        <v>157289</v>
      </c>
      <c r="B80" t="s">
        <v>133</v>
      </c>
      <c r="C80" s="10">
        <v>101594</v>
      </c>
    </row>
    <row r="81" spans="1:3" ht="16" thickBot="1">
      <c r="A81">
        <v>159391</v>
      </c>
      <c r="B81" t="s">
        <v>134</v>
      </c>
      <c r="C81" s="10">
        <v>74392</v>
      </c>
    </row>
    <row r="82" spans="1:3" ht="16" thickBot="1">
      <c r="A82">
        <v>237525</v>
      </c>
      <c r="B82" t="s">
        <v>136</v>
      </c>
      <c r="C82" s="10">
        <v>528074</v>
      </c>
    </row>
    <row r="83" spans="1:3" ht="16" thickBot="1">
      <c r="A83">
        <v>163286</v>
      </c>
      <c r="B83" t="s">
        <v>137</v>
      </c>
      <c r="C83" s="10">
        <v>612105</v>
      </c>
    </row>
    <row r="84" spans="1:3" ht="16" thickBot="1">
      <c r="A84">
        <v>163268</v>
      </c>
      <c r="B84" t="s">
        <v>138</v>
      </c>
      <c r="C84" s="10">
        <v>139065</v>
      </c>
    </row>
    <row r="85" spans="1:3" ht="16" thickBot="1">
      <c r="A85">
        <v>163338</v>
      </c>
      <c r="B85" t="s">
        <v>139</v>
      </c>
      <c r="C85" s="10">
        <v>3576</v>
      </c>
    </row>
    <row r="86" spans="1:3" ht="16" thickBot="1">
      <c r="A86">
        <v>166513</v>
      </c>
      <c r="B86" t="s">
        <v>141</v>
      </c>
      <c r="C86" s="10">
        <v>620096</v>
      </c>
    </row>
    <row r="87" spans="1:3" ht="16" thickBot="1">
      <c r="A87">
        <v>159717</v>
      </c>
      <c r="B87" t="s">
        <v>142</v>
      </c>
      <c r="C87" s="10">
        <v>493606</v>
      </c>
    </row>
    <row r="88" spans="1:3" ht="16" thickBot="1">
      <c r="A88">
        <v>204024</v>
      </c>
      <c r="B88" t="s">
        <v>144</v>
      </c>
      <c r="C88" s="10">
        <v>1005148</v>
      </c>
    </row>
    <row r="89" spans="1:3" ht="16" thickBot="1">
      <c r="A89">
        <v>170976</v>
      </c>
      <c r="B89" t="s">
        <v>145</v>
      </c>
      <c r="C89" s="10">
        <v>199831</v>
      </c>
    </row>
    <row r="90" spans="1:3" ht="16" thickBot="1">
      <c r="A90">
        <v>171100</v>
      </c>
      <c r="B90" t="s">
        <v>146</v>
      </c>
      <c r="C90" s="20">
        <v>640312</v>
      </c>
    </row>
    <row r="91" spans="1:3" ht="16" thickBot="1">
      <c r="A91">
        <v>220978</v>
      </c>
      <c r="B91" t="s">
        <v>147</v>
      </c>
      <c r="C91" s="19">
        <v>1080880</v>
      </c>
    </row>
    <row r="92" spans="1:3">
      <c r="A92">
        <v>174066</v>
      </c>
      <c r="B92" t="s">
        <v>148</v>
      </c>
      <c r="C92">
        <v>485157</v>
      </c>
    </row>
    <row r="93" spans="1:3" ht="16" thickBot="1">
      <c r="A93">
        <v>176017</v>
      </c>
      <c r="B93" t="s">
        <v>149</v>
      </c>
      <c r="C93" s="7">
        <v>255515</v>
      </c>
    </row>
    <row r="94" spans="1:3" ht="16" thickBot="1">
      <c r="A94">
        <v>176080</v>
      </c>
      <c r="B94" t="s">
        <v>150</v>
      </c>
      <c r="C94" s="7">
        <v>110590</v>
      </c>
    </row>
    <row r="95" spans="1:3" ht="16" thickBot="1">
      <c r="A95">
        <v>178396</v>
      </c>
      <c r="B95" t="s">
        <v>152</v>
      </c>
      <c r="C95" s="7">
        <v>275992</v>
      </c>
    </row>
    <row r="96" spans="1:3" ht="16" thickBot="1">
      <c r="A96">
        <v>178402</v>
      </c>
      <c r="B96" t="s">
        <v>153</v>
      </c>
      <c r="C96" s="7">
        <v>781788</v>
      </c>
    </row>
    <row r="97" spans="1:3" ht="16" thickBot="1">
      <c r="A97">
        <v>179566</v>
      </c>
      <c r="B97" t="s">
        <v>154</v>
      </c>
      <c r="C97" s="7">
        <v>803290</v>
      </c>
    </row>
    <row r="98" spans="1:3" ht="16" thickBot="1">
      <c r="A98">
        <v>180489</v>
      </c>
      <c r="B98" t="s">
        <v>155</v>
      </c>
      <c r="C98" s="7">
        <v>421599</v>
      </c>
    </row>
    <row r="99" spans="1:3" ht="16" thickBot="1">
      <c r="A99">
        <v>180461</v>
      </c>
      <c r="B99" t="s">
        <v>156</v>
      </c>
      <c r="C99" s="7">
        <v>809498</v>
      </c>
    </row>
    <row r="100" spans="1:3" ht="16" thickBot="1">
      <c r="A100">
        <v>157386</v>
      </c>
      <c r="B100" t="s">
        <v>157</v>
      </c>
      <c r="C100" s="7">
        <v>834063</v>
      </c>
    </row>
    <row r="101" spans="1:3" ht="16" thickBot="1">
      <c r="A101">
        <v>163453</v>
      </c>
      <c r="B101" t="s">
        <v>158</v>
      </c>
      <c r="C101" s="7">
        <v>11500</v>
      </c>
    </row>
    <row r="102" spans="1:3" ht="16" thickBot="1">
      <c r="A102">
        <v>157401</v>
      </c>
      <c r="B102" t="s">
        <v>159</v>
      </c>
      <c r="C102" s="7">
        <v>29051</v>
      </c>
    </row>
    <row r="103" spans="1:3" ht="16" thickBot="1">
      <c r="A103">
        <v>500000</v>
      </c>
      <c r="B103" t="s">
        <v>160</v>
      </c>
      <c r="C103" s="21">
        <v>209187</v>
      </c>
    </row>
    <row r="104" spans="1:3" ht="16" thickBot="1">
      <c r="A104">
        <v>181464</v>
      </c>
      <c r="B104" t="s">
        <v>161</v>
      </c>
      <c r="C104" s="7">
        <v>3725956</v>
      </c>
    </row>
    <row r="105" spans="1:3" ht="16" thickBot="1">
      <c r="A105">
        <v>181394</v>
      </c>
      <c r="B105" t="s">
        <v>162</v>
      </c>
      <c r="C105" s="7">
        <v>705681</v>
      </c>
    </row>
    <row r="106" spans="1:3" ht="16" thickBot="1">
      <c r="A106">
        <v>182290</v>
      </c>
      <c r="B106" t="s">
        <v>163</v>
      </c>
      <c r="C106" s="7">
        <v>208887</v>
      </c>
    </row>
    <row r="107" spans="1:3" ht="16" thickBot="1">
      <c r="A107">
        <v>183044</v>
      </c>
      <c r="B107" t="s">
        <v>164</v>
      </c>
      <c r="C107" s="7">
        <v>263049</v>
      </c>
    </row>
    <row r="108" spans="1:3">
      <c r="A108">
        <v>187985</v>
      </c>
      <c r="B108" t="s">
        <v>165</v>
      </c>
      <c r="C108">
        <v>155032</v>
      </c>
    </row>
    <row r="109" spans="1:3">
      <c r="A109">
        <v>188030</v>
      </c>
      <c r="B109" t="s">
        <v>166</v>
      </c>
      <c r="C109">
        <v>328499</v>
      </c>
    </row>
    <row r="110" spans="1:3">
      <c r="A110">
        <v>159939</v>
      </c>
      <c r="B110" t="s">
        <v>167</v>
      </c>
      <c r="C110">
        <v>10107</v>
      </c>
    </row>
    <row r="111" spans="1:3">
      <c r="A111">
        <v>159966</v>
      </c>
      <c r="B111" t="s">
        <v>168</v>
      </c>
      <c r="C111">
        <v>422648</v>
      </c>
    </row>
    <row r="112" spans="1:3">
      <c r="A112">
        <v>185828</v>
      </c>
      <c r="B112" t="s">
        <v>169</v>
      </c>
      <c r="C112">
        <v>724732</v>
      </c>
    </row>
    <row r="113" spans="1:3">
      <c r="A113">
        <v>199120</v>
      </c>
      <c r="B113" t="s">
        <v>172</v>
      </c>
      <c r="C113" s="22">
        <v>698411</v>
      </c>
    </row>
    <row r="114" spans="1:3">
      <c r="A114">
        <v>199102</v>
      </c>
      <c r="B114" t="s">
        <v>173</v>
      </c>
      <c r="C114">
        <v>393037</v>
      </c>
    </row>
    <row r="115" spans="1:3">
      <c r="A115">
        <v>199157</v>
      </c>
      <c r="B115" t="s">
        <v>174</v>
      </c>
      <c r="C115">
        <v>3660</v>
      </c>
    </row>
    <row r="116" spans="1:3">
      <c r="A116">
        <v>199148</v>
      </c>
      <c r="B116" t="s">
        <v>276</v>
      </c>
      <c r="C116">
        <v>473546</v>
      </c>
    </row>
    <row r="117" spans="1:3">
      <c r="A117">
        <v>199193</v>
      </c>
      <c r="B117" t="s">
        <v>175</v>
      </c>
      <c r="C117" s="12">
        <v>756657</v>
      </c>
    </row>
    <row r="118" spans="1:3">
      <c r="A118">
        <v>199218</v>
      </c>
      <c r="B118" t="s">
        <v>176</v>
      </c>
      <c r="C118">
        <v>43343</v>
      </c>
    </row>
    <row r="119" spans="1:3">
      <c r="A119">
        <v>200280</v>
      </c>
      <c r="B119" t="s">
        <v>177</v>
      </c>
      <c r="C119">
        <v>271651</v>
      </c>
    </row>
    <row r="120" spans="1:3">
      <c r="A120">
        <v>200332</v>
      </c>
      <c r="B120" t="s">
        <v>178</v>
      </c>
      <c r="C120">
        <v>458301</v>
      </c>
    </row>
    <row r="121" spans="1:3">
      <c r="A121">
        <v>136172</v>
      </c>
      <c r="B121" t="s">
        <v>179</v>
      </c>
      <c r="C121">
        <v>103646</v>
      </c>
    </row>
    <row r="122" spans="1:3">
      <c r="A122">
        <v>227216</v>
      </c>
      <c r="B122" t="s">
        <v>180</v>
      </c>
      <c r="C122">
        <v>337152</v>
      </c>
    </row>
    <row r="123" spans="1:3">
      <c r="A123">
        <v>105330</v>
      </c>
      <c r="B123" t="s">
        <v>181</v>
      </c>
      <c r="C123">
        <v>932141</v>
      </c>
    </row>
    <row r="124" spans="1:3">
      <c r="A124">
        <v>127741</v>
      </c>
      <c r="B124" t="s">
        <v>182</v>
      </c>
      <c r="C124" s="23">
        <v>875302</v>
      </c>
    </row>
    <row r="125" spans="1:3">
      <c r="A125">
        <v>154095</v>
      </c>
      <c r="B125" t="s">
        <v>184</v>
      </c>
      <c r="C125">
        <v>628831</v>
      </c>
    </row>
    <row r="126" spans="1:3">
      <c r="A126">
        <v>160038</v>
      </c>
      <c r="B126" t="s">
        <v>185</v>
      </c>
      <c r="C126">
        <v>448646</v>
      </c>
    </row>
    <row r="127" spans="1:3">
      <c r="A127">
        <v>171571</v>
      </c>
      <c r="B127" t="s">
        <v>186</v>
      </c>
      <c r="C127" s="22">
        <v>555263</v>
      </c>
    </row>
    <row r="128" spans="1:3">
      <c r="A128">
        <v>204857</v>
      </c>
      <c r="B128" t="s">
        <v>187</v>
      </c>
      <c r="C128">
        <v>1104491</v>
      </c>
    </row>
    <row r="129" spans="1:3">
      <c r="A129">
        <v>204796</v>
      </c>
      <c r="B129" t="s">
        <v>188</v>
      </c>
      <c r="C129">
        <v>355275</v>
      </c>
    </row>
    <row r="130" spans="1:3">
      <c r="A130">
        <v>207500</v>
      </c>
      <c r="B130" t="s">
        <v>189</v>
      </c>
      <c r="C130">
        <v>15388</v>
      </c>
    </row>
    <row r="131" spans="1:3">
      <c r="A131">
        <v>209551</v>
      </c>
      <c r="B131" t="s">
        <v>192</v>
      </c>
      <c r="C131">
        <v>527688</v>
      </c>
    </row>
    <row r="132" spans="1:3" ht="16" thickBot="1">
      <c r="A132">
        <v>209542</v>
      </c>
      <c r="B132" t="s">
        <v>193</v>
      </c>
      <c r="C132" s="7">
        <v>327500</v>
      </c>
    </row>
    <row r="133" spans="1:3" ht="16" thickBot="1">
      <c r="A133">
        <v>214777</v>
      </c>
      <c r="B133" t="s">
        <v>194</v>
      </c>
      <c r="C133" s="7">
        <v>980678</v>
      </c>
    </row>
    <row r="134" spans="1:3" ht="16" thickBot="1">
      <c r="A134">
        <v>209807</v>
      </c>
      <c r="B134" t="s">
        <v>195</v>
      </c>
      <c r="C134" s="7">
        <v>239785</v>
      </c>
    </row>
    <row r="135" spans="1:3" ht="16" thickBot="1">
      <c r="A135">
        <v>227526</v>
      </c>
      <c r="B135" t="s">
        <v>196</v>
      </c>
      <c r="C135" s="7">
        <v>411787</v>
      </c>
    </row>
    <row r="136" spans="1:3" ht="16" thickBot="1">
      <c r="A136">
        <v>243780</v>
      </c>
      <c r="B136" t="s">
        <v>197</v>
      </c>
      <c r="C136" s="7">
        <v>532448</v>
      </c>
    </row>
    <row r="137" spans="1:3" ht="16" thickBot="1">
      <c r="A137">
        <v>151102</v>
      </c>
      <c r="B137" t="s">
        <v>198</v>
      </c>
      <c r="C137" s="7">
        <v>564745</v>
      </c>
    </row>
    <row r="138" spans="1:3" ht="16" thickBot="1">
      <c r="A138">
        <v>233277</v>
      </c>
      <c r="B138" t="s">
        <v>199</v>
      </c>
      <c r="C138" s="16">
        <v>7056</v>
      </c>
    </row>
    <row r="139" spans="1:3" ht="16" thickBot="1">
      <c r="A139">
        <v>217484</v>
      </c>
      <c r="B139" t="s">
        <v>200</v>
      </c>
      <c r="C139" s="7">
        <v>775198</v>
      </c>
    </row>
    <row r="140" spans="1:3" ht="16" thickBot="1">
      <c r="A140">
        <v>186380</v>
      </c>
      <c r="B140" t="s">
        <v>201</v>
      </c>
      <c r="C140" s="7">
        <v>43183</v>
      </c>
    </row>
    <row r="141" spans="1:3" ht="16" thickBot="1">
      <c r="A141">
        <v>110617</v>
      </c>
      <c r="B141" t="s">
        <v>202</v>
      </c>
      <c r="C141" s="18">
        <v>412056</v>
      </c>
    </row>
    <row r="142" spans="1:3" ht="16" thickBot="1">
      <c r="A142">
        <v>227881</v>
      </c>
      <c r="B142" t="s">
        <v>203</v>
      </c>
      <c r="C142" s="7">
        <v>12014</v>
      </c>
    </row>
    <row r="143" spans="1:3" ht="16" thickBot="1">
      <c r="A143">
        <v>122409</v>
      </c>
      <c r="B143" t="s">
        <v>204</v>
      </c>
      <c r="C143" s="7">
        <v>989093</v>
      </c>
    </row>
    <row r="144" spans="1:3" ht="16" thickBot="1">
      <c r="A144">
        <v>122755</v>
      </c>
      <c r="B144" t="s">
        <v>205</v>
      </c>
      <c r="C144" s="7">
        <v>42625</v>
      </c>
    </row>
    <row r="145" spans="1:3">
      <c r="A145">
        <v>140960</v>
      </c>
      <c r="B145" t="s">
        <v>206</v>
      </c>
      <c r="C145">
        <v>157357</v>
      </c>
    </row>
    <row r="146" spans="1:3" ht="16" thickBot="1">
      <c r="A146">
        <v>102094</v>
      </c>
      <c r="B146" t="s">
        <v>207</v>
      </c>
      <c r="C146" s="18">
        <v>848755</v>
      </c>
    </row>
    <row r="147" spans="1:3" ht="16" thickBot="1">
      <c r="A147">
        <v>218663</v>
      </c>
      <c r="B147" t="s">
        <v>208</v>
      </c>
      <c r="C147" s="7">
        <v>167189</v>
      </c>
    </row>
    <row r="148" spans="1:3" ht="16" thickBot="1">
      <c r="A148">
        <v>218742</v>
      </c>
      <c r="B148" t="s">
        <v>210</v>
      </c>
      <c r="C148" s="7">
        <v>308371</v>
      </c>
    </row>
    <row r="149" spans="1:3" ht="16" thickBot="1">
      <c r="A149">
        <v>219471</v>
      </c>
      <c r="B149" t="s">
        <v>211</v>
      </c>
      <c r="C149" s="7">
        <v>353677</v>
      </c>
    </row>
    <row r="150" spans="1:3" ht="16" thickBot="1">
      <c r="A150">
        <v>219356</v>
      </c>
      <c r="B150" t="s">
        <v>212</v>
      </c>
      <c r="C150" s="7">
        <v>7900</v>
      </c>
    </row>
    <row r="151" spans="1:3" ht="16" thickBot="1">
      <c r="A151">
        <v>137351</v>
      </c>
      <c r="B151" t="s">
        <v>213</v>
      </c>
      <c r="C151" s="7">
        <v>687032</v>
      </c>
    </row>
    <row r="152" spans="1:3" ht="16" thickBot="1">
      <c r="A152">
        <v>179557</v>
      </c>
      <c r="B152" t="s">
        <v>214</v>
      </c>
      <c r="C152" s="18">
        <v>302626</v>
      </c>
    </row>
    <row r="153" spans="1:3" ht="16" thickBot="1">
      <c r="A153">
        <v>160621</v>
      </c>
      <c r="B153" t="s">
        <v>216</v>
      </c>
      <c r="C153" s="7">
        <v>9597</v>
      </c>
    </row>
    <row r="154" spans="1:3" ht="16" thickBot="1">
      <c r="A154">
        <v>149222</v>
      </c>
      <c r="B154" t="s">
        <v>217</v>
      </c>
      <c r="C154" s="7">
        <v>228901</v>
      </c>
    </row>
    <row r="155" spans="1:3" ht="16" thickBot="1">
      <c r="A155">
        <v>149231</v>
      </c>
      <c r="B155" t="s">
        <v>218</v>
      </c>
      <c r="C155" s="14">
        <v>494543</v>
      </c>
    </row>
    <row r="156" spans="1:3" ht="16" thickBot="1">
      <c r="A156">
        <v>176372</v>
      </c>
      <c r="B156" t="s">
        <v>219</v>
      </c>
      <c r="C156" s="7">
        <v>41064</v>
      </c>
    </row>
    <row r="157" spans="1:3" ht="16" thickBot="1">
      <c r="A157">
        <v>230603</v>
      </c>
      <c r="B157" t="s">
        <v>220</v>
      </c>
      <c r="C157" s="14">
        <v>543183</v>
      </c>
    </row>
    <row r="158" spans="1:3" ht="16" thickBot="1">
      <c r="A158">
        <v>228431</v>
      </c>
      <c r="B158" t="s">
        <v>221</v>
      </c>
      <c r="C158" s="7">
        <v>615280</v>
      </c>
    </row>
    <row r="159" spans="1:3" ht="16" thickBot="1">
      <c r="A159">
        <v>196097</v>
      </c>
      <c r="B159" t="s">
        <v>222</v>
      </c>
      <c r="C159" s="7">
        <v>635346</v>
      </c>
    </row>
    <row r="160" spans="1:3" ht="16" thickBot="1">
      <c r="A160">
        <v>221759</v>
      </c>
      <c r="B160" t="s">
        <v>223</v>
      </c>
      <c r="C160" s="7">
        <v>168368</v>
      </c>
    </row>
    <row r="161" spans="1:3" ht="16" thickBot="1">
      <c r="A161">
        <v>221740</v>
      </c>
      <c r="B161" t="s">
        <v>224</v>
      </c>
      <c r="C161" s="18">
        <v>667818</v>
      </c>
    </row>
    <row r="162" spans="1:3" ht="16" thickBot="1">
      <c r="A162">
        <v>221847</v>
      </c>
      <c r="B162" t="s">
        <v>227</v>
      </c>
      <c r="C162" s="6">
        <v>66827</v>
      </c>
    </row>
    <row r="163" spans="1:3" ht="16" thickBot="1">
      <c r="A163">
        <v>228778</v>
      </c>
      <c r="B163" t="s">
        <v>228</v>
      </c>
      <c r="C163" s="7">
        <v>2387687</v>
      </c>
    </row>
    <row r="164" spans="1:3" ht="16" thickBot="1">
      <c r="A164">
        <v>228723</v>
      </c>
      <c r="B164" t="s">
        <v>229</v>
      </c>
      <c r="C164" s="7">
        <v>669042</v>
      </c>
    </row>
    <row r="165" spans="1:3">
      <c r="A165">
        <v>224147</v>
      </c>
      <c r="B165" t="s">
        <v>230</v>
      </c>
      <c r="C165" s="12">
        <v>652450</v>
      </c>
    </row>
    <row r="166" spans="1:3" ht="16" thickBot="1">
      <c r="A166">
        <v>228769</v>
      </c>
      <c r="B166" t="s">
        <v>231</v>
      </c>
      <c r="C166" s="7">
        <v>37903</v>
      </c>
    </row>
    <row r="167" spans="1:3" ht="16" thickBot="1">
      <c r="A167">
        <v>229063</v>
      </c>
      <c r="B167" t="s">
        <v>232</v>
      </c>
      <c r="C167" s="7">
        <v>19485</v>
      </c>
    </row>
    <row r="168" spans="1:3" ht="16" thickBot="1">
      <c r="A168">
        <v>228459</v>
      </c>
      <c r="B168" t="s">
        <v>233</v>
      </c>
      <c r="C168" s="7">
        <v>76986</v>
      </c>
    </row>
    <row r="169" spans="1:3" ht="16" thickBot="1">
      <c r="A169">
        <v>229115</v>
      </c>
      <c r="B169" t="s">
        <v>234</v>
      </c>
      <c r="C169" s="7">
        <v>176261</v>
      </c>
    </row>
    <row r="170" spans="1:3" ht="16" thickBot="1">
      <c r="A170">
        <v>206084</v>
      </c>
      <c r="B170" t="s">
        <v>235</v>
      </c>
      <c r="C170" s="7">
        <v>27888</v>
      </c>
    </row>
    <row r="171" spans="1:3" ht="16" thickBot="1">
      <c r="A171">
        <v>164076</v>
      </c>
      <c r="B171" t="s">
        <v>236</v>
      </c>
      <c r="C171" s="7">
        <v>107282</v>
      </c>
    </row>
    <row r="172" spans="1:3" ht="16" thickBot="1">
      <c r="A172">
        <v>100663</v>
      </c>
      <c r="B172" t="s">
        <v>238</v>
      </c>
      <c r="C172" s="16">
        <v>596758</v>
      </c>
    </row>
    <row r="173" spans="1:3" ht="16" thickBot="1">
      <c r="A173">
        <v>110644</v>
      </c>
      <c r="B173" t="s">
        <v>239</v>
      </c>
      <c r="C173" s="7">
        <v>419359</v>
      </c>
    </row>
    <row r="174" spans="1:3" ht="16" thickBot="1">
      <c r="A174">
        <v>110653</v>
      </c>
      <c r="B174" t="s">
        <v>240</v>
      </c>
      <c r="C174" s="7">
        <v>65609</v>
      </c>
    </row>
    <row r="175" spans="1:3" ht="16" thickBot="1">
      <c r="A175">
        <v>110671</v>
      </c>
      <c r="B175" t="s">
        <v>241</v>
      </c>
      <c r="C175" s="7">
        <v>1181324</v>
      </c>
    </row>
    <row r="176" spans="1:3" ht="16" thickBot="1">
      <c r="A176">
        <v>110705</v>
      </c>
      <c r="B176" t="s">
        <v>242</v>
      </c>
      <c r="C176" s="7">
        <v>897062</v>
      </c>
    </row>
    <row r="177" spans="1:3" ht="16" thickBot="1">
      <c r="A177">
        <v>132903</v>
      </c>
      <c r="B177" t="s">
        <v>243</v>
      </c>
      <c r="C177" s="7">
        <v>433307</v>
      </c>
    </row>
    <row r="178" spans="1:3" ht="16" thickBot="1">
      <c r="A178">
        <v>110662</v>
      </c>
      <c r="B178" t="s">
        <v>244</v>
      </c>
      <c r="C178" s="18">
        <v>628637</v>
      </c>
    </row>
    <row r="179" spans="1:3" ht="16" thickBot="1">
      <c r="A179">
        <v>182281</v>
      </c>
      <c r="B179" t="s">
        <v>245</v>
      </c>
      <c r="C179" s="7">
        <v>109550</v>
      </c>
    </row>
    <row r="180" spans="1:3" ht="16" thickBot="1">
      <c r="A180">
        <v>230764</v>
      </c>
      <c r="B180" t="s">
        <v>246</v>
      </c>
      <c r="C180" s="7">
        <v>344809</v>
      </c>
    </row>
    <row r="181" spans="1:3" ht="16" thickBot="1">
      <c r="A181">
        <v>230728</v>
      </c>
      <c r="B181" t="s">
        <v>247</v>
      </c>
      <c r="C181" s="7">
        <v>372583</v>
      </c>
    </row>
    <row r="182" spans="1:3" ht="16" thickBot="1">
      <c r="A182">
        <v>230737</v>
      </c>
      <c r="B182" t="s">
        <v>248</v>
      </c>
      <c r="C182" s="7">
        <v>2000</v>
      </c>
    </row>
    <row r="183" spans="1:3" ht="16" thickBot="1">
      <c r="A183">
        <v>230737</v>
      </c>
      <c r="B183" t="s">
        <v>248</v>
      </c>
      <c r="C183" s="18">
        <v>2000</v>
      </c>
    </row>
    <row r="184" spans="1:3">
      <c r="A184">
        <v>228796</v>
      </c>
      <c r="B184" t="s">
        <v>249</v>
      </c>
      <c r="C184">
        <v>1315339</v>
      </c>
    </row>
    <row r="185" spans="1:3">
      <c r="A185">
        <v>227368</v>
      </c>
      <c r="B185" t="s">
        <v>250</v>
      </c>
      <c r="C185">
        <v>153852</v>
      </c>
    </row>
    <row r="186" spans="1:3">
      <c r="A186">
        <v>229027</v>
      </c>
      <c r="B186" t="s">
        <v>251</v>
      </c>
      <c r="C186">
        <v>121966</v>
      </c>
    </row>
    <row r="187" spans="1:3">
      <c r="A187">
        <v>234030</v>
      </c>
      <c r="B187" t="s">
        <v>252</v>
      </c>
      <c r="C187" s="22">
        <v>5251</v>
      </c>
    </row>
    <row r="188" spans="1:3">
      <c r="A188">
        <v>234076</v>
      </c>
      <c r="B188" t="s">
        <v>254</v>
      </c>
      <c r="C188">
        <v>934733</v>
      </c>
    </row>
    <row r="189" spans="1:3">
      <c r="A189">
        <v>234076</v>
      </c>
      <c r="B189" t="s">
        <v>254</v>
      </c>
      <c r="C189">
        <v>934733</v>
      </c>
    </row>
    <row r="190" spans="1:3">
      <c r="A190">
        <v>233921</v>
      </c>
      <c r="B190" t="s">
        <v>255</v>
      </c>
      <c r="C190">
        <v>676246</v>
      </c>
    </row>
    <row r="191" spans="1:3">
      <c r="A191">
        <v>233921</v>
      </c>
      <c r="B191" t="s">
        <v>255</v>
      </c>
      <c r="C191">
        <v>676246</v>
      </c>
    </row>
    <row r="192" spans="1:3">
      <c r="A192">
        <v>236948</v>
      </c>
      <c r="B192" t="s">
        <v>257</v>
      </c>
      <c r="C192" s="23">
        <v>841989</v>
      </c>
    </row>
    <row r="193" spans="1:3">
      <c r="A193">
        <v>236939</v>
      </c>
      <c r="B193" t="s">
        <v>258</v>
      </c>
      <c r="C193">
        <v>956272</v>
      </c>
    </row>
    <row r="194" spans="1:3">
      <c r="A194">
        <v>230782</v>
      </c>
      <c r="B194" t="s">
        <v>259</v>
      </c>
      <c r="C194">
        <v>392447</v>
      </c>
    </row>
    <row r="195" spans="1:3">
      <c r="A195">
        <v>238032</v>
      </c>
      <c r="B195" t="s">
        <v>260</v>
      </c>
      <c r="C195">
        <v>299826</v>
      </c>
    </row>
    <row r="196" spans="1:3">
      <c r="A196">
        <v>200004</v>
      </c>
      <c r="B196" t="s">
        <v>261</v>
      </c>
      <c r="C196">
        <v>35860</v>
      </c>
    </row>
    <row r="197" spans="1:3">
      <c r="A197">
        <v>149772</v>
      </c>
      <c r="B197" t="s">
        <v>262</v>
      </c>
      <c r="C197">
        <v>311032</v>
      </c>
    </row>
    <row r="198" spans="1:3">
      <c r="A198">
        <v>157951</v>
      </c>
      <c r="B198" t="s">
        <v>263</v>
      </c>
      <c r="C198">
        <v>983740</v>
      </c>
    </row>
    <row r="199" spans="1:3">
      <c r="A199">
        <v>157951</v>
      </c>
      <c r="B199" t="s">
        <v>263</v>
      </c>
      <c r="C199">
        <v>983740</v>
      </c>
    </row>
    <row r="200" spans="1:3">
      <c r="A200">
        <v>172699</v>
      </c>
      <c r="B200" t="s">
        <v>264</v>
      </c>
      <c r="C200">
        <v>193571</v>
      </c>
    </row>
    <row r="201" spans="1:3">
      <c r="A201">
        <v>172699</v>
      </c>
      <c r="B201" t="s">
        <v>264</v>
      </c>
      <c r="C201">
        <v>193571</v>
      </c>
    </row>
    <row r="202" spans="1:3">
      <c r="A202">
        <v>156125</v>
      </c>
      <c r="B202" t="s">
        <v>265</v>
      </c>
      <c r="C202" s="23">
        <v>376457</v>
      </c>
    </row>
    <row r="203" spans="1:3">
      <c r="A203">
        <v>231624</v>
      </c>
      <c r="B203" t="s">
        <v>266</v>
      </c>
      <c r="C203" s="22">
        <v>212899</v>
      </c>
    </row>
    <row r="204" spans="1:3">
      <c r="A204">
        <v>218964</v>
      </c>
      <c r="B204" t="s">
        <v>267</v>
      </c>
      <c r="C204">
        <v>672012</v>
      </c>
    </row>
    <row r="205" spans="1:3">
      <c r="A205">
        <v>240444</v>
      </c>
      <c r="B205" t="s">
        <v>268</v>
      </c>
      <c r="C205">
        <v>2584626</v>
      </c>
    </row>
    <row r="206" spans="1:3">
      <c r="A206">
        <v>240277</v>
      </c>
      <c r="B206" t="s">
        <v>269</v>
      </c>
      <c r="C206">
        <v>279244</v>
      </c>
    </row>
    <row r="207" spans="1:3">
      <c r="A207">
        <v>240453</v>
      </c>
      <c r="B207" t="s">
        <v>270</v>
      </c>
      <c r="C207" s="12">
        <v>250502</v>
      </c>
    </row>
    <row r="208" spans="1:3">
      <c r="A208">
        <v>206604</v>
      </c>
      <c r="B208" t="s">
        <v>271</v>
      </c>
      <c r="C208">
        <v>666980</v>
      </c>
    </row>
    <row r="209" spans="1:3">
      <c r="A209">
        <v>240727</v>
      </c>
      <c r="B209" t="s">
        <v>272</v>
      </c>
      <c r="C209">
        <v>640910</v>
      </c>
    </row>
    <row r="210" spans="1:3">
      <c r="A210">
        <v>206695</v>
      </c>
      <c r="B210" t="s">
        <v>273</v>
      </c>
      <c r="C210">
        <v>101494</v>
      </c>
    </row>
    <row r="215" spans="1:3" ht="16" thickBot="1">
      <c r="C215" s="16"/>
    </row>
    <row r="216" spans="1:3" ht="16" thickBot="1">
      <c r="C216" s="7"/>
    </row>
    <row r="217" spans="1:3" ht="16" thickBot="1">
      <c r="C217" s="16"/>
    </row>
    <row r="218" spans="1:3" ht="16" thickBot="1">
      <c r="C218" s="7"/>
    </row>
    <row r="219" spans="1:3" ht="16" thickBot="1">
      <c r="C219" s="24"/>
    </row>
    <row r="220" spans="1:3" ht="16" thickBot="1">
      <c r="C220" s="7"/>
    </row>
    <row r="221" spans="1:3" ht="16" thickBot="1">
      <c r="C221" s="7"/>
    </row>
    <row r="222" spans="1:3" ht="16" thickBot="1">
      <c r="C222" s="7"/>
    </row>
    <row r="223" spans="1:3" ht="16" thickBot="1">
      <c r="C223" s="7"/>
    </row>
    <row r="224" spans="1:3" ht="16" thickBot="1">
      <c r="C224" s="7"/>
    </row>
    <row r="225" spans="3:3" ht="16" thickBot="1">
      <c r="C225" s="18"/>
    </row>
    <row r="226" spans="3:3" ht="16" thickBot="1">
      <c r="C226" s="18"/>
    </row>
    <row r="228" spans="3:3" ht="16" thickBot="1">
      <c r="C228" s="6"/>
    </row>
    <row r="229" spans="3:3" ht="16" thickBot="1">
      <c r="C229" s="24"/>
    </row>
    <row r="230" spans="3:3" ht="16" thickBot="1">
      <c r="C230" s="7"/>
    </row>
    <row r="231" spans="3:3" ht="16" thickBot="1">
      <c r="C231" s="6"/>
    </row>
    <row r="232" spans="3:3" ht="16" thickBot="1">
      <c r="C232" s="6"/>
    </row>
    <row r="233" spans="3:3" ht="16" thickBot="1">
      <c r="C233" s="7"/>
    </row>
    <row r="234" spans="3:3" ht="16" thickBot="1">
      <c r="C234" s="7"/>
    </row>
    <row r="235" spans="3:3" ht="16" thickBot="1">
      <c r="C235" s="6"/>
    </row>
    <row r="236" spans="3:3" ht="16" thickBot="1">
      <c r="C236" s="24"/>
    </row>
    <row r="237" spans="3:3" ht="16" thickBot="1">
      <c r="C237" s="7"/>
    </row>
    <row r="238" spans="3:3">
      <c r="C238" s="25"/>
    </row>
    <row r="239" spans="3:3" ht="16" thickBot="1">
      <c r="C239" s="17"/>
    </row>
    <row r="240" spans="3:3" ht="16" thickBot="1">
      <c r="C240" s="7"/>
    </row>
    <row r="241" spans="3:3" ht="16" thickBot="1">
      <c r="C241" s="7"/>
    </row>
    <row r="242" spans="3:3" ht="16" thickBot="1">
      <c r="C242" s="7"/>
    </row>
    <row r="243" spans="3:3" ht="16" thickBot="1">
      <c r="C243" s="7"/>
    </row>
    <row r="244" spans="3:3" ht="16" thickBot="1">
      <c r="C244" s="7"/>
    </row>
    <row r="245" spans="3:3" ht="16" thickBot="1">
      <c r="C245" s="7"/>
    </row>
    <row r="246" spans="3:3" ht="16" thickBot="1">
      <c r="C246" s="17"/>
    </row>
    <row r="247" spans="3:3" ht="16" thickBot="1">
      <c r="C247" s="7"/>
    </row>
    <row r="248" spans="3:3" ht="16" thickBot="1">
      <c r="C248" s="7"/>
    </row>
    <row r="249" spans="3:3" ht="16" thickBot="1">
      <c r="C249" s="24"/>
    </row>
    <row r="250" spans="3:3" ht="16" thickBot="1">
      <c r="C250" s="7"/>
    </row>
    <row r="251" spans="3:3" ht="16" thickBot="1">
      <c r="C251" s="24"/>
    </row>
    <row r="252" spans="3:3">
      <c r="C252" s="12"/>
    </row>
    <row r="253" spans="3:3" ht="16" thickBot="1">
      <c r="C253" s="7"/>
    </row>
    <row r="254" spans="3:3" ht="16" thickBot="1">
      <c r="C254" s="17"/>
    </row>
    <row r="255" spans="3:3" ht="16" thickBot="1">
      <c r="C255" s="6"/>
    </row>
    <row r="256" spans="3:3" ht="16" thickBot="1">
      <c r="C256" s="7"/>
    </row>
    <row r="257" spans="3:3" ht="16" thickBot="1">
      <c r="C257" s="7"/>
    </row>
    <row r="258" spans="3:3" ht="16" thickBot="1">
      <c r="C258" s="7"/>
    </row>
    <row r="259" spans="3:3" ht="16" thickBot="1">
      <c r="C259" s="7"/>
    </row>
    <row r="260" spans="3:3" ht="16" thickBot="1">
      <c r="C260" s="7"/>
    </row>
    <row r="261" spans="3:3" ht="16" thickBot="1">
      <c r="C261" s="7"/>
    </row>
    <row r="262" spans="3:3" ht="16" thickBot="1">
      <c r="C262" s="7"/>
    </row>
    <row r="263" spans="3:3" ht="16" thickBot="1">
      <c r="C263" s="7"/>
    </row>
    <row r="264" spans="3:3" ht="16" thickBot="1">
      <c r="C264" s="7"/>
    </row>
    <row r="266" spans="3:3" ht="16" thickBot="1">
      <c r="C266" s="7"/>
    </row>
    <row r="267" spans="3:3" ht="16" thickBot="1">
      <c r="C267" s="14"/>
    </row>
    <row r="268" spans="3:3" ht="16" thickBot="1">
      <c r="C268" s="17"/>
    </row>
    <row r="269" spans="3:3" ht="16" thickBot="1">
      <c r="C269" s="7"/>
    </row>
    <row r="270" spans="3:3" ht="16" thickBot="1">
      <c r="C270" s="17"/>
    </row>
    <row r="271" spans="3:3" ht="16" thickBot="1">
      <c r="C271" s="7"/>
    </row>
    <row r="272" spans="3:3" ht="16" thickBot="1">
      <c r="C272" s="7"/>
    </row>
    <row r="273" spans="3:3" ht="16" thickBot="1">
      <c r="C273" s="7"/>
    </row>
    <row r="274" spans="3:3" ht="16" thickBot="1">
      <c r="C274" s="7"/>
    </row>
    <row r="275" spans="3:3" ht="16" thickBot="1">
      <c r="C275" s="17"/>
    </row>
    <row r="276" spans="3:3" ht="16" thickBot="1">
      <c r="C276" s="7"/>
    </row>
    <row r="277" spans="3:3" ht="16" thickBot="1">
      <c r="C27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7D86-FBDA-46F3-8A1B-B9DC0E244C72}">
  <sheetPr>
    <tabColor theme="0"/>
  </sheetPr>
  <dimension ref="A1:C270"/>
  <sheetViews>
    <sheetView workbookViewId="0"/>
  </sheetViews>
  <sheetFormatPr baseColWidth="10" defaultColWidth="11.5" defaultRowHeight="15"/>
  <cols>
    <col min="2" max="2" width="18.6640625" customWidth="1"/>
  </cols>
  <sheetData>
    <row r="1" spans="1:3">
      <c r="A1" t="s">
        <v>46</v>
      </c>
      <c r="B1" t="s">
        <v>0</v>
      </c>
      <c r="C1" t="s">
        <v>277</v>
      </c>
    </row>
    <row r="2" spans="1:3" ht="16" thickBot="1">
      <c r="A2">
        <v>200800</v>
      </c>
      <c r="B2" t="s">
        <v>48</v>
      </c>
      <c r="C2" s="7">
        <v>39575</v>
      </c>
    </row>
    <row r="3" spans="1:3" ht="16" thickBot="1">
      <c r="A3">
        <v>100751</v>
      </c>
      <c r="B3" t="s">
        <v>49</v>
      </c>
      <c r="C3" s="18">
        <v>696957</v>
      </c>
    </row>
    <row r="4" spans="1:3" ht="16" thickBot="1">
      <c r="A4">
        <v>196060</v>
      </c>
      <c r="B4" t="s">
        <v>52</v>
      </c>
      <c r="C4" s="7">
        <v>163592</v>
      </c>
    </row>
    <row r="5" spans="1:3" ht="16" thickBot="1">
      <c r="A5">
        <v>197869</v>
      </c>
      <c r="B5" t="s">
        <v>54</v>
      </c>
      <c r="C5" s="18">
        <v>20359</v>
      </c>
    </row>
    <row r="6" spans="1:3" ht="16" thickBot="1">
      <c r="A6">
        <v>104179</v>
      </c>
      <c r="B6" t="s">
        <v>55</v>
      </c>
      <c r="C6" s="18">
        <v>574321</v>
      </c>
    </row>
    <row r="7" spans="1:3" ht="16" thickBot="1">
      <c r="A7">
        <v>104151</v>
      </c>
      <c r="B7" t="s">
        <v>56</v>
      </c>
      <c r="C7" s="26">
        <v>265602</v>
      </c>
    </row>
    <row r="8" spans="1:3" ht="16" thickBot="1">
      <c r="A8">
        <v>106397</v>
      </c>
      <c r="B8" t="s">
        <v>57</v>
      </c>
      <c r="C8" s="18">
        <v>116915</v>
      </c>
    </row>
    <row r="9" spans="1:3" ht="17" thickBot="1">
      <c r="A9">
        <v>106245</v>
      </c>
      <c r="B9" t="s">
        <v>58</v>
      </c>
      <c r="C9" s="8">
        <v>150262</v>
      </c>
    </row>
    <row r="10" spans="1:3" ht="16" thickBot="1">
      <c r="A10">
        <v>106412</v>
      </c>
      <c r="B10" t="s">
        <v>59</v>
      </c>
      <c r="C10" s="17"/>
    </row>
    <row r="11" spans="1:3" ht="16" thickBot="1">
      <c r="A11">
        <v>106458</v>
      </c>
      <c r="B11" t="s">
        <v>60</v>
      </c>
      <c r="C11" s="27">
        <v>314732</v>
      </c>
    </row>
    <row r="12" spans="1:3" ht="16" thickBot="1">
      <c r="A12">
        <v>500001</v>
      </c>
      <c r="B12" t="s">
        <v>61</v>
      </c>
      <c r="C12" s="18">
        <v>515232</v>
      </c>
    </row>
    <row r="13" spans="1:3" ht="16" thickBot="1">
      <c r="A13">
        <v>100858</v>
      </c>
      <c r="B13" t="s">
        <v>62</v>
      </c>
      <c r="C13" s="18">
        <v>112977</v>
      </c>
    </row>
    <row r="14" spans="1:3">
      <c r="A14">
        <v>219602</v>
      </c>
      <c r="B14" t="s">
        <v>63</v>
      </c>
      <c r="C14" s="23">
        <v>22251</v>
      </c>
    </row>
    <row r="15" spans="1:3" ht="16" thickBot="1">
      <c r="A15">
        <v>150136</v>
      </c>
      <c r="B15" t="s">
        <v>64</v>
      </c>
      <c r="C15" s="7">
        <v>146004</v>
      </c>
    </row>
    <row r="16" spans="1:3" ht="16" thickBot="1">
      <c r="A16">
        <v>196079</v>
      </c>
      <c r="B16" t="s">
        <v>65</v>
      </c>
      <c r="C16" s="7">
        <v>600733</v>
      </c>
    </row>
    <row r="17" spans="1:3" ht="16" thickBot="1">
      <c r="A17">
        <v>142115</v>
      </c>
      <c r="B17" t="s">
        <v>66</v>
      </c>
      <c r="C17" s="18">
        <v>584155</v>
      </c>
    </row>
    <row r="18" spans="1:3" ht="16" thickBot="1">
      <c r="A18">
        <v>201441</v>
      </c>
      <c r="B18" t="s">
        <v>67</v>
      </c>
      <c r="C18" s="18">
        <v>33453</v>
      </c>
    </row>
    <row r="19" spans="1:3" ht="16" thickBot="1">
      <c r="A19">
        <v>196088</v>
      </c>
      <c r="B19" t="s">
        <v>68</v>
      </c>
      <c r="C19" s="18">
        <v>948949</v>
      </c>
    </row>
    <row r="20" spans="1:3" ht="16" thickBot="1">
      <c r="A20">
        <v>110422</v>
      </c>
      <c r="B20" t="s">
        <v>69</v>
      </c>
      <c r="C20" s="7">
        <v>107438</v>
      </c>
    </row>
    <row r="21" spans="1:3" ht="16" thickBot="1">
      <c r="A21">
        <v>110486</v>
      </c>
      <c r="B21" t="s">
        <v>70</v>
      </c>
      <c r="C21" s="7">
        <v>60221</v>
      </c>
    </row>
    <row r="22" spans="1:3" ht="16" thickBot="1">
      <c r="A22">
        <v>110565</v>
      </c>
      <c r="B22" t="s">
        <v>71</v>
      </c>
      <c r="C22" s="7">
        <v>746763</v>
      </c>
    </row>
    <row r="23" spans="1:3" ht="16" thickBot="1">
      <c r="A23">
        <v>110608</v>
      </c>
      <c r="B23" t="s">
        <v>72</v>
      </c>
      <c r="C23" s="7">
        <v>44990</v>
      </c>
    </row>
    <row r="24" spans="1:3" ht="16" thickBot="1">
      <c r="A24">
        <v>110635</v>
      </c>
      <c r="B24" t="s">
        <v>73</v>
      </c>
      <c r="C24" s="18">
        <v>111908</v>
      </c>
    </row>
    <row r="25" spans="1:3">
      <c r="A25">
        <v>106704</v>
      </c>
      <c r="B25" t="s">
        <v>74</v>
      </c>
      <c r="C25">
        <v>524897</v>
      </c>
    </row>
    <row r="26" spans="1:3" ht="16" thickBot="1">
      <c r="A26">
        <v>128771</v>
      </c>
      <c r="B26" t="s">
        <v>75</v>
      </c>
      <c r="C26" s="7">
        <v>791424</v>
      </c>
    </row>
    <row r="27" spans="1:3" ht="16" thickBot="1">
      <c r="A27">
        <v>169248</v>
      </c>
      <c r="B27" t="s">
        <v>76</v>
      </c>
      <c r="C27" s="18">
        <v>39831</v>
      </c>
    </row>
    <row r="28" spans="1:3" ht="16" thickBot="1">
      <c r="A28">
        <v>199139</v>
      </c>
      <c r="B28" t="s">
        <v>77</v>
      </c>
      <c r="C28" s="18">
        <v>871864</v>
      </c>
    </row>
    <row r="29" spans="1:3" ht="16" thickBot="1">
      <c r="A29">
        <v>144005</v>
      </c>
      <c r="B29" t="s">
        <v>78</v>
      </c>
      <c r="C29" s="7">
        <v>27800</v>
      </c>
    </row>
    <row r="30" spans="1:3" ht="16" thickBot="1">
      <c r="A30">
        <v>201885</v>
      </c>
      <c r="B30" t="s">
        <v>79</v>
      </c>
      <c r="C30" s="18">
        <v>92839</v>
      </c>
    </row>
    <row r="31" spans="1:3" ht="16" thickBot="1">
      <c r="A31">
        <v>217864</v>
      </c>
      <c r="B31" t="s">
        <v>80</v>
      </c>
      <c r="C31" s="18">
        <v>622682</v>
      </c>
    </row>
    <row r="32" spans="1:3" ht="16" thickBot="1">
      <c r="A32">
        <v>217882</v>
      </c>
      <c r="B32" t="s">
        <v>81</v>
      </c>
      <c r="C32" s="18">
        <v>1060982</v>
      </c>
    </row>
    <row r="33" spans="1:3" ht="16" thickBot="1">
      <c r="A33">
        <v>202134</v>
      </c>
      <c r="B33" t="s">
        <v>82</v>
      </c>
      <c r="C33" s="7">
        <v>616956</v>
      </c>
    </row>
    <row r="34" spans="1:3" ht="16" thickBot="1">
      <c r="A34">
        <v>218724</v>
      </c>
      <c r="B34" t="s">
        <v>83</v>
      </c>
      <c r="C34" s="18">
        <v>1342848</v>
      </c>
    </row>
    <row r="35" spans="1:3" ht="16" thickBot="1">
      <c r="A35">
        <v>217819</v>
      </c>
      <c r="B35" t="s">
        <v>84</v>
      </c>
      <c r="C35" s="7">
        <v>63126</v>
      </c>
    </row>
    <row r="36" spans="1:3" ht="16" thickBot="1">
      <c r="A36">
        <v>126614</v>
      </c>
      <c r="B36" t="s">
        <v>85</v>
      </c>
      <c r="C36" s="18">
        <v>634684</v>
      </c>
    </row>
    <row r="37" spans="1:3" ht="16" thickBot="1">
      <c r="A37">
        <v>126818</v>
      </c>
      <c r="B37" t="s">
        <v>86</v>
      </c>
      <c r="C37" s="18">
        <v>880074</v>
      </c>
    </row>
    <row r="38" spans="1:3" ht="16" thickBot="1">
      <c r="A38">
        <v>129020</v>
      </c>
      <c r="B38" t="s">
        <v>87</v>
      </c>
      <c r="C38" s="18">
        <v>27959</v>
      </c>
    </row>
    <row r="39" spans="1:3">
      <c r="A39">
        <v>162283</v>
      </c>
      <c r="B39" t="s">
        <v>88</v>
      </c>
      <c r="C39" s="23">
        <v>40232</v>
      </c>
    </row>
    <row r="40" spans="1:3" ht="16" thickBot="1">
      <c r="A40">
        <v>198464</v>
      </c>
      <c r="B40" t="s">
        <v>89</v>
      </c>
      <c r="C40" s="18">
        <v>39674</v>
      </c>
    </row>
    <row r="41" spans="1:3" ht="16" thickBot="1">
      <c r="A41">
        <v>144892</v>
      </c>
      <c r="B41" t="s">
        <v>91</v>
      </c>
      <c r="C41" s="7">
        <v>211128</v>
      </c>
    </row>
    <row r="42" spans="1:3" ht="16" thickBot="1">
      <c r="A42">
        <v>156620</v>
      </c>
      <c r="B42" t="s">
        <v>92</v>
      </c>
      <c r="C42" s="7">
        <v>617313</v>
      </c>
    </row>
    <row r="43" spans="1:3" ht="16" thickBot="1">
      <c r="A43">
        <v>169798</v>
      </c>
      <c r="B43" t="s">
        <v>93</v>
      </c>
      <c r="C43" s="18">
        <v>829158</v>
      </c>
    </row>
    <row r="44" spans="1:3" ht="16" thickBot="1">
      <c r="A44">
        <v>235097</v>
      </c>
      <c r="B44" t="s">
        <v>94</v>
      </c>
      <c r="C44" s="7">
        <v>647742</v>
      </c>
    </row>
    <row r="45" spans="1:3" ht="16" thickBot="1">
      <c r="A45">
        <v>134130</v>
      </c>
      <c r="B45" t="s">
        <v>95</v>
      </c>
      <c r="C45" s="18">
        <v>659227</v>
      </c>
    </row>
    <row r="46" spans="1:3" ht="16" thickBot="1">
      <c r="A46">
        <v>133669</v>
      </c>
      <c r="B46" t="s">
        <v>96</v>
      </c>
      <c r="C46" s="18">
        <v>3107</v>
      </c>
    </row>
    <row r="47" spans="1:3" ht="16" thickBot="1">
      <c r="A47">
        <v>433660</v>
      </c>
      <c r="B47" t="s">
        <v>97</v>
      </c>
      <c r="C47" s="7">
        <v>155997</v>
      </c>
    </row>
    <row r="48" spans="1:3" ht="16" thickBot="1">
      <c r="A48">
        <v>133951</v>
      </c>
      <c r="B48" t="s">
        <v>98</v>
      </c>
      <c r="C48" s="17"/>
    </row>
    <row r="49" spans="1:3" ht="16" thickBot="1">
      <c r="A49">
        <v>134097</v>
      </c>
      <c r="B49" t="s">
        <v>99</v>
      </c>
      <c r="C49" s="18">
        <v>1471982</v>
      </c>
    </row>
    <row r="50" spans="1:3" ht="16" thickBot="1">
      <c r="A50">
        <v>110556</v>
      </c>
      <c r="B50" t="s">
        <v>100</v>
      </c>
      <c r="C50" s="18">
        <v>458562</v>
      </c>
    </row>
    <row r="51" spans="1:3" ht="16" thickBot="1">
      <c r="A51">
        <v>139959</v>
      </c>
      <c r="B51" t="s">
        <v>102</v>
      </c>
      <c r="C51" s="18">
        <v>76111</v>
      </c>
    </row>
    <row r="52" spans="1:3">
      <c r="A52">
        <v>139931</v>
      </c>
      <c r="B52" t="s">
        <v>103</v>
      </c>
      <c r="C52" s="23">
        <v>105572</v>
      </c>
    </row>
    <row r="53" spans="1:3" ht="16" thickBot="1">
      <c r="A53">
        <v>139940</v>
      </c>
      <c r="B53" t="s">
        <v>104</v>
      </c>
      <c r="C53" s="7">
        <v>245794</v>
      </c>
    </row>
    <row r="54" spans="1:3" ht="16" thickBot="1">
      <c r="A54">
        <v>139755</v>
      </c>
      <c r="B54" t="s">
        <v>105</v>
      </c>
      <c r="C54" s="7">
        <v>273832</v>
      </c>
    </row>
    <row r="55" spans="1:3" ht="16" thickBot="1">
      <c r="A55">
        <v>159009</v>
      </c>
      <c r="B55" t="s">
        <v>106</v>
      </c>
      <c r="C55" s="7">
        <v>3000</v>
      </c>
    </row>
    <row r="56" spans="1:3" ht="16" thickBot="1">
      <c r="A56">
        <v>141574</v>
      </c>
      <c r="B56" t="s">
        <v>107</v>
      </c>
      <c r="C56" s="18">
        <v>1529511</v>
      </c>
    </row>
    <row r="57" spans="1:3" ht="16" thickBot="1">
      <c r="A57">
        <v>225511</v>
      </c>
      <c r="B57" t="s">
        <v>108</v>
      </c>
      <c r="C57" s="7">
        <v>14485</v>
      </c>
    </row>
    <row r="58" spans="1:3" ht="16" thickBot="1">
      <c r="A58">
        <v>142285</v>
      </c>
      <c r="B58" t="s">
        <v>109</v>
      </c>
      <c r="C58" s="7">
        <v>773743</v>
      </c>
    </row>
    <row r="59" spans="1:3" ht="16" thickBot="1">
      <c r="A59">
        <v>142276</v>
      </c>
      <c r="B59" t="s">
        <v>110</v>
      </c>
      <c r="C59" s="7">
        <v>394228</v>
      </c>
    </row>
    <row r="60" spans="1:3" ht="16" thickBot="1">
      <c r="A60">
        <v>145637</v>
      </c>
      <c r="B60" t="s">
        <v>111</v>
      </c>
      <c r="C60" s="7">
        <v>587156</v>
      </c>
    </row>
    <row r="61" spans="1:3" ht="16" thickBot="1">
      <c r="A61">
        <v>145600</v>
      </c>
      <c r="B61" t="s">
        <v>112</v>
      </c>
      <c r="C61" s="18">
        <v>494417</v>
      </c>
    </row>
    <row r="62" spans="1:3" ht="16" thickBot="1">
      <c r="A62">
        <v>145813</v>
      </c>
      <c r="B62" t="s">
        <v>113</v>
      </c>
      <c r="C62" s="7">
        <v>338927</v>
      </c>
    </row>
    <row r="63" spans="1:3" ht="16" thickBot="1">
      <c r="A63">
        <v>151351</v>
      </c>
      <c r="B63" t="s">
        <v>114</v>
      </c>
      <c r="C63" s="7">
        <v>80563</v>
      </c>
    </row>
    <row r="64" spans="1:3" ht="16" thickBot="1">
      <c r="A64">
        <v>151324</v>
      </c>
      <c r="B64" t="s">
        <v>115</v>
      </c>
      <c r="C64" s="18">
        <v>541159</v>
      </c>
    </row>
    <row r="65" spans="1:3">
      <c r="A65">
        <v>153658</v>
      </c>
      <c r="B65" t="s">
        <v>116</v>
      </c>
      <c r="C65">
        <v>255233</v>
      </c>
    </row>
    <row r="66" spans="1:3" ht="16" thickBot="1">
      <c r="A66">
        <v>153603</v>
      </c>
      <c r="B66" t="s">
        <v>117</v>
      </c>
      <c r="C66" s="7">
        <v>257596</v>
      </c>
    </row>
    <row r="67" spans="1:3" ht="16" thickBot="1">
      <c r="A67">
        <v>151111</v>
      </c>
      <c r="B67" t="s">
        <v>118</v>
      </c>
      <c r="C67" s="7">
        <v>5565</v>
      </c>
    </row>
    <row r="68" spans="1:3" ht="16" thickBot="1">
      <c r="A68">
        <v>232423</v>
      </c>
      <c r="B68" t="s">
        <v>121</v>
      </c>
      <c r="C68" s="18">
        <v>63344</v>
      </c>
    </row>
    <row r="69" spans="1:3" ht="16" thickBot="1">
      <c r="A69">
        <v>155317</v>
      </c>
      <c r="B69" t="s">
        <v>122</v>
      </c>
      <c r="C69" s="7">
        <v>109813</v>
      </c>
    </row>
    <row r="70" spans="1:3" ht="16" thickBot="1">
      <c r="A70">
        <v>155399</v>
      </c>
      <c r="B70" t="s">
        <v>123</v>
      </c>
      <c r="C70" s="7">
        <v>62108</v>
      </c>
    </row>
    <row r="71" spans="1:3" ht="16" thickBot="1">
      <c r="A71">
        <v>486840</v>
      </c>
      <c r="B71" t="s">
        <v>279</v>
      </c>
      <c r="C71" s="7">
        <v>114895</v>
      </c>
    </row>
    <row r="72" spans="1:3" ht="16" thickBot="1">
      <c r="A72">
        <v>203517</v>
      </c>
      <c r="B72" t="s">
        <v>125</v>
      </c>
      <c r="C72" s="7">
        <v>111298</v>
      </c>
    </row>
    <row r="73" spans="1:3" ht="16" thickBot="1">
      <c r="A73">
        <v>157085</v>
      </c>
      <c r="B73" t="s">
        <v>126</v>
      </c>
      <c r="C73" s="7">
        <v>385345</v>
      </c>
    </row>
    <row r="74" spans="1:3" ht="16" thickBot="1">
      <c r="A74">
        <v>226091</v>
      </c>
      <c r="B74" t="s">
        <v>127</v>
      </c>
      <c r="C74" s="7">
        <v>568402</v>
      </c>
    </row>
    <row r="75" spans="1:3" ht="16" thickBot="1">
      <c r="A75">
        <v>110583</v>
      </c>
      <c r="B75" t="s">
        <v>128</v>
      </c>
      <c r="C75" s="18">
        <v>834366</v>
      </c>
    </row>
    <row r="76" spans="1:3" ht="16" thickBot="1">
      <c r="A76">
        <v>160658</v>
      </c>
      <c r="B76" t="s">
        <v>280</v>
      </c>
      <c r="C76" s="7">
        <v>151113</v>
      </c>
    </row>
    <row r="77" spans="1:3" ht="16" thickBot="1">
      <c r="A77">
        <v>159993</v>
      </c>
      <c r="B77" t="s">
        <v>131</v>
      </c>
      <c r="C77" s="7">
        <v>29007</v>
      </c>
    </row>
    <row r="78" spans="1:3" ht="16" thickBot="1">
      <c r="A78">
        <v>159647</v>
      </c>
      <c r="B78" t="s">
        <v>132</v>
      </c>
      <c r="C78" s="7">
        <v>740306</v>
      </c>
    </row>
    <row r="79" spans="1:3" ht="16" thickBot="1">
      <c r="A79">
        <v>157289</v>
      </c>
      <c r="B79" t="s">
        <v>133</v>
      </c>
      <c r="C79" s="7">
        <v>203764</v>
      </c>
    </row>
    <row r="80" spans="1:3" ht="16" thickBot="1">
      <c r="A80">
        <v>159391</v>
      </c>
      <c r="B80" t="s">
        <v>134</v>
      </c>
      <c r="C80" s="7">
        <v>59952</v>
      </c>
    </row>
    <row r="81" spans="1:3">
      <c r="A81">
        <v>237525</v>
      </c>
      <c r="B81" t="s">
        <v>136</v>
      </c>
      <c r="C81">
        <v>564513</v>
      </c>
    </row>
    <row r="82" spans="1:3" ht="16" thickBot="1">
      <c r="A82">
        <v>163286</v>
      </c>
      <c r="B82" t="s">
        <v>137</v>
      </c>
      <c r="C82" s="7">
        <v>729956</v>
      </c>
    </row>
    <row r="83" spans="1:3" ht="16" thickBot="1">
      <c r="A83">
        <v>163268</v>
      </c>
      <c r="B83" t="s">
        <v>138</v>
      </c>
      <c r="C83" s="7">
        <v>12630</v>
      </c>
    </row>
    <row r="84" spans="1:3" ht="16" thickBot="1">
      <c r="A84">
        <v>163338</v>
      </c>
      <c r="B84" t="s">
        <v>139</v>
      </c>
      <c r="C84" s="7">
        <v>225389</v>
      </c>
    </row>
    <row r="85" spans="1:3" ht="16" thickBot="1">
      <c r="A85">
        <v>159717</v>
      </c>
      <c r="B85" t="s">
        <v>142</v>
      </c>
      <c r="C85" s="7">
        <v>507618</v>
      </c>
    </row>
    <row r="86" spans="1:3" ht="16" thickBot="1">
      <c r="A86">
        <v>204024</v>
      </c>
      <c r="B86" t="s">
        <v>144</v>
      </c>
      <c r="C86" s="7">
        <v>1088140</v>
      </c>
    </row>
    <row r="87" spans="1:3" ht="16" thickBot="1">
      <c r="A87">
        <v>170976</v>
      </c>
      <c r="B87" t="s">
        <v>145</v>
      </c>
      <c r="C87" s="7">
        <v>180601</v>
      </c>
    </row>
    <row r="88" spans="1:3" ht="16" thickBot="1">
      <c r="A88">
        <v>171100</v>
      </c>
      <c r="B88" t="s">
        <v>146</v>
      </c>
      <c r="C88" s="7">
        <v>723521</v>
      </c>
    </row>
    <row r="89" spans="1:3" ht="17" thickBot="1">
      <c r="A89">
        <v>220978</v>
      </c>
      <c r="B89" t="s">
        <v>147</v>
      </c>
      <c r="C89" s="8">
        <v>1128262</v>
      </c>
    </row>
    <row r="90" spans="1:3" ht="16" thickBot="1">
      <c r="A90">
        <v>174066</v>
      </c>
      <c r="B90" t="s">
        <v>148</v>
      </c>
      <c r="C90" s="7">
        <v>492971</v>
      </c>
    </row>
    <row r="91" spans="1:3" ht="16" thickBot="1">
      <c r="A91">
        <v>176017</v>
      </c>
      <c r="B91" t="s">
        <v>149</v>
      </c>
      <c r="C91" s="7">
        <v>287387</v>
      </c>
    </row>
    <row r="92" spans="1:3" ht="16" thickBot="1">
      <c r="A92">
        <v>176080</v>
      </c>
      <c r="B92" t="s">
        <v>150</v>
      </c>
      <c r="C92" s="7">
        <v>25147</v>
      </c>
    </row>
    <row r="93" spans="1:3" ht="16" thickBot="1">
      <c r="A93">
        <v>178396</v>
      </c>
      <c r="B93" t="s">
        <v>152</v>
      </c>
      <c r="C93" s="7">
        <v>307775</v>
      </c>
    </row>
    <row r="94" spans="1:3" ht="16" thickBot="1">
      <c r="A94">
        <v>178402</v>
      </c>
      <c r="B94" t="s">
        <v>153</v>
      </c>
      <c r="C94" s="7">
        <v>659832</v>
      </c>
    </row>
    <row r="95" spans="1:3" ht="16" thickBot="1">
      <c r="A95">
        <v>179566</v>
      </c>
      <c r="B95" t="s">
        <v>154</v>
      </c>
      <c r="C95" s="7">
        <v>766284</v>
      </c>
    </row>
    <row r="96" spans="1:3" ht="16" thickBot="1">
      <c r="A96">
        <v>180489</v>
      </c>
      <c r="B96" t="s">
        <v>155</v>
      </c>
      <c r="C96" s="7">
        <v>481866</v>
      </c>
    </row>
    <row r="97" spans="1:3">
      <c r="A97">
        <v>180461</v>
      </c>
      <c r="B97" t="s">
        <v>156</v>
      </c>
      <c r="C97">
        <v>890708</v>
      </c>
    </row>
    <row r="98" spans="1:3" ht="16" thickBot="1">
      <c r="A98">
        <v>157386</v>
      </c>
      <c r="B98" t="s">
        <v>157</v>
      </c>
      <c r="C98" s="7">
        <v>785188</v>
      </c>
    </row>
    <row r="99" spans="1:3" ht="16" thickBot="1">
      <c r="A99">
        <v>163453</v>
      </c>
      <c r="B99" t="s">
        <v>158</v>
      </c>
      <c r="C99" s="7">
        <v>11251</v>
      </c>
    </row>
    <row r="100" spans="1:3" ht="16" thickBot="1">
      <c r="A100">
        <v>157401</v>
      </c>
      <c r="B100" t="s">
        <v>159</v>
      </c>
      <c r="C100" s="7">
        <v>14215</v>
      </c>
    </row>
    <row r="101" spans="1:3" ht="16" thickBot="1">
      <c r="A101">
        <v>500000</v>
      </c>
      <c r="B101" t="s">
        <v>160</v>
      </c>
      <c r="C101" s="18">
        <v>244253</v>
      </c>
    </row>
    <row r="102" spans="1:3" ht="16" thickBot="1">
      <c r="A102">
        <v>181464</v>
      </c>
      <c r="B102" t="s">
        <v>161</v>
      </c>
      <c r="C102" s="7">
        <v>4231249</v>
      </c>
    </row>
    <row r="103" spans="1:3" ht="16" thickBot="1">
      <c r="A103">
        <v>181394</v>
      </c>
      <c r="B103" t="s">
        <v>162</v>
      </c>
      <c r="C103" s="7">
        <v>786994</v>
      </c>
    </row>
    <row r="104" spans="1:3" ht="16" thickBot="1">
      <c r="A104">
        <v>182290</v>
      </c>
      <c r="B104" t="s">
        <v>163</v>
      </c>
      <c r="C104" s="7">
        <v>76957</v>
      </c>
    </row>
    <row r="105" spans="1:3" ht="16" thickBot="1">
      <c r="A105">
        <v>183044</v>
      </c>
      <c r="B105" t="s">
        <v>164</v>
      </c>
      <c r="C105" s="7">
        <v>507508</v>
      </c>
    </row>
    <row r="106" spans="1:3" ht="16" thickBot="1">
      <c r="A106">
        <v>187985</v>
      </c>
      <c r="B106" t="s">
        <v>165</v>
      </c>
      <c r="C106" s="7">
        <v>153781</v>
      </c>
    </row>
    <row r="107" spans="1:3" ht="16" thickBot="1">
      <c r="A107">
        <v>188030</v>
      </c>
      <c r="B107" t="s">
        <v>166</v>
      </c>
      <c r="C107" s="7">
        <v>286010</v>
      </c>
    </row>
    <row r="108" spans="1:3" ht="16" thickBot="1">
      <c r="A108">
        <v>159939</v>
      </c>
      <c r="B108" t="s">
        <v>167</v>
      </c>
      <c r="C108" s="7">
        <v>5177</v>
      </c>
    </row>
    <row r="109" spans="1:3" ht="16" thickBot="1">
      <c r="A109">
        <v>159966</v>
      </c>
      <c r="B109" t="s">
        <v>168</v>
      </c>
      <c r="C109" s="7">
        <v>371145</v>
      </c>
    </row>
    <row r="110" spans="1:3">
      <c r="A110">
        <v>185828</v>
      </c>
      <c r="B110" t="s">
        <v>169</v>
      </c>
      <c r="C110">
        <v>675846</v>
      </c>
    </row>
    <row r="111" spans="1:3" ht="16" thickBot="1">
      <c r="A111">
        <v>199120</v>
      </c>
      <c r="B111" t="s">
        <v>172</v>
      </c>
      <c r="C111" s="18">
        <v>709806</v>
      </c>
    </row>
    <row r="112" spans="1:3" ht="16" thickBot="1">
      <c r="A112">
        <v>199102</v>
      </c>
      <c r="B112" t="s">
        <v>173</v>
      </c>
      <c r="C112" s="7">
        <v>442851</v>
      </c>
    </row>
    <row r="113" spans="1:3" ht="16" thickBot="1">
      <c r="A113">
        <v>199111</v>
      </c>
      <c r="B113" t="s">
        <v>275</v>
      </c>
      <c r="C113" s="7">
        <v>96340</v>
      </c>
    </row>
    <row r="114" spans="1:3" ht="16" thickBot="1">
      <c r="A114">
        <v>199157</v>
      </c>
      <c r="B114" t="s">
        <v>174</v>
      </c>
      <c r="C114" s="7">
        <v>425</v>
      </c>
    </row>
    <row r="115" spans="1:3" ht="16" thickBot="1">
      <c r="A115">
        <v>199148</v>
      </c>
      <c r="B115" t="s">
        <v>276</v>
      </c>
      <c r="C115" s="7">
        <v>588679</v>
      </c>
    </row>
    <row r="116" spans="1:3" ht="16" thickBot="1">
      <c r="A116">
        <v>199193</v>
      </c>
      <c r="B116" t="s">
        <v>175</v>
      </c>
      <c r="C116" s="7">
        <v>805889</v>
      </c>
    </row>
    <row r="117" spans="1:3" ht="16" thickBot="1">
      <c r="A117">
        <v>199218</v>
      </c>
      <c r="B117" t="s">
        <v>176</v>
      </c>
      <c r="C117" s="7">
        <v>50517</v>
      </c>
    </row>
    <row r="118" spans="1:3" ht="16" thickBot="1">
      <c r="A118">
        <v>200280</v>
      </c>
      <c r="B118" t="s">
        <v>177</v>
      </c>
      <c r="C118" s="7">
        <v>127220</v>
      </c>
    </row>
    <row r="119" spans="1:3" ht="16" thickBot="1">
      <c r="A119">
        <v>200332</v>
      </c>
      <c r="B119" t="s">
        <v>178</v>
      </c>
      <c r="C119" s="7">
        <v>490763</v>
      </c>
    </row>
    <row r="120" spans="1:3" ht="16" thickBot="1">
      <c r="A120">
        <v>136172</v>
      </c>
      <c r="B120" t="s">
        <v>179</v>
      </c>
      <c r="C120" s="7">
        <v>105006</v>
      </c>
    </row>
    <row r="121" spans="1:3" ht="16" thickBot="1">
      <c r="A121">
        <v>227216</v>
      </c>
      <c r="B121" t="s">
        <v>180</v>
      </c>
      <c r="C121" s="7">
        <v>43255</v>
      </c>
    </row>
    <row r="122" spans="1:3" ht="16" thickBot="1">
      <c r="A122">
        <v>105330</v>
      </c>
      <c r="B122" t="s">
        <v>181</v>
      </c>
      <c r="C122" s="7">
        <v>917498</v>
      </c>
    </row>
    <row r="123" spans="1:3" ht="16" thickBot="1">
      <c r="A123">
        <v>127741</v>
      </c>
      <c r="B123" t="s">
        <v>182</v>
      </c>
      <c r="C123" s="18">
        <v>846740</v>
      </c>
    </row>
    <row r="124" spans="1:3">
      <c r="A124">
        <v>147703</v>
      </c>
      <c r="B124" t="s">
        <v>183</v>
      </c>
      <c r="C124">
        <v>202073</v>
      </c>
    </row>
    <row r="125" spans="1:3">
      <c r="A125">
        <v>154095</v>
      </c>
      <c r="B125" t="s">
        <v>184</v>
      </c>
      <c r="C125">
        <v>552041</v>
      </c>
    </row>
    <row r="126" spans="1:3">
      <c r="A126">
        <v>160038</v>
      </c>
      <c r="B126" t="s">
        <v>185</v>
      </c>
      <c r="C126">
        <v>453878</v>
      </c>
    </row>
    <row r="127" spans="1:3">
      <c r="A127">
        <v>171571</v>
      </c>
      <c r="B127" t="s">
        <v>186</v>
      </c>
      <c r="C127" s="23">
        <v>559007</v>
      </c>
    </row>
    <row r="128" spans="1:3">
      <c r="A128">
        <v>204857</v>
      </c>
      <c r="B128" t="s">
        <v>187</v>
      </c>
      <c r="C128">
        <v>1027080</v>
      </c>
    </row>
    <row r="129" spans="1:3">
      <c r="A129">
        <v>204796</v>
      </c>
      <c r="B129" t="s">
        <v>188</v>
      </c>
      <c r="C129">
        <v>320113</v>
      </c>
    </row>
    <row r="130" spans="1:3">
      <c r="A130">
        <v>207500</v>
      </c>
      <c r="B130" t="s">
        <v>189</v>
      </c>
      <c r="C130">
        <v>193855</v>
      </c>
    </row>
    <row r="131" spans="1:3">
      <c r="A131">
        <v>209551</v>
      </c>
      <c r="B131" t="s">
        <v>192</v>
      </c>
      <c r="C131">
        <v>471566</v>
      </c>
    </row>
    <row r="132" spans="1:3">
      <c r="A132">
        <v>209542</v>
      </c>
      <c r="B132" t="s">
        <v>193</v>
      </c>
      <c r="C132">
        <v>330601</v>
      </c>
    </row>
    <row r="133" spans="1:3">
      <c r="A133">
        <v>214777</v>
      </c>
      <c r="B133" t="s">
        <v>194</v>
      </c>
      <c r="C133">
        <v>964378</v>
      </c>
    </row>
    <row r="134" spans="1:3">
      <c r="A134">
        <v>209807</v>
      </c>
      <c r="B134" t="s">
        <v>195</v>
      </c>
    </row>
    <row r="135" spans="1:3">
      <c r="A135">
        <v>227526</v>
      </c>
      <c r="B135" t="s">
        <v>196</v>
      </c>
      <c r="C135">
        <v>412927</v>
      </c>
    </row>
    <row r="136" spans="1:3">
      <c r="A136">
        <v>243780</v>
      </c>
      <c r="B136" t="s">
        <v>197</v>
      </c>
      <c r="C136">
        <v>693543</v>
      </c>
    </row>
    <row r="137" spans="1:3">
      <c r="A137">
        <v>151102</v>
      </c>
      <c r="B137" t="s">
        <v>198</v>
      </c>
      <c r="C137">
        <v>577847</v>
      </c>
    </row>
    <row r="138" spans="1:3" ht="16">
      <c r="A138">
        <v>233277</v>
      </c>
      <c r="B138" t="s">
        <v>199</v>
      </c>
      <c r="C138" s="11">
        <v>41871</v>
      </c>
    </row>
    <row r="139" spans="1:3">
      <c r="A139">
        <v>217484</v>
      </c>
      <c r="B139" t="s">
        <v>200</v>
      </c>
      <c r="C139">
        <v>817511</v>
      </c>
    </row>
    <row r="140" spans="1:3">
      <c r="A140">
        <v>186380</v>
      </c>
      <c r="B140" t="s">
        <v>201</v>
      </c>
      <c r="C140">
        <v>45107</v>
      </c>
    </row>
    <row r="141" spans="1:3">
      <c r="A141">
        <v>110617</v>
      </c>
      <c r="B141" t="s">
        <v>202</v>
      </c>
      <c r="C141" s="23">
        <v>347812</v>
      </c>
    </row>
    <row r="142" spans="1:3">
      <c r="A142">
        <v>227881</v>
      </c>
      <c r="B142" t="s">
        <v>203</v>
      </c>
      <c r="C142">
        <v>31723</v>
      </c>
    </row>
    <row r="143" spans="1:3">
      <c r="A143">
        <v>122409</v>
      </c>
      <c r="B143" t="s">
        <v>204</v>
      </c>
      <c r="C143">
        <v>988508</v>
      </c>
    </row>
    <row r="144" spans="1:3">
      <c r="A144">
        <v>122755</v>
      </c>
      <c r="B144" t="s">
        <v>205</v>
      </c>
      <c r="C144">
        <v>171106</v>
      </c>
    </row>
    <row r="145" spans="1:3">
      <c r="A145">
        <v>140960</v>
      </c>
      <c r="B145" t="s">
        <v>206</v>
      </c>
      <c r="C145" s="23">
        <v>4822</v>
      </c>
    </row>
    <row r="146" spans="1:3" ht="16">
      <c r="A146">
        <v>102094</v>
      </c>
      <c r="B146" t="s">
        <v>207</v>
      </c>
      <c r="C146" s="13">
        <v>936066</v>
      </c>
    </row>
    <row r="147" spans="1:3">
      <c r="A147">
        <v>218663</v>
      </c>
      <c r="B147" t="s">
        <v>208</v>
      </c>
      <c r="C147">
        <v>171897</v>
      </c>
    </row>
    <row r="148" spans="1:3">
      <c r="A148">
        <v>218742</v>
      </c>
      <c r="B148" t="s">
        <v>210</v>
      </c>
      <c r="C148">
        <v>335684</v>
      </c>
    </row>
    <row r="149" spans="1:3">
      <c r="A149">
        <v>219471</v>
      </c>
      <c r="B149" t="s">
        <v>211</v>
      </c>
      <c r="C149">
        <v>435719</v>
      </c>
    </row>
    <row r="150" spans="1:3">
      <c r="A150">
        <v>219356</v>
      </c>
      <c r="B150" t="s">
        <v>212</v>
      </c>
      <c r="C150">
        <v>7690</v>
      </c>
    </row>
    <row r="151" spans="1:3" ht="16" thickBot="1">
      <c r="A151">
        <v>137351</v>
      </c>
      <c r="B151" t="s">
        <v>213</v>
      </c>
      <c r="C151" s="7">
        <v>826492</v>
      </c>
    </row>
    <row r="152" spans="1:3" ht="16" thickBot="1">
      <c r="A152">
        <v>179557</v>
      </c>
      <c r="B152" t="s">
        <v>214</v>
      </c>
      <c r="C152" s="18">
        <v>310749</v>
      </c>
    </row>
    <row r="153" spans="1:3" ht="16" thickBot="1">
      <c r="A153">
        <v>160621</v>
      </c>
      <c r="B153" t="s">
        <v>216</v>
      </c>
      <c r="C153" s="7">
        <v>16156</v>
      </c>
    </row>
    <row r="154" spans="1:3" ht="16" thickBot="1">
      <c r="A154">
        <v>149222</v>
      </c>
      <c r="B154" t="s">
        <v>217</v>
      </c>
      <c r="C154" s="7">
        <v>89428</v>
      </c>
    </row>
    <row r="155" spans="1:3" ht="16" thickBot="1">
      <c r="A155">
        <v>149231</v>
      </c>
      <c r="B155" t="s">
        <v>218</v>
      </c>
      <c r="C155" s="7">
        <v>456892</v>
      </c>
    </row>
    <row r="156" spans="1:3" ht="16" thickBot="1">
      <c r="A156">
        <v>176372</v>
      </c>
      <c r="B156" t="s">
        <v>219</v>
      </c>
      <c r="C156" s="7">
        <v>84727</v>
      </c>
    </row>
    <row r="157" spans="1:3" ht="16" thickBot="1">
      <c r="A157">
        <v>230603</v>
      </c>
      <c r="B157" t="s">
        <v>220</v>
      </c>
      <c r="C157" s="7">
        <v>572012</v>
      </c>
    </row>
    <row r="158" spans="1:3" ht="16" thickBot="1">
      <c r="A158">
        <v>228431</v>
      </c>
      <c r="B158" t="s">
        <v>221</v>
      </c>
      <c r="C158" s="7">
        <v>641999</v>
      </c>
    </row>
    <row r="159" spans="1:3" ht="16" thickBot="1">
      <c r="A159">
        <v>196097</v>
      </c>
      <c r="B159" t="s">
        <v>222</v>
      </c>
      <c r="C159" s="7">
        <v>611394</v>
      </c>
    </row>
    <row r="160" spans="1:3" ht="16" thickBot="1">
      <c r="A160">
        <v>221759</v>
      </c>
      <c r="B160" t="s">
        <v>223</v>
      </c>
      <c r="C160" s="7">
        <v>317572</v>
      </c>
    </row>
    <row r="161" spans="1:3" ht="16" thickBot="1">
      <c r="A161">
        <v>221740</v>
      </c>
      <c r="B161" t="s">
        <v>224</v>
      </c>
      <c r="C161" s="18">
        <v>657813</v>
      </c>
    </row>
    <row r="162" spans="1:3" ht="16" thickBot="1">
      <c r="A162">
        <v>221847</v>
      </c>
      <c r="B162" t="s">
        <v>227</v>
      </c>
      <c r="C162" s="7">
        <v>39423</v>
      </c>
    </row>
    <row r="163" spans="1:3" ht="16" thickBot="1">
      <c r="A163">
        <v>228778</v>
      </c>
      <c r="B163" t="s">
        <v>228</v>
      </c>
      <c r="C163" s="7">
        <v>2235606</v>
      </c>
    </row>
    <row r="164" spans="1:3" ht="16" thickBot="1">
      <c r="A164">
        <v>228723</v>
      </c>
      <c r="B164" t="s">
        <v>229</v>
      </c>
      <c r="C164" s="7">
        <v>699110</v>
      </c>
    </row>
    <row r="165" spans="1:3" ht="16" thickBot="1">
      <c r="A165">
        <v>224147</v>
      </c>
      <c r="B165" t="s">
        <v>230</v>
      </c>
      <c r="C165" s="7">
        <v>670000</v>
      </c>
    </row>
    <row r="166" spans="1:3" ht="16" thickBot="1">
      <c r="A166">
        <v>228769</v>
      </c>
      <c r="B166" t="s">
        <v>231</v>
      </c>
      <c r="C166" s="7">
        <v>34096</v>
      </c>
    </row>
    <row r="167" spans="1:3" ht="16" thickBot="1">
      <c r="A167">
        <v>229063</v>
      </c>
      <c r="B167" t="s">
        <v>232</v>
      </c>
      <c r="C167" s="7">
        <v>33116</v>
      </c>
    </row>
    <row r="168" spans="1:3" ht="16" thickBot="1">
      <c r="A168">
        <v>228459</v>
      </c>
      <c r="B168" t="s">
        <v>233</v>
      </c>
      <c r="C168" s="7">
        <v>99009</v>
      </c>
    </row>
    <row r="169" spans="1:3" ht="16" thickBot="1">
      <c r="A169">
        <v>229115</v>
      </c>
      <c r="B169" t="s">
        <v>234</v>
      </c>
      <c r="C169" s="7">
        <v>166780</v>
      </c>
    </row>
    <row r="170" spans="1:3">
      <c r="A170">
        <v>206084</v>
      </c>
      <c r="B170" t="s">
        <v>235</v>
      </c>
      <c r="C170">
        <v>30264</v>
      </c>
    </row>
    <row r="171" spans="1:3" ht="16" thickBot="1">
      <c r="A171">
        <v>164076</v>
      </c>
      <c r="B171" t="s">
        <v>236</v>
      </c>
      <c r="C171" s="7">
        <v>135769</v>
      </c>
    </row>
    <row r="172" spans="1:3" ht="16" thickBot="1">
      <c r="A172">
        <v>100663</v>
      </c>
      <c r="B172" t="s">
        <v>238</v>
      </c>
      <c r="C172" s="18">
        <v>873667</v>
      </c>
    </row>
    <row r="173" spans="1:3" ht="16" thickBot="1">
      <c r="A173">
        <v>110644</v>
      </c>
      <c r="B173" t="s">
        <v>239</v>
      </c>
      <c r="C173" s="7">
        <v>91151</v>
      </c>
    </row>
    <row r="174" spans="1:3" ht="16" thickBot="1">
      <c r="A174">
        <v>110653</v>
      </c>
      <c r="B174" t="s">
        <v>240</v>
      </c>
      <c r="C174" s="7">
        <v>60742</v>
      </c>
    </row>
    <row r="175" spans="1:3" ht="16" thickBot="1">
      <c r="A175">
        <v>110671</v>
      </c>
      <c r="B175" t="s">
        <v>241</v>
      </c>
      <c r="C175" s="7">
        <v>1257646</v>
      </c>
    </row>
    <row r="176" spans="1:3" ht="16" thickBot="1">
      <c r="A176">
        <v>110705</v>
      </c>
      <c r="B176" t="s">
        <v>242</v>
      </c>
      <c r="C176" s="7">
        <v>926255</v>
      </c>
    </row>
    <row r="177" spans="1:3" ht="16" thickBot="1">
      <c r="A177">
        <v>132903</v>
      </c>
      <c r="B177" t="s">
        <v>243</v>
      </c>
      <c r="C177" s="7">
        <v>338867</v>
      </c>
    </row>
    <row r="178" spans="1:3" ht="16" thickBot="1">
      <c r="A178">
        <v>110662</v>
      </c>
      <c r="B178" t="s">
        <v>244</v>
      </c>
      <c r="C178" s="7">
        <v>424054</v>
      </c>
    </row>
    <row r="179" spans="1:3" ht="16" thickBot="1">
      <c r="A179">
        <v>182281</v>
      </c>
      <c r="B179" t="s">
        <v>245</v>
      </c>
      <c r="C179" s="7">
        <v>89210</v>
      </c>
    </row>
    <row r="180" spans="1:3" ht="16" thickBot="1">
      <c r="A180">
        <v>230764</v>
      </c>
      <c r="B180" t="s">
        <v>246</v>
      </c>
      <c r="C180" s="7">
        <v>390942</v>
      </c>
    </row>
    <row r="181" spans="1:3" ht="16" thickBot="1">
      <c r="A181">
        <v>230728</v>
      </c>
      <c r="B181" t="s">
        <v>247</v>
      </c>
      <c r="C181" s="7">
        <v>332701</v>
      </c>
    </row>
    <row r="182" spans="1:3" ht="16" thickBot="1">
      <c r="A182">
        <v>230737</v>
      </c>
      <c r="B182" t="s">
        <v>248</v>
      </c>
      <c r="C182" s="7">
        <v>5000</v>
      </c>
    </row>
    <row r="183" spans="1:3" ht="16" thickBot="1">
      <c r="A183">
        <v>228796</v>
      </c>
      <c r="B183" t="s">
        <v>249</v>
      </c>
      <c r="C183" s="7">
        <v>1312639</v>
      </c>
    </row>
    <row r="184" spans="1:3" ht="16" thickBot="1">
      <c r="A184">
        <v>227368</v>
      </c>
      <c r="B184" t="s">
        <v>250</v>
      </c>
      <c r="C184" s="7">
        <v>135756</v>
      </c>
    </row>
    <row r="185" spans="1:3" ht="16" thickBot="1">
      <c r="A185">
        <v>229027</v>
      </c>
      <c r="B185" t="s">
        <v>251</v>
      </c>
      <c r="C185" s="7">
        <v>150777</v>
      </c>
    </row>
    <row r="186" spans="1:3" ht="16" thickBot="1">
      <c r="A186">
        <v>234030</v>
      </c>
      <c r="B186" t="s">
        <v>252</v>
      </c>
      <c r="C186" s="18">
        <v>15235</v>
      </c>
    </row>
    <row r="187" spans="1:3" ht="16" thickBot="1">
      <c r="A187">
        <v>234076</v>
      </c>
      <c r="B187" t="s">
        <v>254</v>
      </c>
      <c r="C187" s="7">
        <v>884561</v>
      </c>
    </row>
    <row r="188" spans="1:3" ht="16" thickBot="1">
      <c r="A188">
        <v>233921</v>
      </c>
      <c r="B188" t="s">
        <v>255</v>
      </c>
      <c r="C188" s="7">
        <v>667323</v>
      </c>
    </row>
    <row r="189" spans="1:3">
      <c r="A189">
        <v>236948</v>
      </c>
      <c r="B189" t="s">
        <v>257</v>
      </c>
      <c r="C189">
        <v>921531</v>
      </c>
    </row>
    <row r="190" spans="1:3">
      <c r="A190">
        <v>236939</v>
      </c>
      <c r="B190" t="s">
        <v>258</v>
      </c>
      <c r="C190">
        <v>938794</v>
      </c>
    </row>
    <row r="191" spans="1:3">
      <c r="A191">
        <v>230782</v>
      </c>
      <c r="B191" t="s">
        <v>259</v>
      </c>
      <c r="C191">
        <v>397961</v>
      </c>
    </row>
    <row r="192" spans="1:3">
      <c r="A192">
        <v>238032</v>
      </c>
      <c r="B192" t="s">
        <v>260</v>
      </c>
      <c r="C192">
        <v>558994</v>
      </c>
    </row>
    <row r="193" spans="1:3">
      <c r="A193">
        <v>200004</v>
      </c>
      <c r="B193" t="s">
        <v>261</v>
      </c>
      <c r="C193">
        <v>35020</v>
      </c>
    </row>
    <row r="194" spans="1:3">
      <c r="A194">
        <v>149772</v>
      </c>
      <c r="B194" t="s">
        <v>262</v>
      </c>
      <c r="C194">
        <v>275093</v>
      </c>
    </row>
    <row r="195" spans="1:3">
      <c r="A195">
        <v>157951</v>
      </c>
      <c r="B195" t="s">
        <v>263</v>
      </c>
      <c r="C195">
        <v>993806</v>
      </c>
    </row>
    <row r="196" spans="1:3">
      <c r="A196">
        <v>172699</v>
      </c>
      <c r="B196" t="s">
        <v>264</v>
      </c>
      <c r="C196">
        <v>192920</v>
      </c>
    </row>
    <row r="197" spans="1:3">
      <c r="A197">
        <v>156125</v>
      </c>
      <c r="B197" t="s">
        <v>265</v>
      </c>
      <c r="C197">
        <v>422106</v>
      </c>
    </row>
    <row r="198" spans="1:3">
      <c r="A198">
        <v>231624</v>
      </c>
      <c r="B198" t="s">
        <v>266</v>
      </c>
      <c r="C198">
        <v>230950</v>
      </c>
    </row>
    <row r="199" spans="1:3">
      <c r="A199">
        <v>218964</v>
      </c>
      <c r="B199" t="s">
        <v>267</v>
      </c>
      <c r="C199">
        <v>637411</v>
      </c>
    </row>
    <row r="200" spans="1:3">
      <c r="A200">
        <v>240444</v>
      </c>
      <c r="B200" t="s">
        <v>268</v>
      </c>
      <c r="C200" s="23">
        <v>1860027</v>
      </c>
    </row>
    <row r="201" spans="1:3">
      <c r="A201">
        <v>240277</v>
      </c>
      <c r="B201" t="s">
        <v>269</v>
      </c>
      <c r="C201">
        <v>252216</v>
      </c>
    </row>
    <row r="202" spans="1:3">
      <c r="A202">
        <v>240453</v>
      </c>
      <c r="B202" t="s">
        <v>270</v>
      </c>
      <c r="C202">
        <v>302931</v>
      </c>
    </row>
    <row r="203" spans="1:3">
      <c r="A203">
        <v>206604</v>
      </c>
      <c r="B203" t="s">
        <v>271</v>
      </c>
      <c r="C203">
        <v>634333</v>
      </c>
    </row>
    <row r="204" spans="1:3">
      <c r="A204">
        <v>240727</v>
      </c>
      <c r="B204" t="s">
        <v>272</v>
      </c>
      <c r="C204" s="23">
        <v>665508</v>
      </c>
    </row>
    <row r="205" spans="1:3">
      <c r="A205">
        <v>206695</v>
      </c>
      <c r="B205" t="s">
        <v>273</v>
      </c>
      <c r="C205">
        <v>11234</v>
      </c>
    </row>
    <row r="206" spans="1:3">
      <c r="C206" s="28"/>
    </row>
    <row r="207" spans="1:3" ht="16" thickBot="1">
      <c r="C207" s="7"/>
    </row>
    <row r="208" spans="1:3" ht="16" thickBot="1">
      <c r="C208" s="18"/>
    </row>
    <row r="209" spans="3:3" ht="16" thickBot="1">
      <c r="C209" s="18"/>
    </row>
    <row r="210" spans="3:3" ht="16" thickBot="1">
      <c r="C210" s="18"/>
    </row>
    <row r="211" spans="3:3" ht="16" thickBot="1">
      <c r="C211" s="7"/>
    </row>
    <row r="212" spans="3:3" ht="16" thickBot="1">
      <c r="C212" s="18"/>
    </row>
    <row r="213" spans="3:3" ht="16" thickBot="1">
      <c r="C213" s="7"/>
    </row>
    <row r="214" spans="3:3" ht="16" thickBot="1">
      <c r="C214" s="17"/>
    </row>
    <row r="215" spans="3:3" ht="16" thickBot="1">
      <c r="C215" s="7"/>
    </row>
    <row r="216" spans="3:3" ht="16" thickBot="1">
      <c r="C216" s="7"/>
    </row>
    <row r="217" spans="3:3" ht="16" thickBot="1">
      <c r="C217" s="7"/>
    </row>
    <row r="218" spans="3:3" ht="16" thickBot="1">
      <c r="C218" s="7"/>
    </row>
    <row r="220" spans="3:3" ht="16" thickBot="1">
      <c r="C220" s="7"/>
    </row>
    <row r="221" spans="3:3" ht="17" thickBot="1">
      <c r="C221" s="8"/>
    </row>
    <row r="222" spans="3:3" ht="16" thickBot="1">
      <c r="C222" s="17"/>
    </row>
    <row r="223" spans="3:3" ht="16" thickBot="1">
      <c r="C223" s="26"/>
    </row>
    <row r="224" spans="3:3" ht="16" thickBot="1">
      <c r="C224" s="17"/>
    </row>
    <row r="225" spans="3:3" ht="16" thickBot="1">
      <c r="C225" s="7"/>
    </row>
    <row r="226" spans="3:3" ht="16" thickBot="1">
      <c r="C226" s="17"/>
    </row>
    <row r="227" spans="3:3" ht="16" thickBot="1">
      <c r="C227" s="7"/>
    </row>
    <row r="228" spans="3:3" ht="16" thickBot="1">
      <c r="C228" s="7"/>
    </row>
    <row r="229" spans="3:3" ht="16" thickBot="1">
      <c r="C229" s="17"/>
    </row>
    <row r="230" spans="3:3">
      <c r="C230" s="29"/>
    </row>
    <row r="231" spans="3:3" ht="16" thickBot="1">
      <c r="C231" s="7"/>
    </row>
    <row r="232" spans="3:3" ht="16" thickBot="1">
      <c r="C232" s="17"/>
    </row>
    <row r="233" spans="3:3" ht="16" thickBot="1">
      <c r="C233" s="17"/>
    </row>
    <row r="234" spans="3:3" ht="16" thickBot="1">
      <c r="C234" s="7"/>
    </row>
    <row r="235" spans="3:3" ht="16" thickBot="1">
      <c r="C235" s="7"/>
    </row>
    <row r="236" spans="3:3" ht="16" thickBot="1">
      <c r="C236" s="7"/>
    </row>
    <row r="237" spans="3:3" ht="16" thickBot="1">
      <c r="C237" s="7"/>
    </row>
    <row r="238" spans="3:3" ht="16" thickBot="1">
      <c r="C238" s="7"/>
    </row>
    <row r="239" spans="3:3" ht="16" thickBot="1">
      <c r="C239" s="7"/>
    </row>
    <row r="240" spans="3:3" ht="16" thickBot="1">
      <c r="C240" s="7"/>
    </row>
    <row r="241" spans="3:3" ht="16" thickBot="1">
      <c r="C241" s="7"/>
    </row>
    <row r="242" spans="3:3" ht="16" thickBot="1">
      <c r="C242" s="7"/>
    </row>
    <row r="243" spans="3:3" ht="16" thickBot="1">
      <c r="C243" s="7"/>
    </row>
    <row r="244" spans="3:3">
      <c r="C244" s="29"/>
    </row>
    <row r="245" spans="3:3" ht="16" thickBot="1">
      <c r="C245" s="7"/>
    </row>
    <row r="246" spans="3:3" ht="16" thickBot="1">
      <c r="C246" s="17"/>
    </row>
    <row r="247" spans="3:3" ht="16" thickBot="1">
      <c r="C247" s="7"/>
    </row>
    <row r="248" spans="3:3" ht="16" thickBot="1">
      <c r="C248" s="7"/>
    </row>
    <row r="249" spans="3:3" ht="16" thickBot="1">
      <c r="C249" s="17"/>
    </row>
    <row r="250" spans="3:3" ht="16" thickBot="1">
      <c r="C250" s="7"/>
    </row>
    <row r="251" spans="3:3" ht="16" thickBot="1">
      <c r="C251" s="7"/>
    </row>
    <row r="252" spans="3:3" ht="16" thickBot="1">
      <c r="C252" s="7"/>
    </row>
    <row r="253" spans="3:3" ht="16" thickBot="1">
      <c r="C253" s="7"/>
    </row>
    <row r="254" spans="3:3" ht="16" thickBot="1">
      <c r="C254" s="7"/>
    </row>
    <row r="255" spans="3:3" ht="16" thickBot="1">
      <c r="C255" s="7"/>
    </row>
    <row r="256" spans="3:3" ht="16" thickBot="1">
      <c r="C256" s="7"/>
    </row>
    <row r="258" spans="3:3" ht="16" thickBot="1">
      <c r="C258" s="7"/>
    </row>
    <row r="259" spans="3:3" ht="16" thickBot="1">
      <c r="C259" s="7"/>
    </row>
    <row r="260" spans="3:3" ht="16" thickBot="1">
      <c r="C260" s="7"/>
    </row>
    <row r="261" spans="3:3" ht="16" thickBot="1">
      <c r="C261" s="7"/>
    </row>
    <row r="262" spans="3:3" ht="16" thickBot="1">
      <c r="C262" s="7"/>
    </row>
    <row r="263" spans="3:3" ht="16" thickBot="1">
      <c r="C263" s="17"/>
    </row>
    <row r="264" spans="3:3" ht="16" thickBot="1">
      <c r="C264" s="7"/>
    </row>
    <row r="265" spans="3:3" ht="16" thickBot="1">
      <c r="C265" s="7"/>
    </row>
    <row r="266" spans="3:3" ht="16" thickBot="1">
      <c r="C266" s="7"/>
    </row>
    <row r="267" spans="3:3" ht="17" thickBot="1">
      <c r="C267" s="15"/>
    </row>
    <row r="268" spans="3:3" ht="16" thickBot="1">
      <c r="C268" s="7"/>
    </row>
    <row r="269" spans="3:3" ht="16" thickBot="1">
      <c r="C269" s="17"/>
    </row>
    <row r="270" spans="3:3">
      <c r="C270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5EB8-58A6-4076-9540-0D1A68ADAB95}">
  <sheetPr>
    <tabColor theme="0"/>
  </sheetPr>
  <dimension ref="A1:C210"/>
  <sheetViews>
    <sheetView workbookViewId="0"/>
  </sheetViews>
  <sheetFormatPr baseColWidth="10" defaultColWidth="9.1640625" defaultRowHeight="15"/>
  <cols>
    <col min="1" max="1" width="7.1640625" bestFit="1" customWidth="1"/>
    <col min="2" max="2" width="22.33203125" bestFit="1" customWidth="1"/>
    <col min="3" max="3" width="11.6640625" style="30" bestFit="1" customWidth="1"/>
    <col min="4" max="4" width="9.1640625" bestFit="1" customWidth="1"/>
  </cols>
  <sheetData>
    <row r="1" spans="1:3">
      <c r="A1" t="s">
        <v>46</v>
      </c>
      <c r="B1" t="s">
        <v>0</v>
      </c>
      <c r="C1" s="30" t="s">
        <v>277</v>
      </c>
    </row>
    <row r="2" spans="1:3" ht="16" thickBot="1">
      <c r="A2">
        <v>200800</v>
      </c>
      <c r="B2" t="s">
        <v>48</v>
      </c>
      <c r="C2" s="33">
        <v>43396</v>
      </c>
    </row>
    <row r="3" spans="1:3" ht="16" thickBot="1">
      <c r="A3">
        <v>100751</v>
      </c>
      <c r="B3" t="s">
        <v>49</v>
      </c>
      <c r="C3" s="33">
        <v>766423</v>
      </c>
    </row>
    <row r="4" spans="1:3" ht="16" thickBot="1">
      <c r="A4">
        <v>196060</v>
      </c>
      <c r="B4" t="s">
        <v>52</v>
      </c>
      <c r="C4" s="33">
        <v>368635</v>
      </c>
    </row>
    <row r="5" spans="1:3" ht="16" thickBot="1">
      <c r="A5">
        <v>175342</v>
      </c>
      <c r="B5" t="s">
        <v>53</v>
      </c>
      <c r="C5" s="18">
        <v>0</v>
      </c>
    </row>
    <row r="6" spans="1:3" ht="16" thickBot="1">
      <c r="A6">
        <v>197869</v>
      </c>
      <c r="B6" t="s">
        <v>54</v>
      </c>
      <c r="C6" s="33">
        <v>15026</v>
      </c>
    </row>
    <row r="7" spans="1:3">
      <c r="A7">
        <v>104179</v>
      </c>
      <c r="B7" t="s">
        <v>55</v>
      </c>
      <c r="C7" s="30">
        <v>564020</v>
      </c>
    </row>
    <row r="8" spans="1:3" ht="16" thickBot="1">
      <c r="A8">
        <v>104151</v>
      </c>
      <c r="B8" t="s">
        <v>56</v>
      </c>
      <c r="C8" s="33">
        <v>434483</v>
      </c>
    </row>
    <row r="9" spans="1:3" ht="16" thickBot="1">
      <c r="A9">
        <v>106397</v>
      </c>
      <c r="B9" t="s">
        <v>57</v>
      </c>
      <c r="C9" s="33">
        <v>89709</v>
      </c>
    </row>
    <row r="10" spans="1:3" ht="16" thickBot="1">
      <c r="A10">
        <v>106245</v>
      </c>
      <c r="B10" t="s">
        <v>58</v>
      </c>
      <c r="C10" s="16">
        <v>210413</v>
      </c>
    </row>
    <row r="11" spans="1:3" ht="17" thickBot="1">
      <c r="A11">
        <v>106245</v>
      </c>
      <c r="B11" t="s">
        <v>58</v>
      </c>
      <c r="C11" s="8">
        <v>210413</v>
      </c>
    </row>
    <row r="12" spans="1:3" ht="16" thickBot="1">
      <c r="A12">
        <v>106412</v>
      </c>
      <c r="B12" t="s">
        <v>59</v>
      </c>
      <c r="C12" s="18">
        <v>895</v>
      </c>
    </row>
    <row r="13" spans="1:3" ht="16" thickBot="1">
      <c r="A13">
        <v>106458</v>
      </c>
      <c r="B13" t="s">
        <v>60</v>
      </c>
      <c r="C13" s="33">
        <v>277231</v>
      </c>
    </row>
    <row r="14" spans="1:3" ht="16" thickBot="1">
      <c r="A14">
        <v>500001</v>
      </c>
      <c r="B14" t="s">
        <v>61</v>
      </c>
      <c r="C14" s="16">
        <v>452491</v>
      </c>
    </row>
    <row r="15" spans="1:3" ht="16" thickBot="1">
      <c r="A15">
        <v>100858</v>
      </c>
      <c r="B15" t="s">
        <v>62</v>
      </c>
      <c r="C15" s="33">
        <v>120358</v>
      </c>
    </row>
    <row r="16" spans="1:3" ht="16" thickBot="1">
      <c r="A16">
        <v>219602</v>
      </c>
      <c r="B16" t="s">
        <v>63</v>
      </c>
      <c r="C16" s="18">
        <v>10610</v>
      </c>
    </row>
    <row r="17" spans="1:3" ht="16" thickBot="1">
      <c r="A17">
        <v>150136</v>
      </c>
      <c r="B17" t="s">
        <v>64</v>
      </c>
      <c r="C17" s="33">
        <v>69779</v>
      </c>
    </row>
    <row r="18" spans="1:3" ht="16" thickBot="1">
      <c r="A18">
        <v>196079</v>
      </c>
      <c r="B18" t="s">
        <v>65</v>
      </c>
      <c r="C18" s="33">
        <v>798831</v>
      </c>
    </row>
    <row r="19" spans="1:3" ht="16" thickBot="1">
      <c r="A19">
        <v>142115</v>
      </c>
      <c r="B19" t="s">
        <v>66</v>
      </c>
      <c r="C19" s="33">
        <v>536884</v>
      </c>
    </row>
    <row r="20" spans="1:3">
      <c r="A20">
        <v>201441</v>
      </c>
      <c r="B20" t="s">
        <v>67</v>
      </c>
      <c r="C20" s="30">
        <v>40195</v>
      </c>
    </row>
    <row r="21" spans="1:3" ht="16" thickBot="1">
      <c r="A21">
        <v>196088</v>
      </c>
      <c r="B21" t="s">
        <v>68</v>
      </c>
      <c r="C21" s="33">
        <v>956945</v>
      </c>
    </row>
    <row r="22" spans="1:3" ht="16" thickBot="1">
      <c r="A22">
        <v>110422</v>
      </c>
      <c r="B22" t="s">
        <v>69</v>
      </c>
      <c r="C22" s="33">
        <v>144419</v>
      </c>
    </row>
    <row r="23" spans="1:3" ht="16" thickBot="1">
      <c r="A23">
        <v>110486</v>
      </c>
      <c r="B23" t="s">
        <v>70</v>
      </c>
      <c r="C23" s="33">
        <v>38592</v>
      </c>
    </row>
    <row r="24" spans="1:3" ht="16" thickBot="1">
      <c r="A24">
        <v>110565</v>
      </c>
      <c r="B24" t="s">
        <v>71</v>
      </c>
      <c r="C24" s="33">
        <v>864245</v>
      </c>
    </row>
    <row r="25" spans="1:3" ht="16" thickBot="1">
      <c r="A25">
        <v>110608</v>
      </c>
      <c r="B25" t="s">
        <v>72</v>
      </c>
      <c r="C25" s="33">
        <v>4106</v>
      </c>
    </row>
    <row r="26" spans="1:3" ht="16" thickBot="1">
      <c r="A26">
        <v>110635</v>
      </c>
      <c r="B26" t="s">
        <v>73</v>
      </c>
      <c r="C26" s="33">
        <v>115320</v>
      </c>
    </row>
    <row r="27" spans="1:3" ht="16" thickBot="1">
      <c r="A27">
        <v>106704</v>
      </c>
      <c r="B27" t="s">
        <v>74</v>
      </c>
      <c r="C27" s="33">
        <v>513184</v>
      </c>
    </row>
    <row r="28" spans="1:3" ht="16" thickBot="1">
      <c r="A28">
        <v>128771</v>
      </c>
      <c r="B28" t="s">
        <v>75</v>
      </c>
      <c r="C28" s="33">
        <v>794153</v>
      </c>
    </row>
    <row r="29" spans="1:3" ht="16" thickBot="1">
      <c r="A29">
        <v>169248</v>
      </c>
      <c r="B29" t="s">
        <v>76</v>
      </c>
      <c r="C29" s="33">
        <v>72402</v>
      </c>
    </row>
    <row r="30" spans="1:3" ht="16" thickBot="1">
      <c r="A30">
        <v>199139</v>
      </c>
      <c r="B30" t="s">
        <v>77</v>
      </c>
      <c r="C30" s="33">
        <v>897629</v>
      </c>
    </row>
    <row r="31" spans="1:3" ht="16" thickBot="1">
      <c r="A31">
        <v>144005</v>
      </c>
      <c r="B31" t="s">
        <v>78</v>
      </c>
      <c r="C31" s="33">
        <v>10000</v>
      </c>
    </row>
    <row r="32" spans="1:3" ht="16" thickBot="1">
      <c r="A32">
        <v>201885</v>
      </c>
      <c r="B32" t="s">
        <v>79</v>
      </c>
      <c r="C32" s="33">
        <v>232234</v>
      </c>
    </row>
    <row r="33" spans="1:3">
      <c r="A33">
        <v>217864</v>
      </c>
      <c r="B33" t="s">
        <v>80</v>
      </c>
      <c r="C33" s="22">
        <v>713618</v>
      </c>
    </row>
    <row r="34" spans="1:3" ht="16" thickBot="1">
      <c r="A34">
        <v>217882</v>
      </c>
      <c r="B34" t="s">
        <v>81</v>
      </c>
      <c r="C34" s="33">
        <v>1074068</v>
      </c>
    </row>
    <row r="35" spans="1:3" ht="16" thickBot="1">
      <c r="A35">
        <v>202134</v>
      </c>
      <c r="B35" t="s">
        <v>82</v>
      </c>
      <c r="C35" s="33">
        <v>626979</v>
      </c>
    </row>
    <row r="36" spans="1:3" ht="16" thickBot="1">
      <c r="A36">
        <v>218724</v>
      </c>
      <c r="B36" t="s">
        <v>83</v>
      </c>
      <c r="C36" s="33">
        <v>1222435</v>
      </c>
    </row>
    <row r="37" spans="1:3" ht="16" thickBot="1">
      <c r="A37">
        <v>217819</v>
      </c>
      <c r="B37" t="s">
        <v>84</v>
      </c>
      <c r="C37" s="33">
        <v>43106</v>
      </c>
    </row>
    <row r="38" spans="1:3" ht="16" thickBot="1">
      <c r="A38">
        <v>126614</v>
      </c>
      <c r="B38" t="s">
        <v>85</v>
      </c>
      <c r="C38" s="33">
        <v>484746</v>
      </c>
    </row>
    <row r="39" spans="1:3" ht="16" thickBot="1">
      <c r="A39">
        <v>126818</v>
      </c>
      <c r="B39" t="s">
        <v>86</v>
      </c>
      <c r="C39" s="33">
        <v>883241</v>
      </c>
    </row>
    <row r="40" spans="1:3" ht="16" thickBot="1">
      <c r="A40">
        <v>129020</v>
      </c>
      <c r="B40" t="s">
        <v>87</v>
      </c>
      <c r="C40" s="33">
        <v>68135</v>
      </c>
    </row>
    <row r="41" spans="1:3" ht="16" thickBot="1">
      <c r="A41">
        <v>162283</v>
      </c>
      <c r="B41" t="s">
        <v>88</v>
      </c>
      <c r="C41" s="16">
        <v>70481</v>
      </c>
    </row>
    <row r="42" spans="1:3" ht="16" thickBot="1">
      <c r="A42">
        <v>198464</v>
      </c>
      <c r="B42" t="s">
        <v>89</v>
      </c>
      <c r="C42" s="33">
        <v>34614</v>
      </c>
    </row>
    <row r="43" spans="1:3" ht="16" thickBot="1">
      <c r="A43">
        <v>144892</v>
      </c>
      <c r="B43" t="s">
        <v>91</v>
      </c>
      <c r="C43" s="33">
        <v>217769</v>
      </c>
    </row>
    <row r="44" spans="1:3" ht="16" thickBot="1">
      <c r="A44">
        <v>156620</v>
      </c>
      <c r="B44" t="s">
        <v>92</v>
      </c>
      <c r="C44" s="33">
        <v>601798</v>
      </c>
    </row>
    <row r="45" spans="1:3" ht="16" thickBot="1">
      <c r="A45">
        <v>169798</v>
      </c>
      <c r="B45" t="s">
        <v>93</v>
      </c>
      <c r="C45" s="33">
        <v>753886</v>
      </c>
    </row>
    <row r="46" spans="1:3" ht="16" thickBot="1">
      <c r="A46">
        <v>235097</v>
      </c>
      <c r="B46" t="s">
        <v>94</v>
      </c>
      <c r="C46" s="33">
        <v>562154</v>
      </c>
    </row>
    <row r="47" spans="1:3" ht="16" thickBot="1">
      <c r="A47">
        <v>134130</v>
      </c>
      <c r="B47" t="s">
        <v>95</v>
      </c>
      <c r="C47" s="33">
        <v>640852</v>
      </c>
    </row>
    <row r="48" spans="1:3" ht="16" thickBot="1">
      <c r="A48">
        <v>133669</v>
      </c>
      <c r="B48" t="s">
        <v>96</v>
      </c>
      <c r="C48" s="33">
        <v>5382</v>
      </c>
    </row>
    <row r="49" spans="1:3">
      <c r="A49">
        <v>433660</v>
      </c>
      <c r="B49" t="s">
        <v>97</v>
      </c>
      <c r="C49" s="30">
        <v>230037</v>
      </c>
    </row>
    <row r="50" spans="1:3" ht="16" thickBot="1">
      <c r="A50">
        <v>133951</v>
      </c>
      <c r="B50" t="s">
        <v>98</v>
      </c>
      <c r="C50" s="33">
        <v>139791</v>
      </c>
    </row>
    <row r="51" spans="1:3" ht="16" thickBot="1">
      <c r="A51">
        <v>134097</v>
      </c>
      <c r="B51" t="s">
        <v>99</v>
      </c>
      <c r="C51" s="33">
        <v>1476780</v>
      </c>
    </row>
    <row r="52" spans="1:3" ht="16" thickBot="1">
      <c r="A52">
        <v>110556</v>
      </c>
      <c r="B52" t="s">
        <v>100</v>
      </c>
      <c r="C52" s="33">
        <v>512521</v>
      </c>
    </row>
    <row r="53" spans="1:3" ht="16" thickBot="1">
      <c r="A53">
        <v>139959</v>
      </c>
      <c r="B53" t="s">
        <v>102</v>
      </c>
      <c r="C53" s="33">
        <v>120358</v>
      </c>
    </row>
    <row r="54" spans="1:3" ht="16" thickBot="1">
      <c r="A54">
        <v>139931</v>
      </c>
      <c r="B54" t="s">
        <v>103</v>
      </c>
      <c r="C54" s="33">
        <v>77059</v>
      </c>
    </row>
    <row r="55" spans="1:3" ht="16" thickBot="1">
      <c r="A55">
        <v>139940</v>
      </c>
      <c r="B55" t="s">
        <v>104</v>
      </c>
      <c r="C55" s="33">
        <v>281194</v>
      </c>
    </row>
    <row r="56" spans="1:3" ht="16" thickBot="1">
      <c r="A56">
        <v>139755</v>
      </c>
      <c r="B56" t="s">
        <v>105</v>
      </c>
      <c r="C56" s="33">
        <v>354951</v>
      </c>
    </row>
    <row r="57" spans="1:3" ht="16" thickBot="1">
      <c r="A57">
        <v>159009</v>
      </c>
      <c r="B57" t="s">
        <v>106</v>
      </c>
      <c r="C57" s="33">
        <v>85704</v>
      </c>
    </row>
    <row r="58" spans="1:3" ht="16" thickBot="1">
      <c r="A58">
        <v>141574</v>
      </c>
      <c r="B58" t="s">
        <v>107</v>
      </c>
      <c r="C58" s="18">
        <v>1670470</v>
      </c>
    </row>
    <row r="59" spans="1:3" ht="16" thickBot="1">
      <c r="A59">
        <v>225511</v>
      </c>
      <c r="B59" t="s">
        <v>108</v>
      </c>
      <c r="C59" s="33">
        <v>33074</v>
      </c>
    </row>
    <row r="60" spans="1:3" ht="16" thickBot="1">
      <c r="A60">
        <v>142285</v>
      </c>
      <c r="B60" t="s">
        <v>109</v>
      </c>
      <c r="C60" s="33">
        <v>717205</v>
      </c>
    </row>
    <row r="61" spans="1:3" ht="16" thickBot="1">
      <c r="A61">
        <v>142276</v>
      </c>
      <c r="B61" t="s">
        <v>110</v>
      </c>
      <c r="C61" s="33">
        <v>358974</v>
      </c>
    </row>
    <row r="62" spans="1:3" ht="16" thickBot="1">
      <c r="A62">
        <v>145637</v>
      </c>
      <c r="B62" t="s">
        <v>111</v>
      </c>
      <c r="C62" s="33">
        <v>800556</v>
      </c>
    </row>
    <row r="63" spans="1:3">
      <c r="A63">
        <v>145600</v>
      </c>
      <c r="B63" t="s">
        <v>112</v>
      </c>
      <c r="C63" s="22">
        <v>518818</v>
      </c>
    </row>
    <row r="64" spans="1:3" ht="16" thickBot="1">
      <c r="A64">
        <v>145813</v>
      </c>
      <c r="B64" t="s">
        <v>113</v>
      </c>
      <c r="C64" s="33">
        <v>370185</v>
      </c>
    </row>
    <row r="65" spans="1:3" ht="16" thickBot="1">
      <c r="A65">
        <v>151351</v>
      </c>
      <c r="B65" t="s">
        <v>114</v>
      </c>
      <c r="C65" s="33">
        <v>87628</v>
      </c>
    </row>
    <row r="66" spans="1:3" ht="16" thickBot="1">
      <c r="A66">
        <v>151324</v>
      </c>
      <c r="B66" t="s">
        <v>115</v>
      </c>
      <c r="C66" s="18">
        <v>528394</v>
      </c>
    </row>
    <row r="67" spans="1:3" ht="16" thickBot="1">
      <c r="A67">
        <v>153658</v>
      </c>
      <c r="B67" t="s">
        <v>116</v>
      </c>
      <c r="C67" s="33">
        <v>243004</v>
      </c>
    </row>
    <row r="68" spans="1:3" ht="16" thickBot="1">
      <c r="A68">
        <v>153603</v>
      </c>
      <c r="B68" t="s">
        <v>117</v>
      </c>
      <c r="C68" s="33">
        <v>226374</v>
      </c>
    </row>
    <row r="69" spans="1:3" ht="16" thickBot="1">
      <c r="A69">
        <v>151111</v>
      </c>
      <c r="B69" t="s">
        <v>118</v>
      </c>
      <c r="C69" s="33">
        <v>24275</v>
      </c>
    </row>
    <row r="70" spans="1:3" ht="16" thickBot="1">
      <c r="A70">
        <v>232423</v>
      </c>
      <c r="B70" t="s">
        <v>121</v>
      </c>
      <c r="C70" s="16">
        <v>32032</v>
      </c>
    </row>
    <row r="71" spans="1:3" ht="16" thickBot="1">
      <c r="A71">
        <v>155317</v>
      </c>
      <c r="B71" t="s">
        <v>122</v>
      </c>
      <c r="C71" s="33">
        <v>115552</v>
      </c>
    </row>
    <row r="72" spans="1:3" ht="16" thickBot="1">
      <c r="A72">
        <v>155399</v>
      </c>
      <c r="B72" t="s">
        <v>123</v>
      </c>
      <c r="C72" s="36">
        <v>53817</v>
      </c>
    </row>
    <row r="73" spans="1:3" ht="16" thickBot="1">
      <c r="A73">
        <v>486840</v>
      </c>
      <c r="B73" t="s">
        <v>279</v>
      </c>
      <c r="C73" s="33">
        <v>106457</v>
      </c>
    </row>
    <row r="74" spans="1:3" ht="16" thickBot="1">
      <c r="A74">
        <v>203517</v>
      </c>
      <c r="B74" t="s">
        <v>125</v>
      </c>
      <c r="C74" s="33">
        <v>56411</v>
      </c>
    </row>
    <row r="75" spans="1:3" ht="16" thickBot="1">
      <c r="A75">
        <v>157085</v>
      </c>
      <c r="B75" t="s">
        <v>126</v>
      </c>
      <c r="C75" s="33">
        <v>468971</v>
      </c>
    </row>
    <row r="76" spans="1:3" ht="16" thickBot="1">
      <c r="A76">
        <v>226091</v>
      </c>
      <c r="B76" t="s">
        <v>127</v>
      </c>
      <c r="C76" s="33">
        <v>591704</v>
      </c>
    </row>
    <row r="77" spans="1:3" ht="16" thickBot="1">
      <c r="A77">
        <v>110583</v>
      </c>
      <c r="B77" t="s">
        <v>128</v>
      </c>
      <c r="C77" s="16">
        <v>782809</v>
      </c>
    </row>
    <row r="78" spans="1:3" ht="16" thickBot="1">
      <c r="A78">
        <v>160658</v>
      </c>
      <c r="B78" t="s">
        <v>280</v>
      </c>
      <c r="C78" s="33">
        <v>108558</v>
      </c>
    </row>
    <row r="79" spans="1:3">
      <c r="A79">
        <v>159993</v>
      </c>
      <c r="B79" t="s">
        <v>131</v>
      </c>
      <c r="C79" s="30">
        <v>18383</v>
      </c>
    </row>
    <row r="80" spans="1:3" ht="16" thickBot="1">
      <c r="A80">
        <v>159647</v>
      </c>
      <c r="B80" t="s">
        <v>132</v>
      </c>
      <c r="C80" s="36">
        <v>738953</v>
      </c>
    </row>
    <row r="81" spans="1:3" ht="16" thickBot="1">
      <c r="A81">
        <v>157289</v>
      </c>
      <c r="B81" t="s">
        <v>133</v>
      </c>
      <c r="C81" s="33">
        <v>138348</v>
      </c>
    </row>
    <row r="82" spans="1:3" ht="16" thickBot="1">
      <c r="A82">
        <v>159391</v>
      </c>
      <c r="B82" t="s">
        <v>134</v>
      </c>
      <c r="C82" s="33">
        <v>88871</v>
      </c>
    </row>
    <row r="83" spans="1:3" ht="16" thickBot="1">
      <c r="A83">
        <v>237525</v>
      </c>
      <c r="B83" t="s">
        <v>136</v>
      </c>
      <c r="C83" s="33">
        <v>714700</v>
      </c>
    </row>
    <row r="84" spans="1:3" ht="16" thickBot="1">
      <c r="A84">
        <v>163286</v>
      </c>
      <c r="B84" t="s">
        <v>137</v>
      </c>
      <c r="C84" s="33">
        <v>226606</v>
      </c>
    </row>
    <row r="85" spans="1:3" ht="16" thickBot="1">
      <c r="A85">
        <v>163268</v>
      </c>
      <c r="B85" t="s">
        <v>138</v>
      </c>
      <c r="C85" s="33"/>
    </row>
    <row r="86" spans="1:3" ht="16" thickBot="1">
      <c r="A86">
        <v>163338</v>
      </c>
      <c r="B86" t="s">
        <v>139</v>
      </c>
      <c r="C86" s="33">
        <v>22450</v>
      </c>
    </row>
    <row r="87" spans="1:3" ht="16" thickBot="1">
      <c r="A87">
        <v>166513</v>
      </c>
      <c r="B87" t="s">
        <v>141</v>
      </c>
      <c r="C87" s="33">
        <v>739861</v>
      </c>
    </row>
    <row r="88" spans="1:3" ht="16" thickBot="1">
      <c r="A88">
        <v>159717</v>
      </c>
      <c r="B88" t="s">
        <v>142</v>
      </c>
      <c r="C88" s="33">
        <v>548852</v>
      </c>
    </row>
    <row r="89" spans="1:3" ht="16" thickBot="1">
      <c r="A89">
        <v>220862</v>
      </c>
      <c r="B89" t="s">
        <v>143</v>
      </c>
      <c r="C89" s="33">
        <v>3150</v>
      </c>
    </row>
    <row r="90" spans="1:3" ht="16" thickBot="1">
      <c r="A90">
        <v>204024</v>
      </c>
      <c r="B90" t="s">
        <v>144</v>
      </c>
      <c r="C90" s="33">
        <v>1131824</v>
      </c>
    </row>
    <row r="91" spans="1:3" ht="16" thickBot="1">
      <c r="A91">
        <v>170976</v>
      </c>
      <c r="B91" t="s">
        <v>145</v>
      </c>
      <c r="C91" s="33">
        <v>235969</v>
      </c>
    </row>
    <row r="92" spans="1:3" ht="16" thickBot="1">
      <c r="A92">
        <v>171100</v>
      </c>
      <c r="B92" t="s">
        <v>146</v>
      </c>
      <c r="C92" s="33">
        <v>598491</v>
      </c>
    </row>
    <row r="93" spans="1:3" ht="17" thickBot="1">
      <c r="A93">
        <v>220978</v>
      </c>
      <c r="B93" t="s">
        <v>147</v>
      </c>
      <c r="C93" s="8">
        <v>1081763</v>
      </c>
    </row>
    <row r="94" spans="1:3" ht="16" thickBot="1">
      <c r="A94">
        <v>174066</v>
      </c>
      <c r="B94" t="s">
        <v>148</v>
      </c>
      <c r="C94" s="33">
        <v>737064</v>
      </c>
    </row>
    <row r="95" spans="1:3">
      <c r="A95">
        <v>176017</v>
      </c>
      <c r="B95" t="s">
        <v>149</v>
      </c>
      <c r="C95" s="30">
        <v>301534</v>
      </c>
    </row>
    <row r="96" spans="1:3" ht="16" thickBot="1">
      <c r="A96">
        <v>176080</v>
      </c>
      <c r="B96" t="s">
        <v>150</v>
      </c>
      <c r="C96" s="33">
        <v>86518</v>
      </c>
    </row>
    <row r="97" spans="1:3" ht="16" thickBot="1">
      <c r="A97">
        <v>178396</v>
      </c>
      <c r="B97" t="s">
        <v>152</v>
      </c>
      <c r="C97" s="33">
        <v>300174</v>
      </c>
    </row>
    <row r="98" spans="1:3" ht="16" thickBot="1">
      <c r="A98">
        <v>178402</v>
      </c>
      <c r="B98" t="s">
        <v>153</v>
      </c>
      <c r="C98" s="33">
        <v>712791</v>
      </c>
    </row>
    <row r="99" spans="1:3" ht="16" thickBot="1">
      <c r="A99">
        <v>179566</v>
      </c>
      <c r="B99" t="s">
        <v>154</v>
      </c>
      <c r="C99" s="33">
        <v>874398</v>
      </c>
    </row>
    <row r="100" spans="1:3" ht="16" thickBot="1">
      <c r="A100">
        <v>180489</v>
      </c>
      <c r="B100" t="s">
        <v>155</v>
      </c>
      <c r="C100" s="33">
        <v>437139</v>
      </c>
    </row>
    <row r="101" spans="1:3" ht="16" thickBot="1">
      <c r="A101">
        <v>180461</v>
      </c>
      <c r="B101" t="s">
        <v>156</v>
      </c>
      <c r="C101" s="33">
        <v>933068</v>
      </c>
    </row>
    <row r="102" spans="1:3" ht="16" thickBot="1">
      <c r="A102">
        <v>157386</v>
      </c>
      <c r="B102" t="s">
        <v>157</v>
      </c>
      <c r="C102" s="33">
        <v>773908</v>
      </c>
    </row>
    <row r="103" spans="1:3" ht="16" thickBot="1">
      <c r="A103">
        <v>163453</v>
      </c>
      <c r="B103" t="s">
        <v>158</v>
      </c>
      <c r="C103" s="33">
        <v>13375</v>
      </c>
    </row>
    <row r="104" spans="1:3" ht="16" thickBot="1">
      <c r="A104">
        <v>157401</v>
      </c>
      <c r="B104" t="s">
        <v>159</v>
      </c>
      <c r="C104" s="33">
        <v>32156</v>
      </c>
    </row>
    <row r="105" spans="1:3" ht="16" thickBot="1">
      <c r="A105">
        <v>500000</v>
      </c>
      <c r="B105" t="s">
        <v>160</v>
      </c>
      <c r="C105" s="16">
        <v>310763</v>
      </c>
    </row>
    <row r="106" spans="1:3" ht="16" thickBot="1">
      <c r="A106">
        <v>181464</v>
      </c>
      <c r="B106" t="s">
        <v>161</v>
      </c>
      <c r="C106" s="33">
        <v>4211798</v>
      </c>
    </row>
    <row r="107" spans="1:3" ht="16" thickBot="1">
      <c r="A107">
        <v>181394</v>
      </c>
      <c r="B107" t="s">
        <v>162</v>
      </c>
      <c r="C107" s="33">
        <v>837913</v>
      </c>
    </row>
    <row r="108" spans="1:3" ht="16" thickBot="1">
      <c r="A108">
        <v>182290</v>
      </c>
      <c r="B108" t="s">
        <v>163</v>
      </c>
      <c r="C108" s="18">
        <v>237497</v>
      </c>
    </row>
    <row r="109" spans="1:3" ht="16" thickBot="1">
      <c r="A109">
        <v>183044</v>
      </c>
      <c r="B109" t="s">
        <v>164</v>
      </c>
      <c r="C109" s="33">
        <v>665782</v>
      </c>
    </row>
    <row r="110" spans="1:3" ht="16" thickBot="1">
      <c r="A110">
        <v>187985</v>
      </c>
      <c r="B110" t="s">
        <v>165</v>
      </c>
      <c r="C110" s="33">
        <v>31869</v>
      </c>
    </row>
    <row r="111" spans="1:3">
      <c r="A111">
        <v>188030</v>
      </c>
      <c r="B111" t="s">
        <v>166</v>
      </c>
      <c r="C111" s="23">
        <v>330449</v>
      </c>
    </row>
    <row r="112" spans="1:3" ht="16" thickBot="1">
      <c r="A112">
        <v>159939</v>
      </c>
      <c r="B112" t="s">
        <v>167</v>
      </c>
      <c r="C112" s="33">
        <v>4827</v>
      </c>
    </row>
    <row r="113" spans="1:3" ht="16" thickBot="1">
      <c r="A113">
        <v>159966</v>
      </c>
      <c r="B113" t="s">
        <v>168</v>
      </c>
      <c r="C113" s="33">
        <v>405931</v>
      </c>
    </row>
    <row r="114" spans="1:3" ht="16" thickBot="1">
      <c r="A114">
        <v>185828</v>
      </c>
      <c r="B114" t="s">
        <v>169</v>
      </c>
      <c r="C114" s="33">
        <v>627931</v>
      </c>
    </row>
    <row r="115" spans="1:3" ht="16" thickBot="1">
      <c r="A115">
        <v>199120</v>
      </c>
      <c r="B115" t="s">
        <v>172</v>
      </c>
      <c r="C115" s="18">
        <v>689059</v>
      </c>
    </row>
    <row r="116" spans="1:3" ht="16" thickBot="1">
      <c r="A116">
        <v>199102</v>
      </c>
      <c r="B116" t="s">
        <v>173</v>
      </c>
      <c r="C116" s="33">
        <v>480178</v>
      </c>
    </row>
    <row r="117" spans="1:3" ht="16" thickBot="1">
      <c r="A117">
        <v>199111</v>
      </c>
      <c r="B117" t="s">
        <v>275</v>
      </c>
      <c r="C117" s="33">
        <v>134423</v>
      </c>
    </row>
    <row r="118" spans="1:3" ht="16" thickBot="1">
      <c r="A118">
        <v>199157</v>
      </c>
      <c r="B118" t="s">
        <v>174</v>
      </c>
      <c r="C118" s="33">
        <v>455</v>
      </c>
    </row>
    <row r="119" spans="1:3" ht="16" thickBot="1">
      <c r="A119">
        <v>199148</v>
      </c>
      <c r="B119" t="s">
        <v>276</v>
      </c>
      <c r="C119" s="33">
        <v>706838</v>
      </c>
    </row>
    <row r="120" spans="1:3" ht="16" thickBot="1">
      <c r="A120">
        <v>199193</v>
      </c>
      <c r="B120" t="s">
        <v>175</v>
      </c>
      <c r="C120" s="33">
        <v>866232</v>
      </c>
    </row>
    <row r="121" spans="1:3" ht="16" thickBot="1">
      <c r="A121">
        <v>199218</v>
      </c>
      <c r="B121" t="s">
        <v>176</v>
      </c>
      <c r="C121" s="33">
        <v>38890</v>
      </c>
    </row>
    <row r="122" spans="1:3" ht="16" thickBot="1">
      <c r="A122">
        <v>200280</v>
      </c>
      <c r="B122" t="s">
        <v>177</v>
      </c>
      <c r="C122" s="33">
        <v>125778</v>
      </c>
    </row>
    <row r="123" spans="1:3" ht="16" thickBot="1">
      <c r="A123">
        <v>200332</v>
      </c>
      <c r="B123" t="s">
        <v>178</v>
      </c>
      <c r="C123" s="33">
        <v>431887</v>
      </c>
    </row>
    <row r="124" spans="1:3">
      <c r="A124">
        <v>136172</v>
      </c>
      <c r="B124" t="s">
        <v>179</v>
      </c>
      <c r="C124" s="30">
        <v>109288</v>
      </c>
    </row>
    <row r="125" spans="1:3" ht="16" thickBot="1">
      <c r="A125">
        <v>227216</v>
      </c>
      <c r="B125" t="s">
        <v>180</v>
      </c>
      <c r="C125" s="33">
        <v>25514</v>
      </c>
    </row>
    <row r="126" spans="1:3" ht="16" thickBot="1">
      <c r="A126">
        <v>105330</v>
      </c>
      <c r="B126" t="s">
        <v>181</v>
      </c>
      <c r="C126" s="33">
        <v>1005636</v>
      </c>
    </row>
    <row r="127" spans="1:3" ht="16" thickBot="1">
      <c r="A127">
        <v>127741</v>
      </c>
      <c r="B127" t="s">
        <v>182</v>
      </c>
      <c r="C127" s="18">
        <v>894436</v>
      </c>
    </row>
    <row r="128" spans="1:3" ht="16" thickBot="1">
      <c r="A128">
        <v>147703</v>
      </c>
      <c r="B128" t="s">
        <v>183</v>
      </c>
      <c r="C128" s="33">
        <v>194065</v>
      </c>
    </row>
    <row r="129" spans="1:3" ht="16" thickBot="1">
      <c r="A129">
        <v>154095</v>
      </c>
      <c r="B129" t="s">
        <v>184</v>
      </c>
      <c r="C129" s="33">
        <v>575027</v>
      </c>
    </row>
    <row r="130" spans="1:3" ht="16" thickBot="1">
      <c r="A130">
        <v>160038</v>
      </c>
      <c r="B130" t="s">
        <v>185</v>
      </c>
      <c r="C130" s="33">
        <v>490883</v>
      </c>
    </row>
    <row r="131" spans="1:3" ht="16" thickBot="1">
      <c r="A131">
        <v>171571</v>
      </c>
      <c r="B131" t="s">
        <v>186</v>
      </c>
      <c r="C131" s="18">
        <v>558106</v>
      </c>
    </row>
    <row r="132" spans="1:3" ht="16" thickBot="1">
      <c r="A132">
        <v>204857</v>
      </c>
      <c r="B132" t="s">
        <v>187</v>
      </c>
      <c r="C132" s="33">
        <v>1108468</v>
      </c>
    </row>
    <row r="133" spans="1:3" ht="16" thickBot="1">
      <c r="A133">
        <v>204796</v>
      </c>
      <c r="B133" t="s">
        <v>188</v>
      </c>
      <c r="C133" s="33">
        <v>304564</v>
      </c>
    </row>
    <row r="134" spans="1:3" ht="16" thickBot="1">
      <c r="A134">
        <v>207500</v>
      </c>
      <c r="B134" t="s">
        <v>189</v>
      </c>
      <c r="C134" s="33">
        <v>188927</v>
      </c>
    </row>
    <row r="135" spans="1:3" ht="16" thickBot="1">
      <c r="A135">
        <v>232982</v>
      </c>
      <c r="B135" t="s">
        <v>191</v>
      </c>
      <c r="C135" s="35">
        <v>16076</v>
      </c>
    </row>
    <row r="136" spans="1:3">
      <c r="A136">
        <v>209551</v>
      </c>
      <c r="B136" t="s">
        <v>192</v>
      </c>
      <c r="C136" s="30">
        <v>582329</v>
      </c>
    </row>
    <row r="137" spans="1:3" ht="16" thickBot="1">
      <c r="A137">
        <v>209542</v>
      </c>
      <c r="B137" t="s">
        <v>193</v>
      </c>
      <c r="C137" s="18">
        <v>265053</v>
      </c>
    </row>
    <row r="138" spans="1:3" ht="16" thickBot="1">
      <c r="A138">
        <v>214777</v>
      </c>
      <c r="B138" t="s">
        <v>194</v>
      </c>
      <c r="C138" s="33">
        <v>1212691</v>
      </c>
    </row>
    <row r="139" spans="1:3" ht="16" thickBot="1">
      <c r="A139">
        <v>209807</v>
      </c>
      <c r="B139" t="s">
        <v>195</v>
      </c>
      <c r="C139" s="33">
        <v>4407</v>
      </c>
    </row>
    <row r="140" spans="1:3" ht="16" thickBot="1">
      <c r="A140">
        <v>227526</v>
      </c>
      <c r="B140" t="s">
        <v>196</v>
      </c>
      <c r="C140" s="33">
        <v>428187</v>
      </c>
    </row>
    <row r="141" spans="1:3" ht="16" thickBot="1">
      <c r="A141">
        <v>243780</v>
      </c>
      <c r="B141" t="s">
        <v>197</v>
      </c>
      <c r="C141" s="33">
        <v>722304</v>
      </c>
    </row>
    <row r="142" spans="1:3" ht="16" thickBot="1">
      <c r="A142">
        <v>151102</v>
      </c>
      <c r="B142" t="s">
        <v>198</v>
      </c>
      <c r="C142" s="33">
        <v>575134</v>
      </c>
    </row>
    <row r="143" spans="1:3" ht="16" thickBot="1">
      <c r="A143">
        <v>233277</v>
      </c>
      <c r="B143" t="s">
        <v>199</v>
      </c>
      <c r="C143" s="16">
        <v>38680</v>
      </c>
    </row>
    <row r="144" spans="1:3" ht="16" thickBot="1">
      <c r="A144">
        <v>217484</v>
      </c>
      <c r="B144" t="s">
        <v>200</v>
      </c>
      <c r="C144" s="33">
        <v>765958</v>
      </c>
    </row>
    <row r="145" spans="1:3" ht="16" thickBot="1">
      <c r="A145">
        <v>186380</v>
      </c>
      <c r="B145" t="s">
        <v>201</v>
      </c>
      <c r="C145" s="33">
        <v>57180</v>
      </c>
    </row>
    <row r="146" spans="1:3" ht="16" thickBot="1">
      <c r="A146">
        <v>110617</v>
      </c>
      <c r="B146" t="s">
        <v>202</v>
      </c>
      <c r="C146" s="18">
        <v>393777</v>
      </c>
    </row>
    <row r="147" spans="1:3" ht="16" thickBot="1">
      <c r="A147">
        <v>227881</v>
      </c>
      <c r="B147" t="s">
        <v>203</v>
      </c>
      <c r="C147" s="33">
        <v>240854</v>
      </c>
    </row>
    <row r="148" spans="1:3" ht="16" thickBot="1">
      <c r="A148">
        <v>122409</v>
      </c>
      <c r="B148" t="s">
        <v>204</v>
      </c>
      <c r="C148" s="33">
        <v>1126608</v>
      </c>
    </row>
    <row r="149" spans="1:3" ht="16" thickBot="1">
      <c r="A149">
        <v>122755</v>
      </c>
      <c r="B149" t="s">
        <v>205</v>
      </c>
      <c r="C149" s="33">
        <v>286326</v>
      </c>
    </row>
    <row r="150" spans="1:3" ht="16" thickBot="1">
      <c r="A150">
        <v>140960</v>
      </c>
      <c r="B150" t="s">
        <v>206</v>
      </c>
      <c r="C150" s="33">
        <v>5040</v>
      </c>
    </row>
    <row r="151" spans="1:3" ht="16" thickBot="1">
      <c r="A151">
        <v>149231</v>
      </c>
      <c r="B151" t="s">
        <v>281</v>
      </c>
      <c r="C151" s="34">
        <v>405569</v>
      </c>
    </row>
    <row r="152" spans="1:3" ht="17" thickBot="1">
      <c r="A152">
        <v>102094</v>
      </c>
      <c r="B152" t="s">
        <v>207</v>
      </c>
      <c r="C152" s="9">
        <v>901593</v>
      </c>
    </row>
    <row r="153" spans="1:3" ht="16" thickBot="1">
      <c r="A153">
        <v>218663</v>
      </c>
      <c r="B153" t="s">
        <v>208</v>
      </c>
      <c r="C153" s="33">
        <v>288725</v>
      </c>
    </row>
    <row r="154" spans="1:3" ht="16" thickBot="1">
      <c r="A154">
        <v>218742</v>
      </c>
      <c r="B154" t="s">
        <v>210</v>
      </c>
      <c r="C154" s="34">
        <v>409589</v>
      </c>
    </row>
    <row r="155" spans="1:3" ht="16" thickBot="1">
      <c r="A155">
        <v>219471</v>
      </c>
      <c r="B155" t="s">
        <v>211</v>
      </c>
      <c r="C155" s="33">
        <v>505812</v>
      </c>
    </row>
    <row r="156" spans="1:3">
      <c r="A156">
        <v>219356</v>
      </c>
      <c r="B156" t="s">
        <v>212</v>
      </c>
      <c r="C156" s="31">
        <v>7614</v>
      </c>
    </row>
    <row r="157" spans="1:3" ht="16" thickBot="1">
      <c r="A157">
        <v>137351</v>
      </c>
      <c r="B157" t="s">
        <v>213</v>
      </c>
      <c r="C157" s="33">
        <v>115706</v>
      </c>
    </row>
    <row r="158" spans="1:3" ht="16" thickBot="1">
      <c r="A158">
        <v>179557</v>
      </c>
      <c r="B158" t="s">
        <v>214</v>
      </c>
      <c r="C158" s="18">
        <v>327634</v>
      </c>
    </row>
    <row r="159" spans="1:3" ht="16" thickBot="1">
      <c r="A159">
        <v>160621</v>
      </c>
      <c r="B159" t="s">
        <v>216</v>
      </c>
      <c r="C159" s="34">
        <v>0</v>
      </c>
    </row>
    <row r="160" spans="1:3" ht="16" thickBot="1">
      <c r="A160">
        <v>149222</v>
      </c>
      <c r="B160" t="s">
        <v>217</v>
      </c>
      <c r="C160" s="34">
        <v>115725</v>
      </c>
    </row>
    <row r="161" spans="1:3" ht="16" thickBot="1">
      <c r="A161">
        <v>176372</v>
      </c>
      <c r="B161" t="s">
        <v>219</v>
      </c>
      <c r="C161" s="33">
        <v>75143</v>
      </c>
    </row>
    <row r="162" spans="1:3" ht="16" thickBot="1">
      <c r="A162">
        <v>230603</v>
      </c>
      <c r="B162" t="s">
        <v>220</v>
      </c>
      <c r="C162" s="34">
        <v>540416</v>
      </c>
    </row>
    <row r="163" spans="1:3" ht="16" thickBot="1">
      <c r="A163">
        <v>228431</v>
      </c>
      <c r="B163" t="s">
        <v>221</v>
      </c>
      <c r="C163" s="34">
        <v>662067</v>
      </c>
    </row>
    <row r="164" spans="1:3" ht="16" thickBot="1">
      <c r="A164">
        <v>196097</v>
      </c>
      <c r="B164" t="s">
        <v>222</v>
      </c>
      <c r="C164" s="34">
        <v>752862</v>
      </c>
    </row>
    <row r="165" spans="1:3" ht="16" thickBot="1">
      <c r="A165">
        <v>221759</v>
      </c>
      <c r="B165" t="s">
        <v>223</v>
      </c>
      <c r="C165" s="33">
        <v>382715</v>
      </c>
    </row>
    <row r="166" spans="1:3" ht="16" thickBot="1">
      <c r="A166">
        <v>221740</v>
      </c>
      <c r="B166" t="s">
        <v>224</v>
      </c>
      <c r="C166" s="18">
        <v>656042</v>
      </c>
    </row>
    <row r="167" spans="1:3" ht="16" thickBot="1">
      <c r="A167">
        <v>221847</v>
      </c>
      <c r="B167" t="s">
        <v>227</v>
      </c>
      <c r="C167" s="18">
        <v>141824</v>
      </c>
    </row>
    <row r="168" spans="1:3" ht="16" thickBot="1">
      <c r="A168">
        <v>228778</v>
      </c>
      <c r="B168" t="s">
        <v>228</v>
      </c>
      <c r="C168" s="18">
        <v>2158828</v>
      </c>
    </row>
    <row r="169" spans="1:3" ht="16" thickBot="1">
      <c r="A169">
        <v>228723</v>
      </c>
      <c r="B169" t="s">
        <v>229</v>
      </c>
      <c r="C169" s="33">
        <v>930566</v>
      </c>
    </row>
    <row r="170" spans="1:3" ht="16" thickBot="1">
      <c r="A170">
        <v>224147</v>
      </c>
      <c r="B170" t="s">
        <v>230</v>
      </c>
      <c r="C170" s="34">
        <v>113784</v>
      </c>
    </row>
    <row r="171" spans="1:3" ht="16" thickBot="1">
      <c r="A171">
        <v>228769</v>
      </c>
      <c r="B171" t="s">
        <v>231</v>
      </c>
      <c r="C171" s="34">
        <v>39659</v>
      </c>
    </row>
    <row r="172" spans="1:3" ht="16" thickBot="1">
      <c r="A172">
        <v>229063</v>
      </c>
      <c r="B172" t="s">
        <v>232</v>
      </c>
      <c r="C172" s="33">
        <v>16763</v>
      </c>
    </row>
    <row r="173" spans="1:3" ht="16" thickBot="1">
      <c r="A173">
        <v>228459</v>
      </c>
      <c r="B173" t="s">
        <v>233</v>
      </c>
      <c r="C173" s="33">
        <v>125449</v>
      </c>
    </row>
    <row r="174" spans="1:3" ht="16" thickBot="1">
      <c r="A174">
        <v>229115</v>
      </c>
      <c r="B174" t="s">
        <v>234</v>
      </c>
      <c r="C174" s="33">
        <v>283823</v>
      </c>
    </row>
    <row r="175" spans="1:3">
      <c r="A175">
        <v>206084</v>
      </c>
      <c r="B175" t="s">
        <v>235</v>
      </c>
      <c r="C175" s="30">
        <v>41032</v>
      </c>
    </row>
    <row r="176" spans="1:3" ht="16" thickBot="1">
      <c r="A176">
        <v>164076</v>
      </c>
      <c r="B176" t="s">
        <v>236</v>
      </c>
      <c r="C176" s="34">
        <v>155542</v>
      </c>
    </row>
    <row r="177" spans="1:3" ht="16" thickBot="1">
      <c r="A177">
        <v>100663</v>
      </c>
      <c r="B177" t="s">
        <v>238</v>
      </c>
      <c r="C177" s="16">
        <v>991323</v>
      </c>
    </row>
    <row r="178" spans="1:3" ht="16" thickBot="1">
      <c r="A178">
        <v>110644</v>
      </c>
      <c r="B178" t="s">
        <v>239</v>
      </c>
      <c r="C178" s="33">
        <v>113788</v>
      </c>
    </row>
    <row r="179" spans="1:3" ht="16" thickBot="1">
      <c r="A179">
        <v>110653</v>
      </c>
      <c r="B179" t="s">
        <v>240</v>
      </c>
      <c r="C179" s="33">
        <v>796732</v>
      </c>
    </row>
    <row r="180" spans="1:3" ht="16" thickBot="1">
      <c r="A180">
        <v>110671</v>
      </c>
      <c r="B180" t="s">
        <v>241</v>
      </c>
      <c r="C180" s="33">
        <v>1368137</v>
      </c>
    </row>
    <row r="181" spans="1:3" ht="16" thickBot="1">
      <c r="A181">
        <v>110705</v>
      </c>
      <c r="B181" t="s">
        <v>242</v>
      </c>
      <c r="C181" s="33">
        <v>1099269</v>
      </c>
    </row>
    <row r="182" spans="1:3" ht="16" thickBot="1">
      <c r="A182">
        <v>132903</v>
      </c>
      <c r="B182" t="s">
        <v>243</v>
      </c>
      <c r="C182" s="33">
        <v>530397</v>
      </c>
    </row>
    <row r="183" spans="1:3" ht="16" thickBot="1">
      <c r="A183">
        <v>110662</v>
      </c>
      <c r="B183" t="s">
        <v>244</v>
      </c>
      <c r="C183" s="33">
        <v>438831</v>
      </c>
    </row>
    <row r="184" spans="1:3" ht="16" thickBot="1">
      <c r="A184">
        <v>182281</v>
      </c>
      <c r="B184" t="s">
        <v>245</v>
      </c>
      <c r="C184" s="33">
        <v>158596</v>
      </c>
    </row>
    <row r="185" spans="1:3" ht="16" thickBot="1">
      <c r="A185">
        <v>230764</v>
      </c>
      <c r="B185" t="s">
        <v>246</v>
      </c>
      <c r="C185" s="18">
        <v>449097</v>
      </c>
    </row>
    <row r="186" spans="1:3" ht="16" thickBot="1">
      <c r="A186">
        <v>230728</v>
      </c>
      <c r="B186" t="s">
        <v>247</v>
      </c>
      <c r="C186" s="33">
        <v>341685</v>
      </c>
    </row>
    <row r="187" spans="1:3">
      <c r="A187">
        <v>230737</v>
      </c>
      <c r="B187" t="s">
        <v>248</v>
      </c>
      <c r="C187" s="31">
        <v>14875</v>
      </c>
    </row>
    <row r="188" spans="1:3">
      <c r="A188">
        <v>228796</v>
      </c>
      <c r="B188" t="s">
        <v>249</v>
      </c>
      <c r="C188" s="32">
        <v>1388189</v>
      </c>
    </row>
    <row r="189" spans="1:3">
      <c r="A189">
        <v>227368</v>
      </c>
      <c r="B189" t="s">
        <v>250</v>
      </c>
      <c r="C189" s="31">
        <v>127385</v>
      </c>
    </row>
    <row r="190" spans="1:3">
      <c r="A190">
        <v>229027</v>
      </c>
      <c r="B190" t="s">
        <v>251</v>
      </c>
      <c r="C190" s="31">
        <v>158743</v>
      </c>
    </row>
    <row r="191" spans="1:3">
      <c r="A191">
        <v>234030</v>
      </c>
      <c r="B191" t="s">
        <v>252</v>
      </c>
      <c r="C191" s="22">
        <v>10523</v>
      </c>
    </row>
    <row r="192" spans="1:3">
      <c r="A192">
        <v>234076</v>
      </c>
      <c r="B192" t="s">
        <v>254</v>
      </c>
      <c r="C192" s="31">
        <v>797373</v>
      </c>
    </row>
    <row r="193" spans="1:3">
      <c r="A193">
        <v>233921</v>
      </c>
      <c r="B193" t="s">
        <v>255</v>
      </c>
      <c r="C193" s="22">
        <v>270435</v>
      </c>
    </row>
    <row r="194" spans="1:3">
      <c r="A194">
        <v>236948</v>
      </c>
      <c r="B194" t="s">
        <v>257</v>
      </c>
      <c r="C194" s="23">
        <v>932195</v>
      </c>
    </row>
    <row r="195" spans="1:3">
      <c r="A195">
        <v>236939</v>
      </c>
      <c r="B195" t="s">
        <v>258</v>
      </c>
      <c r="C195" s="31">
        <v>1052243</v>
      </c>
    </row>
    <row r="196" spans="1:3">
      <c r="A196">
        <v>230782</v>
      </c>
      <c r="B196" t="s">
        <v>259</v>
      </c>
      <c r="C196" s="31">
        <v>424303</v>
      </c>
    </row>
    <row r="197" spans="1:3">
      <c r="A197">
        <v>238032</v>
      </c>
      <c r="B197" t="s">
        <v>260</v>
      </c>
      <c r="C197" s="31">
        <v>112282</v>
      </c>
    </row>
    <row r="198" spans="1:3">
      <c r="A198">
        <v>200004</v>
      </c>
      <c r="B198" t="s">
        <v>261</v>
      </c>
      <c r="C198" s="31">
        <v>45453</v>
      </c>
    </row>
    <row r="199" spans="1:3">
      <c r="A199">
        <v>149772</v>
      </c>
      <c r="B199" t="s">
        <v>262</v>
      </c>
      <c r="C199" s="31">
        <v>256275</v>
      </c>
    </row>
    <row r="200" spans="1:3">
      <c r="A200">
        <v>157951</v>
      </c>
      <c r="B200" t="s">
        <v>263</v>
      </c>
      <c r="C200" s="31">
        <v>1002669</v>
      </c>
    </row>
    <row r="201" spans="1:3">
      <c r="A201">
        <v>172699</v>
      </c>
      <c r="B201" t="s">
        <v>264</v>
      </c>
      <c r="C201" s="31">
        <v>190238</v>
      </c>
    </row>
    <row r="202" spans="1:3">
      <c r="A202">
        <v>156125</v>
      </c>
      <c r="B202" t="s">
        <v>265</v>
      </c>
      <c r="C202" s="31">
        <v>413104</v>
      </c>
    </row>
    <row r="203" spans="1:3">
      <c r="A203">
        <v>231624</v>
      </c>
      <c r="B203" t="s">
        <v>266</v>
      </c>
      <c r="C203" s="22">
        <v>174958</v>
      </c>
    </row>
    <row r="204" spans="1:3">
      <c r="A204">
        <v>218964</v>
      </c>
      <c r="B204" t="s">
        <v>267</v>
      </c>
      <c r="C204" s="31">
        <v>591144</v>
      </c>
    </row>
    <row r="205" spans="1:3">
      <c r="A205">
        <v>240444</v>
      </c>
      <c r="B205" t="s">
        <v>268</v>
      </c>
      <c r="C205" s="23">
        <v>2144716</v>
      </c>
    </row>
    <row r="206" spans="1:3">
      <c r="A206">
        <v>240277</v>
      </c>
      <c r="B206" t="s">
        <v>269</v>
      </c>
      <c r="C206" s="30">
        <v>349458</v>
      </c>
    </row>
    <row r="207" spans="1:3">
      <c r="A207">
        <v>240453</v>
      </c>
      <c r="B207" t="s">
        <v>270</v>
      </c>
      <c r="C207" s="31">
        <v>312225</v>
      </c>
    </row>
    <row r="208" spans="1:3">
      <c r="A208">
        <v>206604</v>
      </c>
      <c r="B208" t="s">
        <v>271</v>
      </c>
      <c r="C208" s="31">
        <v>636592</v>
      </c>
    </row>
    <row r="209" spans="1:3">
      <c r="A209">
        <v>240727</v>
      </c>
      <c r="B209" t="s">
        <v>272</v>
      </c>
      <c r="C209" s="22">
        <v>726195</v>
      </c>
    </row>
    <row r="210" spans="1:3">
      <c r="A210">
        <v>206695</v>
      </c>
      <c r="B210" t="s">
        <v>273</v>
      </c>
      <c r="C210" s="31">
        <v>14915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76F6-53F8-4690-866C-A1489FA967E5}">
  <sheetPr>
    <tabColor theme="0"/>
  </sheetPr>
  <dimension ref="A1:C207"/>
  <sheetViews>
    <sheetView workbookViewId="0"/>
  </sheetViews>
  <sheetFormatPr baseColWidth="10" defaultColWidth="9.1640625" defaultRowHeight="15"/>
  <cols>
    <col min="1" max="1" width="7.1640625" bestFit="1" customWidth="1"/>
    <col min="2" max="2" width="23.83203125" bestFit="1" customWidth="1"/>
    <col min="3" max="3" width="11.6640625" bestFit="1" customWidth="1"/>
    <col min="4" max="4" width="9.1640625" bestFit="1" customWidth="1"/>
  </cols>
  <sheetData>
    <row r="1" spans="1:3">
      <c r="A1" t="s">
        <v>46</v>
      </c>
      <c r="B1" t="s">
        <v>0</v>
      </c>
      <c r="C1" t="s">
        <v>277</v>
      </c>
    </row>
    <row r="2" spans="1:3">
      <c r="A2">
        <v>200800</v>
      </c>
      <c r="B2" t="s">
        <v>48</v>
      </c>
      <c r="C2">
        <v>58266</v>
      </c>
    </row>
    <row r="3" spans="1:3">
      <c r="A3">
        <v>100751</v>
      </c>
      <c r="B3" t="s">
        <v>49</v>
      </c>
      <c r="C3">
        <v>712212</v>
      </c>
    </row>
    <row r="4" spans="1:3">
      <c r="A4">
        <v>196060</v>
      </c>
      <c r="B4" t="s">
        <v>52</v>
      </c>
      <c r="C4">
        <v>297632</v>
      </c>
    </row>
    <row r="5" spans="1:3">
      <c r="A5">
        <v>197869</v>
      </c>
      <c r="B5" t="s">
        <v>54</v>
      </c>
      <c r="C5">
        <v>22549</v>
      </c>
    </row>
    <row r="6" spans="1:3">
      <c r="A6">
        <v>104179</v>
      </c>
      <c r="B6" t="s">
        <v>55</v>
      </c>
      <c r="C6">
        <v>515627</v>
      </c>
    </row>
    <row r="7" spans="1:3">
      <c r="A7">
        <v>104151</v>
      </c>
      <c r="B7" t="s">
        <v>56</v>
      </c>
      <c r="C7">
        <v>365008</v>
      </c>
    </row>
    <row r="8" spans="1:3">
      <c r="A8">
        <v>106397</v>
      </c>
      <c r="B8" t="s">
        <v>57</v>
      </c>
      <c r="C8">
        <v>217133</v>
      </c>
    </row>
    <row r="9" spans="1:3">
      <c r="A9">
        <v>106245</v>
      </c>
      <c r="B9" t="s">
        <v>58</v>
      </c>
      <c r="C9">
        <v>175084</v>
      </c>
    </row>
    <row r="10" spans="1:3">
      <c r="A10">
        <v>106412</v>
      </c>
      <c r="B10" t="s">
        <v>59</v>
      </c>
      <c r="C10">
        <v>2000</v>
      </c>
    </row>
    <row r="11" spans="1:3">
      <c r="A11">
        <v>106458</v>
      </c>
      <c r="B11" t="s">
        <v>60</v>
      </c>
      <c r="C11">
        <v>300668</v>
      </c>
    </row>
    <row r="12" spans="1:3">
      <c r="A12">
        <v>500001</v>
      </c>
      <c r="B12" t="s">
        <v>61</v>
      </c>
      <c r="C12">
        <v>632937</v>
      </c>
    </row>
    <row r="13" spans="1:3">
      <c r="A13">
        <v>100858</v>
      </c>
      <c r="B13" t="s">
        <v>62</v>
      </c>
      <c r="C13">
        <v>126690</v>
      </c>
    </row>
    <row r="14" spans="1:3">
      <c r="A14">
        <v>219602</v>
      </c>
      <c r="B14" t="s">
        <v>63</v>
      </c>
      <c r="C14">
        <v>16162</v>
      </c>
    </row>
    <row r="15" spans="1:3">
      <c r="A15">
        <v>150136</v>
      </c>
      <c r="B15" t="s">
        <v>64</v>
      </c>
      <c r="C15">
        <v>34455</v>
      </c>
    </row>
    <row r="16" spans="1:3">
      <c r="A16">
        <v>196079</v>
      </c>
      <c r="B16" t="s">
        <v>65</v>
      </c>
      <c r="C16">
        <v>727572</v>
      </c>
    </row>
    <row r="17" spans="1:3">
      <c r="A17">
        <v>142115</v>
      </c>
      <c r="B17" t="s">
        <v>66</v>
      </c>
      <c r="C17">
        <v>436851</v>
      </c>
    </row>
    <row r="18" spans="1:3">
      <c r="A18">
        <v>201441</v>
      </c>
      <c r="B18" t="s">
        <v>67</v>
      </c>
      <c r="C18">
        <v>59199</v>
      </c>
    </row>
    <row r="19" spans="1:3">
      <c r="A19">
        <v>196088</v>
      </c>
      <c r="B19" t="s">
        <v>68</v>
      </c>
      <c r="C19">
        <v>987854</v>
      </c>
    </row>
    <row r="20" spans="1:3">
      <c r="A20">
        <v>110422</v>
      </c>
      <c r="B20" t="s">
        <v>69</v>
      </c>
      <c r="C20">
        <v>200218</v>
      </c>
    </row>
    <row r="21" spans="1:3">
      <c r="A21">
        <v>110486</v>
      </c>
      <c r="B21" t="s">
        <v>70</v>
      </c>
      <c r="C21">
        <v>44863</v>
      </c>
    </row>
    <row r="22" spans="1:3">
      <c r="A22">
        <v>110565</v>
      </c>
      <c r="B22" t="s">
        <v>71</v>
      </c>
      <c r="C22">
        <v>792504</v>
      </c>
    </row>
    <row r="23" spans="1:3">
      <c r="A23">
        <v>110608</v>
      </c>
      <c r="B23" t="s">
        <v>72</v>
      </c>
      <c r="C23">
        <v>28520</v>
      </c>
    </row>
    <row r="24" spans="1:3">
      <c r="A24">
        <v>110635</v>
      </c>
      <c r="B24" t="s">
        <v>73</v>
      </c>
      <c r="C24">
        <v>103205</v>
      </c>
    </row>
    <row r="25" spans="1:3">
      <c r="A25">
        <v>106704</v>
      </c>
      <c r="B25" t="s">
        <v>74</v>
      </c>
      <c r="C25">
        <v>421686</v>
      </c>
    </row>
    <row r="26" spans="1:3">
      <c r="A26">
        <v>128771</v>
      </c>
      <c r="B26" t="s">
        <v>75</v>
      </c>
      <c r="C26">
        <v>785562</v>
      </c>
    </row>
    <row r="27" spans="1:3">
      <c r="A27">
        <v>169248</v>
      </c>
      <c r="B27" t="s">
        <v>76</v>
      </c>
      <c r="C27">
        <v>69613</v>
      </c>
    </row>
    <row r="28" spans="1:3">
      <c r="A28">
        <v>199139</v>
      </c>
      <c r="B28" t="s">
        <v>77</v>
      </c>
      <c r="C28">
        <v>837481</v>
      </c>
    </row>
    <row r="29" spans="1:3">
      <c r="A29">
        <v>144005</v>
      </c>
      <c r="B29" t="s">
        <v>78</v>
      </c>
      <c r="C29">
        <v>24326</v>
      </c>
    </row>
    <row r="30" spans="1:3">
      <c r="A30">
        <v>201885</v>
      </c>
      <c r="B30" t="s">
        <v>79</v>
      </c>
      <c r="C30">
        <v>254699</v>
      </c>
    </row>
    <row r="31" spans="1:3">
      <c r="A31">
        <v>217864</v>
      </c>
      <c r="B31" t="s">
        <v>80</v>
      </c>
      <c r="C31">
        <v>771689</v>
      </c>
    </row>
    <row r="32" spans="1:3">
      <c r="A32">
        <v>217882</v>
      </c>
      <c r="B32" t="s">
        <v>81</v>
      </c>
      <c r="C32">
        <v>961317</v>
      </c>
    </row>
    <row r="33" spans="1:3">
      <c r="A33">
        <v>202134</v>
      </c>
      <c r="B33" t="s">
        <v>82</v>
      </c>
      <c r="C33">
        <v>590293</v>
      </c>
    </row>
    <row r="34" spans="1:3">
      <c r="A34">
        <v>218724</v>
      </c>
      <c r="B34" t="s">
        <v>83</v>
      </c>
      <c r="C34">
        <v>2725263</v>
      </c>
    </row>
    <row r="35" spans="1:3">
      <c r="A35">
        <v>217819</v>
      </c>
      <c r="B35" t="s">
        <v>84</v>
      </c>
      <c r="C35">
        <v>65889</v>
      </c>
    </row>
    <row r="36" spans="1:3">
      <c r="A36">
        <v>126614</v>
      </c>
      <c r="B36" t="s">
        <v>85</v>
      </c>
      <c r="C36">
        <v>266383</v>
      </c>
    </row>
    <row r="37" spans="1:3">
      <c r="A37">
        <v>126818</v>
      </c>
      <c r="B37" t="s">
        <v>86</v>
      </c>
      <c r="C37">
        <v>919726</v>
      </c>
    </row>
    <row r="38" spans="1:3">
      <c r="A38">
        <v>129020</v>
      </c>
      <c r="B38" t="s">
        <v>87</v>
      </c>
      <c r="C38">
        <v>49066</v>
      </c>
    </row>
    <row r="39" spans="1:3">
      <c r="A39">
        <v>162283</v>
      </c>
      <c r="B39" t="s">
        <v>88</v>
      </c>
      <c r="C39">
        <v>49311</v>
      </c>
    </row>
    <row r="40" spans="1:3">
      <c r="A40">
        <v>198464</v>
      </c>
      <c r="B40" t="s">
        <v>89</v>
      </c>
      <c r="C40">
        <v>31521</v>
      </c>
    </row>
    <row r="41" spans="1:3">
      <c r="A41">
        <v>220075</v>
      </c>
      <c r="B41" t="s">
        <v>90</v>
      </c>
      <c r="C41">
        <v>10002</v>
      </c>
    </row>
    <row r="42" spans="1:3">
      <c r="A42">
        <v>144892</v>
      </c>
      <c r="B42" t="s">
        <v>91</v>
      </c>
      <c r="C42">
        <v>222442</v>
      </c>
    </row>
    <row r="43" spans="1:3">
      <c r="A43">
        <v>156620</v>
      </c>
      <c r="B43" t="s">
        <v>92</v>
      </c>
      <c r="C43">
        <v>549634</v>
      </c>
    </row>
    <row r="44" spans="1:3">
      <c r="A44">
        <v>169798</v>
      </c>
      <c r="B44" t="s">
        <v>93</v>
      </c>
      <c r="C44">
        <v>758739</v>
      </c>
    </row>
    <row r="45" spans="1:3">
      <c r="A45">
        <v>235097</v>
      </c>
      <c r="B45" t="s">
        <v>94</v>
      </c>
      <c r="C45">
        <v>649180</v>
      </c>
    </row>
    <row r="46" spans="1:3">
      <c r="A46">
        <v>134130</v>
      </c>
      <c r="B46" t="s">
        <v>95</v>
      </c>
      <c r="C46">
        <v>776801</v>
      </c>
    </row>
    <row r="47" spans="1:3">
      <c r="A47">
        <v>133669</v>
      </c>
      <c r="B47" t="s">
        <v>96</v>
      </c>
      <c r="C47">
        <v>6990</v>
      </c>
    </row>
    <row r="48" spans="1:3">
      <c r="A48">
        <v>433660</v>
      </c>
      <c r="B48" t="s">
        <v>97</v>
      </c>
      <c r="C48">
        <v>267154</v>
      </c>
    </row>
    <row r="49" spans="1:3">
      <c r="A49">
        <v>133951</v>
      </c>
      <c r="B49" t="s">
        <v>98</v>
      </c>
      <c r="C49">
        <v>65920</v>
      </c>
    </row>
    <row r="50" spans="1:3">
      <c r="A50">
        <v>134097</v>
      </c>
      <c r="B50" t="s">
        <v>99</v>
      </c>
      <c r="C50">
        <v>1260425</v>
      </c>
    </row>
    <row r="51" spans="1:3">
      <c r="A51">
        <v>110556</v>
      </c>
      <c r="B51" t="s">
        <v>100</v>
      </c>
      <c r="C51">
        <v>291916</v>
      </c>
    </row>
    <row r="52" spans="1:3">
      <c r="A52">
        <v>139959</v>
      </c>
      <c r="B52" t="s">
        <v>102</v>
      </c>
      <c r="C52">
        <v>88209</v>
      </c>
    </row>
    <row r="53" spans="1:3">
      <c r="A53">
        <v>139931</v>
      </c>
      <c r="B53" t="s">
        <v>103</v>
      </c>
      <c r="C53">
        <v>67615</v>
      </c>
    </row>
    <row r="54" spans="1:3">
      <c r="A54">
        <v>139940</v>
      </c>
      <c r="B54" t="s">
        <v>104</v>
      </c>
      <c r="C54">
        <v>295940</v>
      </c>
    </row>
    <row r="55" spans="1:3">
      <c r="A55">
        <v>139755</v>
      </c>
      <c r="B55" t="s">
        <v>105</v>
      </c>
      <c r="C55">
        <v>347977</v>
      </c>
    </row>
    <row r="56" spans="1:3">
      <c r="A56">
        <v>159009</v>
      </c>
      <c r="B56" t="s">
        <v>106</v>
      </c>
      <c r="C56">
        <v>156681</v>
      </c>
    </row>
    <row r="57" spans="1:3">
      <c r="A57">
        <v>141574</v>
      </c>
      <c r="B57" t="s">
        <v>107</v>
      </c>
      <c r="C57">
        <v>1839458</v>
      </c>
    </row>
    <row r="58" spans="1:3">
      <c r="A58">
        <v>225511</v>
      </c>
      <c r="B58" t="s">
        <v>108</v>
      </c>
      <c r="C58">
        <v>49523</v>
      </c>
    </row>
    <row r="59" spans="1:3">
      <c r="A59">
        <v>142285</v>
      </c>
      <c r="B59" t="s">
        <v>109</v>
      </c>
      <c r="C59">
        <v>551937</v>
      </c>
    </row>
    <row r="60" spans="1:3">
      <c r="A60">
        <v>142276</v>
      </c>
      <c r="B60" t="s">
        <v>110</v>
      </c>
      <c r="C60">
        <v>402169</v>
      </c>
    </row>
    <row r="61" spans="1:3">
      <c r="A61">
        <v>145637</v>
      </c>
      <c r="B61" t="s">
        <v>111</v>
      </c>
      <c r="C61">
        <v>777135</v>
      </c>
    </row>
    <row r="62" spans="1:3">
      <c r="A62">
        <v>145600</v>
      </c>
      <c r="B62" t="s">
        <v>112</v>
      </c>
      <c r="C62">
        <v>492389</v>
      </c>
    </row>
    <row r="63" spans="1:3">
      <c r="A63">
        <v>145813</v>
      </c>
      <c r="B63" t="s">
        <v>113</v>
      </c>
      <c r="C63">
        <v>396679</v>
      </c>
    </row>
    <row r="64" spans="1:3">
      <c r="A64">
        <v>151351</v>
      </c>
      <c r="B64" t="s">
        <v>114</v>
      </c>
      <c r="C64">
        <v>128455</v>
      </c>
    </row>
    <row r="65" spans="1:3">
      <c r="A65">
        <v>151324</v>
      </c>
      <c r="B65" t="s">
        <v>115</v>
      </c>
      <c r="C65">
        <v>561636</v>
      </c>
    </row>
    <row r="66" spans="1:3">
      <c r="A66">
        <v>153658</v>
      </c>
      <c r="B66" t="s">
        <v>116</v>
      </c>
      <c r="C66">
        <v>179654</v>
      </c>
    </row>
    <row r="67" spans="1:3">
      <c r="A67">
        <v>153603</v>
      </c>
      <c r="B67" t="s">
        <v>117</v>
      </c>
      <c r="C67">
        <v>164620</v>
      </c>
    </row>
    <row r="68" spans="1:3">
      <c r="A68">
        <v>151111</v>
      </c>
      <c r="B68" t="s">
        <v>118</v>
      </c>
      <c r="C68">
        <v>8580</v>
      </c>
    </row>
    <row r="69" spans="1:3">
      <c r="A69">
        <v>232423</v>
      </c>
      <c r="B69" t="s">
        <v>121</v>
      </c>
      <c r="C69">
        <v>30796</v>
      </c>
    </row>
    <row r="70" spans="1:3">
      <c r="A70">
        <v>155317</v>
      </c>
      <c r="B70" t="s">
        <v>122</v>
      </c>
      <c r="C70">
        <v>165088</v>
      </c>
    </row>
    <row r="71" spans="1:3">
      <c r="A71">
        <v>155399</v>
      </c>
      <c r="B71" t="s">
        <v>123</v>
      </c>
      <c r="C71">
        <v>40567</v>
      </c>
    </row>
    <row r="72" spans="1:3">
      <c r="A72">
        <v>486840</v>
      </c>
      <c r="B72" t="s">
        <v>279</v>
      </c>
      <c r="C72">
        <v>146817</v>
      </c>
    </row>
    <row r="73" spans="1:3">
      <c r="A73">
        <v>203517</v>
      </c>
      <c r="B73" t="s">
        <v>125</v>
      </c>
      <c r="C73">
        <v>37069</v>
      </c>
    </row>
    <row r="74" spans="1:3">
      <c r="A74">
        <v>157085</v>
      </c>
      <c r="B74" t="s">
        <v>126</v>
      </c>
      <c r="C74">
        <v>393065</v>
      </c>
    </row>
    <row r="75" spans="1:3">
      <c r="A75">
        <v>110583</v>
      </c>
      <c r="B75" t="s">
        <v>128</v>
      </c>
      <c r="C75">
        <v>893755</v>
      </c>
    </row>
    <row r="76" spans="1:3">
      <c r="A76">
        <v>160658</v>
      </c>
      <c r="B76" t="s">
        <v>280</v>
      </c>
      <c r="C76">
        <v>103237</v>
      </c>
    </row>
    <row r="77" spans="1:3">
      <c r="A77">
        <v>159993</v>
      </c>
      <c r="B77" t="s">
        <v>131</v>
      </c>
      <c r="C77">
        <v>9210</v>
      </c>
    </row>
    <row r="78" spans="1:3">
      <c r="A78">
        <v>159647</v>
      </c>
      <c r="B78" t="s">
        <v>132</v>
      </c>
      <c r="C78">
        <v>776976</v>
      </c>
    </row>
    <row r="79" spans="1:3">
      <c r="A79">
        <v>157289</v>
      </c>
      <c r="B79" t="s">
        <v>133</v>
      </c>
      <c r="C79">
        <v>230986</v>
      </c>
    </row>
    <row r="80" spans="1:3">
      <c r="A80">
        <v>159391</v>
      </c>
      <c r="B80" t="s">
        <v>134</v>
      </c>
      <c r="C80">
        <v>84354</v>
      </c>
    </row>
    <row r="81" spans="1:3">
      <c r="A81">
        <v>237525</v>
      </c>
      <c r="B81" t="s">
        <v>136</v>
      </c>
      <c r="C81">
        <v>696622</v>
      </c>
    </row>
    <row r="82" spans="1:3">
      <c r="A82">
        <v>163286</v>
      </c>
      <c r="B82" t="s">
        <v>137</v>
      </c>
      <c r="C82">
        <v>257883</v>
      </c>
    </row>
    <row r="83" spans="1:3">
      <c r="A83">
        <v>163268</v>
      </c>
      <c r="B83" t="s">
        <v>138</v>
      </c>
      <c r="C83">
        <v>8161</v>
      </c>
    </row>
    <row r="84" spans="1:3">
      <c r="A84">
        <v>163338</v>
      </c>
      <c r="B84" t="s">
        <v>139</v>
      </c>
      <c r="C84">
        <v>206259</v>
      </c>
    </row>
    <row r="85" spans="1:3">
      <c r="A85">
        <v>159717</v>
      </c>
      <c r="B85" t="s">
        <v>142</v>
      </c>
      <c r="C85">
        <v>465744</v>
      </c>
    </row>
    <row r="86" spans="1:3">
      <c r="A86">
        <v>220862</v>
      </c>
      <c r="B86" t="s">
        <v>143</v>
      </c>
      <c r="C86">
        <v>180</v>
      </c>
    </row>
    <row r="87" spans="1:3">
      <c r="A87">
        <v>204024</v>
      </c>
      <c r="B87" t="s">
        <v>144</v>
      </c>
      <c r="C87">
        <v>1077567</v>
      </c>
    </row>
    <row r="88" spans="1:3">
      <c r="A88">
        <v>170976</v>
      </c>
      <c r="B88" t="s">
        <v>145</v>
      </c>
      <c r="C88">
        <v>242866</v>
      </c>
    </row>
    <row r="89" spans="1:3">
      <c r="A89">
        <v>171100</v>
      </c>
      <c r="B89" t="s">
        <v>146</v>
      </c>
      <c r="C89">
        <v>805944</v>
      </c>
    </row>
    <row r="90" spans="1:3">
      <c r="A90">
        <v>220978</v>
      </c>
      <c r="B90" t="s">
        <v>147</v>
      </c>
      <c r="C90">
        <v>1073392</v>
      </c>
    </row>
    <row r="91" spans="1:3">
      <c r="A91">
        <v>174066</v>
      </c>
      <c r="B91" t="s">
        <v>148</v>
      </c>
      <c r="C91">
        <v>806663</v>
      </c>
    </row>
    <row r="92" spans="1:3">
      <c r="A92">
        <v>176017</v>
      </c>
      <c r="B92" t="s">
        <v>149</v>
      </c>
      <c r="C92">
        <v>268866</v>
      </c>
    </row>
    <row r="93" spans="1:3">
      <c r="A93">
        <v>176080</v>
      </c>
      <c r="B93" t="s">
        <v>150</v>
      </c>
      <c r="C93">
        <v>17916</v>
      </c>
    </row>
    <row r="94" spans="1:3">
      <c r="A94">
        <v>178396</v>
      </c>
      <c r="B94" t="s">
        <v>152</v>
      </c>
      <c r="C94">
        <v>83458</v>
      </c>
    </row>
    <row r="95" spans="1:3">
      <c r="A95">
        <v>178402</v>
      </c>
      <c r="B95" t="s">
        <v>153</v>
      </c>
      <c r="C95">
        <v>738446</v>
      </c>
    </row>
    <row r="96" spans="1:3">
      <c r="A96">
        <v>179566</v>
      </c>
      <c r="B96" t="s">
        <v>154</v>
      </c>
      <c r="C96">
        <v>918411</v>
      </c>
    </row>
    <row r="97" spans="1:3">
      <c r="A97">
        <v>180489</v>
      </c>
      <c r="B97" t="s">
        <v>155</v>
      </c>
      <c r="C97">
        <v>409780</v>
      </c>
    </row>
    <row r="98" spans="1:3">
      <c r="A98">
        <v>180461</v>
      </c>
      <c r="B98" t="s">
        <v>156</v>
      </c>
      <c r="C98">
        <v>933731</v>
      </c>
    </row>
    <row r="99" spans="1:3">
      <c r="A99">
        <v>157386</v>
      </c>
      <c r="B99" t="s">
        <v>157</v>
      </c>
      <c r="C99">
        <v>737988</v>
      </c>
    </row>
    <row r="100" spans="1:3">
      <c r="A100">
        <v>163453</v>
      </c>
      <c r="B100" t="s">
        <v>158</v>
      </c>
      <c r="C100">
        <v>11231</v>
      </c>
    </row>
    <row r="101" spans="1:3">
      <c r="A101">
        <v>157401</v>
      </c>
      <c r="B101" t="s">
        <v>159</v>
      </c>
      <c r="C101">
        <v>10041</v>
      </c>
    </row>
    <row r="102" spans="1:3">
      <c r="A102">
        <v>500000</v>
      </c>
      <c r="B102" t="s">
        <v>160</v>
      </c>
      <c r="C102">
        <v>310317</v>
      </c>
    </row>
    <row r="103" spans="1:3">
      <c r="A103">
        <v>181464</v>
      </c>
      <c r="B103" t="s">
        <v>161</v>
      </c>
      <c r="C103">
        <v>3871954</v>
      </c>
    </row>
    <row r="104" spans="1:3">
      <c r="A104">
        <v>181394</v>
      </c>
      <c r="B104" t="s">
        <v>162</v>
      </c>
      <c r="C104">
        <v>705718</v>
      </c>
    </row>
    <row r="105" spans="1:3">
      <c r="A105">
        <v>182290</v>
      </c>
      <c r="B105" t="s">
        <v>163</v>
      </c>
      <c r="C105">
        <v>266942</v>
      </c>
    </row>
    <row r="106" spans="1:3">
      <c r="A106">
        <v>183044</v>
      </c>
      <c r="B106" t="s">
        <v>164</v>
      </c>
      <c r="C106">
        <v>644324</v>
      </c>
    </row>
    <row r="107" spans="1:3">
      <c r="A107">
        <v>187985</v>
      </c>
      <c r="B107" t="s">
        <v>165</v>
      </c>
      <c r="C107">
        <v>21129</v>
      </c>
    </row>
    <row r="108" spans="1:3">
      <c r="A108">
        <v>188030</v>
      </c>
      <c r="B108" t="s">
        <v>166</v>
      </c>
      <c r="C108">
        <v>360557</v>
      </c>
    </row>
    <row r="109" spans="1:3">
      <c r="A109">
        <v>159939</v>
      </c>
      <c r="B109" t="s">
        <v>167</v>
      </c>
      <c r="C109">
        <v>1491</v>
      </c>
    </row>
    <row r="110" spans="1:3">
      <c r="A110">
        <v>159966</v>
      </c>
      <c r="B110" t="s">
        <v>168</v>
      </c>
      <c r="C110">
        <v>379977</v>
      </c>
    </row>
    <row r="111" spans="1:3">
      <c r="A111">
        <v>185828</v>
      </c>
      <c r="B111" t="s">
        <v>169</v>
      </c>
      <c r="C111">
        <v>796772</v>
      </c>
    </row>
    <row r="112" spans="1:3">
      <c r="A112">
        <v>199120</v>
      </c>
      <c r="B112" t="s">
        <v>172</v>
      </c>
      <c r="C112">
        <v>704727</v>
      </c>
    </row>
    <row r="113" spans="1:3">
      <c r="A113">
        <v>199102</v>
      </c>
      <c r="B113" t="s">
        <v>173</v>
      </c>
      <c r="C113">
        <v>520546</v>
      </c>
    </row>
    <row r="114" spans="1:3">
      <c r="A114">
        <v>199111</v>
      </c>
      <c r="B114" t="s">
        <v>275</v>
      </c>
      <c r="C114">
        <v>98943</v>
      </c>
    </row>
    <row r="115" spans="1:3">
      <c r="A115">
        <v>199157</v>
      </c>
      <c r="B115" t="s">
        <v>174</v>
      </c>
      <c r="C115">
        <v>1285</v>
      </c>
    </row>
    <row r="116" spans="1:3">
      <c r="A116">
        <v>199148</v>
      </c>
      <c r="B116" t="s">
        <v>276</v>
      </c>
      <c r="C116">
        <v>647054</v>
      </c>
    </row>
    <row r="117" spans="1:3">
      <c r="A117">
        <v>199193</v>
      </c>
      <c r="B117" t="s">
        <v>175</v>
      </c>
      <c r="C117">
        <v>792082</v>
      </c>
    </row>
    <row r="118" spans="1:3">
      <c r="A118">
        <v>199218</v>
      </c>
      <c r="B118" t="s">
        <v>176</v>
      </c>
      <c r="C118">
        <v>7433</v>
      </c>
    </row>
    <row r="119" spans="1:3">
      <c r="A119">
        <v>200280</v>
      </c>
      <c r="B119" t="s">
        <v>177</v>
      </c>
      <c r="C119">
        <v>144338</v>
      </c>
    </row>
    <row r="120" spans="1:3">
      <c r="A120">
        <v>200332</v>
      </c>
      <c r="B120" t="s">
        <v>178</v>
      </c>
      <c r="C120">
        <v>431363</v>
      </c>
    </row>
    <row r="121" spans="1:3">
      <c r="A121">
        <v>136172</v>
      </c>
      <c r="B121" t="s">
        <v>179</v>
      </c>
      <c r="C121">
        <v>122985</v>
      </c>
    </row>
    <row r="122" spans="1:3">
      <c r="A122">
        <v>227216</v>
      </c>
      <c r="B122" t="s">
        <v>180</v>
      </c>
      <c r="C122">
        <v>22759</v>
      </c>
    </row>
    <row r="123" spans="1:3">
      <c r="A123">
        <v>105330</v>
      </c>
      <c r="B123" t="s">
        <v>181</v>
      </c>
      <c r="C123">
        <v>1097589</v>
      </c>
    </row>
    <row r="124" spans="1:3">
      <c r="A124">
        <v>127741</v>
      </c>
      <c r="B124" t="s">
        <v>182</v>
      </c>
      <c r="C124">
        <v>987957</v>
      </c>
    </row>
    <row r="125" spans="1:3">
      <c r="A125">
        <v>147703</v>
      </c>
      <c r="B125" t="s">
        <v>183</v>
      </c>
      <c r="C125">
        <v>66004</v>
      </c>
    </row>
    <row r="126" spans="1:3">
      <c r="A126">
        <v>154095</v>
      </c>
      <c r="B126" t="s">
        <v>184</v>
      </c>
      <c r="C126">
        <v>619045</v>
      </c>
    </row>
    <row r="127" spans="1:3">
      <c r="A127">
        <v>160038</v>
      </c>
      <c r="B127" t="s">
        <v>185</v>
      </c>
      <c r="C127">
        <v>489621</v>
      </c>
    </row>
    <row r="128" spans="1:3">
      <c r="A128">
        <v>171571</v>
      </c>
      <c r="B128" t="s">
        <v>186</v>
      </c>
      <c r="C128">
        <v>547555</v>
      </c>
    </row>
    <row r="129" spans="1:3">
      <c r="A129">
        <v>204857</v>
      </c>
      <c r="B129" t="s">
        <v>187</v>
      </c>
      <c r="C129">
        <v>1153952</v>
      </c>
    </row>
    <row r="130" spans="1:3">
      <c r="A130">
        <v>204796</v>
      </c>
      <c r="B130" t="s">
        <v>188</v>
      </c>
      <c r="C130">
        <v>386219</v>
      </c>
    </row>
    <row r="131" spans="1:3">
      <c r="A131">
        <v>207500</v>
      </c>
      <c r="B131" t="s">
        <v>189</v>
      </c>
      <c r="C131">
        <v>222357</v>
      </c>
    </row>
    <row r="132" spans="1:3">
      <c r="A132">
        <v>232982</v>
      </c>
      <c r="B132" t="s">
        <v>191</v>
      </c>
      <c r="C132">
        <v>27784</v>
      </c>
    </row>
    <row r="133" spans="1:3">
      <c r="A133">
        <v>209551</v>
      </c>
      <c r="B133" t="s">
        <v>192</v>
      </c>
      <c r="C133">
        <v>377335</v>
      </c>
    </row>
    <row r="134" spans="1:3">
      <c r="A134">
        <v>209542</v>
      </c>
      <c r="B134" t="s">
        <v>193</v>
      </c>
      <c r="C134">
        <v>177140</v>
      </c>
    </row>
    <row r="135" spans="1:3">
      <c r="A135">
        <v>214777</v>
      </c>
      <c r="B135" t="s">
        <v>194</v>
      </c>
      <c r="C135">
        <v>890478</v>
      </c>
    </row>
    <row r="136" spans="1:3">
      <c r="A136">
        <v>209807</v>
      </c>
      <c r="B136" t="s">
        <v>195</v>
      </c>
      <c r="C136">
        <v>6434</v>
      </c>
    </row>
    <row r="137" spans="1:3">
      <c r="A137">
        <v>227526</v>
      </c>
      <c r="B137" t="s">
        <v>196</v>
      </c>
      <c r="C137">
        <v>459363</v>
      </c>
    </row>
    <row r="138" spans="1:3">
      <c r="A138">
        <v>243780</v>
      </c>
      <c r="B138" t="s">
        <v>197</v>
      </c>
      <c r="C138">
        <v>493990</v>
      </c>
    </row>
    <row r="139" spans="1:3">
      <c r="A139">
        <v>151102</v>
      </c>
      <c r="B139" t="s">
        <v>198</v>
      </c>
      <c r="C139">
        <v>598816</v>
      </c>
    </row>
    <row r="140" spans="1:3">
      <c r="A140">
        <v>233277</v>
      </c>
      <c r="B140" t="s">
        <v>199</v>
      </c>
      <c r="C140">
        <v>32562</v>
      </c>
    </row>
    <row r="141" spans="1:3">
      <c r="A141">
        <v>217484</v>
      </c>
      <c r="B141" t="s">
        <v>200</v>
      </c>
      <c r="C141">
        <v>732064</v>
      </c>
    </row>
    <row r="142" spans="1:3">
      <c r="A142">
        <v>186380</v>
      </c>
      <c r="B142" t="s">
        <v>201</v>
      </c>
      <c r="C142">
        <v>42453</v>
      </c>
    </row>
    <row r="143" spans="1:3">
      <c r="A143">
        <v>110617</v>
      </c>
      <c r="B143" t="s">
        <v>202</v>
      </c>
      <c r="C143">
        <v>430087</v>
      </c>
    </row>
    <row r="144" spans="1:3">
      <c r="A144">
        <v>227881</v>
      </c>
      <c r="B144" t="s">
        <v>203</v>
      </c>
      <c r="C144">
        <v>21650</v>
      </c>
    </row>
    <row r="145" spans="1:3">
      <c r="A145">
        <v>122409</v>
      </c>
      <c r="B145" t="s">
        <v>204</v>
      </c>
      <c r="C145">
        <v>1170036</v>
      </c>
    </row>
    <row r="146" spans="1:3">
      <c r="A146">
        <v>122755</v>
      </c>
      <c r="B146" t="s">
        <v>205</v>
      </c>
      <c r="C146">
        <v>202281</v>
      </c>
    </row>
    <row r="147" spans="1:3">
      <c r="A147">
        <v>140960</v>
      </c>
      <c r="B147" t="s">
        <v>206</v>
      </c>
      <c r="C147">
        <v>3141</v>
      </c>
    </row>
    <row r="148" spans="1:3">
      <c r="A148">
        <v>102094</v>
      </c>
      <c r="B148" t="s">
        <v>207</v>
      </c>
      <c r="C148">
        <v>760843</v>
      </c>
    </row>
    <row r="149" spans="1:3">
      <c r="A149">
        <v>218663</v>
      </c>
      <c r="B149" t="s">
        <v>208</v>
      </c>
      <c r="C149">
        <v>261595</v>
      </c>
    </row>
    <row r="150" spans="1:3">
      <c r="A150">
        <v>218742</v>
      </c>
      <c r="B150" t="s">
        <v>210</v>
      </c>
      <c r="C150">
        <v>431004</v>
      </c>
    </row>
    <row r="151" spans="1:3">
      <c r="A151">
        <v>219471</v>
      </c>
      <c r="B151" t="s">
        <v>211</v>
      </c>
      <c r="C151">
        <v>594353</v>
      </c>
    </row>
    <row r="152" spans="1:3">
      <c r="A152">
        <v>219356</v>
      </c>
      <c r="B152" t="s">
        <v>212</v>
      </c>
      <c r="C152">
        <v>18507</v>
      </c>
    </row>
    <row r="153" spans="1:3">
      <c r="A153">
        <v>137351</v>
      </c>
      <c r="B153" t="s">
        <v>213</v>
      </c>
      <c r="C153">
        <v>79438</v>
      </c>
    </row>
    <row r="154" spans="1:3">
      <c r="A154">
        <v>179557</v>
      </c>
      <c r="B154" t="s">
        <v>214</v>
      </c>
      <c r="C154">
        <v>334928</v>
      </c>
    </row>
    <row r="155" spans="1:3">
      <c r="A155">
        <v>160621</v>
      </c>
      <c r="B155" t="s">
        <v>216</v>
      </c>
      <c r="C155">
        <v>8050</v>
      </c>
    </row>
    <row r="156" spans="1:3">
      <c r="A156">
        <v>149222</v>
      </c>
      <c r="B156" t="s">
        <v>217</v>
      </c>
      <c r="C156">
        <v>109362</v>
      </c>
    </row>
    <row r="157" spans="1:3">
      <c r="A157">
        <v>149231</v>
      </c>
      <c r="B157" t="s">
        <v>218</v>
      </c>
      <c r="C157">
        <v>486024</v>
      </c>
    </row>
    <row r="158" spans="1:3">
      <c r="A158">
        <v>176372</v>
      </c>
      <c r="B158" t="s">
        <v>219</v>
      </c>
      <c r="C158">
        <v>48534</v>
      </c>
    </row>
    <row r="159" spans="1:3">
      <c r="A159">
        <v>230603</v>
      </c>
      <c r="B159" t="s">
        <v>220</v>
      </c>
      <c r="C159">
        <v>609016</v>
      </c>
    </row>
    <row r="160" spans="1:3">
      <c r="A160">
        <v>228431</v>
      </c>
      <c r="B160" t="s">
        <v>221</v>
      </c>
      <c r="C160">
        <v>629836</v>
      </c>
    </row>
    <row r="161" spans="1:3">
      <c r="A161">
        <v>196097</v>
      </c>
      <c r="B161" t="s">
        <v>222</v>
      </c>
      <c r="C161">
        <v>714488</v>
      </c>
    </row>
    <row r="162" spans="1:3">
      <c r="A162">
        <v>221759</v>
      </c>
      <c r="B162" t="s">
        <v>223</v>
      </c>
      <c r="C162">
        <v>315575</v>
      </c>
    </row>
    <row r="163" spans="1:3">
      <c r="A163">
        <v>221740</v>
      </c>
      <c r="B163" t="s">
        <v>224</v>
      </c>
      <c r="C163">
        <v>709682</v>
      </c>
    </row>
    <row r="164" spans="1:3">
      <c r="A164">
        <v>221847</v>
      </c>
      <c r="B164" t="s">
        <v>227</v>
      </c>
      <c r="C164">
        <v>64418</v>
      </c>
    </row>
    <row r="165" spans="1:3">
      <c r="A165">
        <v>228778</v>
      </c>
      <c r="B165" t="s">
        <v>228</v>
      </c>
      <c r="C165">
        <v>1514967</v>
      </c>
    </row>
    <row r="166" spans="1:3">
      <c r="A166">
        <v>228723</v>
      </c>
      <c r="B166" t="s">
        <v>229</v>
      </c>
      <c r="C166">
        <v>368759</v>
      </c>
    </row>
    <row r="167" spans="1:3">
      <c r="A167">
        <v>224147</v>
      </c>
      <c r="B167" t="s">
        <v>230</v>
      </c>
      <c r="C167">
        <v>22583</v>
      </c>
    </row>
    <row r="168" spans="1:3">
      <c r="A168">
        <v>228769</v>
      </c>
      <c r="B168" t="s">
        <v>231</v>
      </c>
      <c r="C168">
        <v>33929</v>
      </c>
    </row>
    <row r="169" spans="1:3">
      <c r="A169">
        <v>229063</v>
      </c>
      <c r="B169" t="s">
        <v>232</v>
      </c>
      <c r="C169">
        <v>50785</v>
      </c>
    </row>
    <row r="170" spans="1:3">
      <c r="A170">
        <v>228459</v>
      </c>
      <c r="B170" t="s">
        <v>233</v>
      </c>
      <c r="C170">
        <v>69420</v>
      </c>
    </row>
    <row r="171" spans="1:3">
      <c r="A171">
        <v>229115</v>
      </c>
      <c r="B171" t="s">
        <v>234</v>
      </c>
      <c r="C171">
        <v>250236</v>
      </c>
    </row>
    <row r="172" spans="1:3">
      <c r="A172">
        <v>206084</v>
      </c>
      <c r="B172" t="s">
        <v>235</v>
      </c>
      <c r="C172">
        <v>50985</v>
      </c>
    </row>
    <row r="173" spans="1:3">
      <c r="A173">
        <v>164076</v>
      </c>
      <c r="B173" t="s">
        <v>236</v>
      </c>
      <c r="C173">
        <v>168484</v>
      </c>
    </row>
    <row r="174" spans="1:3">
      <c r="A174">
        <v>100663</v>
      </c>
      <c r="B174" t="s">
        <v>238</v>
      </c>
      <c r="C174">
        <v>883657</v>
      </c>
    </row>
    <row r="175" spans="1:3">
      <c r="A175">
        <v>110644</v>
      </c>
      <c r="B175" t="s">
        <v>239</v>
      </c>
      <c r="C175">
        <v>54106</v>
      </c>
    </row>
    <row r="176" spans="1:3">
      <c r="A176">
        <v>110653</v>
      </c>
      <c r="B176" t="s">
        <v>240</v>
      </c>
      <c r="C176">
        <v>837389</v>
      </c>
    </row>
    <row r="177" spans="1:3">
      <c r="A177">
        <v>110671</v>
      </c>
      <c r="B177" t="s">
        <v>241</v>
      </c>
      <c r="C177">
        <v>1195390</v>
      </c>
    </row>
    <row r="178" spans="1:3">
      <c r="A178">
        <v>110705</v>
      </c>
      <c r="B178" t="s">
        <v>242</v>
      </c>
      <c r="C178">
        <v>960973</v>
      </c>
    </row>
    <row r="179" spans="1:3">
      <c r="A179">
        <v>132903</v>
      </c>
      <c r="B179" t="s">
        <v>243</v>
      </c>
      <c r="C179">
        <v>807801</v>
      </c>
    </row>
    <row r="180" spans="1:3">
      <c r="A180">
        <v>110662</v>
      </c>
      <c r="B180" t="s">
        <v>244</v>
      </c>
      <c r="C180">
        <v>452742</v>
      </c>
    </row>
    <row r="181" spans="1:3">
      <c r="A181">
        <v>182281</v>
      </c>
      <c r="B181" t="s">
        <v>245</v>
      </c>
      <c r="C181">
        <v>113779</v>
      </c>
    </row>
    <row r="182" spans="1:3">
      <c r="A182">
        <v>230764</v>
      </c>
      <c r="B182" t="s">
        <v>246</v>
      </c>
      <c r="C182">
        <v>432682</v>
      </c>
    </row>
    <row r="183" spans="1:3">
      <c r="A183">
        <v>230728</v>
      </c>
      <c r="B183" t="s">
        <v>247</v>
      </c>
      <c r="C183">
        <v>426755</v>
      </c>
    </row>
    <row r="184" spans="1:3">
      <c r="A184">
        <v>230737</v>
      </c>
      <c r="B184" t="s">
        <v>248</v>
      </c>
      <c r="C184">
        <v>12697</v>
      </c>
    </row>
    <row r="185" spans="1:3">
      <c r="A185">
        <v>228796</v>
      </c>
      <c r="B185" t="s">
        <v>249</v>
      </c>
      <c r="C185">
        <v>196554</v>
      </c>
    </row>
    <row r="186" spans="1:3">
      <c r="A186">
        <v>227368</v>
      </c>
      <c r="B186" t="s">
        <v>250</v>
      </c>
      <c r="C186">
        <v>147973</v>
      </c>
    </row>
    <row r="187" spans="1:3">
      <c r="A187">
        <v>229027</v>
      </c>
      <c r="B187" t="s">
        <v>251</v>
      </c>
      <c r="C187">
        <v>50159</v>
      </c>
    </row>
    <row r="188" spans="1:3">
      <c r="A188">
        <v>234030</v>
      </c>
      <c r="B188" t="s">
        <v>252</v>
      </c>
      <c r="C188">
        <v>40478</v>
      </c>
    </row>
    <row r="189" spans="1:3">
      <c r="A189">
        <v>234076</v>
      </c>
      <c r="B189" t="s">
        <v>254</v>
      </c>
      <c r="C189">
        <v>862289</v>
      </c>
    </row>
    <row r="190" spans="1:3">
      <c r="A190">
        <v>233921</v>
      </c>
      <c r="B190" t="s">
        <v>255</v>
      </c>
      <c r="C190">
        <v>246021</v>
      </c>
    </row>
    <row r="191" spans="1:3">
      <c r="A191">
        <v>236948</v>
      </c>
      <c r="B191" t="s">
        <v>257</v>
      </c>
      <c r="C191">
        <v>1284694</v>
      </c>
    </row>
    <row r="192" spans="1:3">
      <c r="A192">
        <v>236939</v>
      </c>
      <c r="B192" t="s">
        <v>258</v>
      </c>
      <c r="C192">
        <v>955133</v>
      </c>
    </row>
    <row r="193" spans="1:3">
      <c r="A193">
        <v>230782</v>
      </c>
      <c r="B193" t="s">
        <v>259</v>
      </c>
      <c r="C193">
        <v>486153</v>
      </c>
    </row>
    <row r="194" spans="1:3">
      <c r="A194">
        <v>238032</v>
      </c>
      <c r="B194" t="s">
        <v>260</v>
      </c>
      <c r="C194">
        <v>85713</v>
      </c>
    </row>
    <row r="195" spans="1:3">
      <c r="A195">
        <v>200004</v>
      </c>
      <c r="B195" t="s">
        <v>261</v>
      </c>
      <c r="C195">
        <v>38736</v>
      </c>
    </row>
    <row r="196" spans="1:3">
      <c r="A196">
        <v>149772</v>
      </c>
      <c r="B196" t="s">
        <v>262</v>
      </c>
      <c r="C196">
        <v>265176</v>
      </c>
    </row>
    <row r="197" spans="1:3">
      <c r="A197">
        <v>157951</v>
      </c>
      <c r="B197" t="s">
        <v>263</v>
      </c>
      <c r="C197">
        <v>931026</v>
      </c>
    </row>
    <row r="198" spans="1:3">
      <c r="A198">
        <v>172699</v>
      </c>
      <c r="B198" t="s">
        <v>264</v>
      </c>
      <c r="C198">
        <v>77497</v>
      </c>
    </row>
    <row r="199" spans="1:3">
      <c r="A199">
        <v>156125</v>
      </c>
      <c r="B199" t="s">
        <v>265</v>
      </c>
      <c r="C199">
        <v>429865</v>
      </c>
    </row>
    <row r="200" spans="1:3">
      <c r="A200">
        <v>231624</v>
      </c>
      <c r="B200" t="s">
        <v>266</v>
      </c>
      <c r="C200">
        <v>204364</v>
      </c>
    </row>
    <row r="201" spans="1:3">
      <c r="A201">
        <v>218964</v>
      </c>
      <c r="B201" t="s">
        <v>267</v>
      </c>
      <c r="C201">
        <v>543953</v>
      </c>
    </row>
    <row r="202" spans="1:3">
      <c r="A202">
        <v>240444</v>
      </c>
      <c r="B202" t="s">
        <v>268</v>
      </c>
      <c r="C202">
        <v>2042718</v>
      </c>
    </row>
    <row r="203" spans="1:3">
      <c r="A203">
        <v>240277</v>
      </c>
      <c r="B203" t="s">
        <v>269</v>
      </c>
      <c r="C203">
        <v>307719</v>
      </c>
    </row>
    <row r="204" spans="1:3">
      <c r="A204">
        <v>240453</v>
      </c>
      <c r="B204" t="s">
        <v>270</v>
      </c>
      <c r="C204">
        <v>263056</v>
      </c>
    </row>
    <row r="205" spans="1:3">
      <c r="A205">
        <v>206604</v>
      </c>
      <c r="B205" t="s">
        <v>271</v>
      </c>
      <c r="C205">
        <v>852676</v>
      </c>
    </row>
    <row r="206" spans="1:3">
      <c r="A206">
        <v>240727</v>
      </c>
      <c r="B206" t="s">
        <v>272</v>
      </c>
      <c r="C206">
        <v>662461</v>
      </c>
    </row>
    <row r="207" spans="1:3">
      <c r="A207">
        <v>206695</v>
      </c>
      <c r="B207" t="s">
        <v>273</v>
      </c>
      <c r="C207">
        <v>16820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00DF-038A-4E47-A3A6-1EB2A74CD7BA}">
  <sheetPr>
    <tabColor theme="0"/>
  </sheetPr>
  <dimension ref="A1:C586"/>
  <sheetViews>
    <sheetView workbookViewId="0"/>
  </sheetViews>
  <sheetFormatPr baseColWidth="10" defaultColWidth="9.1640625" defaultRowHeight="15"/>
  <cols>
    <col min="1" max="1" width="7.1640625" bestFit="1" customWidth="1"/>
    <col min="2" max="2" width="23.83203125" bestFit="1" customWidth="1"/>
    <col min="3" max="3" width="11.6640625" style="30" bestFit="1" customWidth="1"/>
    <col min="4" max="4" width="9.1640625" bestFit="1" customWidth="1"/>
  </cols>
  <sheetData>
    <row r="1" spans="1:3">
      <c r="A1" t="s">
        <v>46</v>
      </c>
      <c r="B1" t="s">
        <v>0</v>
      </c>
      <c r="C1" s="30" t="s">
        <v>277</v>
      </c>
    </row>
    <row r="2" spans="1:3" ht="16" thickBot="1">
      <c r="A2">
        <v>200800</v>
      </c>
      <c r="B2" t="s">
        <v>48</v>
      </c>
      <c r="C2" s="18">
        <v>12644</v>
      </c>
    </row>
    <row r="3" spans="1:3" ht="16" thickBot="1">
      <c r="A3">
        <v>100751</v>
      </c>
      <c r="B3" t="s">
        <v>49</v>
      </c>
      <c r="C3" s="33">
        <v>751737</v>
      </c>
    </row>
    <row r="4" spans="1:3" ht="16" thickBot="1">
      <c r="A4">
        <v>100654</v>
      </c>
      <c r="B4" t="s">
        <v>50</v>
      </c>
      <c r="C4" s="18">
        <v>0</v>
      </c>
    </row>
    <row r="5" spans="1:3" ht="16" thickBot="1">
      <c r="A5">
        <v>196060</v>
      </c>
      <c r="B5" t="s">
        <v>52</v>
      </c>
      <c r="C5" s="18">
        <v>151505</v>
      </c>
    </row>
    <row r="6" spans="1:3" ht="16" thickBot="1">
      <c r="A6">
        <v>197869</v>
      </c>
      <c r="B6" t="s">
        <v>54</v>
      </c>
      <c r="C6" s="18">
        <v>4827</v>
      </c>
    </row>
    <row r="7" spans="1:3" ht="16" thickBot="1">
      <c r="A7">
        <v>104179</v>
      </c>
      <c r="B7" t="s">
        <v>55</v>
      </c>
      <c r="C7" s="18">
        <v>440705</v>
      </c>
    </row>
    <row r="8" spans="1:3" ht="16" thickBot="1">
      <c r="A8">
        <v>104151</v>
      </c>
      <c r="B8" t="s">
        <v>56</v>
      </c>
      <c r="C8" s="33">
        <v>272165</v>
      </c>
    </row>
    <row r="9" spans="1:3" ht="16" thickBot="1">
      <c r="A9">
        <v>106397</v>
      </c>
      <c r="B9" t="s">
        <v>57</v>
      </c>
      <c r="C9" s="18">
        <v>171704</v>
      </c>
    </row>
    <row r="10" spans="1:3" ht="17" thickBot="1">
      <c r="A10">
        <v>106245</v>
      </c>
      <c r="B10" t="s">
        <v>58</v>
      </c>
      <c r="C10" s="8">
        <v>267793</v>
      </c>
    </row>
    <row r="11" spans="1:3" ht="16" thickBot="1">
      <c r="A11">
        <v>106412</v>
      </c>
      <c r="B11" t="s">
        <v>59</v>
      </c>
      <c r="C11" s="38"/>
    </row>
    <row r="12" spans="1:3" ht="16" thickBot="1">
      <c r="A12">
        <v>106458</v>
      </c>
      <c r="B12" t="s">
        <v>60</v>
      </c>
      <c r="C12" s="18">
        <v>361704</v>
      </c>
    </row>
    <row r="13" spans="1:3" ht="16" thickBot="1">
      <c r="A13">
        <v>500001</v>
      </c>
      <c r="B13" t="s">
        <v>61</v>
      </c>
      <c r="C13" s="16">
        <v>360972</v>
      </c>
    </row>
    <row r="14" spans="1:3" ht="16" thickBot="1">
      <c r="A14">
        <v>100858</v>
      </c>
      <c r="B14" t="s">
        <v>62</v>
      </c>
      <c r="C14" s="41">
        <v>140287</v>
      </c>
    </row>
    <row r="15" spans="1:3" ht="16" thickBot="1">
      <c r="A15">
        <v>219602</v>
      </c>
      <c r="B15" t="s">
        <v>63</v>
      </c>
      <c r="C15" s="18">
        <v>126105</v>
      </c>
    </row>
    <row r="16" spans="1:3" ht="16" thickBot="1">
      <c r="A16">
        <v>150136</v>
      </c>
      <c r="B16" t="s">
        <v>64</v>
      </c>
      <c r="C16" s="38"/>
    </row>
    <row r="17" spans="1:3" ht="16" thickBot="1">
      <c r="A17">
        <v>196079</v>
      </c>
      <c r="B17" t="s">
        <v>65</v>
      </c>
      <c r="C17" s="18">
        <v>670402</v>
      </c>
    </row>
    <row r="18" spans="1:3" ht="16" thickBot="1">
      <c r="A18">
        <v>142115</v>
      </c>
      <c r="B18" t="s">
        <v>66</v>
      </c>
      <c r="C18" s="18">
        <v>471399</v>
      </c>
    </row>
    <row r="19" spans="1:3">
      <c r="A19">
        <v>201441</v>
      </c>
      <c r="B19" t="s">
        <v>67</v>
      </c>
      <c r="C19" s="23">
        <v>23564</v>
      </c>
    </row>
    <row r="20" spans="1:3">
      <c r="A20">
        <v>196088</v>
      </c>
      <c r="B20" t="s">
        <v>68</v>
      </c>
      <c r="C20" s="23">
        <v>978293</v>
      </c>
    </row>
    <row r="21" spans="1:3">
      <c r="A21">
        <v>110422</v>
      </c>
      <c r="B21" t="s">
        <v>69</v>
      </c>
      <c r="C21" s="23">
        <v>107521</v>
      </c>
    </row>
    <row r="22" spans="1:3" ht="16" thickBot="1">
      <c r="A22">
        <v>110486</v>
      </c>
      <c r="B22" t="s">
        <v>70</v>
      </c>
      <c r="C22" s="18">
        <v>13641</v>
      </c>
    </row>
    <row r="23" spans="1:3" ht="16" thickBot="1">
      <c r="A23">
        <v>110565</v>
      </c>
      <c r="B23" t="s">
        <v>71</v>
      </c>
      <c r="C23" s="18">
        <v>714829</v>
      </c>
    </row>
    <row r="24" spans="1:3" ht="16" thickBot="1">
      <c r="A24">
        <v>110608</v>
      </c>
      <c r="B24" t="s">
        <v>72</v>
      </c>
      <c r="C24" s="18">
        <v>419606</v>
      </c>
    </row>
    <row r="25" spans="1:3" ht="16" thickBot="1">
      <c r="A25">
        <v>110635</v>
      </c>
      <c r="B25" t="s">
        <v>73</v>
      </c>
      <c r="C25" s="16">
        <v>104836</v>
      </c>
    </row>
    <row r="26" spans="1:3" ht="16" thickBot="1">
      <c r="A26">
        <v>106704</v>
      </c>
      <c r="B26" t="s">
        <v>74</v>
      </c>
      <c r="C26" s="18">
        <v>405696</v>
      </c>
    </row>
    <row r="27" spans="1:3" ht="16" thickBot="1">
      <c r="A27">
        <v>128771</v>
      </c>
      <c r="B27" t="s">
        <v>75</v>
      </c>
      <c r="C27" s="18">
        <v>709545</v>
      </c>
    </row>
    <row r="28" spans="1:3" ht="16" thickBot="1">
      <c r="A28">
        <v>169248</v>
      </c>
      <c r="B28" t="s">
        <v>76</v>
      </c>
      <c r="C28" s="18">
        <v>54511</v>
      </c>
    </row>
    <row r="29" spans="1:3" ht="16" thickBot="1">
      <c r="A29">
        <v>199139</v>
      </c>
      <c r="B29" t="s">
        <v>77</v>
      </c>
      <c r="C29" s="18">
        <v>817116</v>
      </c>
    </row>
    <row r="30" spans="1:3" ht="16" thickBot="1">
      <c r="A30">
        <v>144005</v>
      </c>
      <c r="B30" t="s">
        <v>78</v>
      </c>
      <c r="C30" s="16">
        <v>0</v>
      </c>
    </row>
    <row r="31" spans="1:3" ht="16" thickBot="1">
      <c r="A31">
        <v>201885</v>
      </c>
      <c r="B31" t="s">
        <v>79</v>
      </c>
      <c r="C31" s="18">
        <v>278027</v>
      </c>
    </row>
    <row r="32" spans="1:3" ht="16" thickBot="1">
      <c r="A32">
        <v>217864</v>
      </c>
      <c r="B32" t="s">
        <v>80</v>
      </c>
      <c r="C32" s="18">
        <v>701656</v>
      </c>
    </row>
    <row r="33" spans="1:3" ht="16" thickBot="1">
      <c r="A33">
        <v>217882</v>
      </c>
      <c r="B33" t="s">
        <v>81</v>
      </c>
      <c r="C33" s="18">
        <v>998517</v>
      </c>
    </row>
    <row r="34" spans="1:3">
      <c r="A34">
        <v>202134</v>
      </c>
      <c r="B34" t="s">
        <v>82</v>
      </c>
      <c r="C34" s="23">
        <v>576726</v>
      </c>
    </row>
    <row r="35" spans="1:3" ht="16">
      <c r="A35">
        <v>218724</v>
      </c>
      <c r="B35" t="s">
        <v>83</v>
      </c>
      <c r="C35" s="11">
        <v>846884</v>
      </c>
    </row>
    <row r="36" spans="1:3">
      <c r="A36">
        <v>217819</v>
      </c>
      <c r="B36" t="s">
        <v>84</v>
      </c>
      <c r="C36" s="23">
        <v>11098</v>
      </c>
    </row>
    <row r="37" spans="1:3">
      <c r="A37">
        <v>126614</v>
      </c>
      <c r="B37" t="s">
        <v>85</v>
      </c>
      <c r="C37" s="23">
        <v>423569</v>
      </c>
    </row>
    <row r="38" spans="1:3" ht="16" thickBot="1">
      <c r="A38">
        <v>126818</v>
      </c>
      <c r="B38" t="s">
        <v>86</v>
      </c>
      <c r="C38" s="18">
        <v>331748</v>
      </c>
    </row>
    <row r="39" spans="1:3" ht="16" thickBot="1">
      <c r="A39">
        <v>129020</v>
      </c>
      <c r="B39" t="s">
        <v>87</v>
      </c>
      <c r="C39" s="33">
        <v>172</v>
      </c>
    </row>
    <row r="40" spans="1:3" ht="16" thickBot="1">
      <c r="A40">
        <v>162283</v>
      </c>
      <c r="B40" t="s">
        <v>88</v>
      </c>
      <c r="C40" s="16">
        <v>91053</v>
      </c>
    </row>
    <row r="41" spans="1:3" ht="16" thickBot="1">
      <c r="A41">
        <v>198464</v>
      </c>
      <c r="B41" t="s">
        <v>89</v>
      </c>
      <c r="C41" s="18">
        <v>5946</v>
      </c>
    </row>
    <row r="42" spans="1:3" ht="16" thickBot="1">
      <c r="A42">
        <v>220075</v>
      </c>
      <c r="B42" t="s">
        <v>90</v>
      </c>
      <c r="C42" s="16">
        <v>626</v>
      </c>
    </row>
    <row r="43" spans="1:3" ht="16" thickBot="1">
      <c r="A43">
        <v>144892</v>
      </c>
      <c r="B43" t="s">
        <v>91</v>
      </c>
      <c r="C43" s="18">
        <v>225295</v>
      </c>
    </row>
    <row r="44" spans="1:3" ht="16" thickBot="1">
      <c r="A44">
        <v>156620</v>
      </c>
      <c r="B44" t="s">
        <v>92</v>
      </c>
      <c r="C44" s="18">
        <v>554771</v>
      </c>
    </row>
    <row r="45" spans="1:3" ht="16" thickBot="1">
      <c r="A45">
        <v>169798</v>
      </c>
      <c r="B45" t="s">
        <v>93</v>
      </c>
      <c r="C45" s="18">
        <v>731192</v>
      </c>
    </row>
    <row r="46" spans="1:3" ht="16" thickBot="1">
      <c r="A46">
        <v>235097</v>
      </c>
      <c r="B46" t="s">
        <v>94</v>
      </c>
      <c r="C46" s="18">
        <v>637865</v>
      </c>
    </row>
    <row r="47" spans="1:3" ht="16" thickBot="1">
      <c r="A47">
        <v>134130</v>
      </c>
      <c r="B47" t="s">
        <v>95</v>
      </c>
      <c r="C47" s="18">
        <v>133151</v>
      </c>
    </row>
    <row r="48" spans="1:3" ht="16" thickBot="1">
      <c r="A48">
        <v>133669</v>
      </c>
      <c r="B48" t="s">
        <v>96</v>
      </c>
      <c r="C48" s="18">
        <v>8050</v>
      </c>
    </row>
    <row r="49" spans="1:3" ht="16" thickBot="1">
      <c r="A49">
        <v>433660</v>
      </c>
      <c r="B49" t="s">
        <v>97</v>
      </c>
      <c r="C49" s="18">
        <v>207789</v>
      </c>
    </row>
    <row r="50" spans="1:3">
      <c r="A50">
        <v>133951</v>
      </c>
      <c r="B50" t="s">
        <v>98</v>
      </c>
      <c r="C50" s="23">
        <v>75640</v>
      </c>
    </row>
    <row r="51" spans="1:3">
      <c r="A51">
        <v>134097</v>
      </c>
      <c r="B51" t="s">
        <v>99</v>
      </c>
      <c r="C51" s="23">
        <v>355271</v>
      </c>
    </row>
    <row r="52" spans="1:3">
      <c r="A52">
        <v>110556</v>
      </c>
      <c r="B52" t="s">
        <v>100</v>
      </c>
      <c r="C52" s="23">
        <v>113273</v>
      </c>
    </row>
    <row r="53" spans="1:3">
      <c r="A53">
        <v>232186</v>
      </c>
      <c r="B53" t="s">
        <v>101</v>
      </c>
      <c r="C53" s="23">
        <v>2092</v>
      </c>
    </row>
    <row r="54" spans="1:3" ht="16" thickBot="1">
      <c r="A54">
        <v>139959</v>
      </c>
      <c r="B54" t="s">
        <v>102</v>
      </c>
      <c r="C54" s="18">
        <v>55585</v>
      </c>
    </row>
    <row r="55" spans="1:3" ht="16" thickBot="1">
      <c r="A55">
        <v>139931</v>
      </c>
      <c r="B55" t="s">
        <v>103</v>
      </c>
      <c r="C55" s="18">
        <v>193831</v>
      </c>
    </row>
    <row r="56" spans="1:3" ht="16" thickBot="1">
      <c r="A56">
        <v>139940</v>
      </c>
      <c r="B56" t="s">
        <v>104</v>
      </c>
      <c r="C56" s="18">
        <v>279795</v>
      </c>
    </row>
    <row r="57" spans="1:3" ht="16" thickBot="1">
      <c r="A57">
        <v>139755</v>
      </c>
      <c r="B57" t="s">
        <v>105</v>
      </c>
      <c r="C57" s="18">
        <v>330767</v>
      </c>
    </row>
    <row r="58" spans="1:3" ht="16" thickBot="1">
      <c r="A58">
        <v>159009</v>
      </c>
      <c r="B58" t="s">
        <v>106</v>
      </c>
      <c r="C58" s="18">
        <v>104420</v>
      </c>
    </row>
    <row r="59" spans="1:3" ht="16" thickBot="1">
      <c r="A59">
        <v>141574</v>
      </c>
      <c r="B59" t="s">
        <v>107</v>
      </c>
      <c r="C59" s="18">
        <v>543765</v>
      </c>
    </row>
    <row r="60" spans="1:3" ht="16" thickBot="1">
      <c r="A60">
        <v>225511</v>
      </c>
      <c r="B60" t="s">
        <v>108</v>
      </c>
      <c r="C60" s="18">
        <v>75644</v>
      </c>
    </row>
    <row r="61" spans="1:3" ht="16" thickBot="1">
      <c r="A61">
        <v>142285</v>
      </c>
      <c r="B61" t="s">
        <v>109</v>
      </c>
      <c r="C61" s="18">
        <v>532593</v>
      </c>
    </row>
    <row r="62" spans="1:3" ht="16" thickBot="1">
      <c r="A62">
        <v>142276</v>
      </c>
      <c r="B62" t="s">
        <v>110</v>
      </c>
      <c r="C62" s="18">
        <v>395217</v>
      </c>
    </row>
    <row r="63" spans="1:3" ht="16" thickBot="1">
      <c r="A63">
        <v>145637</v>
      </c>
      <c r="B63" t="s">
        <v>111</v>
      </c>
      <c r="C63" s="18">
        <v>315501</v>
      </c>
    </row>
    <row r="64" spans="1:3" ht="16" thickBot="1">
      <c r="A64">
        <v>145600</v>
      </c>
      <c r="B64" t="s">
        <v>112</v>
      </c>
      <c r="C64" s="18">
        <v>525415</v>
      </c>
    </row>
    <row r="65" spans="1:3" ht="16" thickBot="1">
      <c r="A65">
        <v>145813</v>
      </c>
      <c r="B65" t="s">
        <v>113</v>
      </c>
      <c r="C65" s="18">
        <v>280991</v>
      </c>
    </row>
    <row r="66" spans="1:3" ht="16" thickBot="1">
      <c r="A66">
        <v>151351</v>
      </c>
      <c r="B66" t="s">
        <v>114</v>
      </c>
      <c r="C66" s="18">
        <v>102746</v>
      </c>
    </row>
    <row r="67" spans="1:3" ht="16" thickBot="1">
      <c r="A67">
        <v>151324</v>
      </c>
      <c r="B67" t="s">
        <v>115</v>
      </c>
      <c r="C67" s="18">
        <v>550345</v>
      </c>
    </row>
    <row r="68" spans="1:3">
      <c r="A68">
        <v>153658</v>
      </c>
      <c r="B68" t="s">
        <v>116</v>
      </c>
      <c r="C68" s="23">
        <v>72868</v>
      </c>
    </row>
    <row r="69" spans="1:3" ht="16" thickBot="1">
      <c r="A69">
        <v>153603</v>
      </c>
      <c r="B69" t="s">
        <v>117</v>
      </c>
      <c r="C69" s="18">
        <v>43939</v>
      </c>
    </row>
    <row r="70" spans="1:3" ht="16" thickBot="1">
      <c r="A70">
        <v>151111</v>
      </c>
      <c r="B70" t="s">
        <v>118</v>
      </c>
      <c r="C70" s="33">
        <v>15000</v>
      </c>
    </row>
    <row r="71" spans="1:3" ht="16" thickBot="1">
      <c r="A71">
        <v>232423</v>
      </c>
      <c r="B71" t="s">
        <v>121</v>
      </c>
      <c r="C71" s="16">
        <v>8929</v>
      </c>
    </row>
    <row r="72" spans="1:3" ht="16" thickBot="1">
      <c r="A72">
        <v>155317</v>
      </c>
      <c r="B72" t="s">
        <v>122</v>
      </c>
      <c r="C72" s="18">
        <v>10279</v>
      </c>
    </row>
    <row r="73" spans="1:3" ht="16" thickBot="1">
      <c r="A73">
        <v>155399</v>
      </c>
      <c r="B73" t="s">
        <v>123</v>
      </c>
      <c r="C73" s="33">
        <v>12371</v>
      </c>
    </row>
    <row r="74" spans="1:3" ht="16" thickBot="1">
      <c r="A74">
        <v>486840</v>
      </c>
      <c r="B74" t="s">
        <v>279</v>
      </c>
      <c r="C74" s="33">
        <v>104181</v>
      </c>
    </row>
    <row r="75" spans="1:3" ht="16" thickBot="1">
      <c r="A75">
        <v>203517</v>
      </c>
      <c r="B75" t="s">
        <v>125</v>
      </c>
      <c r="C75" s="18">
        <v>4149</v>
      </c>
    </row>
    <row r="76" spans="1:3" ht="16" thickBot="1">
      <c r="A76">
        <v>157085</v>
      </c>
      <c r="B76" t="s">
        <v>126</v>
      </c>
      <c r="C76" s="18">
        <v>165256</v>
      </c>
    </row>
    <row r="77" spans="1:3" ht="16" thickBot="1">
      <c r="A77">
        <v>226091</v>
      </c>
      <c r="B77" t="s">
        <v>127</v>
      </c>
      <c r="C77" s="18">
        <v>539943</v>
      </c>
    </row>
    <row r="78" spans="1:3" ht="16" thickBot="1">
      <c r="A78">
        <v>110583</v>
      </c>
      <c r="B78" t="s">
        <v>128</v>
      </c>
      <c r="C78" s="18">
        <v>893176</v>
      </c>
    </row>
    <row r="79" spans="1:3" ht="16" thickBot="1">
      <c r="A79">
        <v>160658</v>
      </c>
      <c r="B79" t="s">
        <v>130</v>
      </c>
      <c r="C79" s="18">
        <v>110585</v>
      </c>
    </row>
    <row r="80" spans="1:3">
      <c r="A80">
        <v>159993</v>
      </c>
      <c r="B80" t="s">
        <v>131</v>
      </c>
      <c r="C80" s="23">
        <v>3221</v>
      </c>
    </row>
    <row r="81" spans="1:3" ht="16" thickBot="1">
      <c r="A81">
        <v>159647</v>
      </c>
      <c r="B81" t="s">
        <v>132</v>
      </c>
      <c r="C81" s="16">
        <v>702518</v>
      </c>
    </row>
    <row r="82" spans="1:3" ht="16" thickBot="1">
      <c r="A82">
        <v>157289</v>
      </c>
      <c r="B82" t="s">
        <v>133</v>
      </c>
      <c r="C82" s="18">
        <v>18487</v>
      </c>
    </row>
    <row r="83" spans="1:3" ht="16" thickBot="1">
      <c r="A83">
        <v>159391</v>
      </c>
      <c r="B83" t="s">
        <v>134</v>
      </c>
      <c r="C83" s="18">
        <v>46304</v>
      </c>
    </row>
    <row r="84" spans="1:3" ht="16" thickBot="1">
      <c r="A84">
        <v>237525</v>
      </c>
      <c r="B84" t="s">
        <v>136</v>
      </c>
      <c r="C84" s="16">
        <v>588386</v>
      </c>
    </row>
    <row r="85" spans="1:3" ht="16" thickBot="1">
      <c r="A85">
        <v>163286</v>
      </c>
      <c r="B85" t="s">
        <v>137</v>
      </c>
      <c r="C85" s="18">
        <v>195840</v>
      </c>
    </row>
    <row r="86" spans="1:3" ht="16" thickBot="1">
      <c r="A86">
        <v>163268</v>
      </c>
      <c r="B86" t="s">
        <v>138</v>
      </c>
      <c r="C86" s="18">
        <v>180245</v>
      </c>
    </row>
    <row r="87" spans="1:3" ht="16" thickBot="1">
      <c r="A87">
        <v>163338</v>
      </c>
      <c r="B87" t="s">
        <v>139</v>
      </c>
      <c r="C87" s="33">
        <v>324823</v>
      </c>
    </row>
    <row r="88" spans="1:3" ht="16" thickBot="1">
      <c r="A88">
        <v>159717</v>
      </c>
      <c r="B88" t="s">
        <v>142</v>
      </c>
      <c r="C88" s="18">
        <v>400170</v>
      </c>
    </row>
    <row r="89" spans="1:3" ht="16" thickBot="1">
      <c r="A89">
        <v>220862</v>
      </c>
      <c r="B89" t="s">
        <v>143</v>
      </c>
      <c r="C89" s="38"/>
    </row>
    <row r="90" spans="1:3" ht="16" thickBot="1">
      <c r="A90">
        <v>204024</v>
      </c>
      <c r="B90" t="s">
        <v>144</v>
      </c>
      <c r="C90" s="18">
        <v>906374</v>
      </c>
    </row>
    <row r="91" spans="1:3" ht="16" thickBot="1">
      <c r="A91">
        <v>170976</v>
      </c>
      <c r="B91" t="s">
        <v>145</v>
      </c>
      <c r="C91" s="18">
        <v>77495</v>
      </c>
    </row>
    <row r="92" spans="1:3">
      <c r="A92">
        <v>171100</v>
      </c>
      <c r="B92" t="s">
        <v>146</v>
      </c>
      <c r="C92" s="40">
        <v>270733</v>
      </c>
    </row>
    <row r="93" spans="1:3" ht="16" thickBot="1">
      <c r="A93">
        <v>220978</v>
      </c>
      <c r="B93" t="s">
        <v>147</v>
      </c>
      <c r="C93" s="16">
        <v>968751</v>
      </c>
    </row>
    <row r="94" spans="1:3" ht="16" thickBot="1">
      <c r="A94">
        <v>174066</v>
      </c>
      <c r="B94" t="s">
        <v>148</v>
      </c>
      <c r="C94" s="18">
        <v>178579</v>
      </c>
    </row>
    <row r="95" spans="1:3" ht="16" thickBot="1">
      <c r="A95">
        <v>176017</v>
      </c>
      <c r="B95" t="s">
        <v>149</v>
      </c>
      <c r="C95" s="18">
        <v>374475</v>
      </c>
    </row>
    <row r="96" spans="1:3" ht="16" thickBot="1">
      <c r="A96">
        <v>176080</v>
      </c>
      <c r="B96" t="s">
        <v>150</v>
      </c>
      <c r="C96" s="18">
        <v>9629</v>
      </c>
    </row>
    <row r="97" spans="1:3" ht="16" thickBot="1">
      <c r="A97">
        <v>176044</v>
      </c>
      <c r="B97" t="s">
        <v>151</v>
      </c>
      <c r="C97" s="38"/>
    </row>
    <row r="98" spans="1:3" ht="16" thickBot="1">
      <c r="A98">
        <v>178396</v>
      </c>
      <c r="B98" t="s">
        <v>152</v>
      </c>
      <c r="C98" s="18">
        <v>121988</v>
      </c>
    </row>
    <row r="99" spans="1:3" ht="16" thickBot="1">
      <c r="A99">
        <v>178402</v>
      </c>
      <c r="B99" t="s">
        <v>153</v>
      </c>
      <c r="C99" s="18">
        <v>655408</v>
      </c>
    </row>
    <row r="100" spans="1:3" ht="16" thickBot="1">
      <c r="A100">
        <v>179566</v>
      </c>
      <c r="B100" t="s">
        <v>154</v>
      </c>
      <c r="C100" s="18">
        <v>812582</v>
      </c>
    </row>
    <row r="101" spans="1:3" ht="16" thickBot="1">
      <c r="A101">
        <v>180489</v>
      </c>
      <c r="B101" t="s">
        <v>155</v>
      </c>
      <c r="C101" s="18">
        <v>387008</v>
      </c>
    </row>
    <row r="102" spans="1:3" ht="16" thickBot="1">
      <c r="A102">
        <v>180461</v>
      </c>
      <c r="B102" t="s">
        <v>156</v>
      </c>
      <c r="C102" s="18">
        <v>784064</v>
      </c>
    </row>
    <row r="103" spans="1:3">
      <c r="A103">
        <v>157386</v>
      </c>
      <c r="B103" t="s">
        <v>157</v>
      </c>
      <c r="C103" s="23">
        <v>499472</v>
      </c>
    </row>
    <row r="104" spans="1:3" ht="16" thickBot="1">
      <c r="A104">
        <v>163453</v>
      </c>
      <c r="B104" t="s">
        <v>158</v>
      </c>
      <c r="C104" s="18">
        <v>17257</v>
      </c>
    </row>
    <row r="105" spans="1:3" ht="16" thickBot="1">
      <c r="A105">
        <v>500000</v>
      </c>
      <c r="B105" t="s">
        <v>160</v>
      </c>
      <c r="C105" s="16">
        <v>31753</v>
      </c>
    </row>
    <row r="106" spans="1:3" ht="16" thickBot="1">
      <c r="A106">
        <v>181464</v>
      </c>
      <c r="B106" t="s">
        <v>161</v>
      </c>
      <c r="C106" s="18">
        <v>777485</v>
      </c>
    </row>
    <row r="107" spans="1:3" ht="16" thickBot="1">
      <c r="A107">
        <v>181394</v>
      </c>
      <c r="B107" t="s">
        <v>162</v>
      </c>
      <c r="C107" s="18">
        <v>591242</v>
      </c>
    </row>
    <row r="108" spans="1:3" ht="16" thickBot="1">
      <c r="A108">
        <v>182290</v>
      </c>
      <c r="B108" t="s">
        <v>163</v>
      </c>
      <c r="C108" s="18">
        <v>76031</v>
      </c>
    </row>
    <row r="109" spans="1:3" ht="16" thickBot="1">
      <c r="A109">
        <v>183044</v>
      </c>
      <c r="B109" t="s">
        <v>164</v>
      </c>
      <c r="C109" s="18">
        <v>302635</v>
      </c>
    </row>
    <row r="110" spans="1:3" ht="16" thickBot="1">
      <c r="A110">
        <v>187985</v>
      </c>
      <c r="B110" t="s">
        <v>165</v>
      </c>
      <c r="C110" s="18">
        <v>6184</v>
      </c>
    </row>
    <row r="111" spans="1:3" ht="16" thickBot="1">
      <c r="A111">
        <v>188030</v>
      </c>
      <c r="B111" t="s">
        <v>166</v>
      </c>
      <c r="C111" s="18">
        <v>241751</v>
      </c>
    </row>
    <row r="112" spans="1:3" ht="16" thickBot="1">
      <c r="A112">
        <v>159939</v>
      </c>
      <c r="B112" t="s">
        <v>167</v>
      </c>
      <c r="C112" s="18">
        <v>48</v>
      </c>
    </row>
    <row r="113" spans="1:3" ht="16" thickBot="1">
      <c r="A113">
        <v>159966</v>
      </c>
      <c r="B113" t="s">
        <v>168</v>
      </c>
      <c r="C113" s="18">
        <v>349928</v>
      </c>
    </row>
    <row r="114" spans="1:3">
      <c r="A114">
        <v>185828</v>
      </c>
      <c r="B114" t="s">
        <v>169</v>
      </c>
      <c r="C114" s="23">
        <v>604264</v>
      </c>
    </row>
    <row r="115" spans="1:3" ht="16" thickBot="1">
      <c r="A115">
        <v>101879</v>
      </c>
      <c r="B115" t="s">
        <v>171</v>
      </c>
      <c r="C115" s="18">
        <v>539152</v>
      </c>
    </row>
    <row r="116" spans="1:3" ht="16" thickBot="1">
      <c r="A116">
        <v>199120</v>
      </c>
      <c r="B116" t="s">
        <v>172</v>
      </c>
      <c r="C116" s="18">
        <v>774325</v>
      </c>
    </row>
    <row r="117" spans="1:3" ht="16" thickBot="1">
      <c r="A117">
        <v>199102</v>
      </c>
      <c r="B117" t="s">
        <v>173</v>
      </c>
      <c r="C117" s="18">
        <v>492286</v>
      </c>
    </row>
    <row r="118" spans="1:3" ht="16" thickBot="1">
      <c r="A118">
        <v>199111</v>
      </c>
      <c r="B118" t="s">
        <v>275</v>
      </c>
      <c r="C118" s="18">
        <v>5376</v>
      </c>
    </row>
    <row r="119" spans="1:3" ht="16" thickBot="1">
      <c r="A119">
        <v>199157</v>
      </c>
      <c r="B119" t="s">
        <v>174</v>
      </c>
      <c r="C119" s="18">
        <v>295238</v>
      </c>
    </row>
    <row r="120" spans="1:3" ht="16" thickBot="1">
      <c r="A120">
        <v>199148</v>
      </c>
      <c r="B120" t="s">
        <v>276</v>
      </c>
      <c r="C120" s="18">
        <v>603579</v>
      </c>
    </row>
    <row r="121" spans="1:3" ht="16" thickBot="1">
      <c r="A121">
        <v>199193</v>
      </c>
      <c r="B121" t="s">
        <v>175</v>
      </c>
      <c r="C121" s="18">
        <v>730931</v>
      </c>
    </row>
    <row r="122" spans="1:3" ht="16" thickBot="1">
      <c r="A122">
        <v>199218</v>
      </c>
      <c r="B122" t="s">
        <v>176</v>
      </c>
      <c r="C122" s="18">
        <v>3912</v>
      </c>
    </row>
    <row r="123" spans="1:3" ht="16" thickBot="1">
      <c r="A123">
        <v>200280</v>
      </c>
      <c r="B123" t="s">
        <v>177</v>
      </c>
      <c r="C123" s="18">
        <v>371878</v>
      </c>
    </row>
    <row r="124" spans="1:3" ht="16" thickBot="1">
      <c r="A124">
        <v>200332</v>
      </c>
      <c r="B124" t="s">
        <v>178</v>
      </c>
      <c r="C124" s="18">
        <v>382900</v>
      </c>
    </row>
    <row r="125" spans="1:3" ht="16" thickBot="1">
      <c r="A125">
        <v>136172</v>
      </c>
      <c r="B125" t="s">
        <v>179</v>
      </c>
      <c r="C125" s="18">
        <v>112827</v>
      </c>
    </row>
    <row r="126" spans="1:3" ht="16" thickBot="1">
      <c r="A126">
        <v>227216</v>
      </c>
      <c r="B126" t="s">
        <v>180</v>
      </c>
      <c r="C126" s="18">
        <v>2592</v>
      </c>
    </row>
    <row r="127" spans="1:3" ht="16" thickBot="1">
      <c r="A127">
        <v>105330</v>
      </c>
      <c r="B127" t="s">
        <v>181</v>
      </c>
      <c r="C127" s="18">
        <v>674614</v>
      </c>
    </row>
    <row r="128" spans="1:3" ht="16" thickBot="1">
      <c r="A128">
        <v>127741</v>
      </c>
      <c r="B128" t="s">
        <v>182</v>
      </c>
      <c r="C128" s="18">
        <v>798313</v>
      </c>
    </row>
    <row r="129" spans="1:3" ht="16" thickBot="1">
      <c r="A129">
        <v>147703</v>
      </c>
      <c r="B129" t="s">
        <v>183</v>
      </c>
      <c r="C129" s="33">
        <v>140973</v>
      </c>
    </row>
    <row r="130" spans="1:3" ht="16" thickBot="1">
      <c r="A130">
        <v>154095</v>
      </c>
      <c r="B130" t="s">
        <v>184</v>
      </c>
      <c r="C130" s="33">
        <v>767310</v>
      </c>
    </row>
    <row r="131" spans="1:3" ht="16" thickBot="1">
      <c r="A131">
        <v>160038</v>
      </c>
      <c r="B131" t="s">
        <v>185</v>
      </c>
      <c r="C131" s="18">
        <v>366804</v>
      </c>
    </row>
    <row r="132" spans="1:3" ht="16" thickBot="1">
      <c r="A132">
        <v>171571</v>
      </c>
      <c r="B132" t="s">
        <v>186</v>
      </c>
      <c r="C132" s="18">
        <v>538060</v>
      </c>
    </row>
    <row r="133" spans="1:3" ht="16" thickBot="1">
      <c r="A133">
        <v>204857</v>
      </c>
      <c r="B133" t="s">
        <v>187</v>
      </c>
      <c r="C133" s="18">
        <v>1041939</v>
      </c>
    </row>
    <row r="134" spans="1:3" ht="16" thickBot="1">
      <c r="A134">
        <v>204796</v>
      </c>
      <c r="B134" t="s">
        <v>188</v>
      </c>
      <c r="C134" s="18">
        <v>67610</v>
      </c>
    </row>
    <row r="135" spans="1:3" ht="16" thickBot="1">
      <c r="A135">
        <v>207500</v>
      </c>
      <c r="B135" t="s">
        <v>189</v>
      </c>
      <c r="C135" s="18">
        <v>196058</v>
      </c>
    </row>
    <row r="136" spans="1:3">
      <c r="A136">
        <v>232982</v>
      </c>
      <c r="B136" t="s">
        <v>191</v>
      </c>
      <c r="C136" s="23">
        <v>73711</v>
      </c>
    </row>
    <row r="137" spans="1:3" ht="16" thickBot="1">
      <c r="A137">
        <v>209551</v>
      </c>
      <c r="B137" t="s">
        <v>192</v>
      </c>
      <c r="C137" s="18">
        <v>199709</v>
      </c>
    </row>
    <row r="138" spans="1:3" ht="16" thickBot="1">
      <c r="A138">
        <v>209542</v>
      </c>
      <c r="B138" t="s">
        <v>193</v>
      </c>
      <c r="C138" s="18">
        <v>50289</v>
      </c>
    </row>
    <row r="139" spans="1:3" ht="16" thickBot="1">
      <c r="A139">
        <v>214777</v>
      </c>
      <c r="B139" t="s">
        <v>194</v>
      </c>
      <c r="C139" s="18">
        <v>717166</v>
      </c>
    </row>
    <row r="140" spans="1:3" ht="16" thickBot="1">
      <c r="A140">
        <v>209807</v>
      </c>
      <c r="B140" t="s">
        <v>195</v>
      </c>
      <c r="C140" s="18">
        <v>271640</v>
      </c>
    </row>
    <row r="141" spans="1:3" ht="16" thickBot="1">
      <c r="A141">
        <v>227526</v>
      </c>
      <c r="B141" t="s">
        <v>196</v>
      </c>
      <c r="C141" s="18">
        <v>409467</v>
      </c>
    </row>
    <row r="142" spans="1:3" ht="16" thickBot="1">
      <c r="A142">
        <v>243780</v>
      </c>
      <c r="B142" t="s">
        <v>197</v>
      </c>
      <c r="C142" s="18">
        <v>215993</v>
      </c>
    </row>
    <row r="143" spans="1:3" ht="16" thickBot="1">
      <c r="A143">
        <v>151102</v>
      </c>
      <c r="B143" t="s">
        <v>198</v>
      </c>
      <c r="C143" s="16">
        <v>535700</v>
      </c>
    </row>
    <row r="144" spans="1:3" ht="16" thickBot="1">
      <c r="A144">
        <v>233277</v>
      </c>
      <c r="B144" t="s">
        <v>199</v>
      </c>
      <c r="C144" s="18">
        <v>15316</v>
      </c>
    </row>
    <row r="145" spans="1:3" ht="16" thickBot="1">
      <c r="A145">
        <v>217484</v>
      </c>
      <c r="B145" t="s">
        <v>200</v>
      </c>
      <c r="C145" s="33">
        <v>777188</v>
      </c>
    </row>
    <row r="146" spans="1:3" ht="16" thickBot="1">
      <c r="A146">
        <v>186380</v>
      </c>
      <c r="B146" t="s">
        <v>201</v>
      </c>
      <c r="C146" s="18">
        <v>32286</v>
      </c>
    </row>
    <row r="147" spans="1:3" ht="16" thickBot="1">
      <c r="A147">
        <v>110617</v>
      </c>
      <c r="B147" t="s">
        <v>202</v>
      </c>
      <c r="C147" s="18">
        <v>328705</v>
      </c>
    </row>
    <row r="148" spans="1:3" ht="16" thickBot="1">
      <c r="A148">
        <v>227881</v>
      </c>
      <c r="B148" t="s">
        <v>203</v>
      </c>
      <c r="C148" s="18">
        <v>283818</v>
      </c>
    </row>
    <row r="149" spans="1:3" ht="16" thickBot="1">
      <c r="A149">
        <v>122409</v>
      </c>
      <c r="B149" t="s">
        <v>204</v>
      </c>
      <c r="C149" s="18">
        <v>1037132</v>
      </c>
    </row>
    <row r="150" spans="1:3" ht="16" thickBot="1">
      <c r="A150">
        <v>122755</v>
      </c>
      <c r="B150" t="s">
        <v>205</v>
      </c>
      <c r="C150" s="18">
        <v>349288</v>
      </c>
    </row>
    <row r="151" spans="1:3" ht="16" thickBot="1">
      <c r="A151">
        <v>140960</v>
      </c>
      <c r="B151" t="s">
        <v>206</v>
      </c>
      <c r="C151" s="38"/>
    </row>
    <row r="152" spans="1:3" ht="17" thickBot="1">
      <c r="A152">
        <v>102094</v>
      </c>
      <c r="B152" t="s">
        <v>207</v>
      </c>
      <c r="C152" s="9">
        <v>805853</v>
      </c>
    </row>
    <row r="153" spans="1:3" ht="16" thickBot="1">
      <c r="A153">
        <v>218663</v>
      </c>
      <c r="B153" t="s">
        <v>208</v>
      </c>
      <c r="C153" s="18">
        <v>233289</v>
      </c>
    </row>
    <row r="154" spans="1:3" ht="17" thickBot="1">
      <c r="A154">
        <v>218733</v>
      </c>
      <c r="B154" t="s">
        <v>209</v>
      </c>
      <c r="C154" s="8">
        <v>195597</v>
      </c>
    </row>
    <row r="155" spans="1:3">
      <c r="A155">
        <v>218742</v>
      </c>
      <c r="B155" t="s">
        <v>210</v>
      </c>
      <c r="C155" s="30">
        <v>477376</v>
      </c>
    </row>
    <row r="156" spans="1:3" ht="16" thickBot="1">
      <c r="A156">
        <v>219471</v>
      </c>
      <c r="B156" t="s">
        <v>211</v>
      </c>
      <c r="C156" s="18">
        <v>490709</v>
      </c>
    </row>
    <row r="157" spans="1:3" ht="16" thickBot="1">
      <c r="A157">
        <v>219356</v>
      </c>
      <c r="B157" t="s">
        <v>212</v>
      </c>
      <c r="C157" s="18">
        <v>2853</v>
      </c>
    </row>
    <row r="158" spans="1:3" ht="16" thickBot="1">
      <c r="A158">
        <v>137351</v>
      </c>
      <c r="B158" t="s">
        <v>213</v>
      </c>
      <c r="C158" s="18">
        <v>69003</v>
      </c>
    </row>
    <row r="159" spans="1:3" ht="16" thickBot="1">
      <c r="A159">
        <v>179557</v>
      </c>
      <c r="B159" t="s">
        <v>214</v>
      </c>
      <c r="C159" s="33"/>
    </row>
    <row r="160" spans="1:3" ht="16" thickBot="1">
      <c r="A160">
        <v>160621</v>
      </c>
      <c r="B160" t="s">
        <v>216</v>
      </c>
      <c r="C160" s="18">
        <v>23295</v>
      </c>
    </row>
    <row r="161" spans="1:3" ht="16" thickBot="1">
      <c r="A161">
        <v>149222</v>
      </c>
      <c r="B161" t="s">
        <v>217</v>
      </c>
      <c r="C161" s="18">
        <v>74417</v>
      </c>
    </row>
    <row r="162" spans="1:3" ht="16" thickBot="1">
      <c r="A162">
        <v>149231</v>
      </c>
      <c r="B162" t="s">
        <v>218</v>
      </c>
      <c r="C162" s="18">
        <v>397509</v>
      </c>
    </row>
    <row r="163" spans="1:3" ht="16" thickBot="1">
      <c r="A163">
        <v>176372</v>
      </c>
      <c r="B163" t="s">
        <v>219</v>
      </c>
      <c r="C163" s="18">
        <v>11459</v>
      </c>
    </row>
    <row r="164" spans="1:3" ht="16" thickBot="1">
      <c r="A164">
        <v>230603</v>
      </c>
      <c r="B164" t="s">
        <v>220</v>
      </c>
      <c r="C164" s="18">
        <v>684024</v>
      </c>
    </row>
    <row r="165" spans="1:3" ht="16" thickBot="1">
      <c r="A165">
        <v>228431</v>
      </c>
      <c r="B165" t="s">
        <v>221</v>
      </c>
      <c r="C165" s="18">
        <v>702748</v>
      </c>
    </row>
    <row r="166" spans="1:3" ht="16" thickBot="1">
      <c r="A166">
        <v>196097</v>
      </c>
      <c r="B166" t="s">
        <v>222</v>
      </c>
      <c r="C166" s="18">
        <v>664201</v>
      </c>
    </row>
    <row r="167" spans="1:3" ht="16" thickBot="1">
      <c r="A167">
        <v>221759</v>
      </c>
      <c r="B167" t="s">
        <v>223</v>
      </c>
      <c r="C167" s="18">
        <v>188163</v>
      </c>
    </row>
    <row r="168" spans="1:3">
      <c r="A168">
        <v>221740</v>
      </c>
      <c r="B168" t="s">
        <v>224</v>
      </c>
      <c r="C168" s="23">
        <v>605863</v>
      </c>
    </row>
    <row r="169" spans="1:3" ht="16" thickBot="1">
      <c r="A169">
        <v>221847</v>
      </c>
      <c r="B169" t="s">
        <v>227</v>
      </c>
      <c r="C169" s="18">
        <v>3394</v>
      </c>
    </row>
    <row r="170" spans="1:3" ht="16" thickBot="1">
      <c r="A170">
        <v>228778</v>
      </c>
      <c r="B170" t="s">
        <v>228</v>
      </c>
      <c r="C170" s="18">
        <v>1175298</v>
      </c>
    </row>
    <row r="171" spans="1:3" ht="16" thickBot="1">
      <c r="A171">
        <v>228723</v>
      </c>
      <c r="B171" t="s">
        <v>229</v>
      </c>
      <c r="C171" s="18">
        <v>641543</v>
      </c>
    </row>
    <row r="172" spans="1:3" ht="16" thickBot="1">
      <c r="A172">
        <v>224147</v>
      </c>
      <c r="B172" t="s">
        <v>230</v>
      </c>
      <c r="C172" s="18">
        <v>530648</v>
      </c>
    </row>
    <row r="173" spans="1:3" ht="16" thickBot="1">
      <c r="A173">
        <v>228769</v>
      </c>
      <c r="B173" t="s">
        <v>231</v>
      </c>
      <c r="C173" s="33">
        <v>16555</v>
      </c>
    </row>
    <row r="174" spans="1:3" ht="16" thickBot="1">
      <c r="A174">
        <v>229063</v>
      </c>
      <c r="B174" t="s">
        <v>232</v>
      </c>
      <c r="C174" s="18">
        <v>2044</v>
      </c>
    </row>
    <row r="175" spans="1:3" ht="16" thickBot="1">
      <c r="A175">
        <v>228459</v>
      </c>
      <c r="B175" t="s">
        <v>233</v>
      </c>
      <c r="C175" s="18">
        <v>44154</v>
      </c>
    </row>
    <row r="176" spans="1:3" ht="16" thickBot="1">
      <c r="A176">
        <v>229115</v>
      </c>
      <c r="B176" t="s">
        <v>234</v>
      </c>
      <c r="C176" s="18">
        <v>291657</v>
      </c>
    </row>
    <row r="177" spans="1:3" ht="16" thickBot="1">
      <c r="A177">
        <v>206084</v>
      </c>
      <c r="B177" t="s">
        <v>235</v>
      </c>
      <c r="C177" s="18">
        <v>11576</v>
      </c>
    </row>
    <row r="178" spans="1:3" ht="16" thickBot="1">
      <c r="A178">
        <v>164076</v>
      </c>
      <c r="B178" t="s">
        <v>236</v>
      </c>
      <c r="C178" s="18">
        <v>212285</v>
      </c>
    </row>
    <row r="179" spans="1:3" ht="16" thickBot="1">
      <c r="A179">
        <v>100663</v>
      </c>
      <c r="B179" t="s">
        <v>238</v>
      </c>
      <c r="C179" s="16">
        <v>842420</v>
      </c>
    </row>
    <row r="180" spans="1:3" ht="16" thickBot="1">
      <c r="A180">
        <v>110644</v>
      </c>
      <c r="B180" t="s">
        <v>239</v>
      </c>
      <c r="C180" s="18">
        <v>15887</v>
      </c>
    </row>
    <row r="181" spans="1:3" ht="16" thickBot="1">
      <c r="A181">
        <v>110653</v>
      </c>
      <c r="B181" t="s">
        <v>240</v>
      </c>
      <c r="C181" s="18">
        <v>699046</v>
      </c>
    </row>
    <row r="182" spans="1:3" ht="16" thickBot="1">
      <c r="A182">
        <v>110671</v>
      </c>
      <c r="B182" t="s">
        <v>241</v>
      </c>
      <c r="C182" s="18">
        <v>925193</v>
      </c>
    </row>
    <row r="183" spans="1:3" ht="16" thickBot="1">
      <c r="A183">
        <v>110705</v>
      </c>
      <c r="B183" t="s">
        <v>242</v>
      </c>
      <c r="C183" s="18">
        <v>803650</v>
      </c>
    </row>
    <row r="184" spans="1:3" ht="16" thickBot="1">
      <c r="A184">
        <v>132903</v>
      </c>
      <c r="B184" t="s">
        <v>243</v>
      </c>
      <c r="C184" s="18">
        <v>787869</v>
      </c>
    </row>
    <row r="185" spans="1:3" ht="16" thickBot="1">
      <c r="A185">
        <v>110662</v>
      </c>
      <c r="B185" t="s">
        <v>244</v>
      </c>
      <c r="C185" s="18">
        <v>114471</v>
      </c>
    </row>
    <row r="186" spans="1:3">
      <c r="A186">
        <v>182281</v>
      </c>
      <c r="B186" t="s">
        <v>245</v>
      </c>
      <c r="C186" s="23">
        <v>109036</v>
      </c>
    </row>
    <row r="187" spans="1:3" ht="16" thickBot="1">
      <c r="A187">
        <v>230764</v>
      </c>
      <c r="B187" t="s">
        <v>246</v>
      </c>
      <c r="C187" s="18">
        <v>334283</v>
      </c>
    </row>
    <row r="188" spans="1:3" ht="16" thickBot="1">
      <c r="A188">
        <v>230728</v>
      </c>
      <c r="B188" t="s">
        <v>247</v>
      </c>
      <c r="C188" s="18">
        <v>447184</v>
      </c>
    </row>
    <row r="189" spans="1:3" ht="16" thickBot="1">
      <c r="A189">
        <v>230737</v>
      </c>
      <c r="B189" t="s">
        <v>248</v>
      </c>
      <c r="C189" s="18">
        <v>4740</v>
      </c>
    </row>
    <row r="190" spans="1:3" ht="16" thickBot="1">
      <c r="A190">
        <v>228796</v>
      </c>
      <c r="B190" t="s">
        <v>249</v>
      </c>
      <c r="C190" s="18">
        <v>202688</v>
      </c>
    </row>
    <row r="191" spans="1:3" ht="16" thickBot="1">
      <c r="A191">
        <v>227368</v>
      </c>
      <c r="B191" t="s">
        <v>250</v>
      </c>
      <c r="C191" s="18">
        <v>30937</v>
      </c>
    </row>
    <row r="192" spans="1:3" ht="16" thickBot="1">
      <c r="A192">
        <v>229027</v>
      </c>
      <c r="B192" t="s">
        <v>251</v>
      </c>
      <c r="C192" s="18">
        <v>301334</v>
      </c>
    </row>
    <row r="193" spans="1:3" ht="16" thickBot="1">
      <c r="A193">
        <v>234030</v>
      </c>
      <c r="B193" t="s">
        <v>252</v>
      </c>
      <c r="C193" s="16">
        <v>25809</v>
      </c>
    </row>
    <row r="194" spans="1:3" ht="16" thickBot="1">
      <c r="A194">
        <v>234076</v>
      </c>
      <c r="B194" t="s">
        <v>254</v>
      </c>
      <c r="C194" s="33">
        <v>1000946</v>
      </c>
    </row>
    <row r="195" spans="1:3" ht="16" thickBot="1">
      <c r="A195">
        <v>233921</v>
      </c>
      <c r="B195" t="s">
        <v>255</v>
      </c>
      <c r="C195" s="18">
        <v>145689</v>
      </c>
    </row>
    <row r="196" spans="1:3" ht="16" thickBot="1">
      <c r="A196">
        <v>236948</v>
      </c>
      <c r="B196" t="s">
        <v>257</v>
      </c>
      <c r="C196" s="18">
        <v>681463</v>
      </c>
    </row>
    <row r="197" spans="1:3" ht="16" thickBot="1">
      <c r="A197">
        <v>236939</v>
      </c>
      <c r="B197" t="s">
        <v>258</v>
      </c>
      <c r="C197" s="18">
        <v>707141</v>
      </c>
    </row>
    <row r="198" spans="1:3" ht="16" thickBot="1">
      <c r="A198">
        <v>230782</v>
      </c>
      <c r="B198" t="s">
        <v>259</v>
      </c>
      <c r="C198" s="18">
        <v>463117</v>
      </c>
    </row>
    <row r="199" spans="1:3">
      <c r="A199">
        <v>238032</v>
      </c>
      <c r="B199" t="s">
        <v>260</v>
      </c>
      <c r="C199" s="23">
        <v>163266</v>
      </c>
    </row>
    <row r="200" spans="1:3" ht="16" thickBot="1">
      <c r="A200">
        <v>200004</v>
      </c>
      <c r="B200" t="s">
        <v>261</v>
      </c>
      <c r="C200" s="18">
        <v>54867</v>
      </c>
    </row>
    <row r="201" spans="1:3">
      <c r="A201">
        <v>149772</v>
      </c>
      <c r="B201" t="s">
        <v>262</v>
      </c>
      <c r="C201" s="23">
        <v>235364</v>
      </c>
    </row>
    <row r="202" spans="1:3" ht="16" thickBot="1">
      <c r="A202">
        <v>157951</v>
      </c>
      <c r="B202" t="s">
        <v>263</v>
      </c>
      <c r="C202" s="16">
        <v>910709</v>
      </c>
    </row>
    <row r="203" spans="1:3" ht="16" thickBot="1">
      <c r="A203">
        <v>172699</v>
      </c>
      <c r="B203" t="s">
        <v>264</v>
      </c>
      <c r="C203" s="18">
        <v>56221</v>
      </c>
    </row>
    <row r="204" spans="1:3" ht="16" thickBot="1">
      <c r="A204">
        <v>156125</v>
      </c>
      <c r="B204" t="s">
        <v>265</v>
      </c>
      <c r="C204" s="18">
        <v>292197</v>
      </c>
    </row>
    <row r="205" spans="1:3" ht="16" thickBot="1">
      <c r="A205">
        <v>231624</v>
      </c>
      <c r="B205" t="s">
        <v>266</v>
      </c>
      <c r="C205" s="18">
        <v>279700</v>
      </c>
    </row>
    <row r="206" spans="1:3" ht="16" thickBot="1">
      <c r="A206">
        <v>218964</v>
      </c>
      <c r="B206" t="s">
        <v>267</v>
      </c>
      <c r="C206" s="18">
        <v>421438</v>
      </c>
    </row>
    <row r="207" spans="1:3" ht="16" thickBot="1">
      <c r="A207">
        <v>240444</v>
      </c>
      <c r="B207" t="s">
        <v>268</v>
      </c>
      <c r="C207" s="18">
        <v>998128</v>
      </c>
    </row>
    <row r="208" spans="1:3" ht="16" thickBot="1">
      <c r="A208">
        <v>240277</v>
      </c>
      <c r="B208" t="s">
        <v>269</v>
      </c>
      <c r="C208" s="18">
        <v>277388</v>
      </c>
    </row>
    <row r="209" spans="1:3" ht="16" thickBot="1">
      <c r="A209">
        <v>240453</v>
      </c>
      <c r="B209" t="s">
        <v>270</v>
      </c>
      <c r="C209" s="18">
        <v>236169</v>
      </c>
    </row>
    <row r="210" spans="1:3" ht="16" thickBot="1">
      <c r="A210">
        <v>206604</v>
      </c>
      <c r="B210" t="s">
        <v>271</v>
      </c>
      <c r="C210" s="18">
        <v>624213</v>
      </c>
    </row>
    <row r="211" spans="1:3" ht="16" thickBot="1">
      <c r="A211">
        <v>240727</v>
      </c>
      <c r="B211" t="s">
        <v>272</v>
      </c>
      <c r="C211" s="18">
        <v>982137</v>
      </c>
    </row>
    <row r="212" spans="1:3">
      <c r="A212">
        <v>206695</v>
      </c>
      <c r="B212" t="s">
        <v>273</v>
      </c>
      <c r="C212" s="23">
        <v>4035</v>
      </c>
    </row>
    <row r="213" spans="1:3" ht="16" thickBot="1">
      <c r="C213" s="33"/>
    </row>
    <row r="214" spans="1:3" ht="16" thickBot="1">
      <c r="C214" s="18"/>
    </row>
    <row r="215" spans="1:3" ht="16" thickBot="1">
      <c r="C215" s="16"/>
    </row>
    <row r="216" spans="1:3" ht="16" thickBot="1">
      <c r="C216" s="18"/>
    </row>
    <row r="217" spans="1:3" ht="16" thickBot="1">
      <c r="C217" s="18"/>
    </row>
    <row r="218" spans="1:3" ht="16" thickBot="1">
      <c r="C218" s="18"/>
    </row>
    <row r="219" spans="1:3" ht="16" thickBot="1">
      <c r="C219" s="18"/>
    </row>
    <row r="220" spans="1:3" ht="16" thickBot="1">
      <c r="C220" s="18"/>
    </row>
    <row r="221" spans="1:3" ht="16" thickBot="1">
      <c r="C221" s="39"/>
    </row>
    <row r="222" spans="1:3" ht="16" thickBot="1">
      <c r="C222" s="18"/>
    </row>
    <row r="223" spans="1:3">
      <c r="C223" s="23"/>
    </row>
    <row r="224" spans="1:3" ht="16" thickBot="1">
      <c r="C224" s="18"/>
    </row>
    <row r="225" spans="3:3" ht="16" thickBot="1">
      <c r="C225" s="18"/>
    </row>
    <row r="226" spans="3:3" ht="16" thickBot="1">
      <c r="C226" s="18"/>
    </row>
    <row r="227" spans="3:3" ht="16" thickBot="1">
      <c r="C227" s="18"/>
    </row>
    <row r="228" spans="3:3" ht="17" thickBot="1">
      <c r="C228" s="8"/>
    </row>
    <row r="229" spans="3:3" ht="16" thickBot="1">
      <c r="C229" s="38"/>
    </row>
    <row r="230" spans="3:3" ht="16" thickBot="1">
      <c r="C230" s="33"/>
    </row>
    <row r="231" spans="3:3" ht="17" thickBot="1">
      <c r="C231" s="15"/>
    </row>
    <row r="232" spans="3:3" ht="16" thickBot="1">
      <c r="C232" s="39"/>
    </row>
    <row r="233" spans="3:3" ht="16" thickBot="1">
      <c r="C233" s="38"/>
    </row>
    <row r="234" spans="3:3" ht="16" thickBot="1">
      <c r="C234" s="38"/>
    </row>
    <row r="235" spans="3:3">
      <c r="C235" s="37"/>
    </row>
    <row r="236" spans="3:3" ht="16" thickBot="1">
      <c r="C236" s="38"/>
    </row>
    <row r="237" spans="3:3" ht="16" thickBot="1">
      <c r="C237" s="38"/>
    </row>
    <row r="238" spans="3:3" ht="16" thickBot="1">
      <c r="C238" s="38"/>
    </row>
    <row r="239" spans="3:3" ht="16" thickBot="1">
      <c r="C239" s="38"/>
    </row>
    <row r="240" spans="3:3" ht="16" thickBot="1">
      <c r="C240" s="38"/>
    </row>
    <row r="241" spans="3:3" ht="16" thickBot="1">
      <c r="C241" s="38"/>
    </row>
    <row r="242" spans="3:3" ht="16" thickBot="1">
      <c r="C242" s="38"/>
    </row>
    <row r="243" spans="3:3" ht="16" thickBot="1">
      <c r="C243" s="38"/>
    </row>
    <row r="244" spans="3:3" ht="16" thickBot="1">
      <c r="C244" s="38"/>
    </row>
    <row r="245" spans="3:3" ht="16" thickBot="1">
      <c r="C245" s="38"/>
    </row>
    <row r="246" spans="3:3" ht="16" thickBot="1">
      <c r="C246" s="38"/>
    </row>
    <row r="247" spans="3:3" ht="16" thickBot="1">
      <c r="C247" s="38"/>
    </row>
    <row r="248" spans="3:3" ht="16" thickBot="1">
      <c r="C248" s="38"/>
    </row>
    <row r="249" spans="3:3">
      <c r="C249" s="37"/>
    </row>
    <row r="250" spans="3:3" ht="16" thickBot="1">
      <c r="C250" s="38"/>
    </row>
    <row r="251" spans="3:3" ht="16" thickBot="1">
      <c r="C251" s="38"/>
    </row>
    <row r="252" spans="3:3" ht="16" thickBot="1">
      <c r="C252" s="39"/>
    </row>
    <row r="253" spans="3:3" ht="16" thickBot="1">
      <c r="C253" s="38"/>
    </row>
    <row r="254" spans="3:3" ht="16" thickBot="1">
      <c r="C254" s="38"/>
    </row>
    <row r="255" spans="3:3" ht="16" thickBot="1">
      <c r="C255" s="38"/>
    </row>
    <row r="256" spans="3:3" ht="16" thickBot="1">
      <c r="C256" s="38"/>
    </row>
    <row r="257" spans="3:3" ht="16" thickBot="1">
      <c r="C257" s="38"/>
    </row>
    <row r="258" spans="3:3" ht="16" thickBot="1">
      <c r="C258" s="33"/>
    </row>
    <row r="259" spans="3:3" ht="16" thickBot="1">
      <c r="C259" s="33"/>
    </row>
    <row r="260" spans="3:3" ht="16" thickBot="1">
      <c r="C260" s="38"/>
    </row>
    <row r="261" spans="3:3" ht="16" thickBot="1">
      <c r="C261" s="38"/>
    </row>
    <row r="262" spans="3:3" ht="16" thickBot="1">
      <c r="C262" s="38"/>
    </row>
    <row r="263" spans="3:3" ht="16" thickBot="1">
      <c r="C263" s="39"/>
    </row>
    <row r="264" spans="3:3">
      <c r="C264" s="37"/>
    </row>
    <row r="265" spans="3:3" ht="16" thickBot="1">
      <c r="C265" s="38"/>
    </row>
    <row r="266" spans="3:3" ht="16" thickBot="1">
      <c r="C266" s="38"/>
    </row>
    <row r="267" spans="3:3" ht="16" thickBot="1">
      <c r="C267" s="38"/>
    </row>
    <row r="268" spans="3:3" ht="16" thickBot="1">
      <c r="C268" s="38"/>
    </row>
    <row r="269" spans="3:3" ht="16" thickBot="1">
      <c r="C269" s="38"/>
    </row>
    <row r="270" spans="3:3" ht="16" thickBot="1">
      <c r="C270" s="38"/>
    </row>
    <row r="271" spans="3:3" ht="16" thickBot="1">
      <c r="C271" s="38"/>
    </row>
    <row r="272" spans="3:3" ht="16" thickBot="1">
      <c r="C272" s="33"/>
    </row>
    <row r="273" spans="3:3" ht="16" thickBot="1">
      <c r="C273" s="38"/>
    </row>
    <row r="274" spans="3:3" ht="17" thickBot="1">
      <c r="C274" s="15"/>
    </row>
    <row r="275" spans="3:3" ht="16" thickBot="1">
      <c r="C275" s="38"/>
    </row>
    <row r="276" spans="3:3" ht="16" thickBot="1">
      <c r="C276" s="38"/>
    </row>
    <row r="277" spans="3:3">
      <c r="C277" s="37"/>
    </row>
    <row r="278" spans="3:3">
      <c r="C278" s="23"/>
    </row>
    <row r="279" spans="3:3" ht="16" thickBot="1">
      <c r="C279" s="18"/>
    </row>
    <row r="280" spans="3:3" ht="16" thickBot="1">
      <c r="C280" s="38"/>
    </row>
    <row r="281" spans="3:3" ht="16" thickBot="1">
      <c r="C281" s="18"/>
    </row>
    <row r="282" spans="3:3" ht="16" thickBot="1">
      <c r="C282" s="18"/>
    </row>
    <row r="283" spans="3:3" ht="16" thickBot="1">
      <c r="C283" s="18"/>
    </row>
    <row r="284" spans="3:3" ht="16" thickBot="1">
      <c r="C284" s="38"/>
    </row>
    <row r="285" spans="3:3" ht="16" thickBot="1">
      <c r="C285" s="18"/>
    </row>
    <row r="286" spans="3:3" ht="16" thickBot="1">
      <c r="C286" s="18"/>
    </row>
    <row r="287" spans="3:3" ht="16" thickBot="1">
      <c r="C287" s="18"/>
    </row>
    <row r="288" spans="3:3" ht="16" thickBot="1">
      <c r="C288" s="38"/>
    </row>
    <row r="289" spans="3:3" ht="16" thickBot="1">
      <c r="C289" s="18"/>
    </row>
    <row r="290" spans="3:3" ht="16" thickBot="1">
      <c r="C290" s="18"/>
    </row>
    <row r="291" spans="3:3">
      <c r="C291" s="23"/>
    </row>
    <row r="292" spans="3:3" ht="16" thickBot="1">
      <c r="C292" s="38"/>
    </row>
    <row r="293" spans="3:3" ht="16" thickBot="1">
      <c r="C293" s="18"/>
    </row>
    <row r="294" spans="3:3" ht="16" thickBot="1">
      <c r="C294" s="18"/>
    </row>
    <row r="295" spans="3:3" ht="16" thickBot="1">
      <c r="C295" s="18"/>
    </row>
    <row r="296" spans="3:3" ht="16" thickBot="1">
      <c r="C296" s="38"/>
    </row>
    <row r="297" spans="3:3" ht="16" thickBot="1">
      <c r="C297" s="18"/>
    </row>
    <row r="298" spans="3:3" ht="16" thickBot="1">
      <c r="C298" s="18"/>
    </row>
    <row r="299" spans="3:3" ht="16" thickBot="1">
      <c r="C299" s="18"/>
    </row>
    <row r="300" spans="3:3" ht="16" thickBot="1">
      <c r="C300" s="38"/>
    </row>
    <row r="301" spans="3:3" ht="16" thickBot="1">
      <c r="C301" s="18"/>
    </row>
    <row r="302" spans="3:3" ht="16" thickBot="1">
      <c r="C302" s="18"/>
    </row>
    <row r="303" spans="3:3" ht="16" thickBot="1">
      <c r="C303" s="18"/>
    </row>
    <row r="304" spans="3:3" ht="16" thickBot="1">
      <c r="C304" s="38"/>
    </row>
    <row r="305" spans="3:3" ht="16" thickBot="1">
      <c r="C305" s="18"/>
    </row>
    <row r="306" spans="3:3" ht="16" thickBot="1">
      <c r="C306" s="18"/>
    </row>
    <row r="307" spans="3:3">
      <c r="C307" s="37"/>
    </row>
    <row r="308" spans="3:3" ht="16" thickBot="1">
      <c r="C308" s="18"/>
    </row>
    <row r="309" spans="3:3" ht="16" thickBot="1">
      <c r="C309" s="18"/>
    </row>
    <row r="310" spans="3:3" ht="16" thickBot="1">
      <c r="C310" s="18"/>
    </row>
    <row r="311" spans="3:3" ht="16" thickBot="1">
      <c r="C311" s="38"/>
    </row>
    <row r="312" spans="3:3" ht="16" thickBot="1">
      <c r="C312" s="18"/>
    </row>
    <row r="313" spans="3:3" ht="16" thickBot="1">
      <c r="C313" s="18"/>
    </row>
    <row r="314" spans="3:3" ht="16" thickBot="1">
      <c r="C314" s="18"/>
    </row>
    <row r="315" spans="3:3" ht="16" thickBot="1">
      <c r="C315" s="38"/>
    </row>
    <row r="316" spans="3:3" ht="16" thickBot="1">
      <c r="C316" s="18"/>
    </row>
    <row r="317" spans="3:3" ht="16" thickBot="1">
      <c r="C317" s="18"/>
    </row>
    <row r="318" spans="3:3">
      <c r="C318" s="23"/>
    </row>
    <row r="319" spans="3:3" ht="16" thickBot="1">
      <c r="C319" s="38"/>
    </row>
    <row r="320" spans="3:3" ht="16" thickBot="1">
      <c r="C320" s="18"/>
    </row>
    <row r="321" spans="3:3" ht="16" thickBot="1">
      <c r="C321" s="18"/>
    </row>
    <row r="322" spans="3:3" ht="16" thickBot="1">
      <c r="C322" s="18"/>
    </row>
    <row r="323" spans="3:3" ht="16" thickBot="1">
      <c r="C323" s="38"/>
    </row>
    <row r="324" spans="3:3" ht="16" thickBot="1">
      <c r="C324" s="18"/>
    </row>
    <row r="325" spans="3:3" ht="16" thickBot="1">
      <c r="C325" s="18"/>
    </row>
    <row r="326" spans="3:3" ht="16" thickBot="1">
      <c r="C326" s="18"/>
    </row>
    <row r="327" spans="3:3" ht="16" thickBot="1">
      <c r="C327" s="38"/>
    </row>
    <row r="328" spans="3:3" ht="16" thickBot="1">
      <c r="C328" s="18"/>
    </row>
    <row r="329" spans="3:3" ht="16" thickBot="1">
      <c r="C329" s="18"/>
    </row>
    <row r="330" spans="3:3" ht="16" thickBot="1">
      <c r="C330" s="18"/>
    </row>
    <row r="331" spans="3:3" ht="16" thickBot="1">
      <c r="C331" s="38"/>
    </row>
    <row r="332" spans="3:3" ht="16" thickBot="1">
      <c r="C332" s="18"/>
    </row>
    <row r="333" spans="3:3" ht="16" thickBot="1">
      <c r="C333" s="18"/>
    </row>
    <row r="334" spans="3:3" ht="16" thickBot="1">
      <c r="C334" s="18"/>
    </row>
    <row r="335" spans="3:3" ht="16" thickBot="1">
      <c r="C335" s="38"/>
    </row>
    <row r="336" spans="3:3" ht="16" thickBot="1">
      <c r="C336" s="18"/>
    </row>
    <row r="337" spans="3:3" ht="16" thickBot="1">
      <c r="C337" s="18"/>
    </row>
    <row r="338" spans="3:3">
      <c r="C338" s="37"/>
    </row>
    <row r="339" spans="3:3" ht="16" thickBot="1">
      <c r="C339" s="18"/>
    </row>
    <row r="340" spans="3:3" ht="16" thickBot="1">
      <c r="C340" s="18"/>
    </row>
    <row r="341" spans="3:3" ht="16" thickBot="1">
      <c r="C341" s="18"/>
    </row>
    <row r="342" spans="3:3" ht="16" thickBot="1">
      <c r="C342" s="38"/>
    </row>
    <row r="343" spans="3:3" ht="16" thickBot="1">
      <c r="C343" s="18"/>
    </row>
    <row r="344" spans="3:3" ht="16" thickBot="1">
      <c r="C344" s="18"/>
    </row>
    <row r="345" spans="3:3" ht="16" thickBot="1">
      <c r="C345" s="18"/>
    </row>
    <row r="346" spans="3:3" ht="16" thickBot="1">
      <c r="C346" s="38"/>
    </row>
    <row r="347" spans="3:3" ht="16" thickBot="1">
      <c r="C347" s="18"/>
    </row>
    <row r="348" spans="3:3" ht="16" thickBot="1">
      <c r="C348" s="18"/>
    </row>
    <row r="349" spans="3:3" ht="16" thickBot="1">
      <c r="C349" s="18"/>
    </row>
    <row r="350" spans="3:3" ht="16" thickBot="1">
      <c r="C350" s="38"/>
    </row>
    <row r="351" spans="3:3" ht="16" thickBot="1">
      <c r="C351" s="18"/>
    </row>
    <row r="352" spans="3:3">
      <c r="C352" s="23"/>
    </row>
    <row r="353" spans="3:3" ht="16" thickBot="1">
      <c r="C353" s="18"/>
    </row>
    <row r="354" spans="3:3" ht="16" thickBot="1">
      <c r="C354" s="38"/>
    </row>
    <row r="355" spans="3:3" ht="16" thickBot="1">
      <c r="C355" s="18"/>
    </row>
    <row r="356" spans="3:3" ht="16" thickBot="1">
      <c r="C356" s="18"/>
    </row>
    <row r="357" spans="3:3" ht="16" thickBot="1">
      <c r="C357" s="18"/>
    </row>
    <row r="358" spans="3:3" ht="16" thickBot="1">
      <c r="C358" s="38"/>
    </row>
    <row r="359" spans="3:3" ht="16" thickBot="1">
      <c r="C359" s="18"/>
    </row>
    <row r="360" spans="3:3" ht="16" thickBot="1">
      <c r="C360" s="18"/>
    </row>
    <row r="361" spans="3:3" ht="16" thickBot="1">
      <c r="C361" s="18"/>
    </row>
    <row r="362" spans="3:3" ht="16" thickBot="1">
      <c r="C362" s="38"/>
    </row>
    <row r="363" spans="3:3" ht="16" thickBot="1">
      <c r="C363" s="18"/>
    </row>
    <row r="364" spans="3:3" ht="16" thickBot="1">
      <c r="C364" s="18"/>
    </row>
    <row r="365" spans="3:3" ht="16" thickBot="1">
      <c r="C365" s="18"/>
    </row>
    <row r="366" spans="3:3">
      <c r="C366" s="37"/>
    </row>
    <row r="367" spans="3:3" ht="16" thickBot="1">
      <c r="C367" s="18"/>
    </row>
    <row r="368" spans="3:3" ht="16" thickBot="1">
      <c r="C368" s="18"/>
    </row>
    <row r="369" spans="3:3" ht="16" thickBot="1">
      <c r="C369" s="18"/>
    </row>
    <row r="370" spans="3:3" ht="16" thickBot="1">
      <c r="C370" s="38"/>
    </row>
    <row r="371" spans="3:3" ht="16" thickBot="1">
      <c r="C371" s="18"/>
    </row>
    <row r="372" spans="3:3" ht="16" thickBot="1">
      <c r="C372" s="18"/>
    </row>
    <row r="373" spans="3:3" ht="16" thickBot="1">
      <c r="C373" s="18"/>
    </row>
    <row r="374" spans="3:3" ht="16" thickBot="1">
      <c r="C374" s="38"/>
    </row>
    <row r="375" spans="3:3" ht="16" thickBot="1">
      <c r="C375" s="18"/>
    </row>
    <row r="376" spans="3:3" ht="16" thickBot="1">
      <c r="C376" s="18"/>
    </row>
    <row r="377" spans="3:3" ht="16" thickBot="1">
      <c r="C377" s="18"/>
    </row>
    <row r="378" spans="3:3" ht="16" thickBot="1">
      <c r="C378" s="38"/>
    </row>
    <row r="379" spans="3:3" ht="16" thickBot="1">
      <c r="C379" s="18"/>
    </row>
    <row r="380" spans="3:3">
      <c r="C380" s="23"/>
    </row>
    <row r="381" spans="3:3" ht="16" thickBot="1">
      <c r="C381" s="18"/>
    </row>
    <row r="382" spans="3:3" ht="16" thickBot="1">
      <c r="C382" s="38"/>
    </row>
    <row r="383" spans="3:3" ht="16" thickBot="1">
      <c r="C383" s="18"/>
    </row>
    <row r="384" spans="3:3" ht="16" thickBot="1">
      <c r="C384" s="18"/>
    </row>
    <row r="385" spans="3:3" ht="16" thickBot="1">
      <c r="C385" s="18"/>
    </row>
    <row r="386" spans="3:3" ht="16" thickBot="1">
      <c r="C386" s="38"/>
    </row>
    <row r="387" spans="3:3" ht="16" thickBot="1">
      <c r="C387" s="18"/>
    </row>
    <row r="388" spans="3:3" ht="16" thickBot="1">
      <c r="C388" s="18"/>
    </row>
    <row r="389" spans="3:3" ht="16" thickBot="1">
      <c r="C389" s="18"/>
    </row>
    <row r="390" spans="3:3" ht="16" thickBot="1">
      <c r="C390" s="38"/>
    </row>
    <row r="391" spans="3:3" ht="16" thickBot="1">
      <c r="C391" s="18"/>
    </row>
    <row r="392" spans="3:3" ht="16" thickBot="1">
      <c r="C392" s="18"/>
    </row>
    <row r="393" spans="3:3" ht="16" thickBot="1">
      <c r="C393" s="18"/>
    </row>
    <row r="394" spans="3:3" ht="16" thickBot="1">
      <c r="C394" s="38"/>
    </row>
    <row r="395" spans="3:3" ht="16" thickBot="1">
      <c r="C395" s="18"/>
    </row>
    <row r="396" spans="3:3">
      <c r="C396" s="23"/>
    </row>
    <row r="397" spans="3:3">
      <c r="C397" s="23"/>
    </row>
    <row r="398" spans="3:3">
      <c r="C398" s="37"/>
    </row>
    <row r="399" spans="3:3">
      <c r="C399" s="23"/>
    </row>
    <row r="400" spans="3:3">
      <c r="C400" s="23"/>
    </row>
    <row r="401" spans="3:3">
      <c r="C401" s="23"/>
    </row>
    <row r="402" spans="3:3">
      <c r="C402" s="37"/>
    </row>
    <row r="403" spans="3:3">
      <c r="C403" s="23"/>
    </row>
    <row r="404" spans="3:3">
      <c r="C404" s="23"/>
    </row>
    <row r="405" spans="3:3">
      <c r="C405" s="23"/>
    </row>
    <row r="406" spans="3:3">
      <c r="C406" s="37"/>
    </row>
    <row r="407" spans="3:3">
      <c r="C407" s="23"/>
    </row>
    <row r="408" spans="3:3">
      <c r="C408" s="23"/>
    </row>
    <row r="409" spans="3:3">
      <c r="C409" s="37"/>
    </row>
    <row r="410" spans="3:3">
      <c r="C410" s="23"/>
    </row>
    <row r="411" spans="3:3">
      <c r="C411" s="23"/>
    </row>
    <row r="412" spans="3:3">
      <c r="C412" s="23"/>
    </row>
    <row r="413" spans="3:3">
      <c r="C413" s="37"/>
    </row>
    <row r="414" spans="3:3">
      <c r="C414" s="23"/>
    </row>
    <row r="415" spans="3:3">
      <c r="C415" s="23"/>
    </row>
    <row r="416" spans="3:3">
      <c r="C416" s="23"/>
    </row>
    <row r="417" spans="3:3">
      <c r="C417" s="37"/>
    </row>
    <row r="418" spans="3:3">
      <c r="C418" s="23"/>
    </row>
    <row r="419" spans="3:3">
      <c r="C419" s="23"/>
    </row>
    <row r="420" spans="3:3">
      <c r="C420" s="23"/>
    </row>
    <row r="421" spans="3:3">
      <c r="C421" s="37"/>
    </row>
    <row r="422" spans="3:3">
      <c r="C422" s="23"/>
    </row>
    <row r="423" spans="3:3">
      <c r="C423" s="23"/>
    </row>
    <row r="424" spans="3:3">
      <c r="C424" s="23"/>
    </row>
    <row r="425" spans="3:3">
      <c r="C425" s="37"/>
    </row>
    <row r="426" spans="3:3">
      <c r="C426" s="23"/>
    </row>
    <row r="427" spans="3:3">
      <c r="C427" s="23"/>
    </row>
    <row r="428" spans="3:3">
      <c r="C428" s="23"/>
    </row>
    <row r="429" spans="3:3">
      <c r="C429" s="37"/>
    </row>
    <row r="430" spans="3:3">
      <c r="C430" s="23"/>
    </row>
    <row r="431" spans="3:3">
      <c r="C431" s="37"/>
    </row>
    <row r="432" spans="3:3">
      <c r="C432" s="23"/>
    </row>
    <row r="433" spans="3:3">
      <c r="C433" s="23"/>
    </row>
    <row r="434" spans="3:3">
      <c r="C434" s="23"/>
    </row>
    <row r="435" spans="3:3">
      <c r="C435" s="37"/>
    </row>
    <row r="436" spans="3:3">
      <c r="C436" s="23"/>
    </row>
    <row r="437" spans="3:3">
      <c r="C437" s="23"/>
    </row>
    <row r="438" spans="3:3">
      <c r="C438" s="37"/>
    </row>
    <row r="439" spans="3:3">
      <c r="C439" s="23"/>
    </row>
    <row r="440" spans="3:3">
      <c r="C440" s="23"/>
    </row>
    <row r="441" spans="3:3">
      <c r="C441" s="23"/>
    </row>
    <row r="442" spans="3:3">
      <c r="C442" s="37"/>
    </row>
    <row r="443" spans="3:3">
      <c r="C443" s="23"/>
    </row>
    <row r="444" spans="3:3">
      <c r="C444" s="23"/>
    </row>
    <row r="445" spans="3:3">
      <c r="C445" s="23"/>
    </row>
    <row r="446" spans="3:3">
      <c r="C446" s="37"/>
    </row>
    <row r="447" spans="3:3">
      <c r="C447" s="23"/>
    </row>
    <row r="448" spans="3:3">
      <c r="C448" s="23"/>
    </row>
    <row r="449" spans="3:3">
      <c r="C449" s="23"/>
    </row>
    <row r="450" spans="3:3">
      <c r="C450" s="37"/>
    </row>
    <row r="451" spans="3:3">
      <c r="C451" s="23"/>
    </row>
    <row r="452" spans="3:3">
      <c r="C452" s="23"/>
    </row>
    <row r="453" spans="3:3">
      <c r="C453" s="23"/>
    </row>
    <row r="454" spans="3:3">
      <c r="C454" s="37"/>
    </row>
    <row r="455" spans="3:3">
      <c r="C455" s="23"/>
    </row>
    <row r="456" spans="3:3">
      <c r="C456" s="23"/>
    </row>
    <row r="457" spans="3:3">
      <c r="C457" s="23"/>
    </row>
    <row r="458" spans="3:3">
      <c r="C458" s="37"/>
    </row>
    <row r="459" spans="3:3">
      <c r="C459" s="23"/>
    </row>
    <row r="460" spans="3:3">
      <c r="C460" s="23"/>
    </row>
    <row r="461" spans="3:3">
      <c r="C461" s="23"/>
    </row>
    <row r="462" spans="3:3">
      <c r="C462" s="37"/>
    </row>
    <row r="463" spans="3:3">
      <c r="C463" s="23"/>
    </row>
    <row r="464" spans="3:3">
      <c r="C464" s="23"/>
    </row>
    <row r="465" spans="3:3">
      <c r="C465" s="23"/>
    </row>
    <row r="466" spans="3:3">
      <c r="C466" s="37"/>
    </row>
    <row r="467" spans="3:3">
      <c r="C467" s="23"/>
    </row>
    <row r="468" spans="3:3">
      <c r="C468" s="23"/>
    </row>
    <row r="469" spans="3:3">
      <c r="C469" s="23"/>
    </row>
    <row r="470" spans="3:3">
      <c r="C470" s="37"/>
    </row>
    <row r="471" spans="3:3">
      <c r="C471" s="23"/>
    </row>
    <row r="472" spans="3:3">
      <c r="C472" s="23"/>
    </row>
    <row r="473" spans="3:3">
      <c r="C473" s="23"/>
    </row>
    <row r="474" spans="3:3">
      <c r="C474" s="37"/>
    </row>
    <row r="475" spans="3:3">
      <c r="C475" s="23"/>
    </row>
    <row r="476" spans="3:3">
      <c r="C476" s="23"/>
    </row>
    <row r="477" spans="3:3">
      <c r="C477" s="23"/>
    </row>
    <row r="478" spans="3:3">
      <c r="C478" s="37"/>
    </row>
    <row r="479" spans="3:3">
      <c r="C479" s="23"/>
    </row>
    <row r="480" spans="3:3">
      <c r="C480" s="23"/>
    </row>
    <row r="481" spans="3:3">
      <c r="C481" s="23"/>
    </row>
    <row r="482" spans="3:3">
      <c r="C482" s="37"/>
    </row>
    <row r="483" spans="3:3">
      <c r="C483" s="23"/>
    </row>
    <row r="484" spans="3:3">
      <c r="C484" s="23"/>
    </row>
    <row r="485" spans="3:3">
      <c r="C485" s="23"/>
    </row>
    <row r="486" spans="3:3">
      <c r="C486" s="37"/>
    </row>
    <row r="487" spans="3:3">
      <c r="C487" s="23"/>
    </row>
    <row r="488" spans="3:3">
      <c r="C488" s="23"/>
    </row>
    <row r="489" spans="3:3">
      <c r="C489" s="23"/>
    </row>
    <row r="490" spans="3:3">
      <c r="C490" s="37"/>
    </row>
    <row r="491" spans="3:3">
      <c r="C491" s="23"/>
    </row>
    <row r="492" spans="3:3">
      <c r="C492" s="23"/>
    </row>
    <row r="493" spans="3:3">
      <c r="C493" s="23"/>
    </row>
    <row r="494" spans="3:3">
      <c r="C494" s="37"/>
    </row>
    <row r="495" spans="3:3">
      <c r="C495" s="23"/>
    </row>
    <row r="496" spans="3:3">
      <c r="C496" s="23"/>
    </row>
    <row r="497" spans="3:3">
      <c r="C497" s="37"/>
    </row>
    <row r="498" spans="3:3">
      <c r="C498" s="23"/>
    </row>
    <row r="499" spans="3:3">
      <c r="C499" s="23"/>
    </row>
    <row r="500" spans="3:3">
      <c r="C500" s="23"/>
    </row>
    <row r="501" spans="3:3">
      <c r="C501" s="37"/>
    </row>
    <row r="502" spans="3:3">
      <c r="C502" s="23"/>
    </row>
    <row r="503" spans="3:3">
      <c r="C503" s="23"/>
    </row>
    <row r="504" spans="3:3">
      <c r="C504" s="23"/>
    </row>
    <row r="505" spans="3:3">
      <c r="C505" s="37"/>
    </row>
    <row r="506" spans="3:3">
      <c r="C506" s="23"/>
    </row>
    <row r="507" spans="3:3">
      <c r="C507" s="23"/>
    </row>
    <row r="508" spans="3:3">
      <c r="C508" s="23"/>
    </row>
    <row r="509" spans="3:3">
      <c r="C509" s="37"/>
    </row>
    <row r="510" spans="3:3">
      <c r="C510" s="23"/>
    </row>
    <row r="511" spans="3:3">
      <c r="C511" s="23"/>
    </row>
    <row r="512" spans="3:3">
      <c r="C512" s="23"/>
    </row>
    <row r="513" spans="3:3">
      <c r="C513" s="37"/>
    </row>
    <row r="514" spans="3:3">
      <c r="C514" s="23"/>
    </row>
    <row r="515" spans="3:3">
      <c r="C515" s="23"/>
    </row>
    <row r="516" spans="3:3">
      <c r="C516" s="23"/>
    </row>
    <row r="517" spans="3:3">
      <c r="C517" s="37"/>
    </row>
    <row r="518" spans="3:3">
      <c r="C518" s="23"/>
    </row>
    <row r="519" spans="3:3">
      <c r="C519" s="23"/>
    </row>
    <row r="520" spans="3:3">
      <c r="C520" s="23"/>
    </row>
    <row r="521" spans="3:3">
      <c r="C521" s="37"/>
    </row>
    <row r="522" spans="3:3">
      <c r="C522" s="23"/>
    </row>
    <row r="523" spans="3:3">
      <c r="C523" s="23"/>
    </row>
    <row r="524" spans="3:3">
      <c r="C524" s="23"/>
    </row>
    <row r="525" spans="3:3">
      <c r="C525" s="37"/>
    </row>
    <row r="526" spans="3:3">
      <c r="C526" s="23"/>
    </row>
    <row r="527" spans="3:3">
      <c r="C527" s="23"/>
    </row>
    <row r="528" spans="3:3">
      <c r="C528" s="23"/>
    </row>
    <row r="529" spans="3:3">
      <c r="C529" s="37"/>
    </row>
    <row r="530" spans="3:3">
      <c r="C530" s="23"/>
    </row>
    <row r="531" spans="3:3">
      <c r="C531" s="23"/>
    </row>
    <row r="532" spans="3:3">
      <c r="C532" s="23"/>
    </row>
    <row r="533" spans="3:3">
      <c r="C533" s="37"/>
    </row>
    <row r="534" spans="3:3">
      <c r="C534" s="23"/>
    </row>
    <row r="535" spans="3:3">
      <c r="C535" s="23"/>
    </row>
    <row r="536" spans="3:3">
      <c r="C536" s="23"/>
    </row>
    <row r="537" spans="3:3">
      <c r="C537" s="37"/>
    </row>
    <row r="538" spans="3:3">
      <c r="C538" s="23"/>
    </row>
    <row r="539" spans="3:3">
      <c r="C539" s="23"/>
    </row>
    <row r="540" spans="3:3">
      <c r="C540" s="23"/>
    </row>
    <row r="541" spans="3:3">
      <c r="C541" s="37"/>
    </row>
    <row r="542" spans="3:3">
      <c r="C542" s="23"/>
    </row>
    <row r="543" spans="3:3">
      <c r="C543" s="23"/>
    </row>
    <row r="544" spans="3:3">
      <c r="C544" s="23"/>
    </row>
    <row r="545" spans="3:3">
      <c r="C545" s="37"/>
    </row>
    <row r="546" spans="3:3">
      <c r="C546" s="23"/>
    </row>
    <row r="547" spans="3:3">
      <c r="C547" s="23"/>
    </row>
    <row r="548" spans="3:3">
      <c r="C548" s="37"/>
    </row>
    <row r="549" spans="3:3">
      <c r="C549" s="23"/>
    </row>
    <row r="550" spans="3:3">
      <c r="C550" s="23"/>
    </row>
    <row r="551" spans="3:3">
      <c r="C551" s="23"/>
    </row>
    <row r="552" spans="3:3">
      <c r="C552" s="37"/>
    </row>
    <row r="553" spans="3:3">
      <c r="C553" s="23"/>
    </row>
    <row r="554" spans="3:3">
      <c r="C554" s="23"/>
    </row>
    <row r="555" spans="3:3">
      <c r="C555" s="23"/>
    </row>
    <row r="556" spans="3:3">
      <c r="C556" s="37"/>
    </row>
    <row r="557" spans="3:3">
      <c r="C557" s="23"/>
    </row>
    <row r="558" spans="3:3">
      <c r="C558" s="23"/>
    </row>
    <row r="559" spans="3:3">
      <c r="C559" s="37"/>
    </row>
    <row r="560" spans="3:3">
      <c r="C560" s="23"/>
    </row>
    <row r="561" spans="3:3">
      <c r="C561" s="23"/>
    </row>
    <row r="562" spans="3:3">
      <c r="C562" s="37"/>
    </row>
    <row r="563" spans="3:3">
      <c r="C563" s="23"/>
    </row>
    <row r="564" spans="3:3">
      <c r="C564" s="23"/>
    </row>
    <row r="565" spans="3:3">
      <c r="C565" s="37"/>
    </row>
    <row r="566" spans="3:3">
      <c r="C566" s="23"/>
    </row>
    <row r="567" spans="3:3">
      <c r="C567" s="23"/>
    </row>
    <row r="568" spans="3:3">
      <c r="C568" s="23"/>
    </row>
    <row r="569" spans="3:3">
      <c r="C569" s="37"/>
    </row>
    <row r="570" spans="3:3">
      <c r="C570" s="23"/>
    </row>
    <row r="571" spans="3:3">
      <c r="C571" s="23"/>
    </row>
    <row r="572" spans="3:3">
      <c r="C572" s="23"/>
    </row>
    <row r="573" spans="3:3">
      <c r="C573" s="37"/>
    </row>
    <row r="574" spans="3:3">
      <c r="C574" s="23"/>
    </row>
    <row r="575" spans="3:3">
      <c r="C575" s="23"/>
    </row>
    <row r="576" spans="3:3">
      <c r="C576" s="23"/>
    </row>
    <row r="577" spans="3:3">
      <c r="C577" s="37"/>
    </row>
    <row r="578" spans="3:3">
      <c r="C578" s="23"/>
    </row>
    <row r="579" spans="3:3">
      <c r="C579" s="23"/>
    </row>
    <row r="580" spans="3:3">
      <c r="C580" s="37"/>
    </row>
    <row r="581" spans="3:3">
      <c r="C581" s="23"/>
    </row>
    <row r="582" spans="3:3">
      <c r="C582" s="23"/>
    </row>
    <row r="583" spans="3:3">
      <c r="C583" s="23"/>
    </row>
    <row r="584" spans="3:3">
      <c r="C584" s="37"/>
    </row>
    <row r="585" spans="3:3">
      <c r="C585" s="23"/>
    </row>
    <row r="586" spans="3:3">
      <c r="C586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0AA4-144C-42B5-8365-AF2E8DF1E051}">
  <dimension ref="A1:C278"/>
  <sheetViews>
    <sheetView workbookViewId="0"/>
  </sheetViews>
  <sheetFormatPr baseColWidth="10" defaultColWidth="9.1640625" defaultRowHeight="15"/>
  <cols>
    <col min="1" max="1" width="7.1640625" bestFit="1" customWidth="1"/>
    <col min="2" max="2" width="22.33203125" bestFit="1" customWidth="1"/>
    <col min="3" max="3" width="11.6640625" bestFit="1" customWidth="1"/>
    <col min="4" max="4" width="9.1640625" bestFit="1" customWidth="1"/>
  </cols>
  <sheetData>
    <row r="1" spans="1:3">
      <c r="A1" t="s">
        <v>46</v>
      </c>
      <c r="B1" t="s">
        <v>0</v>
      </c>
      <c r="C1" t="s">
        <v>277</v>
      </c>
    </row>
    <row r="2" spans="1:3">
      <c r="A2">
        <v>500002</v>
      </c>
      <c r="B2" t="s">
        <v>282</v>
      </c>
      <c r="C2" s="23">
        <v>454549</v>
      </c>
    </row>
    <row r="3" spans="1:3">
      <c r="A3">
        <v>200800</v>
      </c>
      <c r="B3" t="s">
        <v>48</v>
      </c>
      <c r="C3" s="23">
        <v>10009</v>
      </c>
    </row>
    <row r="4" spans="1:3">
      <c r="A4">
        <v>100751</v>
      </c>
      <c r="B4" t="s">
        <v>49</v>
      </c>
      <c r="C4">
        <v>772219</v>
      </c>
    </row>
    <row r="5" spans="1:3">
      <c r="A5">
        <v>196060</v>
      </c>
      <c r="B5" t="s">
        <v>52</v>
      </c>
      <c r="C5" s="23">
        <v>305327</v>
      </c>
    </row>
    <row r="6" spans="1:3">
      <c r="A6">
        <v>175342</v>
      </c>
      <c r="B6" t="s">
        <v>53</v>
      </c>
    </row>
    <row r="7" spans="1:3">
      <c r="A7">
        <v>197869</v>
      </c>
      <c r="B7" t="s">
        <v>54</v>
      </c>
      <c r="C7" s="23">
        <v>49822</v>
      </c>
    </row>
    <row r="8" spans="1:3">
      <c r="A8">
        <v>104179</v>
      </c>
      <c r="B8" t="s">
        <v>55</v>
      </c>
      <c r="C8" s="23">
        <v>602965</v>
      </c>
    </row>
    <row r="9" spans="1:3">
      <c r="A9">
        <v>104151</v>
      </c>
      <c r="B9" t="s">
        <v>56</v>
      </c>
      <c r="C9">
        <v>351425</v>
      </c>
    </row>
    <row r="10" spans="1:3">
      <c r="A10">
        <v>106397</v>
      </c>
      <c r="B10" t="s">
        <v>57</v>
      </c>
      <c r="C10" s="23">
        <v>37727</v>
      </c>
    </row>
    <row r="11" spans="1:3" ht="16">
      <c r="A11">
        <v>106245</v>
      </c>
      <c r="B11" t="s">
        <v>58</v>
      </c>
      <c r="C11" s="11">
        <v>165686</v>
      </c>
    </row>
    <row r="12" spans="1:3" ht="16">
      <c r="A12">
        <v>106412</v>
      </c>
      <c r="B12" t="s">
        <v>59</v>
      </c>
      <c r="C12" s="11">
        <v>8</v>
      </c>
    </row>
    <row r="13" spans="1:3">
      <c r="A13">
        <v>106458</v>
      </c>
      <c r="B13" t="s">
        <v>60</v>
      </c>
      <c r="C13" s="23">
        <v>417047</v>
      </c>
    </row>
    <row r="14" spans="1:3">
      <c r="A14">
        <v>500001</v>
      </c>
      <c r="B14" t="s">
        <v>61</v>
      </c>
      <c r="C14" s="23">
        <v>467272</v>
      </c>
    </row>
    <row r="15" spans="1:3">
      <c r="A15">
        <v>100858</v>
      </c>
      <c r="B15" t="s">
        <v>62</v>
      </c>
      <c r="C15" s="23">
        <v>260056</v>
      </c>
    </row>
    <row r="16" spans="1:3">
      <c r="A16">
        <v>219602</v>
      </c>
      <c r="B16" t="s">
        <v>63</v>
      </c>
      <c r="C16" s="43">
        <v>518807</v>
      </c>
    </row>
    <row r="17" spans="1:3">
      <c r="A17">
        <v>150136</v>
      </c>
      <c r="B17" t="s">
        <v>64</v>
      </c>
      <c r="C17" s="23">
        <v>43793</v>
      </c>
    </row>
    <row r="18" spans="1:3">
      <c r="A18">
        <v>196079</v>
      </c>
      <c r="B18" t="s">
        <v>65</v>
      </c>
      <c r="C18" s="23">
        <v>692182</v>
      </c>
    </row>
    <row r="19" spans="1:3">
      <c r="A19">
        <v>142115</v>
      </c>
      <c r="B19" t="s">
        <v>66</v>
      </c>
      <c r="C19" s="23">
        <v>656031</v>
      </c>
    </row>
    <row r="20" spans="1:3">
      <c r="A20">
        <v>201441</v>
      </c>
      <c r="B20" t="s">
        <v>67</v>
      </c>
      <c r="C20" s="23">
        <v>48697</v>
      </c>
    </row>
    <row r="21" spans="1:3">
      <c r="A21">
        <v>196088</v>
      </c>
      <c r="B21" t="s">
        <v>68</v>
      </c>
      <c r="C21" s="23">
        <v>926430</v>
      </c>
    </row>
    <row r="22" spans="1:3">
      <c r="A22">
        <v>110422</v>
      </c>
      <c r="B22" t="s">
        <v>69</v>
      </c>
      <c r="C22" s="23">
        <v>136306</v>
      </c>
    </row>
    <row r="23" spans="1:3">
      <c r="A23">
        <v>110486</v>
      </c>
      <c r="B23" t="s">
        <v>70</v>
      </c>
      <c r="C23" s="23">
        <v>38976</v>
      </c>
    </row>
    <row r="24" spans="1:3">
      <c r="A24">
        <v>110565</v>
      </c>
      <c r="B24" t="s">
        <v>71</v>
      </c>
      <c r="C24" s="23">
        <v>797557</v>
      </c>
    </row>
    <row r="25" spans="1:3">
      <c r="A25">
        <v>110608</v>
      </c>
      <c r="B25" t="s">
        <v>72</v>
      </c>
      <c r="C25" s="23">
        <v>568459</v>
      </c>
    </row>
    <row r="26" spans="1:3">
      <c r="A26">
        <v>110635</v>
      </c>
      <c r="B26" t="s">
        <v>73</v>
      </c>
      <c r="C26" s="23">
        <v>129740</v>
      </c>
    </row>
    <row r="27" spans="1:3" ht="16">
      <c r="A27">
        <v>106704</v>
      </c>
      <c r="B27" t="s">
        <v>74</v>
      </c>
      <c r="C27" s="11">
        <v>550801</v>
      </c>
    </row>
    <row r="28" spans="1:3">
      <c r="A28">
        <v>128771</v>
      </c>
      <c r="B28" t="s">
        <v>75</v>
      </c>
      <c r="C28" s="23">
        <v>749379</v>
      </c>
    </row>
    <row r="29" spans="1:3">
      <c r="A29">
        <v>169248</v>
      </c>
      <c r="B29" t="s">
        <v>76</v>
      </c>
      <c r="C29" s="23">
        <v>53465</v>
      </c>
    </row>
    <row r="30" spans="1:3">
      <c r="A30">
        <v>199139</v>
      </c>
      <c r="B30" t="s">
        <v>77</v>
      </c>
      <c r="C30" s="23">
        <v>809947</v>
      </c>
    </row>
    <row r="31" spans="1:3">
      <c r="A31">
        <v>144005</v>
      </c>
      <c r="B31" t="s">
        <v>78</v>
      </c>
      <c r="C31" s="29"/>
    </row>
    <row r="32" spans="1:3">
      <c r="A32">
        <v>201885</v>
      </c>
      <c r="B32" t="s">
        <v>79</v>
      </c>
      <c r="C32" s="23">
        <v>329790</v>
      </c>
    </row>
    <row r="33" spans="1:3">
      <c r="A33">
        <v>217882</v>
      </c>
      <c r="B33" t="s">
        <v>81</v>
      </c>
      <c r="C33" s="23">
        <v>947058</v>
      </c>
    </row>
    <row r="34" spans="1:3">
      <c r="A34">
        <v>202134</v>
      </c>
      <c r="B34" t="s">
        <v>82</v>
      </c>
      <c r="C34" s="23">
        <v>609463</v>
      </c>
    </row>
    <row r="35" spans="1:3" ht="16">
      <c r="A35">
        <v>218724</v>
      </c>
      <c r="B35" t="s">
        <v>83</v>
      </c>
      <c r="C35" s="13">
        <v>1152880</v>
      </c>
    </row>
    <row r="36" spans="1:3" ht="16">
      <c r="A36">
        <v>217819</v>
      </c>
      <c r="B36" t="s">
        <v>84</v>
      </c>
      <c r="C36" s="11">
        <v>76188</v>
      </c>
    </row>
    <row r="37" spans="1:3">
      <c r="A37">
        <v>126614</v>
      </c>
      <c r="B37" t="s">
        <v>85</v>
      </c>
      <c r="C37" s="23">
        <v>530417</v>
      </c>
    </row>
    <row r="38" spans="1:3">
      <c r="A38">
        <v>126818</v>
      </c>
      <c r="B38" t="s">
        <v>86</v>
      </c>
      <c r="C38" s="23">
        <v>1187997</v>
      </c>
    </row>
    <row r="39" spans="1:3">
      <c r="A39">
        <v>129020</v>
      </c>
      <c r="B39" t="s">
        <v>87</v>
      </c>
      <c r="C39" s="43">
        <v>198881</v>
      </c>
    </row>
    <row r="40" spans="1:3">
      <c r="A40">
        <v>162283</v>
      </c>
      <c r="B40" t="s">
        <v>88</v>
      </c>
      <c r="C40" s="23">
        <v>100989</v>
      </c>
    </row>
    <row r="41" spans="1:3">
      <c r="A41">
        <v>198464</v>
      </c>
      <c r="B41" t="s">
        <v>89</v>
      </c>
      <c r="C41" s="23">
        <v>32508</v>
      </c>
    </row>
    <row r="42" spans="1:3">
      <c r="A42">
        <v>220075</v>
      </c>
      <c r="B42" t="s">
        <v>90</v>
      </c>
      <c r="C42" s="23">
        <v>8387</v>
      </c>
    </row>
    <row r="43" spans="1:3">
      <c r="A43">
        <v>144892</v>
      </c>
      <c r="B43" t="s">
        <v>91</v>
      </c>
      <c r="C43" s="23">
        <v>223400</v>
      </c>
    </row>
    <row r="44" spans="1:3">
      <c r="A44">
        <v>156620</v>
      </c>
      <c r="B44" t="s">
        <v>92</v>
      </c>
      <c r="C44" s="23">
        <v>602412</v>
      </c>
    </row>
    <row r="45" spans="1:3">
      <c r="A45">
        <v>169798</v>
      </c>
      <c r="B45" t="s">
        <v>93</v>
      </c>
      <c r="C45">
        <v>794498</v>
      </c>
    </row>
    <row r="46" spans="1:3">
      <c r="A46">
        <v>235097</v>
      </c>
      <c r="B46" t="s">
        <v>94</v>
      </c>
      <c r="C46" s="23">
        <v>488409</v>
      </c>
    </row>
    <row r="47" spans="1:3">
      <c r="A47">
        <v>134130</v>
      </c>
      <c r="B47" t="s">
        <v>95</v>
      </c>
      <c r="C47" s="23">
        <v>450157</v>
      </c>
    </row>
    <row r="48" spans="1:3">
      <c r="A48">
        <v>133669</v>
      </c>
      <c r="B48" t="s">
        <v>96</v>
      </c>
      <c r="C48" s="23">
        <v>327949</v>
      </c>
    </row>
    <row r="49" spans="1:3">
      <c r="A49">
        <v>433660</v>
      </c>
      <c r="B49" t="s">
        <v>97</v>
      </c>
      <c r="C49" s="23">
        <v>249157</v>
      </c>
    </row>
    <row r="50" spans="1:3">
      <c r="A50">
        <v>133951</v>
      </c>
      <c r="B50" t="s">
        <v>98</v>
      </c>
      <c r="C50" s="23">
        <v>85638</v>
      </c>
    </row>
    <row r="51" spans="1:3">
      <c r="A51">
        <v>134097</v>
      </c>
      <c r="B51" t="s">
        <v>99</v>
      </c>
      <c r="C51" s="23">
        <v>493314</v>
      </c>
    </row>
    <row r="52" spans="1:3">
      <c r="A52">
        <v>110556</v>
      </c>
      <c r="B52" t="s">
        <v>100</v>
      </c>
      <c r="C52" s="23">
        <v>290891</v>
      </c>
    </row>
    <row r="53" spans="1:3" ht="16">
      <c r="A53">
        <v>232186</v>
      </c>
      <c r="B53" t="s">
        <v>101</v>
      </c>
      <c r="C53" s="11">
        <v>7684</v>
      </c>
    </row>
    <row r="54" spans="1:3">
      <c r="A54">
        <v>139959</v>
      </c>
      <c r="B54" t="s">
        <v>102</v>
      </c>
      <c r="C54" s="23">
        <v>91280</v>
      </c>
    </row>
    <row r="55" spans="1:3">
      <c r="A55">
        <v>139931</v>
      </c>
      <c r="B55" t="s">
        <v>103</v>
      </c>
      <c r="C55" s="23">
        <v>181470</v>
      </c>
    </row>
    <row r="56" spans="1:3">
      <c r="A56">
        <v>139940</v>
      </c>
      <c r="B56" t="s">
        <v>104</v>
      </c>
      <c r="C56" s="23">
        <v>269037</v>
      </c>
    </row>
    <row r="57" spans="1:3">
      <c r="A57">
        <v>139755</v>
      </c>
      <c r="B57" t="s">
        <v>105</v>
      </c>
      <c r="C57" s="23">
        <v>539377</v>
      </c>
    </row>
    <row r="58" spans="1:3">
      <c r="A58">
        <v>159009</v>
      </c>
      <c r="B58" t="s">
        <v>106</v>
      </c>
      <c r="C58" s="23">
        <v>62044</v>
      </c>
    </row>
    <row r="59" spans="1:3">
      <c r="A59">
        <v>141574</v>
      </c>
      <c r="B59" t="s">
        <v>107</v>
      </c>
      <c r="C59" s="23">
        <v>1062643</v>
      </c>
    </row>
    <row r="60" spans="1:3">
      <c r="A60">
        <v>225511</v>
      </c>
      <c r="B60" t="s">
        <v>108</v>
      </c>
      <c r="C60" s="23">
        <v>133978</v>
      </c>
    </row>
    <row r="61" spans="1:3">
      <c r="A61">
        <v>142285</v>
      </c>
      <c r="B61" t="s">
        <v>109</v>
      </c>
      <c r="C61" s="23">
        <v>495982</v>
      </c>
    </row>
    <row r="62" spans="1:3">
      <c r="A62">
        <v>142276</v>
      </c>
      <c r="B62" t="s">
        <v>110</v>
      </c>
      <c r="C62" s="23">
        <v>460933</v>
      </c>
    </row>
    <row r="63" spans="1:3">
      <c r="A63">
        <v>145637</v>
      </c>
      <c r="B63" t="s">
        <v>111</v>
      </c>
      <c r="C63" s="23">
        <v>677985</v>
      </c>
    </row>
    <row r="64" spans="1:3">
      <c r="A64">
        <v>145600</v>
      </c>
      <c r="B64" t="s">
        <v>112</v>
      </c>
      <c r="C64" s="23">
        <v>527594</v>
      </c>
    </row>
    <row r="65" spans="1:3">
      <c r="A65">
        <v>145813</v>
      </c>
      <c r="B65" t="s">
        <v>113</v>
      </c>
      <c r="C65" s="23">
        <v>319852</v>
      </c>
    </row>
    <row r="66" spans="1:3">
      <c r="A66">
        <v>151351</v>
      </c>
      <c r="B66" t="s">
        <v>114</v>
      </c>
      <c r="C66" s="23">
        <v>331739</v>
      </c>
    </row>
    <row r="67" spans="1:3">
      <c r="A67">
        <v>151324</v>
      </c>
      <c r="B67" t="s">
        <v>115</v>
      </c>
      <c r="C67" s="23">
        <v>486195</v>
      </c>
    </row>
    <row r="68" spans="1:3">
      <c r="A68">
        <v>153658</v>
      </c>
      <c r="B68" t="s">
        <v>116</v>
      </c>
      <c r="C68" s="23">
        <v>236157</v>
      </c>
    </row>
    <row r="69" spans="1:3">
      <c r="A69">
        <v>153603</v>
      </c>
      <c r="B69" t="s">
        <v>117</v>
      </c>
      <c r="C69" s="23">
        <v>211856</v>
      </c>
    </row>
    <row r="70" spans="1:3">
      <c r="A70">
        <v>151111</v>
      </c>
      <c r="B70" t="s">
        <v>118</v>
      </c>
      <c r="C70" s="23">
        <v>5269</v>
      </c>
    </row>
    <row r="71" spans="1:3">
      <c r="A71">
        <v>175856</v>
      </c>
      <c r="B71" t="s">
        <v>119</v>
      </c>
      <c r="C71" s="23">
        <v>4775</v>
      </c>
    </row>
    <row r="72" spans="1:3">
      <c r="A72">
        <v>232423</v>
      </c>
      <c r="B72" t="s">
        <v>121</v>
      </c>
      <c r="C72" s="23">
        <v>12862</v>
      </c>
    </row>
    <row r="73" spans="1:3">
      <c r="A73">
        <v>155317</v>
      </c>
      <c r="B73" t="s">
        <v>122</v>
      </c>
      <c r="C73" s="23">
        <v>173542</v>
      </c>
    </row>
    <row r="74" spans="1:3">
      <c r="A74">
        <v>155399</v>
      </c>
      <c r="B74" t="s">
        <v>123</v>
      </c>
      <c r="C74">
        <v>48723</v>
      </c>
    </row>
    <row r="75" spans="1:3">
      <c r="A75">
        <v>486840</v>
      </c>
      <c r="B75" t="s">
        <v>279</v>
      </c>
      <c r="C75" s="43">
        <v>7952</v>
      </c>
    </row>
    <row r="76" spans="1:3">
      <c r="A76">
        <v>203517</v>
      </c>
      <c r="B76" t="s">
        <v>125</v>
      </c>
      <c r="C76" s="23">
        <v>59720</v>
      </c>
    </row>
    <row r="77" spans="1:3">
      <c r="A77">
        <v>157085</v>
      </c>
      <c r="B77" t="s">
        <v>126</v>
      </c>
      <c r="C77" s="23">
        <v>561355</v>
      </c>
    </row>
    <row r="78" spans="1:3">
      <c r="A78">
        <v>226091</v>
      </c>
      <c r="B78" t="s">
        <v>127</v>
      </c>
      <c r="C78" s="23">
        <v>579666</v>
      </c>
    </row>
    <row r="79" spans="1:3">
      <c r="A79">
        <v>110583</v>
      </c>
      <c r="B79" t="s">
        <v>128</v>
      </c>
      <c r="C79">
        <v>1064097</v>
      </c>
    </row>
    <row r="80" spans="1:3">
      <c r="A80">
        <v>160658</v>
      </c>
      <c r="B80" t="s">
        <v>130</v>
      </c>
      <c r="C80" s="23">
        <v>143398</v>
      </c>
    </row>
    <row r="81" spans="1:3">
      <c r="A81">
        <v>159993</v>
      </c>
      <c r="B81" t="s">
        <v>131</v>
      </c>
      <c r="C81" s="23">
        <v>15085</v>
      </c>
    </row>
    <row r="82" spans="1:3">
      <c r="A82">
        <v>159647</v>
      </c>
      <c r="B82" t="s">
        <v>132</v>
      </c>
      <c r="C82">
        <v>780566</v>
      </c>
    </row>
    <row r="83" spans="1:3">
      <c r="A83">
        <v>157289</v>
      </c>
      <c r="B83" t="s">
        <v>133</v>
      </c>
      <c r="C83" s="23">
        <v>220488</v>
      </c>
    </row>
    <row r="84" spans="1:3">
      <c r="A84">
        <v>159391</v>
      </c>
      <c r="B84" t="s">
        <v>134</v>
      </c>
      <c r="C84" s="23">
        <v>40000</v>
      </c>
    </row>
    <row r="85" spans="1:3">
      <c r="A85">
        <v>237525</v>
      </c>
      <c r="B85" t="s">
        <v>136</v>
      </c>
      <c r="C85" s="23">
        <v>646314</v>
      </c>
    </row>
    <row r="86" spans="1:3">
      <c r="A86">
        <v>163286</v>
      </c>
      <c r="B86" t="s">
        <v>137</v>
      </c>
      <c r="C86" s="23">
        <v>244233</v>
      </c>
    </row>
    <row r="87" spans="1:3">
      <c r="A87">
        <v>163268</v>
      </c>
      <c r="B87" t="s">
        <v>138</v>
      </c>
      <c r="C87">
        <v>233454</v>
      </c>
    </row>
    <row r="88" spans="1:3">
      <c r="A88">
        <v>163338</v>
      </c>
      <c r="B88" t="s">
        <v>139</v>
      </c>
      <c r="C88" s="23">
        <v>494480</v>
      </c>
    </row>
    <row r="89" spans="1:3">
      <c r="A89">
        <v>159717</v>
      </c>
      <c r="B89" t="s">
        <v>142</v>
      </c>
      <c r="C89" s="23">
        <v>467645</v>
      </c>
    </row>
    <row r="90" spans="1:3">
      <c r="A90">
        <v>220862</v>
      </c>
      <c r="B90" t="s">
        <v>143</v>
      </c>
      <c r="C90">
        <v>321</v>
      </c>
    </row>
    <row r="91" spans="1:3">
      <c r="A91">
        <v>204024</v>
      </c>
      <c r="B91" t="s">
        <v>144</v>
      </c>
      <c r="C91" s="23">
        <v>1026400</v>
      </c>
    </row>
    <row r="92" spans="1:3">
      <c r="A92">
        <v>170976</v>
      </c>
      <c r="B92" t="s">
        <v>145</v>
      </c>
      <c r="C92" s="23">
        <v>216789</v>
      </c>
    </row>
    <row r="93" spans="1:3">
      <c r="A93">
        <v>171100</v>
      </c>
      <c r="B93" t="s">
        <v>146</v>
      </c>
      <c r="C93" s="40">
        <v>503624</v>
      </c>
    </row>
    <row r="94" spans="1:3">
      <c r="A94">
        <v>220978</v>
      </c>
      <c r="B94" t="s">
        <v>147</v>
      </c>
      <c r="C94" s="23">
        <v>1161178</v>
      </c>
    </row>
    <row r="95" spans="1:3">
      <c r="A95">
        <v>174066</v>
      </c>
      <c r="B95" t="s">
        <v>148</v>
      </c>
      <c r="C95" s="23">
        <v>1206020</v>
      </c>
    </row>
    <row r="96" spans="1:3">
      <c r="A96">
        <v>176017</v>
      </c>
      <c r="B96" t="s">
        <v>149</v>
      </c>
      <c r="C96" s="23">
        <v>309562</v>
      </c>
    </row>
    <row r="97" spans="1:3">
      <c r="A97">
        <v>176080</v>
      </c>
      <c r="B97" t="s">
        <v>150</v>
      </c>
      <c r="C97" s="23">
        <v>86587</v>
      </c>
    </row>
    <row r="98" spans="1:3">
      <c r="A98">
        <v>176044</v>
      </c>
      <c r="B98" t="s">
        <v>151</v>
      </c>
      <c r="C98" s="23">
        <v>162109</v>
      </c>
    </row>
    <row r="99" spans="1:3">
      <c r="A99">
        <v>178396</v>
      </c>
      <c r="B99" t="s">
        <v>152</v>
      </c>
      <c r="C99" s="23">
        <v>124097</v>
      </c>
    </row>
    <row r="100" spans="1:3">
      <c r="A100">
        <v>178402</v>
      </c>
      <c r="B100" t="s">
        <v>153</v>
      </c>
      <c r="C100" s="23">
        <v>756633</v>
      </c>
    </row>
    <row r="101" spans="1:3">
      <c r="A101">
        <v>179566</v>
      </c>
      <c r="B101" t="s">
        <v>154</v>
      </c>
      <c r="C101" s="23">
        <v>885597</v>
      </c>
    </row>
    <row r="102" spans="1:3">
      <c r="A102">
        <v>180489</v>
      </c>
      <c r="B102" t="s">
        <v>155</v>
      </c>
      <c r="C102" s="23">
        <v>397353</v>
      </c>
    </row>
    <row r="103" spans="1:3">
      <c r="A103">
        <v>180461</v>
      </c>
      <c r="B103" t="s">
        <v>156</v>
      </c>
      <c r="C103" s="23">
        <v>1007598</v>
      </c>
    </row>
    <row r="104" spans="1:3">
      <c r="A104">
        <v>157386</v>
      </c>
      <c r="B104" t="s">
        <v>157</v>
      </c>
      <c r="C104" s="23">
        <v>724392</v>
      </c>
    </row>
    <row r="105" spans="1:3">
      <c r="A105">
        <v>163453</v>
      </c>
      <c r="B105" t="s">
        <v>158</v>
      </c>
      <c r="C105" s="23">
        <v>13975</v>
      </c>
    </row>
    <row r="106" spans="1:3">
      <c r="A106">
        <v>157401</v>
      </c>
      <c r="B106" t="s">
        <v>159</v>
      </c>
      <c r="C106" s="23">
        <v>5428</v>
      </c>
    </row>
    <row r="107" spans="1:3">
      <c r="A107">
        <v>500000</v>
      </c>
      <c r="B107" t="s">
        <v>160</v>
      </c>
      <c r="C107" s="23">
        <v>129679</v>
      </c>
    </row>
    <row r="108" spans="1:3">
      <c r="A108">
        <v>181464</v>
      </c>
      <c r="B108" t="s">
        <v>161</v>
      </c>
      <c r="C108" s="23">
        <v>3812808</v>
      </c>
    </row>
    <row r="109" spans="1:3">
      <c r="A109">
        <v>181394</v>
      </c>
      <c r="B109" t="s">
        <v>162</v>
      </c>
      <c r="C109" s="23">
        <v>28735</v>
      </c>
    </row>
    <row r="110" spans="1:3">
      <c r="A110">
        <v>182290</v>
      </c>
      <c r="B110" t="s">
        <v>163</v>
      </c>
      <c r="C110" s="23">
        <v>136858</v>
      </c>
    </row>
    <row r="111" spans="1:3">
      <c r="A111">
        <v>183044</v>
      </c>
      <c r="B111" t="s">
        <v>164</v>
      </c>
      <c r="C111" s="23">
        <v>542445</v>
      </c>
    </row>
    <row r="112" spans="1:3">
      <c r="A112">
        <v>187985</v>
      </c>
      <c r="B112" t="s">
        <v>165</v>
      </c>
      <c r="C112" s="23">
        <v>26720</v>
      </c>
    </row>
    <row r="113" spans="1:3">
      <c r="A113">
        <v>188030</v>
      </c>
      <c r="B113" t="s">
        <v>166</v>
      </c>
      <c r="C113" s="23">
        <v>295607</v>
      </c>
    </row>
    <row r="114" spans="1:3">
      <c r="A114">
        <v>159939</v>
      </c>
      <c r="B114" t="s">
        <v>167</v>
      </c>
      <c r="C114" s="23">
        <v>3000</v>
      </c>
    </row>
    <row r="115" spans="1:3">
      <c r="A115">
        <v>159966</v>
      </c>
      <c r="B115" t="s">
        <v>168</v>
      </c>
      <c r="C115" s="23">
        <v>378890</v>
      </c>
    </row>
    <row r="116" spans="1:3">
      <c r="A116">
        <v>185828</v>
      </c>
      <c r="B116" t="s">
        <v>169</v>
      </c>
      <c r="C116" s="23">
        <v>693216</v>
      </c>
    </row>
    <row r="117" spans="1:3">
      <c r="A117">
        <v>199120</v>
      </c>
      <c r="B117" t="s">
        <v>172</v>
      </c>
      <c r="C117" s="23">
        <v>574164</v>
      </c>
    </row>
    <row r="118" spans="1:3">
      <c r="A118">
        <v>199102</v>
      </c>
      <c r="B118" t="s">
        <v>173</v>
      </c>
      <c r="C118" s="23">
        <v>604191</v>
      </c>
    </row>
    <row r="119" spans="1:3">
      <c r="A119">
        <v>199111</v>
      </c>
      <c r="B119" t="s">
        <v>275</v>
      </c>
      <c r="C119" s="23">
        <v>109023</v>
      </c>
    </row>
    <row r="120" spans="1:3">
      <c r="A120">
        <v>199157</v>
      </c>
      <c r="B120" t="s">
        <v>174</v>
      </c>
      <c r="C120" s="23">
        <v>230358</v>
      </c>
    </row>
    <row r="121" spans="1:3">
      <c r="A121">
        <v>199148</v>
      </c>
      <c r="B121" t="s">
        <v>276</v>
      </c>
      <c r="C121">
        <v>144237</v>
      </c>
    </row>
    <row r="122" spans="1:3">
      <c r="A122">
        <v>199193</v>
      </c>
      <c r="B122" t="s">
        <v>175</v>
      </c>
      <c r="C122" s="23">
        <v>674522</v>
      </c>
    </row>
    <row r="123" spans="1:3">
      <c r="A123">
        <v>199218</v>
      </c>
      <c r="B123" t="s">
        <v>176</v>
      </c>
      <c r="C123" s="23">
        <v>5017</v>
      </c>
    </row>
    <row r="124" spans="1:3">
      <c r="A124">
        <v>200280</v>
      </c>
      <c r="B124" t="s">
        <v>177</v>
      </c>
      <c r="C124" s="23">
        <v>615708</v>
      </c>
    </row>
    <row r="125" spans="1:3">
      <c r="A125">
        <v>200332</v>
      </c>
      <c r="B125" t="s">
        <v>178</v>
      </c>
      <c r="C125" s="23">
        <v>409848</v>
      </c>
    </row>
    <row r="126" spans="1:3">
      <c r="A126">
        <v>136172</v>
      </c>
      <c r="B126" t="s">
        <v>179</v>
      </c>
      <c r="C126" s="23">
        <v>163428</v>
      </c>
    </row>
    <row r="127" spans="1:3">
      <c r="A127">
        <v>227216</v>
      </c>
      <c r="B127" t="s">
        <v>180</v>
      </c>
      <c r="C127" s="23">
        <v>30295</v>
      </c>
    </row>
    <row r="128" spans="1:3">
      <c r="A128">
        <v>105330</v>
      </c>
      <c r="B128" t="s">
        <v>181</v>
      </c>
      <c r="C128" s="23">
        <v>776095</v>
      </c>
    </row>
    <row r="129" spans="1:3">
      <c r="A129">
        <v>127741</v>
      </c>
      <c r="B129" t="s">
        <v>182</v>
      </c>
      <c r="C129" s="23">
        <v>1075442</v>
      </c>
    </row>
    <row r="130" spans="1:3">
      <c r="A130">
        <v>147703</v>
      </c>
      <c r="B130" t="s">
        <v>183</v>
      </c>
      <c r="C130" s="23">
        <v>38875</v>
      </c>
    </row>
    <row r="131" spans="1:3">
      <c r="A131">
        <v>154095</v>
      </c>
      <c r="B131" t="s">
        <v>184</v>
      </c>
      <c r="C131">
        <v>565388</v>
      </c>
    </row>
    <row r="132" spans="1:3">
      <c r="A132">
        <v>160038</v>
      </c>
      <c r="B132" t="s">
        <v>185</v>
      </c>
      <c r="C132" s="23">
        <v>613660</v>
      </c>
    </row>
    <row r="133" spans="1:3">
      <c r="A133">
        <v>171571</v>
      </c>
      <c r="B133" t="s">
        <v>186</v>
      </c>
      <c r="C133" s="23">
        <v>576419</v>
      </c>
    </row>
    <row r="134" spans="1:3">
      <c r="A134">
        <v>204857</v>
      </c>
      <c r="B134" t="s">
        <v>187</v>
      </c>
      <c r="C134" s="23">
        <v>927179</v>
      </c>
    </row>
    <row r="135" spans="1:3">
      <c r="A135">
        <v>204796</v>
      </c>
      <c r="B135" t="s">
        <v>188</v>
      </c>
      <c r="C135" s="23">
        <v>566098</v>
      </c>
    </row>
    <row r="136" spans="1:3">
      <c r="A136">
        <v>207500</v>
      </c>
      <c r="B136" t="s">
        <v>189</v>
      </c>
      <c r="C136" s="23">
        <v>338065</v>
      </c>
    </row>
    <row r="137" spans="1:3">
      <c r="A137">
        <v>232982</v>
      </c>
      <c r="B137" t="s">
        <v>191</v>
      </c>
      <c r="C137" s="23">
        <v>102865</v>
      </c>
    </row>
    <row r="138" spans="1:3">
      <c r="A138">
        <v>209551</v>
      </c>
      <c r="B138" t="s">
        <v>192</v>
      </c>
      <c r="C138" s="23">
        <v>419926</v>
      </c>
    </row>
    <row r="139" spans="1:3">
      <c r="A139">
        <v>209542</v>
      </c>
      <c r="B139" t="s">
        <v>193</v>
      </c>
      <c r="C139" s="23">
        <v>239012</v>
      </c>
    </row>
    <row r="140" spans="1:3">
      <c r="A140">
        <v>214777</v>
      </c>
      <c r="B140" t="s">
        <v>194</v>
      </c>
      <c r="C140" s="23">
        <v>1098848</v>
      </c>
    </row>
    <row r="141" spans="1:3" ht="16" thickBot="1">
      <c r="A141">
        <v>209807</v>
      </c>
      <c r="B141" t="s">
        <v>195</v>
      </c>
      <c r="C141" s="18">
        <v>296334</v>
      </c>
    </row>
    <row r="142" spans="1:3" ht="16" thickBot="1">
      <c r="A142">
        <v>227526</v>
      </c>
      <c r="B142" t="s">
        <v>196</v>
      </c>
      <c r="C142" s="18">
        <v>447197</v>
      </c>
    </row>
    <row r="143" spans="1:3" ht="16" thickBot="1">
      <c r="A143">
        <v>243780</v>
      </c>
      <c r="B143" t="s">
        <v>197</v>
      </c>
      <c r="C143" s="18">
        <v>708777</v>
      </c>
    </row>
    <row r="144" spans="1:3" ht="16" thickBot="1">
      <c r="A144">
        <v>151102</v>
      </c>
      <c r="B144" t="s">
        <v>198</v>
      </c>
      <c r="C144" s="18">
        <v>562048</v>
      </c>
    </row>
    <row r="145" spans="1:3" ht="16" thickBot="1">
      <c r="A145">
        <v>233277</v>
      </c>
      <c r="B145" t="s">
        <v>199</v>
      </c>
      <c r="C145" s="18">
        <v>38333</v>
      </c>
    </row>
    <row r="146" spans="1:3" ht="16" thickBot="1">
      <c r="A146">
        <v>217484</v>
      </c>
      <c r="B146" t="s">
        <v>200</v>
      </c>
      <c r="C146" s="18">
        <v>894428</v>
      </c>
    </row>
    <row r="147" spans="1:3" ht="16" thickBot="1">
      <c r="A147">
        <v>186380</v>
      </c>
      <c r="B147" t="s">
        <v>201</v>
      </c>
      <c r="C147" s="18">
        <v>52782</v>
      </c>
    </row>
    <row r="148" spans="1:3" ht="16" thickBot="1">
      <c r="A148">
        <v>110617</v>
      </c>
      <c r="B148" t="s">
        <v>202</v>
      </c>
      <c r="C148" s="42">
        <v>391432</v>
      </c>
    </row>
    <row r="149" spans="1:3" ht="16" thickBot="1">
      <c r="A149">
        <v>227881</v>
      </c>
      <c r="B149" t="s">
        <v>203</v>
      </c>
      <c r="C149" s="18">
        <v>638648</v>
      </c>
    </row>
    <row r="150" spans="1:3" ht="16" thickBot="1">
      <c r="A150">
        <v>122409</v>
      </c>
      <c r="B150" t="s">
        <v>204</v>
      </c>
      <c r="C150" s="18">
        <v>1237353</v>
      </c>
    </row>
    <row r="151" spans="1:3" ht="16" thickBot="1">
      <c r="A151">
        <v>122755</v>
      </c>
      <c r="B151" t="s">
        <v>205</v>
      </c>
      <c r="C151" s="18">
        <v>1100435</v>
      </c>
    </row>
    <row r="152" spans="1:3">
      <c r="A152">
        <v>140960</v>
      </c>
      <c r="B152" t="s">
        <v>206</v>
      </c>
      <c r="C152" s="23">
        <v>2500</v>
      </c>
    </row>
    <row r="153" spans="1:3" ht="16" thickBot="1">
      <c r="A153">
        <v>149231</v>
      </c>
      <c r="B153" t="s">
        <v>281</v>
      </c>
      <c r="C153" s="18">
        <v>374801</v>
      </c>
    </row>
    <row r="154" spans="1:3" ht="17" thickBot="1">
      <c r="A154">
        <v>102094</v>
      </c>
      <c r="B154" t="s">
        <v>207</v>
      </c>
      <c r="C154" s="9">
        <v>874597</v>
      </c>
    </row>
    <row r="155" spans="1:3" ht="16" thickBot="1">
      <c r="A155">
        <v>218663</v>
      </c>
      <c r="B155" t="s">
        <v>208</v>
      </c>
      <c r="C155" s="18">
        <v>225207</v>
      </c>
    </row>
    <row r="156" spans="1:3" ht="16" thickBot="1">
      <c r="A156">
        <v>218733</v>
      </c>
      <c r="B156" t="s">
        <v>209</v>
      </c>
      <c r="C156" s="18">
        <v>296632</v>
      </c>
    </row>
    <row r="157" spans="1:3" ht="16" thickBot="1">
      <c r="A157">
        <v>218742</v>
      </c>
      <c r="B157" t="s">
        <v>210</v>
      </c>
      <c r="C157" s="18">
        <v>7700</v>
      </c>
    </row>
    <row r="158" spans="1:3" ht="16" thickBot="1">
      <c r="A158">
        <v>219471</v>
      </c>
      <c r="B158" t="s">
        <v>211</v>
      </c>
      <c r="C158" s="18">
        <v>695505</v>
      </c>
    </row>
    <row r="159" spans="1:3" ht="16" thickBot="1">
      <c r="A159">
        <v>219356</v>
      </c>
      <c r="B159" t="s">
        <v>212</v>
      </c>
      <c r="C159" s="18">
        <v>12940</v>
      </c>
    </row>
    <row r="160" spans="1:3" ht="16" thickBot="1">
      <c r="A160">
        <v>137351</v>
      </c>
      <c r="B160" t="s">
        <v>213</v>
      </c>
      <c r="C160" s="18">
        <v>79862</v>
      </c>
    </row>
    <row r="161" spans="1:3" ht="16" thickBot="1">
      <c r="A161">
        <v>179557</v>
      </c>
      <c r="B161" t="s">
        <v>214</v>
      </c>
      <c r="C161" s="18">
        <v>36881</v>
      </c>
    </row>
    <row r="162" spans="1:3" ht="16" thickBot="1">
      <c r="A162">
        <v>160621</v>
      </c>
      <c r="B162" t="s">
        <v>216</v>
      </c>
      <c r="C162" s="18">
        <v>36745</v>
      </c>
    </row>
    <row r="163" spans="1:3" ht="16" thickBot="1">
      <c r="A163">
        <v>176372</v>
      </c>
      <c r="B163" t="s">
        <v>219</v>
      </c>
      <c r="C163" s="18">
        <v>20623</v>
      </c>
    </row>
    <row r="164" spans="1:3" ht="16" thickBot="1">
      <c r="A164">
        <v>230603</v>
      </c>
      <c r="B164" t="s">
        <v>220</v>
      </c>
      <c r="C164" s="18">
        <v>791666</v>
      </c>
    </row>
    <row r="165" spans="1:3" ht="16" thickBot="1">
      <c r="A165">
        <v>228431</v>
      </c>
      <c r="B165" t="s">
        <v>221</v>
      </c>
      <c r="C165" s="18">
        <v>726893</v>
      </c>
    </row>
    <row r="166" spans="1:3">
      <c r="A166">
        <v>196097</v>
      </c>
      <c r="B166" t="s">
        <v>222</v>
      </c>
      <c r="C166" s="23">
        <v>747857</v>
      </c>
    </row>
    <row r="167" spans="1:3" ht="16" thickBot="1">
      <c r="A167">
        <v>221759</v>
      </c>
      <c r="B167" t="s">
        <v>223</v>
      </c>
      <c r="C167" s="18">
        <v>310180</v>
      </c>
    </row>
    <row r="168" spans="1:3" ht="17" thickBot="1">
      <c r="A168">
        <v>221740</v>
      </c>
      <c r="B168" t="s">
        <v>224</v>
      </c>
      <c r="C168" s="8">
        <v>761957</v>
      </c>
    </row>
    <row r="169" spans="1:3" ht="16" thickBot="1">
      <c r="A169">
        <v>221847</v>
      </c>
      <c r="B169" t="s">
        <v>227</v>
      </c>
      <c r="C169" s="18">
        <v>11173</v>
      </c>
    </row>
    <row r="170" spans="1:3" ht="16" thickBot="1">
      <c r="A170">
        <v>228778</v>
      </c>
      <c r="B170" t="s">
        <v>228</v>
      </c>
      <c r="C170" s="18">
        <v>2418895</v>
      </c>
    </row>
    <row r="171" spans="1:3" ht="16" thickBot="1">
      <c r="A171">
        <v>228723</v>
      </c>
      <c r="B171" t="s">
        <v>229</v>
      </c>
      <c r="C171" s="18">
        <v>985912</v>
      </c>
    </row>
    <row r="172" spans="1:3" ht="16" thickBot="1">
      <c r="A172">
        <v>224147</v>
      </c>
      <c r="B172" t="s">
        <v>230</v>
      </c>
      <c r="C172" s="18">
        <v>585798</v>
      </c>
    </row>
    <row r="173" spans="1:3" ht="16" thickBot="1">
      <c r="A173">
        <v>228769</v>
      </c>
      <c r="B173" t="s">
        <v>231</v>
      </c>
      <c r="C173" s="7">
        <v>45679</v>
      </c>
    </row>
    <row r="174" spans="1:3" ht="16" thickBot="1">
      <c r="A174">
        <v>229063</v>
      </c>
      <c r="B174" t="s">
        <v>232</v>
      </c>
      <c r="C174" s="18">
        <v>43029</v>
      </c>
    </row>
    <row r="175" spans="1:3" ht="16" thickBot="1">
      <c r="A175">
        <v>228459</v>
      </c>
      <c r="B175" t="s">
        <v>233</v>
      </c>
      <c r="C175" s="42">
        <v>46326</v>
      </c>
    </row>
    <row r="176" spans="1:3" ht="16" thickBot="1">
      <c r="A176">
        <v>229115</v>
      </c>
      <c r="B176" t="s">
        <v>234</v>
      </c>
      <c r="C176" s="18">
        <v>327528</v>
      </c>
    </row>
    <row r="177" spans="1:3" ht="16" thickBot="1">
      <c r="A177">
        <v>206084</v>
      </c>
      <c r="B177" t="s">
        <v>235</v>
      </c>
      <c r="C177" s="18">
        <v>102314</v>
      </c>
    </row>
    <row r="178" spans="1:3">
      <c r="A178">
        <v>164076</v>
      </c>
      <c r="B178" t="s">
        <v>236</v>
      </c>
      <c r="C178" s="23">
        <v>238666</v>
      </c>
    </row>
    <row r="179" spans="1:3" ht="16" thickBot="1">
      <c r="A179">
        <v>100663</v>
      </c>
      <c r="B179" t="s">
        <v>238</v>
      </c>
      <c r="C179" s="18">
        <v>961232</v>
      </c>
    </row>
    <row r="180" spans="1:3" ht="16" thickBot="1">
      <c r="A180">
        <v>110644</v>
      </c>
      <c r="B180" t="s">
        <v>239</v>
      </c>
      <c r="C180" s="18">
        <v>210859</v>
      </c>
    </row>
    <row r="181" spans="1:3" ht="16" thickBot="1">
      <c r="A181">
        <v>110653</v>
      </c>
      <c r="B181" t="s">
        <v>240</v>
      </c>
      <c r="C181" s="18">
        <v>910558</v>
      </c>
    </row>
    <row r="182" spans="1:3" ht="16" thickBot="1">
      <c r="A182">
        <v>110671</v>
      </c>
      <c r="B182" t="s">
        <v>241</v>
      </c>
      <c r="C182" s="18">
        <v>911827</v>
      </c>
    </row>
    <row r="183" spans="1:3" ht="16" thickBot="1">
      <c r="A183">
        <v>110705</v>
      </c>
      <c r="B183" t="s">
        <v>242</v>
      </c>
      <c r="C183" s="18">
        <v>1041167</v>
      </c>
    </row>
    <row r="184" spans="1:3" ht="16" thickBot="1">
      <c r="A184">
        <v>132903</v>
      </c>
      <c r="B184" t="s">
        <v>243</v>
      </c>
      <c r="C184" s="18">
        <v>2212830</v>
      </c>
    </row>
    <row r="185" spans="1:3" ht="16" thickBot="1">
      <c r="A185">
        <v>110662</v>
      </c>
      <c r="B185" t="s">
        <v>244</v>
      </c>
      <c r="C185" s="18">
        <v>264181</v>
      </c>
    </row>
    <row r="186" spans="1:3" ht="16" thickBot="1">
      <c r="A186">
        <v>182281</v>
      </c>
      <c r="B186" t="s">
        <v>245</v>
      </c>
      <c r="C186" s="18">
        <v>494111</v>
      </c>
    </row>
    <row r="187" spans="1:3" ht="16" thickBot="1">
      <c r="A187">
        <v>230764</v>
      </c>
      <c r="B187" t="s">
        <v>246</v>
      </c>
      <c r="C187" s="18">
        <v>479021</v>
      </c>
    </row>
    <row r="188" spans="1:3" ht="16" thickBot="1">
      <c r="A188">
        <v>230728</v>
      </c>
      <c r="B188" t="s">
        <v>247</v>
      </c>
      <c r="C188" s="18">
        <v>531270</v>
      </c>
    </row>
    <row r="189" spans="1:3" ht="16" thickBot="1">
      <c r="A189">
        <v>230737</v>
      </c>
      <c r="B189" t="s">
        <v>283</v>
      </c>
      <c r="C189" s="18">
        <v>39676</v>
      </c>
    </row>
    <row r="190" spans="1:3" ht="16" thickBot="1">
      <c r="A190">
        <v>228796</v>
      </c>
      <c r="B190" t="s">
        <v>249</v>
      </c>
      <c r="C190" s="18">
        <v>343420</v>
      </c>
    </row>
    <row r="191" spans="1:3" ht="16" thickBot="1">
      <c r="A191">
        <v>227368</v>
      </c>
      <c r="B191" t="s">
        <v>250</v>
      </c>
      <c r="C191" s="18">
        <v>57546</v>
      </c>
    </row>
    <row r="192" spans="1:3">
      <c r="A192">
        <v>229027</v>
      </c>
      <c r="B192" t="s">
        <v>251</v>
      </c>
      <c r="C192" s="23">
        <v>516609</v>
      </c>
    </row>
    <row r="193" spans="1:3" ht="16" thickBot="1">
      <c r="A193">
        <v>234030</v>
      </c>
      <c r="B193" t="s">
        <v>252</v>
      </c>
      <c r="C193" s="18">
        <v>51488</v>
      </c>
    </row>
    <row r="194" spans="1:3" ht="16" thickBot="1">
      <c r="A194">
        <v>234076</v>
      </c>
      <c r="B194" t="s">
        <v>254</v>
      </c>
      <c r="C194" s="18">
        <v>1076690</v>
      </c>
    </row>
    <row r="195" spans="1:3" ht="16" thickBot="1">
      <c r="A195">
        <v>233921</v>
      </c>
      <c r="B195" t="s">
        <v>255</v>
      </c>
      <c r="C195" s="18">
        <v>79728</v>
      </c>
    </row>
    <row r="196" spans="1:3" ht="16" thickBot="1">
      <c r="A196">
        <v>236948</v>
      </c>
      <c r="B196" t="s">
        <v>257</v>
      </c>
      <c r="C196" s="18">
        <v>1345448</v>
      </c>
    </row>
    <row r="197" spans="1:3" ht="16" thickBot="1">
      <c r="A197">
        <v>236939</v>
      </c>
      <c r="B197" t="s">
        <v>258</v>
      </c>
      <c r="C197" s="18">
        <v>863257</v>
      </c>
    </row>
    <row r="198" spans="1:3" ht="16" thickBot="1">
      <c r="A198">
        <v>230782</v>
      </c>
      <c r="B198" t="s">
        <v>259</v>
      </c>
      <c r="C198" s="18">
        <v>522631</v>
      </c>
    </row>
    <row r="199" spans="1:3" ht="16" thickBot="1">
      <c r="A199">
        <v>238032</v>
      </c>
      <c r="B199" t="s">
        <v>260</v>
      </c>
      <c r="C199" s="18">
        <v>170256</v>
      </c>
    </row>
    <row r="200" spans="1:3" ht="16" thickBot="1">
      <c r="A200">
        <v>200004</v>
      </c>
      <c r="B200" t="s">
        <v>261</v>
      </c>
      <c r="C200" s="18">
        <v>50135</v>
      </c>
    </row>
    <row r="201" spans="1:3" ht="16" thickBot="1">
      <c r="A201">
        <v>149772</v>
      </c>
      <c r="B201" t="s">
        <v>262</v>
      </c>
      <c r="C201" s="18">
        <v>216475</v>
      </c>
    </row>
    <row r="202" spans="1:3" ht="16" thickBot="1">
      <c r="A202">
        <v>157951</v>
      </c>
      <c r="B202" t="s">
        <v>263</v>
      </c>
      <c r="C202" s="18">
        <v>1082761</v>
      </c>
    </row>
    <row r="203" spans="1:3" ht="16" thickBot="1">
      <c r="A203">
        <v>172699</v>
      </c>
      <c r="B203" t="s">
        <v>264</v>
      </c>
      <c r="C203" s="18">
        <v>97471</v>
      </c>
    </row>
    <row r="204" spans="1:3" ht="16" thickBot="1">
      <c r="A204">
        <v>156125</v>
      </c>
      <c r="B204" t="s">
        <v>265</v>
      </c>
      <c r="C204" s="18">
        <v>399037</v>
      </c>
    </row>
    <row r="205" spans="1:3" ht="17" thickBot="1">
      <c r="A205">
        <v>231624</v>
      </c>
      <c r="B205" t="s">
        <v>266</v>
      </c>
      <c r="C205" s="8">
        <v>414713</v>
      </c>
    </row>
    <row r="206" spans="1:3" ht="17" thickBot="1">
      <c r="A206">
        <v>218964</v>
      </c>
      <c r="B206" t="s">
        <v>267</v>
      </c>
      <c r="C206" s="8">
        <v>444924</v>
      </c>
    </row>
    <row r="207" spans="1:3" ht="16" thickBot="1">
      <c r="A207">
        <v>240444</v>
      </c>
      <c r="B207" t="s">
        <v>268</v>
      </c>
      <c r="C207" s="18">
        <v>1836628</v>
      </c>
    </row>
    <row r="208" spans="1:3">
      <c r="A208">
        <v>240277</v>
      </c>
      <c r="B208" t="s">
        <v>269</v>
      </c>
      <c r="C208" s="23">
        <v>402677</v>
      </c>
    </row>
    <row r="209" spans="1:3" ht="16" thickBot="1">
      <c r="A209">
        <v>240453</v>
      </c>
      <c r="B209" t="s">
        <v>270</v>
      </c>
      <c r="C209" s="18">
        <v>284125</v>
      </c>
    </row>
    <row r="210" spans="1:3" ht="16" thickBot="1">
      <c r="A210">
        <v>206604</v>
      </c>
      <c r="B210" t="s">
        <v>271</v>
      </c>
      <c r="C210" s="18">
        <v>589405</v>
      </c>
    </row>
    <row r="211" spans="1:3" ht="16" thickBot="1">
      <c r="A211">
        <v>240727</v>
      </c>
      <c r="B211" t="s">
        <v>272</v>
      </c>
      <c r="C211" s="18">
        <v>772868</v>
      </c>
    </row>
    <row r="212" spans="1:3" ht="16" thickBot="1">
      <c r="A212">
        <v>206695</v>
      </c>
      <c r="B212" t="s">
        <v>273</v>
      </c>
      <c r="C212" s="18">
        <v>4795</v>
      </c>
    </row>
    <row r="213" spans="1:3" ht="16" thickBot="1">
      <c r="C213" s="17"/>
    </row>
    <row r="214" spans="1:3" ht="16" thickBot="1">
      <c r="C214" s="7"/>
    </row>
    <row r="215" spans="1:3" ht="16" thickBot="1">
      <c r="C215" s="18"/>
    </row>
    <row r="216" spans="1:3" ht="16" thickBot="1">
      <c r="C216" s="18"/>
    </row>
    <row r="217" spans="1:3" ht="16" thickBot="1">
      <c r="C217" s="18"/>
    </row>
    <row r="218" spans="1:3" ht="16" thickBot="1">
      <c r="C218" s="18"/>
    </row>
    <row r="219" spans="1:3" ht="16" thickBot="1">
      <c r="C219" s="18"/>
    </row>
    <row r="220" spans="1:3" ht="16" thickBot="1">
      <c r="C220" s="7"/>
    </row>
    <row r="221" spans="1:3" ht="16" thickBot="1">
      <c r="C221" s="18"/>
    </row>
    <row r="222" spans="1:3" ht="16" thickBot="1">
      <c r="C222" s="17"/>
    </row>
    <row r="223" spans="1:3" ht="16" thickBot="1">
      <c r="C223" s="18"/>
    </row>
    <row r="224" spans="1:3">
      <c r="C224" s="23"/>
    </row>
    <row r="225" spans="3:3" ht="16" thickBot="1">
      <c r="C225" s="18"/>
    </row>
    <row r="226" spans="3:3" ht="16" thickBot="1">
      <c r="C226" s="18"/>
    </row>
    <row r="227" spans="3:3" ht="16" thickBot="1">
      <c r="C227" s="18"/>
    </row>
    <row r="228" spans="3:3" ht="16" thickBot="1">
      <c r="C228" s="18"/>
    </row>
    <row r="229" spans="3:3" ht="16" thickBot="1">
      <c r="C229" s="18"/>
    </row>
    <row r="230" spans="3:3" ht="16" thickBot="1">
      <c r="C230" s="17"/>
    </row>
    <row r="231" spans="3:3" ht="16" thickBot="1">
      <c r="C231" s="17"/>
    </row>
    <row r="232" spans="3:3" ht="16" thickBot="1">
      <c r="C232" s="7"/>
    </row>
    <row r="233" spans="3:3" ht="17" thickBot="1">
      <c r="C233" s="15"/>
    </row>
    <row r="234" spans="3:3" ht="16" thickBot="1">
      <c r="C234" s="17"/>
    </row>
    <row r="235" spans="3:3" ht="16" thickBot="1">
      <c r="C235" s="17"/>
    </row>
    <row r="236" spans="3:3" ht="16" thickBot="1">
      <c r="C236" s="17"/>
    </row>
    <row r="237" spans="3:3" ht="16" thickBot="1">
      <c r="C237" s="17"/>
    </row>
    <row r="238" spans="3:3">
      <c r="C238" s="29"/>
    </row>
    <row r="239" spans="3:3" ht="16" thickBot="1">
      <c r="C239" s="17"/>
    </row>
    <row r="240" spans="3:3" ht="16" thickBot="1">
      <c r="C240" s="17"/>
    </row>
    <row r="241" spans="3:3" ht="16" thickBot="1">
      <c r="C241" s="17"/>
    </row>
    <row r="242" spans="3:3" ht="17" thickBot="1">
      <c r="C242" s="15"/>
    </row>
    <row r="243" spans="3:3" ht="16" thickBot="1">
      <c r="C243" s="17"/>
    </row>
    <row r="244" spans="3:3" ht="16" thickBot="1">
      <c r="C244" s="17"/>
    </row>
    <row r="245" spans="3:3" ht="16" thickBot="1">
      <c r="C245" s="17"/>
    </row>
    <row r="246" spans="3:3" ht="16" thickBot="1">
      <c r="C246" s="17"/>
    </row>
    <row r="247" spans="3:3" ht="16" thickBot="1">
      <c r="C247" s="17"/>
    </row>
    <row r="248" spans="3:3" ht="16" thickBot="1">
      <c r="C248" s="17"/>
    </row>
    <row r="249" spans="3:3" ht="16" thickBot="1">
      <c r="C249" s="17"/>
    </row>
    <row r="250" spans="3:3">
      <c r="C250" s="29"/>
    </row>
    <row r="251" spans="3:3" ht="16" thickBot="1">
      <c r="C251" s="17"/>
    </row>
    <row r="252" spans="3:3" ht="16" thickBot="1">
      <c r="C252" s="17"/>
    </row>
    <row r="253" spans="3:3" ht="16" thickBot="1">
      <c r="C253" s="17"/>
    </row>
    <row r="254" spans="3:3" ht="16" thickBot="1">
      <c r="C254" s="17"/>
    </row>
    <row r="255" spans="3:3" ht="16" thickBot="1">
      <c r="C255" s="17"/>
    </row>
    <row r="256" spans="3:3" ht="16" thickBot="1">
      <c r="C256" s="17"/>
    </row>
    <row r="257" spans="3:3" ht="16" thickBot="1">
      <c r="C257" s="17"/>
    </row>
    <row r="258" spans="3:3" ht="16" thickBot="1">
      <c r="C258" s="17"/>
    </row>
    <row r="259" spans="3:3" ht="16" thickBot="1">
      <c r="C259" s="17"/>
    </row>
    <row r="260" spans="3:3" ht="16" thickBot="1">
      <c r="C260" s="7"/>
    </row>
    <row r="261" spans="3:3" ht="16" thickBot="1">
      <c r="C261" s="17"/>
    </row>
    <row r="262" spans="3:3" ht="16" thickBot="1">
      <c r="C262" s="17"/>
    </row>
    <row r="263" spans="3:3" ht="16" thickBot="1">
      <c r="C263" s="17"/>
    </row>
    <row r="264" spans="3:3" ht="16" thickBot="1">
      <c r="C264" s="17"/>
    </row>
    <row r="265" spans="3:3">
      <c r="C265" s="29"/>
    </row>
    <row r="266" spans="3:3" ht="16" thickBot="1">
      <c r="C266" s="17"/>
    </row>
    <row r="267" spans="3:3" ht="16" thickBot="1">
      <c r="C267" s="17"/>
    </row>
    <row r="268" spans="3:3" ht="16" thickBot="1">
      <c r="C268" s="17"/>
    </row>
    <row r="269" spans="3:3" ht="16" thickBot="1">
      <c r="C269" s="17"/>
    </row>
    <row r="270" spans="3:3" ht="16" thickBot="1">
      <c r="C270" s="17"/>
    </row>
    <row r="271" spans="3:3" ht="17" thickBot="1">
      <c r="C271" s="15"/>
    </row>
    <row r="272" spans="3:3" ht="16" thickBot="1">
      <c r="C272" s="17"/>
    </row>
    <row r="273" spans="3:3" ht="16" thickBot="1">
      <c r="C273" s="17"/>
    </row>
    <row r="274" spans="3:3" ht="16" thickBot="1">
      <c r="C274" s="17"/>
    </row>
    <row r="275" spans="3:3" ht="16" thickBot="1">
      <c r="C275" s="17"/>
    </row>
    <row r="276" spans="3:3" ht="16" thickBot="1">
      <c r="C276" s="17"/>
    </row>
    <row r="277" spans="3:3" ht="16" thickBot="1">
      <c r="C277" s="17"/>
    </row>
    <row r="278" spans="3:3">
      <c r="C278" s="2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1EE0-D45D-4974-956F-FA97408DB93E}">
  <sheetPr>
    <tabColor theme="0"/>
  </sheetPr>
  <dimension ref="A1:C208"/>
  <sheetViews>
    <sheetView workbookViewId="0"/>
  </sheetViews>
  <sheetFormatPr baseColWidth="10" defaultColWidth="9.1640625" defaultRowHeight="15"/>
  <cols>
    <col min="1" max="1" width="7.1640625" bestFit="1" customWidth="1"/>
    <col min="2" max="2" width="23.83203125" bestFit="1" customWidth="1"/>
    <col min="3" max="3" width="11.83203125" customWidth="1"/>
    <col min="4" max="4" width="9.1640625" bestFit="1" customWidth="1"/>
  </cols>
  <sheetData>
    <row r="1" spans="1:3">
      <c r="A1" t="s">
        <v>46</v>
      </c>
      <c r="B1" t="s">
        <v>0</v>
      </c>
      <c r="C1" t="s">
        <v>277</v>
      </c>
    </row>
    <row r="2" spans="1:3">
      <c r="A2">
        <v>500002</v>
      </c>
      <c r="B2" t="s">
        <v>282</v>
      </c>
      <c r="C2">
        <v>435509</v>
      </c>
    </row>
    <row r="3" spans="1:3">
      <c r="A3">
        <v>200800</v>
      </c>
      <c r="B3" t="s">
        <v>48</v>
      </c>
      <c r="C3">
        <v>6649</v>
      </c>
    </row>
    <row r="4" spans="1:3">
      <c r="A4">
        <v>100751</v>
      </c>
      <c r="B4" t="s">
        <v>49</v>
      </c>
      <c r="C4">
        <v>920161</v>
      </c>
    </row>
    <row r="5" spans="1:3">
      <c r="A5">
        <v>196060</v>
      </c>
      <c r="B5" t="s">
        <v>52</v>
      </c>
      <c r="C5">
        <v>307155</v>
      </c>
    </row>
    <row r="6" spans="1:3">
      <c r="A6">
        <v>197869</v>
      </c>
      <c r="B6" t="s">
        <v>54</v>
      </c>
      <c r="C6">
        <v>35560</v>
      </c>
    </row>
    <row r="7" spans="1:3">
      <c r="A7">
        <v>104179</v>
      </c>
      <c r="B7" t="s">
        <v>55</v>
      </c>
      <c r="C7">
        <v>606900</v>
      </c>
    </row>
    <row r="8" spans="1:3">
      <c r="A8">
        <v>104151</v>
      </c>
      <c r="B8" t="s">
        <v>56</v>
      </c>
      <c r="C8">
        <v>779128</v>
      </c>
    </row>
    <row r="9" spans="1:3">
      <c r="A9">
        <v>106397</v>
      </c>
      <c r="B9" t="s">
        <v>57</v>
      </c>
      <c r="C9">
        <v>83968</v>
      </c>
    </row>
    <row r="10" spans="1:3">
      <c r="A10">
        <v>106245</v>
      </c>
      <c r="B10" t="s">
        <v>58</v>
      </c>
      <c r="C10">
        <v>119588</v>
      </c>
    </row>
    <row r="11" spans="1:3">
      <c r="A11">
        <v>106412</v>
      </c>
      <c r="B11" t="s">
        <v>59</v>
      </c>
      <c r="C11">
        <v>9451</v>
      </c>
    </row>
    <row r="12" spans="1:3">
      <c r="A12">
        <v>106458</v>
      </c>
      <c r="B12" t="s">
        <v>60</v>
      </c>
      <c r="C12">
        <v>481626</v>
      </c>
    </row>
    <row r="13" spans="1:3">
      <c r="A13">
        <v>100858</v>
      </c>
      <c r="B13" t="s">
        <v>62</v>
      </c>
      <c r="C13">
        <v>414405</v>
      </c>
    </row>
    <row r="14" spans="1:3">
      <c r="A14">
        <v>219602</v>
      </c>
      <c r="B14" t="s">
        <v>63</v>
      </c>
      <c r="C14">
        <v>18580</v>
      </c>
    </row>
    <row r="15" spans="1:3">
      <c r="A15">
        <v>150136</v>
      </c>
      <c r="B15" t="s">
        <v>64</v>
      </c>
      <c r="C15">
        <v>81031</v>
      </c>
    </row>
    <row r="16" spans="1:3">
      <c r="A16">
        <v>196079</v>
      </c>
      <c r="B16" t="s">
        <v>65</v>
      </c>
      <c r="C16">
        <v>886236</v>
      </c>
    </row>
    <row r="17" spans="1:3">
      <c r="A17">
        <v>142115</v>
      </c>
      <c r="B17" t="s">
        <v>66</v>
      </c>
      <c r="C17">
        <v>348089</v>
      </c>
    </row>
    <row r="18" spans="1:3">
      <c r="A18">
        <v>201441</v>
      </c>
      <c r="B18" t="s">
        <v>67</v>
      </c>
      <c r="C18">
        <v>159108</v>
      </c>
    </row>
    <row r="19" spans="1:3">
      <c r="A19">
        <v>196088</v>
      </c>
      <c r="B19" t="s">
        <v>68</v>
      </c>
      <c r="C19">
        <v>1094491</v>
      </c>
    </row>
    <row r="20" spans="1:3">
      <c r="A20">
        <v>110422</v>
      </c>
      <c r="B20" t="s">
        <v>69</v>
      </c>
      <c r="C20">
        <v>182103</v>
      </c>
    </row>
    <row r="21" spans="1:3">
      <c r="A21">
        <v>110486</v>
      </c>
      <c r="B21" t="s">
        <v>70</v>
      </c>
      <c r="C21">
        <v>102956</v>
      </c>
    </row>
    <row r="22" spans="1:3">
      <c r="A22">
        <v>110565</v>
      </c>
      <c r="B22" t="s">
        <v>71</v>
      </c>
      <c r="C22">
        <v>839278</v>
      </c>
    </row>
    <row r="23" spans="1:3">
      <c r="A23">
        <v>110608</v>
      </c>
      <c r="B23" t="s">
        <v>72</v>
      </c>
      <c r="C23">
        <v>598725</v>
      </c>
    </row>
    <row r="24" spans="1:3">
      <c r="A24">
        <v>110635</v>
      </c>
      <c r="B24" t="s">
        <v>73</v>
      </c>
      <c r="C24">
        <v>97083</v>
      </c>
    </row>
    <row r="25" spans="1:3">
      <c r="A25">
        <v>106704</v>
      </c>
      <c r="B25" t="s">
        <v>74</v>
      </c>
      <c r="C25">
        <v>531031</v>
      </c>
    </row>
    <row r="26" spans="1:3">
      <c r="A26">
        <v>128771</v>
      </c>
      <c r="B26" t="s">
        <v>75</v>
      </c>
      <c r="C26">
        <v>743811</v>
      </c>
    </row>
    <row r="27" spans="1:3">
      <c r="A27">
        <v>169248</v>
      </c>
      <c r="B27" t="s">
        <v>76</v>
      </c>
      <c r="C27">
        <v>65533</v>
      </c>
    </row>
    <row r="28" spans="1:3">
      <c r="A28">
        <v>199139</v>
      </c>
      <c r="B28" t="s">
        <v>77</v>
      </c>
      <c r="C28">
        <v>871513</v>
      </c>
    </row>
    <row r="29" spans="1:3">
      <c r="A29">
        <v>144005</v>
      </c>
      <c r="B29" t="s">
        <v>78</v>
      </c>
      <c r="C29">
        <v>16000</v>
      </c>
    </row>
    <row r="30" spans="1:3">
      <c r="A30">
        <v>201885</v>
      </c>
      <c r="B30" t="s">
        <v>79</v>
      </c>
      <c r="C30">
        <v>236688</v>
      </c>
    </row>
    <row r="31" spans="1:3">
      <c r="A31">
        <v>217864</v>
      </c>
      <c r="B31" t="s">
        <v>80</v>
      </c>
      <c r="C31">
        <v>667446</v>
      </c>
    </row>
    <row r="32" spans="1:3">
      <c r="A32">
        <v>217882</v>
      </c>
      <c r="B32" t="s">
        <v>81</v>
      </c>
      <c r="C32">
        <v>1193794</v>
      </c>
    </row>
    <row r="33" spans="1:3">
      <c r="A33">
        <v>202134</v>
      </c>
      <c r="B33" t="s">
        <v>82</v>
      </c>
      <c r="C33">
        <v>695716</v>
      </c>
    </row>
    <row r="34" spans="1:3">
      <c r="A34">
        <v>218724</v>
      </c>
      <c r="B34" t="s">
        <v>83</v>
      </c>
      <c r="C34">
        <v>1171571</v>
      </c>
    </row>
    <row r="35" spans="1:3">
      <c r="A35">
        <v>217819</v>
      </c>
      <c r="B35" t="s">
        <v>84</v>
      </c>
      <c r="C35">
        <v>26798</v>
      </c>
    </row>
    <row r="36" spans="1:3">
      <c r="A36">
        <v>126614</v>
      </c>
      <c r="B36" t="s">
        <v>85</v>
      </c>
      <c r="C36">
        <v>747988</v>
      </c>
    </row>
    <row r="37" spans="1:3">
      <c r="A37">
        <v>126818</v>
      </c>
      <c r="B37" t="s">
        <v>86</v>
      </c>
      <c r="C37">
        <v>1348913</v>
      </c>
    </row>
    <row r="38" spans="1:3">
      <c r="A38">
        <v>129020</v>
      </c>
      <c r="B38" t="s">
        <v>87</v>
      </c>
      <c r="C38">
        <v>199348</v>
      </c>
    </row>
    <row r="39" spans="1:3">
      <c r="A39">
        <v>162283</v>
      </c>
      <c r="B39" t="s">
        <v>88</v>
      </c>
    </row>
    <row r="40" spans="1:3">
      <c r="A40">
        <v>198464</v>
      </c>
      <c r="B40" t="s">
        <v>89</v>
      </c>
      <c r="C40">
        <v>36751</v>
      </c>
    </row>
    <row r="41" spans="1:3">
      <c r="A41">
        <v>220075</v>
      </c>
      <c r="B41" t="s">
        <v>90</v>
      </c>
      <c r="C41">
        <v>22813</v>
      </c>
    </row>
    <row r="42" spans="1:3">
      <c r="A42">
        <v>144892</v>
      </c>
      <c r="B42" t="s">
        <v>91</v>
      </c>
      <c r="C42">
        <v>304685</v>
      </c>
    </row>
    <row r="43" spans="1:3">
      <c r="A43">
        <v>156620</v>
      </c>
      <c r="B43" t="s">
        <v>92</v>
      </c>
      <c r="C43">
        <v>723165</v>
      </c>
    </row>
    <row r="44" spans="1:3">
      <c r="A44">
        <v>169798</v>
      </c>
      <c r="B44" t="s">
        <v>93</v>
      </c>
      <c r="C44">
        <v>808689</v>
      </c>
    </row>
    <row r="45" spans="1:3">
      <c r="A45">
        <v>235097</v>
      </c>
      <c r="B45" t="s">
        <v>94</v>
      </c>
      <c r="C45">
        <v>621815</v>
      </c>
    </row>
    <row r="46" spans="1:3">
      <c r="A46">
        <v>134130</v>
      </c>
      <c r="B46" t="s">
        <v>95</v>
      </c>
      <c r="C46">
        <v>929104</v>
      </c>
    </row>
    <row r="47" spans="1:3">
      <c r="A47">
        <v>133669</v>
      </c>
      <c r="B47" t="s">
        <v>96</v>
      </c>
      <c r="C47">
        <v>473073</v>
      </c>
    </row>
    <row r="48" spans="1:3">
      <c r="A48">
        <v>433660</v>
      </c>
      <c r="B48" t="s">
        <v>97</v>
      </c>
      <c r="C48">
        <v>422983</v>
      </c>
    </row>
    <row r="49" spans="1:3">
      <c r="A49">
        <v>133951</v>
      </c>
      <c r="B49" t="s">
        <v>98</v>
      </c>
      <c r="C49">
        <v>232385</v>
      </c>
    </row>
    <row r="50" spans="1:3">
      <c r="A50">
        <v>134097</v>
      </c>
      <c r="B50" t="s">
        <v>99</v>
      </c>
      <c r="C50">
        <v>610394</v>
      </c>
    </row>
    <row r="51" spans="1:3">
      <c r="A51">
        <v>110556</v>
      </c>
      <c r="B51" t="s">
        <v>100</v>
      </c>
      <c r="C51">
        <v>276850</v>
      </c>
    </row>
    <row r="52" spans="1:3">
      <c r="A52">
        <v>139959</v>
      </c>
      <c r="B52" t="s">
        <v>102</v>
      </c>
      <c r="C52">
        <v>90902</v>
      </c>
    </row>
    <row r="53" spans="1:3">
      <c r="A53">
        <v>139931</v>
      </c>
      <c r="B53" t="s">
        <v>103</v>
      </c>
      <c r="C53">
        <v>238330</v>
      </c>
    </row>
    <row r="54" spans="1:3">
      <c r="A54">
        <v>139940</v>
      </c>
      <c r="B54" t="s">
        <v>104</v>
      </c>
      <c r="C54">
        <v>300462</v>
      </c>
    </row>
    <row r="55" spans="1:3">
      <c r="A55">
        <v>139755</v>
      </c>
      <c r="B55" t="s">
        <v>105</v>
      </c>
      <c r="C55">
        <v>677580</v>
      </c>
    </row>
    <row r="56" spans="1:3">
      <c r="A56">
        <v>159009</v>
      </c>
      <c r="B56" t="s">
        <v>106</v>
      </c>
      <c r="C56">
        <v>86316</v>
      </c>
    </row>
    <row r="57" spans="1:3">
      <c r="A57">
        <v>141574</v>
      </c>
      <c r="B57" t="s">
        <v>107</v>
      </c>
      <c r="C57">
        <v>1808862</v>
      </c>
    </row>
    <row r="58" spans="1:3">
      <c r="A58">
        <v>225511</v>
      </c>
      <c r="B58" t="s">
        <v>108</v>
      </c>
      <c r="C58">
        <v>195919</v>
      </c>
    </row>
    <row r="59" spans="1:3">
      <c r="A59">
        <v>142285</v>
      </c>
      <c r="B59" t="s">
        <v>109</v>
      </c>
      <c r="C59">
        <v>537907</v>
      </c>
    </row>
    <row r="60" spans="1:3">
      <c r="A60">
        <v>142276</v>
      </c>
      <c r="B60" t="s">
        <v>110</v>
      </c>
      <c r="C60">
        <v>247645</v>
      </c>
    </row>
    <row r="61" spans="1:3">
      <c r="A61">
        <v>145637</v>
      </c>
      <c r="B61" t="s">
        <v>111</v>
      </c>
      <c r="C61">
        <v>752493</v>
      </c>
    </row>
    <row r="62" spans="1:3">
      <c r="A62">
        <v>145600</v>
      </c>
      <c r="B62" t="s">
        <v>112</v>
      </c>
      <c r="C62">
        <v>767512</v>
      </c>
    </row>
    <row r="63" spans="1:3">
      <c r="A63">
        <v>145813</v>
      </c>
      <c r="B63" t="s">
        <v>113</v>
      </c>
      <c r="C63">
        <v>310081</v>
      </c>
    </row>
    <row r="64" spans="1:3">
      <c r="A64">
        <v>151351</v>
      </c>
      <c r="B64" t="s">
        <v>114</v>
      </c>
      <c r="C64">
        <v>170970</v>
      </c>
    </row>
    <row r="65" spans="1:3">
      <c r="A65">
        <v>151324</v>
      </c>
      <c r="B65" t="s">
        <v>115</v>
      </c>
      <c r="C65">
        <v>518616</v>
      </c>
    </row>
    <row r="66" spans="1:3">
      <c r="A66">
        <v>153658</v>
      </c>
      <c r="B66" t="s">
        <v>116</v>
      </c>
      <c r="C66">
        <v>328413</v>
      </c>
    </row>
    <row r="67" spans="1:3">
      <c r="A67">
        <v>153603</v>
      </c>
      <c r="B67" t="s">
        <v>117</v>
      </c>
      <c r="C67">
        <v>161612</v>
      </c>
    </row>
    <row r="68" spans="1:3">
      <c r="A68">
        <v>151111</v>
      </c>
      <c r="B68" t="s">
        <v>118</v>
      </c>
      <c r="C68">
        <v>10984</v>
      </c>
    </row>
    <row r="69" spans="1:3">
      <c r="A69">
        <v>232423</v>
      </c>
      <c r="B69" t="s">
        <v>121</v>
      </c>
      <c r="C69">
        <v>25868</v>
      </c>
    </row>
    <row r="70" spans="1:3">
      <c r="A70">
        <v>155317</v>
      </c>
      <c r="B70" t="s">
        <v>122</v>
      </c>
      <c r="C70">
        <v>181966</v>
      </c>
    </row>
    <row r="71" spans="1:3">
      <c r="A71">
        <v>155399</v>
      </c>
      <c r="B71" t="s">
        <v>123</v>
      </c>
      <c r="C71">
        <v>55295</v>
      </c>
    </row>
    <row r="72" spans="1:3">
      <c r="A72">
        <v>486840</v>
      </c>
      <c r="B72" t="s">
        <v>279</v>
      </c>
      <c r="C72">
        <v>11299</v>
      </c>
    </row>
    <row r="73" spans="1:3">
      <c r="A73">
        <v>203517</v>
      </c>
      <c r="B73" t="s">
        <v>125</v>
      </c>
      <c r="C73">
        <v>46918</v>
      </c>
    </row>
    <row r="74" spans="1:3">
      <c r="A74">
        <v>157085</v>
      </c>
      <c r="B74" t="s">
        <v>126</v>
      </c>
      <c r="C74">
        <v>673501</v>
      </c>
    </row>
    <row r="75" spans="1:3">
      <c r="A75">
        <v>226091</v>
      </c>
      <c r="B75" t="s">
        <v>127</v>
      </c>
      <c r="C75">
        <v>587033</v>
      </c>
    </row>
    <row r="76" spans="1:3">
      <c r="A76">
        <v>110583</v>
      </c>
      <c r="B76" t="s">
        <v>128</v>
      </c>
      <c r="C76">
        <v>1281724</v>
      </c>
    </row>
    <row r="77" spans="1:3">
      <c r="A77">
        <v>160658</v>
      </c>
      <c r="B77" t="s">
        <v>130</v>
      </c>
      <c r="C77">
        <v>122744</v>
      </c>
    </row>
    <row r="78" spans="1:3">
      <c r="A78">
        <v>159647</v>
      </c>
      <c r="B78" t="s">
        <v>132</v>
      </c>
      <c r="C78">
        <v>577042</v>
      </c>
    </row>
    <row r="79" spans="1:3">
      <c r="A79">
        <v>157289</v>
      </c>
      <c r="B79" t="s">
        <v>133</v>
      </c>
      <c r="C79">
        <v>595576</v>
      </c>
    </row>
    <row r="80" spans="1:3">
      <c r="A80">
        <v>159391</v>
      </c>
      <c r="B80" t="s">
        <v>134</v>
      </c>
      <c r="C80">
        <v>179852</v>
      </c>
    </row>
    <row r="81" spans="1:3">
      <c r="A81">
        <v>237525</v>
      </c>
      <c r="B81" t="s">
        <v>136</v>
      </c>
      <c r="C81">
        <v>731043</v>
      </c>
    </row>
    <row r="82" spans="1:3">
      <c r="A82">
        <v>163286</v>
      </c>
      <c r="B82" t="s">
        <v>137</v>
      </c>
      <c r="C82">
        <v>349829</v>
      </c>
    </row>
    <row r="83" spans="1:3">
      <c r="A83">
        <v>163268</v>
      </c>
      <c r="B83" t="s">
        <v>138</v>
      </c>
      <c r="C83">
        <v>182358</v>
      </c>
    </row>
    <row r="84" spans="1:3">
      <c r="A84">
        <v>163338</v>
      </c>
      <c r="B84" t="s">
        <v>139</v>
      </c>
      <c r="C84">
        <v>459013</v>
      </c>
    </row>
    <row r="85" spans="1:3">
      <c r="A85">
        <v>159717</v>
      </c>
      <c r="B85" t="s">
        <v>142</v>
      </c>
      <c r="C85">
        <v>507043</v>
      </c>
    </row>
    <row r="86" spans="1:3">
      <c r="A86">
        <v>204024</v>
      </c>
      <c r="B86" t="s">
        <v>144</v>
      </c>
      <c r="C86">
        <v>993124</v>
      </c>
    </row>
    <row r="87" spans="1:3">
      <c r="A87">
        <v>170976</v>
      </c>
      <c r="B87" t="s">
        <v>145</v>
      </c>
      <c r="C87">
        <v>255395</v>
      </c>
    </row>
    <row r="88" spans="1:3">
      <c r="A88">
        <v>171100</v>
      </c>
      <c r="B88" t="s">
        <v>146</v>
      </c>
      <c r="C88">
        <v>554209</v>
      </c>
    </row>
    <row r="89" spans="1:3">
      <c r="A89">
        <v>220978</v>
      </c>
      <c r="B89" t="s">
        <v>147</v>
      </c>
      <c r="C89">
        <v>1347753</v>
      </c>
    </row>
    <row r="90" spans="1:3">
      <c r="A90">
        <v>174066</v>
      </c>
      <c r="B90" t="s">
        <v>148</v>
      </c>
      <c r="C90">
        <v>1268432</v>
      </c>
    </row>
    <row r="91" spans="1:3">
      <c r="A91">
        <v>176017</v>
      </c>
      <c r="B91" t="s">
        <v>149</v>
      </c>
      <c r="C91">
        <v>524241</v>
      </c>
    </row>
    <row r="92" spans="1:3">
      <c r="A92">
        <v>176080</v>
      </c>
      <c r="B92" t="s">
        <v>150</v>
      </c>
      <c r="C92">
        <v>148721</v>
      </c>
    </row>
    <row r="93" spans="1:3">
      <c r="A93">
        <v>176044</v>
      </c>
      <c r="B93" t="s">
        <v>151</v>
      </c>
      <c r="C93">
        <v>182187</v>
      </c>
    </row>
    <row r="94" spans="1:3">
      <c r="A94">
        <v>178396</v>
      </c>
      <c r="B94" t="s">
        <v>152</v>
      </c>
      <c r="C94">
        <v>463334</v>
      </c>
    </row>
    <row r="95" spans="1:3">
      <c r="A95">
        <v>178402</v>
      </c>
      <c r="B95" t="s">
        <v>153</v>
      </c>
      <c r="C95">
        <v>871161</v>
      </c>
    </row>
    <row r="96" spans="1:3">
      <c r="A96">
        <v>179566</v>
      </c>
      <c r="B96" t="s">
        <v>154</v>
      </c>
      <c r="C96">
        <v>892998</v>
      </c>
    </row>
    <row r="97" spans="1:3">
      <c r="A97">
        <v>180489</v>
      </c>
      <c r="B97" t="s">
        <v>155</v>
      </c>
      <c r="C97">
        <v>438147</v>
      </c>
    </row>
    <row r="98" spans="1:3">
      <c r="A98">
        <v>180461</v>
      </c>
      <c r="B98" t="s">
        <v>156</v>
      </c>
      <c r="C98">
        <v>1219472</v>
      </c>
    </row>
    <row r="99" spans="1:3">
      <c r="A99">
        <v>157386</v>
      </c>
      <c r="B99" t="s">
        <v>157</v>
      </c>
      <c r="C99">
        <v>749078</v>
      </c>
    </row>
    <row r="100" spans="1:3">
      <c r="A100">
        <v>163453</v>
      </c>
      <c r="B100" t="s">
        <v>158</v>
      </c>
      <c r="C100">
        <v>13020</v>
      </c>
    </row>
    <row r="101" spans="1:3">
      <c r="A101">
        <v>157401</v>
      </c>
      <c r="B101" t="s">
        <v>159</v>
      </c>
      <c r="C101">
        <v>11897</v>
      </c>
    </row>
    <row r="102" spans="1:3">
      <c r="A102">
        <v>500000</v>
      </c>
      <c r="B102" t="s">
        <v>160</v>
      </c>
      <c r="C102">
        <v>206632</v>
      </c>
    </row>
    <row r="103" spans="1:3">
      <c r="A103">
        <v>181464</v>
      </c>
      <c r="B103" t="s">
        <v>161</v>
      </c>
      <c r="C103">
        <v>4419718</v>
      </c>
    </row>
    <row r="104" spans="1:3">
      <c r="A104">
        <v>181394</v>
      </c>
      <c r="B104" t="s">
        <v>162</v>
      </c>
      <c r="C104">
        <v>98275</v>
      </c>
    </row>
    <row r="105" spans="1:3">
      <c r="A105">
        <v>182290</v>
      </c>
      <c r="B105" t="s">
        <v>163</v>
      </c>
      <c r="C105">
        <v>116758</v>
      </c>
    </row>
    <row r="106" spans="1:3">
      <c r="A106">
        <v>183044</v>
      </c>
      <c r="B106" t="s">
        <v>164</v>
      </c>
      <c r="C106">
        <v>353337</v>
      </c>
    </row>
    <row r="107" spans="1:3">
      <c r="A107">
        <v>187985</v>
      </c>
      <c r="B107" t="s">
        <v>165</v>
      </c>
      <c r="C107">
        <v>23453</v>
      </c>
    </row>
    <row r="108" spans="1:3">
      <c r="A108">
        <v>188030</v>
      </c>
      <c r="B108" t="s">
        <v>166</v>
      </c>
      <c r="C108">
        <v>434175</v>
      </c>
    </row>
    <row r="109" spans="1:3">
      <c r="A109">
        <v>159966</v>
      </c>
      <c r="B109" t="s">
        <v>168</v>
      </c>
      <c r="C109">
        <v>288443</v>
      </c>
    </row>
    <row r="110" spans="1:3">
      <c r="A110">
        <v>185828</v>
      </c>
      <c r="B110" t="s">
        <v>169</v>
      </c>
      <c r="C110">
        <v>826474</v>
      </c>
    </row>
    <row r="111" spans="1:3">
      <c r="A111">
        <v>199120</v>
      </c>
      <c r="B111" t="s">
        <v>172</v>
      </c>
      <c r="C111">
        <v>658033</v>
      </c>
    </row>
    <row r="112" spans="1:3">
      <c r="A112">
        <v>199102</v>
      </c>
      <c r="B112" t="s">
        <v>173</v>
      </c>
      <c r="C112">
        <v>0</v>
      </c>
    </row>
    <row r="113" spans="1:3">
      <c r="A113">
        <v>199111</v>
      </c>
      <c r="B113" t="s">
        <v>275</v>
      </c>
      <c r="C113">
        <v>115804</v>
      </c>
    </row>
    <row r="114" spans="1:3">
      <c r="A114">
        <v>199157</v>
      </c>
      <c r="B114" t="s">
        <v>174</v>
      </c>
      <c r="C114">
        <v>1050</v>
      </c>
    </row>
    <row r="115" spans="1:3">
      <c r="A115">
        <v>199148</v>
      </c>
      <c r="B115" t="s">
        <v>276</v>
      </c>
      <c r="C115">
        <v>256552</v>
      </c>
    </row>
    <row r="116" spans="1:3">
      <c r="A116">
        <v>199193</v>
      </c>
      <c r="B116" t="s">
        <v>175</v>
      </c>
      <c r="C116">
        <v>631784</v>
      </c>
    </row>
    <row r="117" spans="1:3">
      <c r="A117">
        <v>199218</v>
      </c>
      <c r="B117" t="s">
        <v>176</v>
      </c>
      <c r="C117">
        <v>21818</v>
      </c>
    </row>
    <row r="118" spans="1:3">
      <c r="A118">
        <v>200280</v>
      </c>
      <c r="B118" t="s">
        <v>177</v>
      </c>
      <c r="C118">
        <v>649819</v>
      </c>
    </row>
    <row r="119" spans="1:3">
      <c r="A119">
        <v>200332</v>
      </c>
      <c r="B119" t="s">
        <v>178</v>
      </c>
      <c r="C119">
        <v>539026</v>
      </c>
    </row>
    <row r="120" spans="1:3">
      <c r="A120">
        <v>136172</v>
      </c>
      <c r="B120" t="s">
        <v>179</v>
      </c>
      <c r="C120">
        <v>412944</v>
      </c>
    </row>
    <row r="121" spans="1:3">
      <c r="A121">
        <v>227216</v>
      </c>
      <c r="B121" t="s">
        <v>180</v>
      </c>
      <c r="C121">
        <v>24640</v>
      </c>
    </row>
    <row r="122" spans="1:3">
      <c r="A122">
        <v>105330</v>
      </c>
      <c r="B122" t="s">
        <v>181</v>
      </c>
      <c r="C122">
        <v>727334</v>
      </c>
    </row>
    <row r="123" spans="1:3">
      <c r="A123">
        <v>127741</v>
      </c>
      <c r="B123" t="s">
        <v>182</v>
      </c>
      <c r="C123">
        <v>1129095</v>
      </c>
    </row>
    <row r="124" spans="1:3">
      <c r="A124">
        <v>147703</v>
      </c>
      <c r="B124" t="s">
        <v>183</v>
      </c>
      <c r="C124">
        <v>117830</v>
      </c>
    </row>
    <row r="125" spans="1:3">
      <c r="A125">
        <v>154095</v>
      </c>
      <c r="B125" t="s">
        <v>184</v>
      </c>
      <c r="C125">
        <v>684815</v>
      </c>
    </row>
    <row r="126" spans="1:3">
      <c r="A126">
        <v>160038</v>
      </c>
      <c r="B126" t="s">
        <v>185</v>
      </c>
      <c r="C126">
        <v>494838</v>
      </c>
    </row>
    <row r="127" spans="1:3">
      <c r="A127">
        <v>171571</v>
      </c>
      <c r="B127" t="s">
        <v>186</v>
      </c>
      <c r="C127">
        <v>572463</v>
      </c>
    </row>
    <row r="128" spans="1:3">
      <c r="A128">
        <v>204857</v>
      </c>
      <c r="B128" t="s">
        <v>187</v>
      </c>
      <c r="C128">
        <v>949551</v>
      </c>
    </row>
    <row r="129" spans="1:3">
      <c r="A129">
        <v>204796</v>
      </c>
      <c r="B129" t="s">
        <v>188</v>
      </c>
      <c r="C129">
        <v>763678</v>
      </c>
    </row>
    <row r="130" spans="1:3">
      <c r="A130">
        <v>207500</v>
      </c>
      <c r="B130" t="s">
        <v>189</v>
      </c>
      <c r="C130">
        <v>303775</v>
      </c>
    </row>
    <row r="131" spans="1:3">
      <c r="A131">
        <v>232982</v>
      </c>
      <c r="B131" t="s">
        <v>191</v>
      </c>
      <c r="C131">
        <v>207305</v>
      </c>
    </row>
    <row r="132" spans="1:3">
      <c r="A132">
        <v>209551</v>
      </c>
      <c r="B132" t="s">
        <v>192</v>
      </c>
      <c r="C132">
        <v>538173</v>
      </c>
    </row>
    <row r="133" spans="1:3">
      <c r="A133">
        <v>209542</v>
      </c>
      <c r="B133" t="s">
        <v>193</v>
      </c>
      <c r="C133">
        <v>344349</v>
      </c>
    </row>
    <row r="134" spans="1:3">
      <c r="A134">
        <v>214777</v>
      </c>
      <c r="B134" t="s">
        <v>194</v>
      </c>
      <c r="C134">
        <v>1536883</v>
      </c>
    </row>
    <row r="135" spans="1:3">
      <c r="A135">
        <v>209807</v>
      </c>
      <c r="B135" t="s">
        <v>195</v>
      </c>
      <c r="C135">
        <v>299614</v>
      </c>
    </row>
    <row r="136" spans="1:3">
      <c r="A136">
        <v>227526</v>
      </c>
      <c r="B136" t="s">
        <v>196</v>
      </c>
      <c r="C136">
        <v>456619</v>
      </c>
    </row>
    <row r="137" spans="1:3">
      <c r="A137">
        <v>243780</v>
      </c>
      <c r="B137" t="s">
        <v>197</v>
      </c>
      <c r="C137">
        <v>1009434</v>
      </c>
    </row>
    <row r="138" spans="1:3">
      <c r="A138">
        <v>151102</v>
      </c>
      <c r="B138" t="s">
        <v>198</v>
      </c>
      <c r="C138">
        <v>547117</v>
      </c>
    </row>
    <row r="139" spans="1:3">
      <c r="A139">
        <v>233277</v>
      </c>
      <c r="B139" t="s">
        <v>199</v>
      </c>
      <c r="C139">
        <v>14199</v>
      </c>
    </row>
    <row r="140" spans="1:3">
      <c r="A140">
        <v>217484</v>
      </c>
      <c r="B140" t="s">
        <v>200</v>
      </c>
      <c r="C140">
        <v>907898</v>
      </c>
    </row>
    <row r="141" spans="1:3">
      <c r="A141">
        <v>186380</v>
      </c>
      <c r="B141" t="s">
        <v>201</v>
      </c>
      <c r="C141">
        <v>63920</v>
      </c>
    </row>
    <row r="142" spans="1:3">
      <c r="A142">
        <v>110617</v>
      </c>
      <c r="B142" t="s">
        <v>202</v>
      </c>
      <c r="C142">
        <v>508858</v>
      </c>
    </row>
    <row r="143" spans="1:3">
      <c r="A143">
        <v>227881</v>
      </c>
      <c r="B143" t="s">
        <v>203</v>
      </c>
      <c r="C143">
        <v>312559</v>
      </c>
    </row>
    <row r="144" spans="1:3">
      <c r="A144">
        <v>122409</v>
      </c>
      <c r="B144" t="s">
        <v>204</v>
      </c>
      <c r="C144">
        <v>1198088</v>
      </c>
    </row>
    <row r="145" spans="1:3">
      <c r="A145">
        <v>122755</v>
      </c>
      <c r="B145" t="s">
        <v>205</v>
      </c>
      <c r="C145">
        <v>373730</v>
      </c>
    </row>
    <row r="146" spans="1:3">
      <c r="A146">
        <v>140960</v>
      </c>
      <c r="B146" t="s">
        <v>206</v>
      </c>
      <c r="C146">
        <v>2500</v>
      </c>
    </row>
    <row r="147" spans="1:3">
      <c r="A147">
        <v>102094</v>
      </c>
      <c r="B147" t="s">
        <v>207</v>
      </c>
      <c r="C147">
        <v>990179</v>
      </c>
    </row>
    <row r="148" spans="1:3">
      <c r="A148">
        <v>218663</v>
      </c>
      <c r="B148" t="s">
        <v>208</v>
      </c>
      <c r="C148">
        <v>260688</v>
      </c>
    </row>
    <row r="149" spans="1:3">
      <c r="A149">
        <v>218742</v>
      </c>
      <c r="B149" t="s">
        <v>210</v>
      </c>
      <c r="C149">
        <v>468602</v>
      </c>
    </row>
    <row r="150" spans="1:3">
      <c r="A150">
        <v>219471</v>
      </c>
      <c r="B150" t="s">
        <v>211</v>
      </c>
      <c r="C150">
        <v>926884</v>
      </c>
    </row>
    <row r="151" spans="1:3">
      <c r="A151">
        <v>219356</v>
      </c>
      <c r="B151" t="s">
        <v>212</v>
      </c>
      <c r="C151">
        <v>27712</v>
      </c>
    </row>
    <row r="152" spans="1:3">
      <c r="A152">
        <v>137351</v>
      </c>
      <c r="B152" t="s">
        <v>213</v>
      </c>
      <c r="C152">
        <v>70455</v>
      </c>
    </row>
    <row r="153" spans="1:3">
      <c r="A153">
        <v>179557</v>
      </c>
      <c r="B153" t="s">
        <v>214</v>
      </c>
      <c r="C153">
        <v>30265</v>
      </c>
    </row>
    <row r="154" spans="1:3">
      <c r="A154">
        <v>160612</v>
      </c>
      <c r="B154" t="s">
        <v>215</v>
      </c>
      <c r="C154">
        <v>634309</v>
      </c>
    </row>
    <row r="155" spans="1:3">
      <c r="A155">
        <v>160621</v>
      </c>
      <c r="B155" t="s">
        <v>216</v>
      </c>
      <c r="C155">
        <v>8764</v>
      </c>
    </row>
    <row r="156" spans="1:3">
      <c r="A156">
        <v>149222</v>
      </c>
      <c r="B156" t="s">
        <v>217</v>
      </c>
      <c r="C156">
        <v>97511</v>
      </c>
    </row>
    <row r="157" spans="1:3">
      <c r="A157">
        <v>149231</v>
      </c>
      <c r="B157" t="s">
        <v>218</v>
      </c>
      <c r="C157">
        <v>528277</v>
      </c>
    </row>
    <row r="158" spans="1:3">
      <c r="A158">
        <v>176372</v>
      </c>
      <c r="B158" t="s">
        <v>219</v>
      </c>
      <c r="C158">
        <v>49553</v>
      </c>
    </row>
    <row r="159" spans="1:3">
      <c r="A159">
        <v>230603</v>
      </c>
      <c r="B159" t="s">
        <v>220</v>
      </c>
      <c r="C159">
        <v>759994</v>
      </c>
    </row>
    <row r="160" spans="1:3">
      <c r="A160">
        <v>228431</v>
      </c>
      <c r="B160" t="s">
        <v>221</v>
      </c>
      <c r="C160">
        <v>806274</v>
      </c>
    </row>
    <row r="161" spans="1:3">
      <c r="A161">
        <v>196097</v>
      </c>
      <c r="B161" t="s">
        <v>222</v>
      </c>
      <c r="C161">
        <v>685566</v>
      </c>
    </row>
    <row r="162" spans="1:3">
      <c r="A162">
        <v>221759</v>
      </c>
      <c r="B162" t="s">
        <v>223</v>
      </c>
      <c r="C162">
        <v>425772</v>
      </c>
    </row>
    <row r="163" spans="1:3">
      <c r="A163">
        <v>221740</v>
      </c>
      <c r="B163" t="s">
        <v>224</v>
      </c>
      <c r="C163">
        <v>844828</v>
      </c>
    </row>
    <row r="164" spans="1:3">
      <c r="A164">
        <v>221768</v>
      </c>
      <c r="B164" t="s">
        <v>225</v>
      </c>
      <c r="C164">
        <v>571546</v>
      </c>
    </row>
    <row r="165" spans="1:3">
      <c r="A165">
        <v>221847</v>
      </c>
      <c r="B165" t="s">
        <v>227</v>
      </c>
      <c r="C165">
        <v>40705</v>
      </c>
    </row>
    <row r="166" spans="1:3">
      <c r="A166">
        <v>228778</v>
      </c>
      <c r="B166" t="s">
        <v>228</v>
      </c>
      <c r="C166">
        <v>2723873</v>
      </c>
    </row>
    <row r="167" spans="1:3">
      <c r="A167">
        <v>228723</v>
      </c>
      <c r="B167" t="s">
        <v>229</v>
      </c>
      <c r="C167">
        <v>234508</v>
      </c>
    </row>
    <row r="168" spans="1:3">
      <c r="A168">
        <v>224147</v>
      </c>
      <c r="B168" t="s">
        <v>230</v>
      </c>
      <c r="C168">
        <v>647313</v>
      </c>
    </row>
    <row r="169" spans="1:3">
      <c r="A169">
        <v>228769</v>
      </c>
      <c r="B169" t="s">
        <v>231</v>
      </c>
      <c r="C169">
        <v>94108</v>
      </c>
    </row>
    <row r="170" spans="1:3">
      <c r="A170">
        <v>229063</v>
      </c>
      <c r="B170" t="s">
        <v>232</v>
      </c>
      <c r="C170">
        <v>43029</v>
      </c>
    </row>
    <row r="171" spans="1:3">
      <c r="A171">
        <v>228459</v>
      </c>
      <c r="B171" t="s">
        <v>233</v>
      </c>
      <c r="C171">
        <v>88051</v>
      </c>
    </row>
    <row r="172" spans="1:3">
      <c r="A172">
        <v>229115</v>
      </c>
      <c r="B172" t="s">
        <v>234</v>
      </c>
      <c r="C172">
        <v>417027</v>
      </c>
    </row>
    <row r="173" spans="1:3">
      <c r="A173">
        <v>206084</v>
      </c>
      <c r="B173" t="s">
        <v>235</v>
      </c>
      <c r="C173">
        <v>47189</v>
      </c>
    </row>
    <row r="174" spans="1:3">
      <c r="A174">
        <v>164076</v>
      </c>
      <c r="B174" t="s">
        <v>236</v>
      </c>
      <c r="C174">
        <v>291417</v>
      </c>
    </row>
    <row r="175" spans="1:3">
      <c r="A175">
        <v>100663</v>
      </c>
      <c r="B175" t="s">
        <v>238</v>
      </c>
      <c r="C175">
        <v>1007006</v>
      </c>
    </row>
    <row r="176" spans="1:3">
      <c r="A176">
        <v>110644</v>
      </c>
      <c r="B176" t="s">
        <v>239</v>
      </c>
      <c r="C176">
        <v>185255</v>
      </c>
    </row>
    <row r="177" spans="1:3">
      <c r="A177">
        <v>110653</v>
      </c>
      <c r="B177" t="s">
        <v>240</v>
      </c>
      <c r="C177">
        <v>948985</v>
      </c>
    </row>
    <row r="178" spans="1:3">
      <c r="A178">
        <v>110671</v>
      </c>
      <c r="B178" t="s">
        <v>241</v>
      </c>
      <c r="C178">
        <v>1097400</v>
      </c>
    </row>
    <row r="179" spans="1:3">
      <c r="A179">
        <v>110705</v>
      </c>
      <c r="B179" t="s">
        <v>242</v>
      </c>
      <c r="C179">
        <v>1097907</v>
      </c>
    </row>
    <row r="180" spans="1:3">
      <c r="A180">
        <v>132903</v>
      </c>
      <c r="B180" t="s">
        <v>243</v>
      </c>
      <c r="C180">
        <v>2140963</v>
      </c>
    </row>
    <row r="181" spans="1:3">
      <c r="A181">
        <v>110662</v>
      </c>
      <c r="B181" t="s">
        <v>244</v>
      </c>
      <c r="C181">
        <v>338299</v>
      </c>
    </row>
    <row r="182" spans="1:3">
      <c r="A182">
        <v>182281</v>
      </c>
      <c r="B182" t="s">
        <v>245</v>
      </c>
      <c r="C182">
        <v>161834</v>
      </c>
    </row>
    <row r="183" spans="1:3">
      <c r="A183">
        <v>230764</v>
      </c>
      <c r="B183" t="s">
        <v>246</v>
      </c>
      <c r="C183">
        <v>644263</v>
      </c>
    </row>
    <row r="184" spans="1:3">
      <c r="A184">
        <v>230728</v>
      </c>
      <c r="B184" t="s">
        <v>247</v>
      </c>
    </row>
    <row r="185" spans="1:3">
      <c r="A185">
        <v>230737</v>
      </c>
      <c r="B185" t="s">
        <v>248</v>
      </c>
    </row>
    <row r="186" spans="1:3">
      <c r="A186">
        <v>228796</v>
      </c>
      <c r="B186" t="s">
        <v>249</v>
      </c>
      <c r="C186">
        <v>383224</v>
      </c>
    </row>
    <row r="187" spans="1:3">
      <c r="A187">
        <v>227368</v>
      </c>
      <c r="B187" t="s">
        <v>250</v>
      </c>
      <c r="C187">
        <v>71481</v>
      </c>
    </row>
    <row r="188" spans="1:3">
      <c r="A188">
        <v>229027</v>
      </c>
      <c r="B188" t="s">
        <v>251</v>
      </c>
      <c r="C188">
        <v>182763</v>
      </c>
    </row>
    <row r="189" spans="1:3">
      <c r="A189">
        <v>234030</v>
      </c>
      <c r="B189" t="s">
        <v>252</v>
      </c>
      <c r="C189">
        <v>38399</v>
      </c>
    </row>
    <row r="190" spans="1:3">
      <c r="A190">
        <v>234076</v>
      </c>
      <c r="B190" t="s">
        <v>254</v>
      </c>
      <c r="C190">
        <v>1217867</v>
      </c>
    </row>
    <row r="191" spans="1:3">
      <c r="A191">
        <v>233921</v>
      </c>
      <c r="B191" t="s">
        <v>255</v>
      </c>
      <c r="C191">
        <v>94246</v>
      </c>
    </row>
    <row r="192" spans="1:3">
      <c r="A192">
        <v>236948</v>
      </c>
      <c r="B192" t="s">
        <v>257</v>
      </c>
      <c r="C192">
        <v>1257148</v>
      </c>
    </row>
    <row r="193" spans="1:3">
      <c r="A193">
        <v>236939</v>
      </c>
      <c r="B193" t="s">
        <v>258</v>
      </c>
      <c r="C193">
        <v>1858962</v>
      </c>
    </row>
    <row r="194" spans="1:3">
      <c r="A194">
        <v>230782</v>
      </c>
      <c r="B194" t="s">
        <v>259</v>
      </c>
      <c r="C194">
        <v>496824</v>
      </c>
    </row>
    <row r="195" spans="1:3">
      <c r="A195">
        <v>238032</v>
      </c>
      <c r="B195" t="s">
        <v>260</v>
      </c>
      <c r="C195">
        <v>213295</v>
      </c>
    </row>
    <row r="196" spans="1:3">
      <c r="A196">
        <v>200004</v>
      </c>
      <c r="B196" t="s">
        <v>261</v>
      </c>
      <c r="C196">
        <v>39353</v>
      </c>
    </row>
    <row r="197" spans="1:3">
      <c r="A197">
        <v>149772</v>
      </c>
      <c r="B197" t="s">
        <v>262</v>
      </c>
      <c r="C197">
        <v>252500</v>
      </c>
    </row>
    <row r="198" spans="1:3">
      <c r="A198">
        <v>157951</v>
      </c>
      <c r="B198" t="s">
        <v>263</v>
      </c>
      <c r="C198">
        <v>1197931</v>
      </c>
    </row>
    <row r="199" spans="1:3">
      <c r="A199">
        <v>172699</v>
      </c>
      <c r="B199" t="s">
        <v>264</v>
      </c>
      <c r="C199">
        <v>161277</v>
      </c>
    </row>
    <row r="200" spans="1:3">
      <c r="A200">
        <v>156125</v>
      </c>
      <c r="B200" t="s">
        <v>265</v>
      </c>
      <c r="C200">
        <v>417495</v>
      </c>
    </row>
    <row r="201" spans="1:3">
      <c r="A201">
        <v>231624</v>
      </c>
      <c r="B201" t="s">
        <v>266</v>
      </c>
      <c r="C201">
        <v>367547</v>
      </c>
    </row>
    <row r="202" spans="1:3">
      <c r="A202">
        <v>218964</v>
      </c>
      <c r="B202" t="s">
        <v>267</v>
      </c>
      <c r="C202">
        <v>478967</v>
      </c>
    </row>
    <row r="203" spans="1:3">
      <c r="A203">
        <v>240444</v>
      </c>
      <c r="B203" t="s">
        <v>268</v>
      </c>
      <c r="C203">
        <v>3215324</v>
      </c>
    </row>
    <row r="204" spans="1:3">
      <c r="A204">
        <v>240277</v>
      </c>
      <c r="B204" t="s">
        <v>269</v>
      </c>
      <c r="C204">
        <v>481585</v>
      </c>
    </row>
    <row r="205" spans="1:3">
      <c r="A205">
        <v>240453</v>
      </c>
      <c r="B205" t="s">
        <v>270</v>
      </c>
      <c r="C205">
        <v>321252</v>
      </c>
    </row>
    <row r="206" spans="1:3">
      <c r="A206">
        <v>206604</v>
      </c>
      <c r="B206" t="s">
        <v>271</v>
      </c>
      <c r="C206">
        <v>672554</v>
      </c>
    </row>
    <row r="207" spans="1:3">
      <c r="A207">
        <v>240727</v>
      </c>
      <c r="B207" t="s">
        <v>272</v>
      </c>
      <c r="C207">
        <v>815056</v>
      </c>
    </row>
    <row r="208" spans="1:3">
      <c r="A208">
        <v>206695</v>
      </c>
      <c r="B208" t="s">
        <v>273</v>
      </c>
      <c r="C208">
        <v>6875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5B9C-1E98-9243-9FED-6C757CBC4624}">
  <dimension ref="A1:L204"/>
  <sheetViews>
    <sheetView workbookViewId="0">
      <selection activeCell="I109" sqref="I109"/>
    </sheetView>
  </sheetViews>
  <sheetFormatPr baseColWidth="10" defaultColWidth="8.83203125" defaultRowHeight="15"/>
  <cols>
    <col min="1" max="1" width="6.83203125" bestFit="1" customWidth="1"/>
    <col min="2" max="2" width="24.33203125" bestFit="1" customWidth="1"/>
    <col min="3" max="3" width="6.83203125" bestFit="1" customWidth="1"/>
    <col min="4" max="4" width="8.83203125" bestFit="1" customWidth="1"/>
    <col min="5" max="5" width="17.1640625" bestFit="1" customWidth="1"/>
    <col min="6" max="6" width="4.83203125" bestFit="1" customWidth="1"/>
    <col min="7" max="7" width="15.33203125" bestFit="1" customWidth="1"/>
    <col min="8" max="8" width="18.83203125" bestFit="1" customWidth="1"/>
    <col min="9" max="9" width="17.1640625" bestFit="1" customWidth="1"/>
    <col min="10" max="10" width="4.83203125" bestFit="1" customWidth="1"/>
    <col min="11" max="11" width="15.33203125" bestFit="1" customWidth="1"/>
    <col min="12" max="12" width="18.83203125" bestFit="1" customWidth="1"/>
  </cols>
  <sheetData>
    <row r="1" spans="1:12">
      <c r="A1" t="s">
        <v>46</v>
      </c>
      <c r="B1" t="s">
        <v>0</v>
      </c>
      <c r="C1" t="s">
        <v>292</v>
      </c>
      <c r="D1" t="s">
        <v>291</v>
      </c>
      <c r="E1" t="s">
        <v>290</v>
      </c>
      <c r="F1" t="s">
        <v>289</v>
      </c>
      <c r="G1" t="s">
        <v>288</v>
      </c>
      <c r="H1" t="s">
        <v>287</v>
      </c>
      <c r="I1" t="s">
        <v>290</v>
      </c>
      <c r="J1" t="s">
        <v>289</v>
      </c>
      <c r="K1" t="s">
        <v>288</v>
      </c>
      <c r="L1" t="s">
        <v>287</v>
      </c>
    </row>
    <row r="2" spans="1:12">
      <c r="A2">
        <v>200800</v>
      </c>
      <c r="B2" t="s">
        <v>48</v>
      </c>
      <c r="C2" t="s">
        <v>285</v>
      </c>
      <c r="D2" t="s">
        <v>284</v>
      </c>
      <c r="E2">
        <v>1</v>
      </c>
      <c r="F2">
        <v>1</v>
      </c>
      <c r="G2">
        <v>126210</v>
      </c>
      <c r="H2">
        <v>0</v>
      </c>
      <c r="I2">
        <v>2</v>
      </c>
      <c r="J2">
        <v>2</v>
      </c>
      <c r="K2">
        <v>103723</v>
      </c>
      <c r="L2">
        <v>0</v>
      </c>
    </row>
    <row r="3" spans="1:12">
      <c r="A3">
        <v>100751</v>
      </c>
      <c r="B3" t="s">
        <v>49</v>
      </c>
      <c r="C3" t="s">
        <v>285</v>
      </c>
      <c r="D3" t="s">
        <v>284</v>
      </c>
      <c r="E3">
        <v>1</v>
      </c>
      <c r="F3">
        <v>1</v>
      </c>
      <c r="G3">
        <v>220770</v>
      </c>
      <c r="H3">
        <v>0</v>
      </c>
      <c r="I3">
        <v>2</v>
      </c>
      <c r="J3">
        <v>2</v>
      </c>
      <c r="K3">
        <v>191378</v>
      </c>
      <c r="L3">
        <v>0</v>
      </c>
    </row>
    <row r="4" spans="1:12">
      <c r="A4">
        <v>196060</v>
      </c>
      <c r="B4" t="s">
        <v>52</v>
      </c>
      <c r="C4" t="s">
        <v>285</v>
      </c>
      <c r="D4" t="s">
        <v>284</v>
      </c>
      <c r="E4">
        <v>1</v>
      </c>
      <c r="F4">
        <v>1</v>
      </c>
      <c r="G4">
        <v>67310</v>
      </c>
      <c r="H4">
        <v>0</v>
      </c>
      <c r="I4">
        <v>2</v>
      </c>
      <c r="J4">
        <v>2</v>
      </c>
      <c r="K4">
        <v>91020</v>
      </c>
      <c r="L4">
        <v>0</v>
      </c>
    </row>
    <row r="5" spans="1:12">
      <c r="A5">
        <v>197869</v>
      </c>
      <c r="B5" t="s">
        <v>54</v>
      </c>
      <c r="C5" t="s">
        <v>285</v>
      </c>
      <c r="D5" t="s">
        <v>284</v>
      </c>
      <c r="E5">
        <v>1</v>
      </c>
      <c r="F5">
        <v>1</v>
      </c>
      <c r="G5">
        <v>110123</v>
      </c>
      <c r="H5">
        <v>0</v>
      </c>
      <c r="I5">
        <v>2</v>
      </c>
      <c r="J5">
        <v>2</v>
      </c>
      <c r="K5">
        <v>100730</v>
      </c>
      <c r="L5">
        <v>0</v>
      </c>
    </row>
    <row r="6" spans="1:12">
      <c r="A6">
        <v>104179</v>
      </c>
      <c r="B6" t="s">
        <v>55</v>
      </c>
      <c r="C6" t="s">
        <v>285</v>
      </c>
      <c r="D6" t="s">
        <v>284</v>
      </c>
      <c r="E6">
        <v>1</v>
      </c>
      <c r="F6">
        <v>1</v>
      </c>
      <c r="G6">
        <v>204778</v>
      </c>
      <c r="H6">
        <v>25700</v>
      </c>
      <c r="I6">
        <v>2</v>
      </c>
      <c r="J6">
        <v>2</v>
      </c>
      <c r="K6">
        <v>196452</v>
      </c>
      <c r="L6">
        <v>0</v>
      </c>
    </row>
    <row r="7" spans="1:12">
      <c r="A7">
        <v>104151</v>
      </c>
      <c r="B7" t="s">
        <v>56</v>
      </c>
      <c r="C7" t="s">
        <v>285</v>
      </c>
      <c r="D7" t="s">
        <v>284</v>
      </c>
      <c r="E7">
        <v>1</v>
      </c>
      <c r="F7">
        <v>1</v>
      </c>
      <c r="G7">
        <v>211449</v>
      </c>
      <c r="H7">
        <v>8465</v>
      </c>
      <c r="I7">
        <v>2</v>
      </c>
      <c r="J7">
        <v>2</v>
      </c>
      <c r="K7">
        <v>102177</v>
      </c>
      <c r="L7">
        <v>3300</v>
      </c>
    </row>
    <row r="8" spans="1:12">
      <c r="A8">
        <v>106397</v>
      </c>
      <c r="B8" t="s">
        <v>57</v>
      </c>
      <c r="C8" t="s">
        <v>285</v>
      </c>
      <c r="D8" t="s">
        <v>284</v>
      </c>
      <c r="E8">
        <v>1</v>
      </c>
      <c r="F8">
        <v>1</v>
      </c>
      <c r="G8">
        <v>260247</v>
      </c>
      <c r="H8">
        <v>0</v>
      </c>
      <c r="I8">
        <v>2</v>
      </c>
      <c r="J8">
        <v>2</v>
      </c>
      <c r="K8">
        <v>177511</v>
      </c>
      <c r="L8">
        <v>0</v>
      </c>
    </row>
    <row r="9" spans="1:12">
      <c r="A9">
        <v>106245</v>
      </c>
      <c r="B9" s="49" t="s">
        <v>58</v>
      </c>
      <c r="C9" s="49" t="s">
        <v>285</v>
      </c>
      <c r="D9" s="48" t="s">
        <v>284</v>
      </c>
      <c r="E9" s="23">
        <v>1</v>
      </c>
      <c r="F9" s="23">
        <v>1</v>
      </c>
      <c r="G9" s="23">
        <v>83629</v>
      </c>
      <c r="H9" s="23">
        <v>17183</v>
      </c>
      <c r="I9" s="23">
        <v>1</v>
      </c>
      <c r="J9" s="23">
        <v>1.5</v>
      </c>
      <c r="K9" s="23">
        <v>48114</v>
      </c>
      <c r="L9" s="23">
        <v>12282</v>
      </c>
    </row>
    <row r="10" spans="1:12">
      <c r="A10">
        <v>106412</v>
      </c>
      <c r="B10" t="s">
        <v>59</v>
      </c>
      <c r="C10" t="s">
        <v>285</v>
      </c>
      <c r="D10" t="s">
        <v>284</v>
      </c>
      <c r="E10">
        <v>1</v>
      </c>
      <c r="F10">
        <v>1</v>
      </c>
      <c r="G10">
        <v>56784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106458</v>
      </c>
      <c r="B11" t="s">
        <v>60</v>
      </c>
      <c r="C11" t="s">
        <v>285</v>
      </c>
      <c r="D11" t="s">
        <v>284</v>
      </c>
      <c r="E11">
        <v>1</v>
      </c>
      <c r="F11">
        <v>1</v>
      </c>
      <c r="G11">
        <v>94997</v>
      </c>
      <c r="H11">
        <v>0</v>
      </c>
      <c r="I11">
        <v>2</v>
      </c>
      <c r="J11">
        <v>2</v>
      </c>
      <c r="K11">
        <v>46813</v>
      </c>
      <c r="L11">
        <v>1936</v>
      </c>
    </row>
    <row r="12" spans="1:12">
      <c r="A12">
        <v>100858</v>
      </c>
      <c r="B12" t="s">
        <v>62</v>
      </c>
      <c r="C12" t="s">
        <v>285</v>
      </c>
      <c r="D12" t="s">
        <v>284</v>
      </c>
      <c r="E12">
        <v>1</v>
      </c>
      <c r="F12">
        <v>1</v>
      </c>
      <c r="G12">
        <v>164878</v>
      </c>
      <c r="H12">
        <v>0</v>
      </c>
      <c r="I12">
        <v>2</v>
      </c>
      <c r="J12">
        <v>2</v>
      </c>
      <c r="K12">
        <v>161150</v>
      </c>
      <c r="L12">
        <v>0</v>
      </c>
    </row>
    <row r="13" spans="1:12">
      <c r="A13">
        <v>219602</v>
      </c>
      <c r="B13" t="s">
        <v>63</v>
      </c>
      <c r="C13" t="s">
        <v>285</v>
      </c>
      <c r="D13" t="s">
        <v>284</v>
      </c>
      <c r="E13">
        <v>1</v>
      </c>
      <c r="F13">
        <v>0.5</v>
      </c>
      <c r="G13">
        <v>36760</v>
      </c>
      <c r="H13">
        <v>0</v>
      </c>
      <c r="I13">
        <v>1</v>
      </c>
      <c r="J13">
        <v>0.5</v>
      </c>
      <c r="K13">
        <v>23643</v>
      </c>
      <c r="L13">
        <v>0</v>
      </c>
    </row>
    <row r="14" spans="1:12">
      <c r="A14">
        <v>150136</v>
      </c>
      <c r="B14" t="s">
        <v>64</v>
      </c>
      <c r="C14" t="s">
        <v>285</v>
      </c>
      <c r="D14" t="s">
        <v>284</v>
      </c>
      <c r="E14">
        <v>1</v>
      </c>
      <c r="F14">
        <v>1</v>
      </c>
      <c r="G14">
        <v>107145</v>
      </c>
      <c r="H14">
        <v>0</v>
      </c>
      <c r="I14">
        <v>2</v>
      </c>
      <c r="J14">
        <v>2</v>
      </c>
      <c r="K14">
        <v>120437</v>
      </c>
      <c r="L14">
        <v>0</v>
      </c>
    </row>
    <row r="15" spans="1:12">
      <c r="A15">
        <v>196079</v>
      </c>
      <c r="B15" t="s">
        <v>65</v>
      </c>
      <c r="C15" t="s">
        <v>285</v>
      </c>
      <c r="D15" t="s">
        <v>284</v>
      </c>
      <c r="E15">
        <v>1</v>
      </c>
      <c r="F15">
        <v>1</v>
      </c>
      <c r="G15">
        <v>93583</v>
      </c>
      <c r="H15">
        <v>0</v>
      </c>
      <c r="I15">
        <v>1</v>
      </c>
      <c r="J15">
        <v>1</v>
      </c>
      <c r="K15">
        <v>40844</v>
      </c>
      <c r="L15">
        <v>0</v>
      </c>
    </row>
    <row r="16" spans="1:12">
      <c r="A16">
        <v>142115</v>
      </c>
      <c r="B16" t="s">
        <v>66</v>
      </c>
      <c r="C16" t="s">
        <v>285</v>
      </c>
      <c r="D16" t="s">
        <v>284</v>
      </c>
      <c r="E16">
        <v>1</v>
      </c>
      <c r="F16">
        <v>0.65</v>
      </c>
      <c r="G16">
        <v>92205</v>
      </c>
      <c r="H16">
        <v>0</v>
      </c>
      <c r="I16">
        <v>2</v>
      </c>
      <c r="J16">
        <v>0.65</v>
      </c>
      <c r="K16">
        <v>112992</v>
      </c>
      <c r="L16">
        <v>0</v>
      </c>
    </row>
    <row r="17" spans="1:12">
      <c r="A17">
        <v>201441</v>
      </c>
      <c r="B17" t="s">
        <v>67</v>
      </c>
      <c r="C17" t="s">
        <v>285</v>
      </c>
      <c r="D17" t="s">
        <v>284</v>
      </c>
      <c r="E17">
        <v>1</v>
      </c>
      <c r="F17">
        <v>1</v>
      </c>
      <c r="G17">
        <v>116344</v>
      </c>
      <c r="H17">
        <v>0</v>
      </c>
      <c r="I17">
        <v>2</v>
      </c>
      <c r="J17">
        <v>2</v>
      </c>
      <c r="K17">
        <v>93115</v>
      </c>
      <c r="L17">
        <v>0</v>
      </c>
    </row>
    <row r="18" spans="1:12">
      <c r="A18">
        <v>196088</v>
      </c>
      <c r="B18" t="s">
        <v>68</v>
      </c>
      <c r="C18" t="s">
        <v>285</v>
      </c>
      <c r="D18" t="s">
        <v>284</v>
      </c>
      <c r="E18">
        <v>1</v>
      </c>
      <c r="F18">
        <v>1</v>
      </c>
      <c r="G18">
        <v>82047</v>
      </c>
      <c r="H18">
        <v>0</v>
      </c>
      <c r="I18">
        <v>2</v>
      </c>
      <c r="J18">
        <v>2</v>
      </c>
      <c r="K18">
        <v>90167</v>
      </c>
      <c r="L18">
        <v>0</v>
      </c>
    </row>
    <row r="19" spans="1:12">
      <c r="A19">
        <v>110422</v>
      </c>
      <c r="B19" t="s">
        <v>69</v>
      </c>
      <c r="C19" t="s">
        <v>285</v>
      </c>
      <c r="D19" t="s">
        <v>284</v>
      </c>
      <c r="E19">
        <v>1</v>
      </c>
      <c r="F19">
        <v>1</v>
      </c>
      <c r="G19">
        <v>187593</v>
      </c>
      <c r="H19">
        <v>0</v>
      </c>
      <c r="I19">
        <v>2</v>
      </c>
      <c r="J19">
        <v>2</v>
      </c>
      <c r="K19">
        <v>179965</v>
      </c>
      <c r="L19">
        <v>0</v>
      </c>
    </row>
    <row r="20" spans="1:12">
      <c r="A20">
        <v>110486</v>
      </c>
      <c r="B20" t="s">
        <v>70</v>
      </c>
      <c r="C20" t="s">
        <v>285</v>
      </c>
      <c r="D20" t="s">
        <v>284</v>
      </c>
      <c r="E20">
        <v>1</v>
      </c>
      <c r="F20">
        <v>1</v>
      </c>
      <c r="G20">
        <v>132619</v>
      </c>
      <c r="H20">
        <v>0</v>
      </c>
      <c r="I20">
        <v>3</v>
      </c>
      <c r="J20">
        <v>1.5</v>
      </c>
      <c r="K20">
        <v>88069</v>
      </c>
      <c r="L20">
        <v>0</v>
      </c>
    </row>
    <row r="21" spans="1:12">
      <c r="A21">
        <v>110565</v>
      </c>
      <c r="B21" t="s">
        <v>71</v>
      </c>
      <c r="C21" t="s">
        <v>285</v>
      </c>
      <c r="D21" t="s">
        <v>284</v>
      </c>
      <c r="E21">
        <v>1</v>
      </c>
      <c r="F21">
        <v>1</v>
      </c>
      <c r="G21">
        <v>143865</v>
      </c>
      <c r="H21">
        <v>0</v>
      </c>
      <c r="I21">
        <v>2</v>
      </c>
      <c r="J21">
        <v>2</v>
      </c>
      <c r="K21">
        <v>179602</v>
      </c>
      <c r="L21">
        <v>0</v>
      </c>
    </row>
    <row r="22" spans="1:12">
      <c r="A22">
        <v>110608</v>
      </c>
      <c r="B22" t="s">
        <v>72</v>
      </c>
      <c r="C22" t="s">
        <v>285</v>
      </c>
      <c r="D22" t="s">
        <v>284</v>
      </c>
      <c r="E22">
        <v>1</v>
      </c>
      <c r="F22">
        <v>0.5</v>
      </c>
      <c r="G22">
        <v>182246</v>
      </c>
      <c r="H22">
        <v>0</v>
      </c>
      <c r="I22">
        <v>2</v>
      </c>
      <c r="J22">
        <v>1.4</v>
      </c>
      <c r="K22">
        <v>152047</v>
      </c>
      <c r="L22">
        <v>0</v>
      </c>
    </row>
    <row r="23" spans="1:12">
      <c r="A23">
        <v>110635</v>
      </c>
      <c r="B23" t="s">
        <v>73</v>
      </c>
      <c r="C23" t="s">
        <v>285</v>
      </c>
      <c r="D23" t="s">
        <v>284</v>
      </c>
      <c r="E23">
        <v>1</v>
      </c>
      <c r="F23">
        <v>1</v>
      </c>
      <c r="G23">
        <v>246530</v>
      </c>
      <c r="H23">
        <v>0</v>
      </c>
      <c r="I23">
        <v>2</v>
      </c>
      <c r="J23">
        <v>2</v>
      </c>
      <c r="K23">
        <v>273439</v>
      </c>
      <c r="L23">
        <v>0</v>
      </c>
    </row>
    <row r="24" spans="1:12">
      <c r="A24">
        <v>106704</v>
      </c>
      <c r="B24" t="s">
        <v>74</v>
      </c>
      <c r="C24" t="s">
        <v>285</v>
      </c>
      <c r="D24" t="s">
        <v>284</v>
      </c>
      <c r="E24">
        <v>1</v>
      </c>
      <c r="F24">
        <v>0.8</v>
      </c>
      <c r="G24">
        <v>76414</v>
      </c>
      <c r="H24">
        <v>13000</v>
      </c>
      <c r="I24">
        <v>2</v>
      </c>
      <c r="J24">
        <v>1.62</v>
      </c>
      <c r="K24">
        <v>88721</v>
      </c>
      <c r="L24">
        <v>12500</v>
      </c>
    </row>
    <row r="25" spans="1:12">
      <c r="A25">
        <v>128771</v>
      </c>
      <c r="B25" t="s">
        <v>75</v>
      </c>
      <c r="C25" t="s">
        <v>285</v>
      </c>
      <c r="D25" t="s">
        <v>284</v>
      </c>
      <c r="E25">
        <v>1</v>
      </c>
      <c r="F25">
        <v>1</v>
      </c>
      <c r="G25">
        <v>212778</v>
      </c>
      <c r="H25">
        <v>0</v>
      </c>
      <c r="I25">
        <v>1</v>
      </c>
      <c r="J25">
        <v>1</v>
      </c>
      <c r="K25">
        <v>85108</v>
      </c>
      <c r="L25">
        <v>0</v>
      </c>
    </row>
    <row r="26" spans="1:12">
      <c r="A26">
        <v>169248</v>
      </c>
      <c r="B26" t="s">
        <v>76</v>
      </c>
      <c r="C26" t="s">
        <v>285</v>
      </c>
      <c r="D26" t="s">
        <v>284</v>
      </c>
      <c r="E26">
        <v>1</v>
      </c>
      <c r="F26">
        <v>1</v>
      </c>
      <c r="G26">
        <v>123353</v>
      </c>
      <c r="H26">
        <v>0</v>
      </c>
      <c r="I26">
        <v>2</v>
      </c>
      <c r="J26">
        <v>2</v>
      </c>
      <c r="K26">
        <v>124611</v>
      </c>
      <c r="L26">
        <v>0</v>
      </c>
    </row>
    <row r="27" spans="1:12">
      <c r="A27">
        <v>199139</v>
      </c>
      <c r="B27" t="s">
        <v>77</v>
      </c>
      <c r="C27" t="s">
        <v>285</v>
      </c>
      <c r="D27" t="s">
        <v>284</v>
      </c>
      <c r="E27">
        <v>1</v>
      </c>
      <c r="F27">
        <v>1</v>
      </c>
      <c r="G27">
        <v>94876</v>
      </c>
      <c r="H27">
        <v>0</v>
      </c>
      <c r="I27">
        <v>2</v>
      </c>
      <c r="J27">
        <v>2</v>
      </c>
      <c r="K27">
        <v>114108</v>
      </c>
      <c r="L27">
        <v>0</v>
      </c>
    </row>
    <row r="28" spans="1:12">
      <c r="A28">
        <v>144005</v>
      </c>
      <c r="B28" t="s">
        <v>78</v>
      </c>
      <c r="C28" t="s">
        <v>285</v>
      </c>
      <c r="D28" t="s">
        <v>284</v>
      </c>
      <c r="E28">
        <v>1</v>
      </c>
      <c r="F28">
        <v>1</v>
      </c>
      <c r="G28">
        <v>50000</v>
      </c>
      <c r="H28">
        <v>0</v>
      </c>
      <c r="I28">
        <v>1</v>
      </c>
      <c r="J28">
        <v>1</v>
      </c>
      <c r="K28">
        <v>40000</v>
      </c>
      <c r="L28">
        <v>0</v>
      </c>
    </row>
    <row r="29" spans="1:12">
      <c r="A29">
        <v>201885</v>
      </c>
      <c r="B29" t="s">
        <v>79</v>
      </c>
      <c r="C29" t="s">
        <v>285</v>
      </c>
      <c r="D29" t="s">
        <v>284</v>
      </c>
      <c r="E29">
        <v>1</v>
      </c>
      <c r="F29">
        <v>1</v>
      </c>
      <c r="G29">
        <v>168760</v>
      </c>
      <c r="H29">
        <v>0</v>
      </c>
      <c r="I29">
        <v>2</v>
      </c>
      <c r="J29">
        <v>2</v>
      </c>
      <c r="K29">
        <v>141217</v>
      </c>
      <c r="L29">
        <v>0</v>
      </c>
    </row>
    <row r="30" spans="1:12">
      <c r="A30">
        <v>217882</v>
      </c>
      <c r="B30" t="s">
        <v>81</v>
      </c>
      <c r="C30" t="s">
        <v>285</v>
      </c>
      <c r="D30" t="s">
        <v>284</v>
      </c>
      <c r="E30">
        <v>1</v>
      </c>
      <c r="F30">
        <v>1</v>
      </c>
      <c r="G30">
        <v>137368</v>
      </c>
      <c r="H30">
        <v>0</v>
      </c>
      <c r="I30">
        <v>2</v>
      </c>
      <c r="J30">
        <v>2</v>
      </c>
      <c r="K30">
        <v>148425</v>
      </c>
      <c r="L30">
        <v>0</v>
      </c>
    </row>
    <row r="31" spans="1:12">
      <c r="A31">
        <v>202134</v>
      </c>
      <c r="B31" t="s">
        <v>82</v>
      </c>
      <c r="C31" t="s">
        <v>285</v>
      </c>
      <c r="D31" t="s">
        <v>284</v>
      </c>
      <c r="E31">
        <v>1</v>
      </c>
      <c r="F31">
        <v>1</v>
      </c>
      <c r="G31">
        <v>111113</v>
      </c>
      <c r="H31">
        <v>0</v>
      </c>
      <c r="I31">
        <v>2</v>
      </c>
      <c r="J31">
        <v>1.6</v>
      </c>
      <c r="K31">
        <v>83660</v>
      </c>
      <c r="L31">
        <v>0</v>
      </c>
    </row>
    <row r="32" spans="1:12">
      <c r="A32">
        <v>218724</v>
      </c>
      <c r="B32" t="s">
        <v>83</v>
      </c>
      <c r="C32" t="s">
        <v>285</v>
      </c>
      <c r="D32" t="s">
        <v>284</v>
      </c>
      <c r="E32">
        <v>1</v>
      </c>
      <c r="F32">
        <v>0.9</v>
      </c>
      <c r="G32">
        <v>138331</v>
      </c>
      <c r="H32">
        <v>0</v>
      </c>
      <c r="I32">
        <v>2</v>
      </c>
      <c r="J32">
        <v>1.45</v>
      </c>
      <c r="K32">
        <v>103647</v>
      </c>
      <c r="L32">
        <v>0</v>
      </c>
    </row>
    <row r="33" spans="1:12">
      <c r="A33">
        <v>217819</v>
      </c>
      <c r="B33" t="s">
        <v>84</v>
      </c>
      <c r="C33" t="s">
        <v>285</v>
      </c>
      <c r="D33" t="s">
        <v>284</v>
      </c>
      <c r="E33">
        <v>1</v>
      </c>
      <c r="F33">
        <v>0.63</v>
      </c>
      <c r="G33">
        <v>96215</v>
      </c>
      <c r="H33">
        <v>0</v>
      </c>
      <c r="I33">
        <v>2</v>
      </c>
      <c r="J33">
        <v>1.58</v>
      </c>
      <c r="K33">
        <v>81796</v>
      </c>
      <c r="L33">
        <v>0</v>
      </c>
    </row>
    <row r="34" spans="1:12">
      <c r="A34">
        <v>126614</v>
      </c>
      <c r="B34" t="s">
        <v>85</v>
      </c>
      <c r="C34" t="s">
        <v>285</v>
      </c>
      <c r="D34" t="s">
        <v>284</v>
      </c>
      <c r="E34">
        <v>1</v>
      </c>
      <c r="F34">
        <v>1</v>
      </c>
      <c r="G34">
        <v>247268</v>
      </c>
      <c r="H34">
        <v>0</v>
      </c>
      <c r="I34">
        <v>2</v>
      </c>
      <c r="J34">
        <v>2</v>
      </c>
      <c r="K34">
        <v>247502</v>
      </c>
      <c r="L34">
        <v>0</v>
      </c>
    </row>
    <row r="35" spans="1:12">
      <c r="A35">
        <v>126818</v>
      </c>
      <c r="B35" t="s">
        <v>86</v>
      </c>
      <c r="C35" t="s">
        <v>285</v>
      </c>
      <c r="D35" t="s">
        <v>284</v>
      </c>
      <c r="E35">
        <v>1</v>
      </c>
      <c r="F35">
        <v>1</v>
      </c>
      <c r="G35">
        <v>307944</v>
      </c>
      <c r="H35">
        <v>0</v>
      </c>
      <c r="I35">
        <v>2</v>
      </c>
      <c r="J35">
        <v>2</v>
      </c>
      <c r="K35">
        <v>196297</v>
      </c>
      <c r="L35">
        <v>0</v>
      </c>
    </row>
    <row r="36" spans="1:12">
      <c r="A36">
        <v>129020</v>
      </c>
      <c r="B36" t="s">
        <v>87</v>
      </c>
      <c r="C36" t="s">
        <v>285</v>
      </c>
      <c r="D36" t="s">
        <v>284</v>
      </c>
      <c r="E36">
        <v>1</v>
      </c>
      <c r="F36">
        <v>1</v>
      </c>
      <c r="G36">
        <v>112790</v>
      </c>
      <c r="H36">
        <v>0</v>
      </c>
      <c r="I36">
        <v>2</v>
      </c>
      <c r="J36">
        <v>2</v>
      </c>
      <c r="K36">
        <v>145639</v>
      </c>
      <c r="L36">
        <v>0</v>
      </c>
    </row>
    <row r="37" spans="1:12">
      <c r="A37">
        <v>162283</v>
      </c>
      <c r="B37" t="s">
        <v>88</v>
      </c>
      <c r="C37" t="s">
        <v>285</v>
      </c>
      <c r="D37" t="s">
        <v>284</v>
      </c>
      <c r="E37">
        <v>2</v>
      </c>
      <c r="F37">
        <v>1</v>
      </c>
      <c r="G37">
        <v>64073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198464</v>
      </c>
      <c r="B38" t="s">
        <v>89</v>
      </c>
      <c r="C38" t="s">
        <v>285</v>
      </c>
      <c r="D38" t="s">
        <v>284</v>
      </c>
      <c r="E38">
        <v>1</v>
      </c>
      <c r="F38">
        <v>1</v>
      </c>
      <c r="G38">
        <v>132436</v>
      </c>
      <c r="H38">
        <v>0</v>
      </c>
      <c r="I38">
        <v>2</v>
      </c>
      <c r="J38">
        <v>2</v>
      </c>
      <c r="K38">
        <v>110133</v>
      </c>
      <c r="L38">
        <v>0</v>
      </c>
    </row>
    <row r="39" spans="1:12">
      <c r="A39">
        <v>144892</v>
      </c>
      <c r="B39" t="s">
        <v>91</v>
      </c>
      <c r="C39" t="s">
        <v>285</v>
      </c>
      <c r="D39" t="s">
        <v>284</v>
      </c>
      <c r="E39">
        <v>1</v>
      </c>
      <c r="F39">
        <v>1</v>
      </c>
      <c r="G39">
        <v>86953</v>
      </c>
      <c r="H39">
        <v>0</v>
      </c>
      <c r="I39">
        <v>1</v>
      </c>
      <c r="J39">
        <v>1</v>
      </c>
      <c r="K39">
        <v>58790</v>
      </c>
      <c r="L39">
        <v>0</v>
      </c>
    </row>
    <row r="40" spans="1:12">
      <c r="A40">
        <v>156620</v>
      </c>
      <c r="B40" t="s">
        <v>92</v>
      </c>
      <c r="C40" t="s">
        <v>285</v>
      </c>
      <c r="D40" t="s">
        <v>284</v>
      </c>
      <c r="E40">
        <v>1</v>
      </c>
      <c r="F40">
        <v>1</v>
      </c>
      <c r="G40">
        <v>92485</v>
      </c>
      <c r="H40">
        <v>0</v>
      </c>
      <c r="I40">
        <v>2</v>
      </c>
      <c r="J40">
        <v>2</v>
      </c>
      <c r="K40">
        <v>70661</v>
      </c>
      <c r="L40">
        <v>0</v>
      </c>
    </row>
    <row r="41" spans="1:12">
      <c r="A41">
        <v>169798</v>
      </c>
      <c r="B41" t="s">
        <v>93</v>
      </c>
      <c r="C41" t="s">
        <v>285</v>
      </c>
      <c r="D41" t="s">
        <v>284</v>
      </c>
      <c r="E41">
        <v>1</v>
      </c>
      <c r="F41">
        <v>1</v>
      </c>
      <c r="G41">
        <v>130888</v>
      </c>
      <c r="H41">
        <v>0</v>
      </c>
      <c r="I41">
        <v>2</v>
      </c>
      <c r="J41">
        <v>2</v>
      </c>
      <c r="K41">
        <v>110070</v>
      </c>
      <c r="L41">
        <v>0</v>
      </c>
    </row>
    <row r="42" spans="1:12">
      <c r="A42">
        <v>235097</v>
      </c>
      <c r="B42" t="s">
        <v>94</v>
      </c>
      <c r="C42" t="s">
        <v>285</v>
      </c>
      <c r="D42" t="s">
        <v>284</v>
      </c>
      <c r="E42">
        <v>1</v>
      </c>
      <c r="F42">
        <v>1</v>
      </c>
      <c r="G42">
        <v>118410</v>
      </c>
      <c r="H42">
        <v>0</v>
      </c>
      <c r="I42">
        <v>2</v>
      </c>
      <c r="J42">
        <v>2</v>
      </c>
      <c r="K42">
        <v>10894</v>
      </c>
      <c r="L42">
        <v>0</v>
      </c>
    </row>
    <row r="43" spans="1:12">
      <c r="A43">
        <v>134130</v>
      </c>
      <c r="B43" t="s">
        <v>95</v>
      </c>
      <c r="C43" t="s">
        <v>285</v>
      </c>
      <c r="D43" t="s">
        <v>284</v>
      </c>
      <c r="E43">
        <v>1</v>
      </c>
      <c r="F43">
        <v>1</v>
      </c>
      <c r="G43">
        <v>363094</v>
      </c>
      <c r="H43">
        <v>0</v>
      </c>
      <c r="I43">
        <v>2</v>
      </c>
      <c r="J43">
        <v>2</v>
      </c>
      <c r="K43">
        <v>298830</v>
      </c>
      <c r="L43">
        <v>0</v>
      </c>
    </row>
    <row r="44" spans="1:12">
      <c r="A44">
        <v>133669</v>
      </c>
      <c r="B44" t="s">
        <v>96</v>
      </c>
      <c r="C44" t="s">
        <v>285</v>
      </c>
      <c r="D44" t="s">
        <v>284</v>
      </c>
      <c r="E44">
        <v>1</v>
      </c>
      <c r="F44">
        <v>1</v>
      </c>
      <c r="G44">
        <v>107230</v>
      </c>
      <c r="H44">
        <v>0</v>
      </c>
      <c r="I44">
        <v>2</v>
      </c>
      <c r="J44">
        <v>1</v>
      </c>
      <c r="K44">
        <v>101493</v>
      </c>
      <c r="L44">
        <v>0</v>
      </c>
    </row>
    <row r="45" spans="1:12">
      <c r="A45">
        <v>433660</v>
      </c>
      <c r="B45" t="s">
        <v>97</v>
      </c>
      <c r="C45" t="s">
        <v>285</v>
      </c>
      <c r="D45" t="s">
        <v>284</v>
      </c>
      <c r="E45">
        <v>1</v>
      </c>
      <c r="F45">
        <v>0.75</v>
      </c>
      <c r="G45">
        <v>86084</v>
      </c>
      <c r="H45">
        <v>0</v>
      </c>
      <c r="I45">
        <v>2</v>
      </c>
      <c r="J45">
        <v>2</v>
      </c>
      <c r="K45">
        <v>91904</v>
      </c>
      <c r="L45">
        <v>0</v>
      </c>
    </row>
    <row r="46" spans="1:12">
      <c r="A46">
        <v>133951</v>
      </c>
      <c r="B46" t="s">
        <v>98</v>
      </c>
      <c r="C46" t="s">
        <v>285</v>
      </c>
      <c r="D46" t="s">
        <v>284</v>
      </c>
      <c r="E46">
        <v>1</v>
      </c>
      <c r="F46">
        <v>0.5</v>
      </c>
      <c r="G46">
        <v>50147</v>
      </c>
      <c r="H46">
        <v>0</v>
      </c>
      <c r="I46">
        <v>2</v>
      </c>
      <c r="J46">
        <v>1.5</v>
      </c>
      <c r="K46">
        <v>92831</v>
      </c>
      <c r="L46">
        <v>0</v>
      </c>
    </row>
    <row r="47" spans="1:12">
      <c r="A47">
        <v>134097</v>
      </c>
      <c r="B47" t="s">
        <v>99</v>
      </c>
      <c r="C47" t="s">
        <v>285</v>
      </c>
      <c r="D47" t="s">
        <v>284</v>
      </c>
      <c r="E47">
        <v>1</v>
      </c>
      <c r="F47">
        <v>1</v>
      </c>
      <c r="G47">
        <v>200668</v>
      </c>
      <c r="H47">
        <v>0</v>
      </c>
      <c r="I47">
        <v>2</v>
      </c>
      <c r="J47">
        <v>2</v>
      </c>
      <c r="K47">
        <v>202054</v>
      </c>
      <c r="L47">
        <v>0</v>
      </c>
    </row>
    <row r="48" spans="1:12">
      <c r="A48">
        <v>110556</v>
      </c>
      <c r="B48" t="s">
        <v>100</v>
      </c>
      <c r="C48" t="s">
        <v>285</v>
      </c>
      <c r="D48" t="s">
        <v>284</v>
      </c>
      <c r="E48">
        <v>1</v>
      </c>
      <c r="F48">
        <v>1</v>
      </c>
      <c r="G48">
        <v>217635</v>
      </c>
      <c r="H48">
        <v>1300</v>
      </c>
      <c r="I48">
        <v>2</v>
      </c>
      <c r="J48">
        <v>2</v>
      </c>
      <c r="K48">
        <v>177776</v>
      </c>
      <c r="L48">
        <v>0</v>
      </c>
    </row>
    <row r="49" spans="1:12">
      <c r="A49">
        <v>139959</v>
      </c>
      <c r="B49" t="s">
        <v>102</v>
      </c>
      <c r="C49" t="s">
        <v>285</v>
      </c>
      <c r="D49" t="s">
        <v>284</v>
      </c>
      <c r="E49">
        <v>1</v>
      </c>
      <c r="F49">
        <v>1</v>
      </c>
      <c r="G49">
        <v>188923</v>
      </c>
      <c r="H49">
        <v>0</v>
      </c>
      <c r="I49">
        <v>2</v>
      </c>
      <c r="J49">
        <v>2</v>
      </c>
      <c r="K49">
        <v>180739</v>
      </c>
      <c r="L49">
        <v>0</v>
      </c>
    </row>
    <row r="50" spans="1:12">
      <c r="A50">
        <v>139931</v>
      </c>
      <c r="B50" t="s">
        <v>103</v>
      </c>
      <c r="C50" t="s">
        <v>285</v>
      </c>
      <c r="D50" t="s">
        <v>284</v>
      </c>
      <c r="E50">
        <v>1</v>
      </c>
      <c r="F50">
        <v>1</v>
      </c>
      <c r="G50">
        <v>100411</v>
      </c>
      <c r="H50">
        <v>0</v>
      </c>
      <c r="I50">
        <v>2</v>
      </c>
      <c r="J50">
        <v>2</v>
      </c>
      <c r="K50">
        <v>91450</v>
      </c>
      <c r="L50">
        <v>0</v>
      </c>
    </row>
    <row r="51" spans="1:12">
      <c r="A51">
        <v>139940</v>
      </c>
      <c r="B51" t="s">
        <v>104</v>
      </c>
      <c r="C51" t="s">
        <v>285</v>
      </c>
      <c r="D51" t="s">
        <v>284</v>
      </c>
      <c r="E51">
        <v>1</v>
      </c>
      <c r="F51">
        <v>1</v>
      </c>
      <c r="G51">
        <v>130292</v>
      </c>
      <c r="H51">
        <v>0</v>
      </c>
      <c r="I51">
        <v>2</v>
      </c>
      <c r="J51">
        <v>2</v>
      </c>
      <c r="K51">
        <v>100035</v>
      </c>
      <c r="L51">
        <v>0</v>
      </c>
    </row>
    <row r="52" spans="1:12">
      <c r="A52">
        <v>139755</v>
      </c>
      <c r="B52" t="s">
        <v>105</v>
      </c>
      <c r="C52" t="s">
        <v>285</v>
      </c>
      <c r="D52" t="s">
        <v>284</v>
      </c>
      <c r="E52">
        <v>1</v>
      </c>
      <c r="F52">
        <v>1</v>
      </c>
      <c r="G52">
        <v>156779</v>
      </c>
      <c r="H52">
        <v>0</v>
      </c>
      <c r="I52">
        <v>3</v>
      </c>
      <c r="J52">
        <v>2</v>
      </c>
      <c r="K52">
        <v>162548</v>
      </c>
      <c r="L52">
        <v>0</v>
      </c>
    </row>
    <row r="53" spans="1:12">
      <c r="A53">
        <v>159009</v>
      </c>
      <c r="B53" t="s">
        <v>106</v>
      </c>
      <c r="C53" t="s">
        <v>285</v>
      </c>
      <c r="D53" t="s">
        <v>284</v>
      </c>
      <c r="E53">
        <v>1</v>
      </c>
      <c r="F53">
        <v>1</v>
      </c>
      <c r="G53">
        <v>64752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225511</v>
      </c>
      <c r="B54" t="s">
        <v>108</v>
      </c>
      <c r="C54" t="s">
        <v>285</v>
      </c>
      <c r="D54" t="s">
        <v>284</v>
      </c>
      <c r="E54">
        <v>1</v>
      </c>
      <c r="F54">
        <v>1</v>
      </c>
      <c r="G54">
        <v>108342</v>
      </c>
      <c r="H54">
        <v>0</v>
      </c>
      <c r="I54">
        <v>2</v>
      </c>
      <c r="J54">
        <v>2</v>
      </c>
      <c r="K54">
        <v>147943</v>
      </c>
      <c r="L54">
        <v>0</v>
      </c>
    </row>
    <row r="55" spans="1:12">
      <c r="A55">
        <v>142285</v>
      </c>
      <c r="B55" t="s">
        <v>109</v>
      </c>
      <c r="C55" t="s">
        <v>285</v>
      </c>
      <c r="D55" t="s">
        <v>284</v>
      </c>
      <c r="E55">
        <v>1</v>
      </c>
      <c r="F55">
        <v>1</v>
      </c>
      <c r="G55">
        <v>133809</v>
      </c>
      <c r="H55">
        <v>15000</v>
      </c>
      <c r="I55">
        <v>2</v>
      </c>
      <c r="J55">
        <v>2</v>
      </c>
      <c r="K55">
        <v>117512</v>
      </c>
      <c r="L55">
        <v>10000</v>
      </c>
    </row>
    <row r="56" spans="1:12">
      <c r="A56">
        <v>142276</v>
      </c>
      <c r="B56" t="s">
        <v>110</v>
      </c>
      <c r="C56" t="s">
        <v>285</v>
      </c>
      <c r="D56" t="s">
        <v>284</v>
      </c>
      <c r="E56">
        <v>1</v>
      </c>
      <c r="F56">
        <v>0.91</v>
      </c>
      <c r="G56">
        <v>102846</v>
      </c>
      <c r="H56">
        <v>0</v>
      </c>
      <c r="I56">
        <v>2</v>
      </c>
      <c r="J56">
        <v>2</v>
      </c>
      <c r="K56">
        <v>84568</v>
      </c>
      <c r="L56">
        <v>0</v>
      </c>
    </row>
    <row r="57" spans="1:12">
      <c r="A57">
        <v>145637</v>
      </c>
      <c r="B57" t="s">
        <v>111</v>
      </c>
      <c r="C57" t="s">
        <v>285</v>
      </c>
      <c r="D57" t="s">
        <v>284</v>
      </c>
      <c r="E57">
        <v>1</v>
      </c>
      <c r="F57">
        <v>1</v>
      </c>
      <c r="G57">
        <v>265671</v>
      </c>
      <c r="H57">
        <v>0</v>
      </c>
      <c r="I57">
        <v>2</v>
      </c>
      <c r="J57">
        <v>2</v>
      </c>
      <c r="K57">
        <v>185596</v>
      </c>
      <c r="L57">
        <v>0</v>
      </c>
    </row>
    <row r="58" spans="1:12">
      <c r="A58">
        <v>145600</v>
      </c>
      <c r="B58" t="s">
        <v>112</v>
      </c>
      <c r="C58" t="s">
        <v>285</v>
      </c>
      <c r="D58" t="s">
        <v>284</v>
      </c>
      <c r="E58">
        <v>1</v>
      </c>
      <c r="F58">
        <v>1</v>
      </c>
      <c r="G58">
        <v>83688</v>
      </c>
      <c r="H58">
        <v>0</v>
      </c>
      <c r="I58">
        <v>2</v>
      </c>
      <c r="J58">
        <v>2</v>
      </c>
      <c r="K58">
        <v>92913</v>
      </c>
      <c r="L58">
        <v>0</v>
      </c>
    </row>
    <row r="59" spans="1:12">
      <c r="A59">
        <v>145813</v>
      </c>
      <c r="B59" t="s">
        <v>113</v>
      </c>
      <c r="C59" t="s">
        <v>285</v>
      </c>
      <c r="D59" t="s">
        <v>284</v>
      </c>
      <c r="E59">
        <v>1</v>
      </c>
      <c r="F59">
        <v>1</v>
      </c>
      <c r="G59">
        <v>151370</v>
      </c>
      <c r="H59">
        <v>0</v>
      </c>
      <c r="I59">
        <v>2</v>
      </c>
      <c r="J59">
        <v>2</v>
      </c>
      <c r="K59">
        <v>110177</v>
      </c>
      <c r="L59">
        <v>0</v>
      </c>
    </row>
    <row r="60" spans="1:12">
      <c r="A60">
        <v>151351</v>
      </c>
      <c r="B60" t="s">
        <v>114</v>
      </c>
      <c r="C60" t="s">
        <v>285</v>
      </c>
      <c r="D60" t="s">
        <v>284</v>
      </c>
      <c r="E60">
        <v>1</v>
      </c>
      <c r="F60">
        <v>1</v>
      </c>
      <c r="G60">
        <v>226969</v>
      </c>
      <c r="H60">
        <v>0</v>
      </c>
      <c r="I60">
        <v>2</v>
      </c>
      <c r="J60">
        <v>2</v>
      </c>
      <c r="K60">
        <v>196648</v>
      </c>
      <c r="L60">
        <v>0</v>
      </c>
    </row>
    <row r="61" spans="1:12">
      <c r="A61">
        <v>151324</v>
      </c>
      <c r="B61" t="s">
        <v>115</v>
      </c>
      <c r="C61" t="s">
        <v>285</v>
      </c>
      <c r="D61" t="s">
        <v>284</v>
      </c>
      <c r="E61">
        <v>1</v>
      </c>
      <c r="F61">
        <v>1</v>
      </c>
      <c r="G61">
        <v>91861</v>
      </c>
      <c r="H61">
        <v>0</v>
      </c>
      <c r="I61">
        <v>2</v>
      </c>
      <c r="J61">
        <v>2</v>
      </c>
      <c r="K61">
        <v>70156</v>
      </c>
      <c r="L61">
        <v>0</v>
      </c>
    </row>
    <row r="62" spans="1:12">
      <c r="A62">
        <v>153658</v>
      </c>
      <c r="B62" t="s">
        <v>116</v>
      </c>
      <c r="C62" t="s">
        <v>285</v>
      </c>
      <c r="D62" t="s">
        <v>284</v>
      </c>
      <c r="E62">
        <v>1</v>
      </c>
      <c r="F62">
        <v>1</v>
      </c>
      <c r="G62">
        <v>307568</v>
      </c>
      <c r="H62">
        <v>0</v>
      </c>
      <c r="I62">
        <v>2</v>
      </c>
      <c r="J62">
        <v>2</v>
      </c>
      <c r="K62">
        <v>204078</v>
      </c>
      <c r="L62">
        <v>0</v>
      </c>
    </row>
    <row r="63" spans="1:12">
      <c r="A63">
        <v>153603</v>
      </c>
      <c r="B63" t="s">
        <v>117</v>
      </c>
      <c r="C63" t="s">
        <v>285</v>
      </c>
      <c r="D63" t="s">
        <v>284</v>
      </c>
      <c r="E63">
        <v>1</v>
      </c>
      <c r="F63">
        <v>1</v>
      </c>
      <c r="G63">
        <v>300532</v>
      </c>
      <c r="H63">
        <v>0</v>
      </c>
      <c r="I63">
        <v>2</v>
      </c>
      <c r="J63">
        <v>2</v>
      </c>
      <c r="K63">
        <v>238416</v>
      </c>
      <c r="L63">
        <v>0</v>
      </c>
    </row>
    <row r="64" spans="1:12">
      <c r="A64">
        <v>151111</v>
      </c>
      <c r="B64" t="s">
        <v>118</v>
      </c>
      <c r="C64" t="s">
        <v>285</v>
      </c>
      <c r="D64" t="s">
        <v>284</v>
      </c>
      <c r="E64">
        <v>1</v>
      </c>
      <c r="F64">
        <v>1</v>
      </c>
      <c r="G64">
        <v>80373</v>
      </c>
      <c r="H64">
        <v>0</v>
      </c>
      <c r="I64">
        <v>1</v>
      </c>
      <c r="J64">
        <v>1</v>
      </c>
      <c r="K64">
        <v>45990</v>
      </c>
      <c r="L64">
        <v>0</v>
      </c>
    </row>
    <row r="65" spans="1:12">
      <c r="A65">
        <v>232423</v>
      </c>
      <c r="B65" t="s">
        <v>121</v>
      </c>
      <c r="C65" t="s">
        <v>285</v>
      </c>
      <c r="D65" t="s">
        <v>284</v>
      </c>
      <c r="E65">
        <v>1</v>
      </c>
      <c r="F65">
        <v>1</v>
      </c>
      <c r="G65">
        <v>118768</v>
      </c>
      <c r="H65">
        <v>0</v>
      </c>
      <c r="I65">
        <v>2</v>
      </c>
      <c r="J65">
        <v>2</v>
      </c>
      <c r="K65">
        <v>111756</v>
      </c>
      <c r="L65">
        <v>0</v>
      </c>
    </row>
    <row r="66" spans="1:12">
      <c r="A66">
        <v>155317</v>
      </c>
      <c r="B66" t="s">
        <v>122</v>
      </c>
      <c r="C66" t="s">
        <v>285</v>
      </c>
      <c r="D66" t="s">
        <v>284</v>
      </c>
      <c r="E66">
        <v>1</v>
      </c>
      <c r="F66">
        <v>1</v>
      </c>
      <c r="G66">
        <v>248599</v>
      </c>
      <c r="H66">
        <v>0</v>
      </c>
      <c r="I66">
        <v>2</v>
      </c>
      <c r="J66">
        <v>2</v>
      </c>
      <c r="K66">
        <v>200844</v>
      </c>
      <c r="L66">
        <v>0</v>
      </c>
    </row>
    <row r="67" spans="1:12">
      <c r="A67">
        <v>155399</v>
      </c>
      <c r="B67" t="s">
        <v>123</v>
      </c>
      <c r="C67" t="s">
        <v>285</v>
      </c>
      <c r="D67" t="s">
        <v>284</v>
      </c>
      <c r="E67">
        <v>1</v>
      </c>
      <c r="F67">
        <v>1</v>
      </c>
      <c r="G67">
        <v>334638</v>
      </c>
      <c r="H67">
        <v>0</v>
      </c>
      <c r="I67">
        <v>2</v>
      </c>
      <c r="J67">
        <v>2</v>
      </c>
      <c r="K67">
        <v>244458</v>
      </c>
      <c r="L67">
        <v>0</v>
      </c>
    </row>
    <row r="68" spans="1:12">
      <c r="A68">
        <v>203517</v>
      </c>
      <c r="B68" t="s">
        <v>125</v>
      </c>
      <c r="C68" t="s">
        <v>285</v>
      </c>
      <c r="D68" t="s">
        <v>284</v>
      </c>
      <c r="E68">
        <v>1</v>
      </c>
      <c r="F68">
        <v>1</v>
      </c>
      <c r="G68">
        <v>134308</v>
      </c>
      <c r="H68">
        <v>0</v>
      </c>
      <c r="I68">
        <v>2</v>
      </c>
      <c r="J68">
        <v>2</v>
      </c>
      <c r="K68">
        <v>87411</v>
      </c>
      <c r="L68">
        <v>0</v>
      </c>
    </row>
    <row r="69" spans="1:12">
      <c r="A69">
        <v>157085</v>
      </c>
      <c r="B69" t="s">
        <v>126</v>
      </c>
      <c r="C69" t="s">
        <v>285</v>
      </c>
      <c r="D69" t="s">
        <v>284</v>
      </c>
      <c r="E69">
        <v>1</v>
      </c>
      <c r="F69">
        <v>1</v>
      </c>
      <c r="G69">
        <v>325008</v>
      </c>
      <c r="H69">
        <v>0</v>
      </c>
      <c r="I69">
        <v>2</v>
      </c>
      <c r="J69">
        <v>2</v>
      </c>
      <c r="K69">
        <v>235851</v>
      </c>
      <c r="L69">
        <v>0</v>
      </c>
    </row>
    <row r="70" spans="1:12">
      <c r="A70">
        <v>226091</v>
      </c>
      <c r="B70" t="s">
        <v>127</v>
      </c>
      <c r="C70" t="s">
        <v>285</v>
      </c>
      <c r="D70" t="s">
        <v>284</v>
      </c>
      <c r="E70">
        <v>1</v>
      </c>
      <c r="F70">
        <v>1</v>
      </c>
      <c r="G70">
        <v>95901</v>
      </c>
      <c r="H70">
        <v>0</v>
      </c>
      <c r="I70">
        <v>1</v>
      </c>
      <c r="J70">
        <v>1</v>
      </c>
      <c r="K70">
        <v>52798</v>
      </c>
      <c r="L70">
        <v>0</v>
      </c>
    </row>
    <row r="71" spans="1:12">
      <c r="A71">
        <v>110583</v>
      </c>
      <c r="B71" t="s">
        <v>128</v>
      </c>
      <c r="C71" t="s">
        <v>285</v>
      </c>
      <c r="D71" t="s">
        <v>284</v>
      </c>
      <c r="E71">
        <v>1</v>
      </c>
      <c r="F71">
        <v>1</v>
      </c>
      <c r="G71">
        <v>232918</v>
      </c>
      <c r="H71">
        <v>0</v>
      </c>
      <c r="I71">
        <v>2</v>
      </c>
      <c r="J71">
        <v>1.5</v>
      </c>
      <c r="K71">
        <v>162018</v>
      </c>
      <c r="L71">
        <v>0</v>
      </c>
    </row>
    <row r="72" spans="1:12">
      <c r="A72">
        <v>160658</v>
      </c>
      <c r="B72" t="s">
        <v>130</v>
      </c>
      <c r="C72" t="s">
        <v>285</v>
      </c>
      <c r="D72" t="s">
        <v>284</v>
      </c>
      <c r="E72">
        <v>1</v>
      </c>
      <c r="F72">
        <v>1</v>
      </c>
      <c r="G72">
        <v>80986</v>
      </c>
      <c r="H72">
        <v>0</v>
      </c>
      <c r="I72">
        <v>2</v>
      </c>
      <c r="J72">
        <v>2</v>
      </c>
      <c r="K72">
        <v>67127</v>
      </c>
      <c r="L72">
        <v>0</v>
      </c>
    </row>
    <row r="73" spans="1:12">
      <c r="A73">
        <v>159647</v>
      </c>
      <c r="B73" t="s">
        <v>132</v>
      </c>
      <c r="C73" t="s">
        <v>285</v>
      </c>
      <c r="D73" t="s">
        <v>284</v>
      </c>
      <c r="E73">
        <v>1</v>
      </c>
      <c r="F73">
        <v>1</v>
      </c>
      <c r="G73">
        <v>92516</v>
      </c>
      <c r="H73">
        <v>0</v>
      </c>
      <c r="I73">
        <v>2</v>
      </c>
      <c r="J73">
        <v>2</v>
      </c>
      <c r="K73">
        <v>47931</v>
      </c>
      <c r="L73">
        <v>0</v>
      </c>
    </row>
    <row r="74" spans="1:12">
      <c r="A74">
        <v>157289</v>
      </c>
      <c r="B74" t="s">
        <v>133</v>
      </c>
      <c r="C74" t="s">
        <v>285</v>
      </c>
      <c r="D74" t="s">
        <v>284</v>
      </c>
      <c r="E74">
        <v>1</v>
      </c>
      <c r="F74">
        <v>1</v>
      </c>
      <c r="G74">
        <v>216123</v>
      </c>
      <c r="H74">
        <v>0</v>
      </c>
      <c r="I74">
        <v>2</v>
      </c>
      <c r="J74">
        <v>2</v>
      </c>
      <c r="K74">
        <v>233114</v>
      </c>
      <c r="L74">
        <v>0</v>
      </c>
    </row>
    <row r="75" spans="1:12">
      <c r="A75">
        <v>159391</v>
      </c>
      <c r="B75" t="s">
        <v>134</v>
      </c>
      <c r="C75" t="s">
        <v>285</v>
      </c>
      <c r="D75" t="s">
        <v>284</v>
      </c>
      <c r="E75">
        <v>1</v>
      </c>
      <c r="F75">
        <v>1</v>
      </c>
      <c r="G75">
        <v>247805</v>
      </c>
      <c r="H75">
        <v>0</v>
      </c>
      <c r="I75">
        <v>2</v>
      </c>
      <c r="J75">
        <v>2</v>
      </c>
      <c r="K75">
        <v>198947</v>
      </c>
      <c r="L75">
        <v>0</v>
      </c>
    </row>
    <row r="76" spans="1:12">
      <c r="A76">
        <v>237525</v>
      </c>
      <c r="B76" t="s">
        <v>136</v>
      </c>
      <c r="C76" t="s">
        <v>285</v>
      </c>
      <c r="D76" t="s">
        <v>284</v>
      </c>
      <c r="E76">
        <v>1</v>
      </c>
      <c r="F76">
        <v>1</v>
      </c>
      <c r="G76">
        <v>99944</v>
      </c>
      <c r="H76">
        <v>0</v>
      </c>
      <c r="I76">
        <v>2</v>
      </c>
      <c r="J76">
        <v>0</v>
      </c>
      <c r="K76">
        <v>82023</v>
      </c>
      <c r="L76">
        <v>0</v>
      </c>
    </row>
    <row r="77" spans="1:12">
      <c r="A77">
        <v>163286</v>
      </c>
      <c r="B77" t="s">
        <v>137</v>
      </c>
      <c r="C77" t="s">
        <v>285</v>
      </c>
      <c r="D77" t="s">
        <v>284</v>
      </c>
      <c r="E77">
        <v>1</v>
      </c>
      <c r="F77">
        <v>1</v>
      </c>
      <c r="G77">
        <v>224260</v>
      </c>
      <c r="H77">
        <v>0</v>
      </c>
      <c r="I77">
        <v>2</v>
      </c>
      <c r="J77">
        <v>2</v>
      </c>
      <c r="K77">
        <v>185053</v>
      </c>
      <c r="L77">
        <v>0</v>
      </c>
    </row>
    <row r="78" spans="1:12">
      <c r="A78">
        <v>163268</v>
      </c>
      <c r="B78" t="s">
        <v>138</v>
      </c>
      <c r="C78" t="s">
        <v>285</v>
      </c>
      <c r="D78" t="s">
        <v>284</v>
      </c>
      <c r="E78">
        <v>1</v>
      </c>
      <c r="F78">
        <v>0.9</v>
      </c>
      <c r="G78">
        <v>98917</v>
      </c>
      <c r="H78">
        <v>0</v>
      </c>
      <c r="I78">
        <v>2</v>
      </c>
      <c r="J78">
        <v>0.8</v>
      </c>
      <c r="K78">
        <v>44930</v>
      </c>
      <c r="L78">
        <v>0</v>
      </c>
    </row>
    <row r="79" spans="1:12">
      <c r="A79">
        <v>163338</v>
      </c>
      <c r="B79" t="s">
        <v>139</v>
      </c>
      <c r="C79" t="s">
        <v>285</v>
      </c>
      <c r="D79" t="s">
        <v>284</v>
      </c>
      <c r="E79">
        <v>1</v>
      </c>
      <c r="F79">
        <v>1</v>
      </c>
      <c r="G79">
        <v>90838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166513</v>
      </c>
      <c r="B80" t="s">
        <v>141</v>
      </c>
      <c r="C80" t="s">
        <v>285</v>
      </c>
      <c r="D80" t="s">
        <v>284</v>
      </c>
      <c r="E80">
        <v>1</v>
      </c>
      <c r="F80">
        <v>1</v>
      </c>
      <c r="G80">
        <v>95043</v>
      </c>
      <c r="H80">
        <v>0</v>
      </c>
      <c r="I80">
        <v>2</v>
      </c>
      <c r="J80">
        <v>1.5</v>
      </c>
      <c r="K80">
        <v>73402</v>
      </c>
      <c r="L80">
        <v>0</v>
      </c>
    </row>
    <row r="81" spans="1:12">
      <c r="A81">
        <v>159717</v>
      </c>
      <c r="B81" t="s">
        <v>142</v>
      </c>
      <c r="C81" t="s">
        <v>285</v>
      </c>
      <c r="D81" t="s">
        <v>284</v>
      </c>
      <c r="E81">
        <v>1</v>
      </c>
      <c r="F81">
        <v>0.83</v>
      </c>
      <c r="G81">
        <v>55353</v>
      </c>
      <c r="H81">
        <v>0</v>
      </c>
      <c r="I81">
        <v>2</v>
      </c>
      <c r="J81">
        <v>1.66</v>
      </c>
      <c r="K81">
        <v>60957</v>
      </c>
      <c r="L81">
        <v>0</v>
      </c>
    </row>
    <row r="82" spans="1:12">
      <c r="A82">
        <v>204024</v>
      </c>
      <c r="B82" t="s">
        <v>144</v>
      </c>
      <c r="C82" t="s">
        <v>285</v>
      </c>
      <c r="D82" t="s">
        <v>284</v>
      </c>
      <c r="E82">
        <v>1</v>
      </c>
      <c r="F82">
        <v>1</v>
      </c>
      <c r="G82">
        <v>142908</v>
      </c>
      <c r="H82">
        <v>0</v>
      </c>
      <c r="I82">
        <v>2</v>
      </c>
      <c r="J82">
        <v>2</v>
      </c>
      <c r="K82">
        <v>125508</v>
      </c>
      <c r="L82">
        <v>0</v>
      </c>
    </row>
    <row r="83" spans="1:12">
      <c r="A83">
        <v>170976</v>
      </c>
      <c r="B83" t="s">
        <v>145</v>
      </c>
      <c r="C83" t="s">
        <v>285</v>
      </c>
      <c r="D83" t="s">
        <v>284</v>
      </c>
      <c r="E83">
        <v>1</v>
      </c>
      <c r="F83">
        <v>1</v>
      </c>
      <c r="G83">
        <v>238700</v>
      </c>
      <c r="H83">
        <v>0</v>
      </c>
      <c r="I83">
        <v>2</v>
      </c>
      <c r="J83">
        <v>2</v>
      </c>
      <c r="K83">
        <v>227070</v>
      </c>
      <c r="L83">
        <v>0</v>
      </c>
    </row>
    <row r="84" spans="1:12">
      <c r="A84">
        <v>171100</v>
      </c>
      <c r="B84" t="s">
        <v>146</v>
      </c>
      <c r="C84" t="s">
        <v>285</v>
      </c>
      <c r="D84" t="s">
        <v>284</v>
      </c>
      <c r="E84">
        <v>1</v>
      </c>
      <c r="F84">
        <v>1</v>
      </c>
      <c r="G84">
        <v>289750</v>
      </c>
      <c r="H84">
        <v>0</v>
      </c>
      <c r="I84">
        <v>2</v>
      </c>
      <c r="J84">
        <v>2</v>
      </c>
      <c r="K84">
        <v>237815</v>
      </c>
      <c r="L84">
        <v>0</v>
      </c>
    </row>
    <row r="85" spans="1:12">
      <c r="A85">
        <v>220978</v>
      </c>
      <c r="B85" s="49" t="s">
        <v>147</v>
      </c>
      <c r="C85" s="49" t="s">
        <v>285</v>
      </c>
      <c r="D85" s="48" t="s">
        <v>284</v>
      </c>
      <c r="E85" s="23">
        <v>1</v>
      </c>
      <c r="F85" s="23">
        <v>0.81</v>
      </c>
      <c r="G85" s="23">
        <v>99550</v>
      </c>
      <c r="H85" s="29">
        <v>0</v>
      </c>
      <c r="I85" s="23">
        <v>2</v>
      </c>
      <c r="J85" s="23">
        <v>2</v>
      </c>
      <c r="K85" s="23">
        <v>82158</v>
      </c>
      <c r="L85">
        <v>0</v>
      </c>
    </row>
    <row r="86" spans="1:12">
      <c r="A86">
        <v>174066</v>
      </c>
      <c r="B86" t="s">
        <v>148</v>
      </c>
      <c r="C86" t="s">
        <v>285</v>
      </c>
      <c r="D86" t="s">
        <v>284</v>
      </c>
      <c r="E86">
        <v>1</v>
      </c>
      <c r="F86">
        <v>1</v>
      </c>
      <c r="G86">
        <v>553614</v>
      </c>
      <c r="H86">
        <v>0</v>
      </c>
      <c r="I86">
        <v>2</v>
      </c>
      <c r="J86">
        <v>2</v>
      </c>
      <c r="K86">
        <v>251816</v>
      </c>
      <c r="L86">
        <v>0</v>
      </c>
    </row>
    <row r="87" spans="1:12">
      <c r="A87">
        <v>176017</v>
      </c>
      <c r="B87" t="s">
        <v>149</v>
      </c>
      <c r="C87" t="s">
        <v>285</v>
      </c>
      <c r="D87" t="s">
        <v>284</v>
      </c>
      <c r="E87">
        <v>1</v>
      </c>
      <c r="F87">
        <v>1</v>
      </c>
      <c r="G87">
        <v>179431</v>
      </c>
      <c r="H87">
        <v>2500</v>
      </c>
      <c r="I87">
        <v>2</v>
      </c>
      <c r="J87">
        <v>2</v>
      </c>
      <c r="K87">
        <v>189463</v>
      </c>
      <c r="L87">
        <v>3745</v>
      </c>
    </row>
    <row r="88" spans="1:12">
      <c r="A88">
        <v>176080</v>
      </c>
      <c r="B88" t="s">
        <v>150</v>
      </c>
      <c r="C88" t="s">
        <v>285</v>
      </c>
      <c r="D88" t="s">
        <v>284</v>
      </c>
      <c r="E88">
        <v>1</v>
      </c>
      <c r="F88">
        <v>1</v>
      </c>
      <c r="G88">
        <v>172406</v>
      </c>
      <c r="H88">
        <v>0</v>
      </c>
      <c r="I88">
        <v>2</v>
      </c>
      <c r="J88">
        <v>2</v>
      </c>
      <c r="K88">
        <v>149387</v>
      </c>
      <c r="L88">
        <v>0</v>
      </c>
    </row>
    <row r="89" spans="1:12">
      <c r="A89">
        <v>178396</v>
      </c>
      <c r="B89" t="s">
        <v>152</v>
      </c>
      <c r="C89" t="s">
        <v>285</v>
      </c>
      <c r="D89" t="s">
        <v>284</v>
      </c>
      <c r="E89">
        <v>1</v>
      </c>
      <c r="F89">
        <v>1</v>
      </c>
      <c r="G89">
        <v>326476</v>
      </c>
      <c r="H89">
        <v>0</v>
      </c>
      <c r="I89">
        <v>2</v>
      </c>
      <c r="J89">
        <v>2</v>
      </c>
      <c r="K89">
        <v>203533</v>
      </c>
      <c r="L89">
        <v>0</v>
      </c>
    </row>
    <row r="90" spans="1:12">
      <c r="A90">
        <v>178402</v>
      </c>
      <c r="B90" t="s">
        <v>153</v>
      </c>
      <c r="C90" t="s">
        <v>285</v>
      </c>
      <c r="D90" t="s">
        <v>284</v>
      </c>
      <c r="E90">
        <v>1</v>
      </c>
      <c r="F90">
        <v>1</v>
      </c>
      <c r="G90">
        <v>112406</v>
      </c>
      <c r="H90">
        <v>0</v>
      </c>
      <c r="I90">
        <v>1</v>
      </c>
      <c r="J90">
        <v>1</v>
      </c>
      <c r="K90">
        <v>110978</v>
      </c>
      <c r="L90">
        <v>0</v>
      </c>
    </row>
    <row r="91" spans="1:12">
      <c r="A91">
        <v>179566</v>
      </c>
      <c r="B91" t="s">
        <v>154</v>
      </c>
      <c r="C91" t="s">
        <v>285</v>
      </c>
      <c r="D91" t="s">
        <v>284</v>
      </c>
      <c r="E91">
        <v>1</v>
      </c>
      <c r="F91">
        <v>1</v>
      </c>
      <c r="G91">
        <v>148243</v>
      </c>
      <c r="H91">
        <v>0</v>
      </c>
      <c r="I91">
        <v>2</v>
      </c>
      <c r="J91">
        <v>2</v>
      </c>
      <c r="K91">
        <v>125076</v>
      </c>
      <c r="L91">
        <v>0</v>
      </c>
    </row>
    <row r="92" spans="1:12">
      <c r="A92">
        <v>180489</v>
      </c>
      <c r="B92" t="s">
        <v>155</v>
      </c>
      <c r="C92" t="s">
        <v>285</v>
      </c>
      <c r="D92" t="s">
        <v>284</v>
      </c>
      <c r="E92">
        <v>1</v>
      </c>
      <c r="F92">
        <v>1</v>
      </c>
      <c r="G92">
        <v>141611</v>
      </c>
      <c r="H92">
        <v>4000</v>
      </c>
      <c r="I92">
        <v>2</v>
      </c>
      <c r="J92">
        <v>2</v>
      </c>
      <c r="K92">
        <v>108189</v>
      </c>
      <c r="L92">
        <v>7600</v>
      </c>
    </row>
    <row r="93" spans="1:12">
      <c r="A93">
        <v>180461</v>
      </c>
      <c r="B93" t="s">
        <v>156</v>
      </c>
      <c r="C93" t="s">
        <v>285</v>
      </c>
      <c r="D93" t="s">
        <v>284</v>
      </c>
      <c r="E93">
        <v>1</v>
      </c>
      <c r="F93">
        <v>1</v>
      </c>
      <c r="G93">
        <v>103686</v>
      </c>
      <c r="H93">
        <v>0</v>
      </c>
      <c r="I93">
        <v>2</v>
      </c>
      <c r="J93">
        <v>2</v>
      </c>
      <c r="K93">
        <v>136350</v>
      </c>
      <c r="L93">
        <v>0</v>
      </c>
    </row>
    <row r="94" spans="1:12">
      <c r="A94">
        <v>163453</v>
      </c>
      <c r="B94" t="s">
        <v>158</v>
      </c>
      <c r="C94" t="s">
        <v>285</v>
      </c>
      <c r="D94" t="s">
        <v>284</v>
      </c>
      <c r="E94">
        <v>1</v>
      </c>
      <c r="F94">
        <v>1</v>
      </c>
      <c r="G94">
        <v>81789</v>
      </c>
      <c r="H94">
        <v>0</v>
      </c>
      <c r="I94">
        <v>1</v>
      </c>
      <c r="J94">
        <v>1</v>
      </c>
      <c r="K94">
        <v>34207</v>
      </c>
      <c r="L94">
        <v>0</v>
      </c>
    </row>
    <row r="95" spans="1:12">
      <c r="A95">
        <v>181464</v>
      </c>
      <c r="B95" t="s">
        <v>161</v>
      </c>
      <c r="C95" t="s">
        <v>285</v>
      </c>
      <c r="D95" t="s">
        <v>284</v>
      </c>
      <c r="E95">
        <v>1</v>
      </c>
      <c r="F95">
        <v>1</v>
      </c>
      <c r="G95">
        <v>794214</v>
      </c>
      <c r="H95">
        <v>0</v>
      </c>
      <c r="I95">
        <v>2</v>
      </c>
      <c r="J95">
        <v>2</v>
      </c>
      <c r="K95">
        <v>282788</v>
      </c>
      <c r="L95">
        <v>0</v>
      </c>
    </row>
    <row r="96" spans="1:12">
      <c r="A96">
        <v>181394</v>
      </c>
      <c r="B96" t="s">
        <v>162</v>
      </c>
      <c r="C96" t="s">
        <v>285</v>
      </c>
      <c r="D96" t="s">
        <v>284</v>
      </c>
      <c r="E96">
        <v>1</v>
      </c>
      <c r="F96">
        <v>1</v>
      </c>
      <c r="G96">
        <v>111133</v>
      </c>
      <c r="H96">
        <v>0</v>
      </c>
      <c r="I96">
        <v>2</v>
      </c>
      <c r="J96">
        <v>2</v>
      </c>
      <c r="K96">
        <v>120321</v>
      </c>
      <c r="L96">
        <v>0</v>
      </c>
    </row>
    <row r="97" spans="1:12">
      <c r="A97">
        <v>182290</v>
      </c>
      <c r="B97" t="s">
        <v>163</v>
      </c>
      <c r="C97" t="s">
        <v>285</v>
      </c>
      <c r="D97" t="s">
        <v>284</v>
      </c>
      <c r="E97">
        <v>1</v>
      </c>
      <c r="F97">
        <v>1</v>
      </c>
      <c r="G97">
        <v>129820</v>
      </c>
      <c r="H97">
        <v>0</v>
      </c>
      <c r="I97">
        <v>2</v>
      </c>
      <c r="J97">
        <v>2</v>
      </c>
      <c r="K97">
        <v>133116</v>
      </c>
      <c r="L97">
        <v>0</v>
      </c>
    </row>
    <row r="98" spans="1:12">
      <c r="A98">
        <v>183044</v>
      </c>
      <c r="B98" t="s">
        <v>164</v>
      </c>
      <c r="C98" t="s">
        <v>285</v>
      </c>
      <c r="D98" t="s">
        <v>284</v>
      </c>
      <c r="E98">
        <v>1</v>
      </c>
      <c r="F98">
        <v>1</v>
      </c>
      <c r="G98">
        <v>153270</v>
      </c>
      <c r="H98">
        <v>0</v>
      </c>
      <c r="I98">
        <v>2</v>
      </c>
      <c r="J98">
        <v>1.1000000000000001</v>
      </c>
      <c r="K98">
        <v>83130</v>
      </c>
      <c r="L98">
        <v>0</v>
      </c>
    </row>
    <row r="99" spans="1:12">
      <c r="A99">
        <v>187985</v>
      </c>
      <c r="B99" t="s">
        <v>165</v>
      </c>
      <c r="C99" t="s">
        <v>285</v>
      </c>
      <c r="D99" t="s">
        <v>284</v>
      </c>
      <c r="E99">
        <v>1</v>
      </c>
      <c r="F99">
        <v>0.54</v>
      </c>
      <c r="G99">
        <v>91997</v>
      </c>
      <c r="H99">
        <v>0</v>
      </c>
      <c r="I99">
        <v>2</v>
      </c>
      <c r="J99">
        <v>1.08</v>
      </c>
      <c r="K99">
        <v>66910</v>
      </c>
      <c r="L99">
        <v>0</v>
      </c>
    </row>
    <row r="100" spans="1:12">
      <c r="A100">
        <v>188030</v>
      </c>
      <c r="B100" t="s">
        <v>166</v>
      </c>
      <c r="C100" t="s">
        <v>285</v>
      </c>
      <c r="D100" t="s">
        <v>286</v>
      </c>
      <c r="E100">
        <v>1</v>
      </c>
      <c r="F100">
        <v>1</v>
      </c>
      <c r="G100">
        <v>149659</v>
      </c>
      <c r="H100">
        <v>0</v>
      </c>
      <c r="I100">
        <v>2</v>
      </c>
      <c r="J100">
        <v>2</v>
      </c>
      <c r="K100">
        <v>146298</v>
      </c>
      <c r="L100">
        <v>0</v>
      </c>
    </row>
    <row r="101" spans="1:12">
      <c r="A101">
        <v>159966</v>
      </c>
      <c r="B101" t="s">
        <v>168</v>
      </c>
      <c r="C101" t="s">
        <v>285</v>
      </c>
      <c r="D101" t="s">
        <v>284</v>
      </c>
      <c r="E101">
        <v>1</v>
      </c>
      <c r="F101">
        <v>1</v>
      </c>
      <c r="G101">
        <v>71605</v>
      </c>
      <c r="H101">
        <v>0</v>
      </c>
      <c r="I101">
        <v>1</v>
      </c>
      <c r="J101">
        <v>1</v>
      </c>
      <c r="K101">
        <v>39862</v>
      </c>
      <c r="L101">
        <v>0</v>
      </c>
    </row>
    <row r="102" spans="1:12">
      <c r="A102">
        <v>185828</v>
      </c>
      <c r="B102" t="s">
        <v>169</v>
      </c>
      <c r="C102" t="s">
        <v>285</v>
      </c>
      <c r="D102" t="s">
        <v>284</v>
      </c>
      <c r="E102">
        <v>1</v>
      </c>
      <c r="F102">
        <v>0.5</v>
      </c>
      <c r="G102">
        <v>44648</v>
      </c>
      <c r="H102">
        <v>0</v>
      </c>
      <c r="I102">
        <v>1</v>
      </c>
      <c r="J102">
        <v>0.75</v>
      </c>
      <c r="K102">
        <v>43088</v>
      </c>
      <c r="L102">
        <v>0</v>
      </c>
    </row>
    <row r="103" spans="1:12">
      <c r="A103">
        <v>199120</v>
      </c>
      <c r="B103" t="s">
        <v>172</v>
      </c>
      <c r="C103" t="s">
        <v>285</v>
      </c>
      <c r="D103" t="s">
        <v>284</v>
      </c>
      <c r="E103">
        <v>1</v>
      </c>
      <c r="F103">
        <v>1</v>
      </c>
      <c r="G103">
        <v>145477</v>
      </c>
      <c r="H103">
        <v>0</v>
      </c>
      <c r="I103">
        <v>2</v>
      </c>
      <c r="J103">
        <v>2</v>
      </c>
      <c r="K103">
        <v>134624</v>
      </c>
      <c r="L103">
        <v>0</v>
      </c>
    </row>
    <row r="104" spans="1:12">
      <c r="A104">
        <v>199102</v>
      </c>
      <c r="B104" t="s">
        <v>173</v>
      </c>
      <c r="C104" t="s">
        <v>285</v>
      </c>
      <c r="D104" t="s">
        <v>284</v>
      </c>
      <c r="E104">
        <v>1</v>
      </c>
      <c r="F104">
        <v>1</v>
      </c>
      <c r="G104">
        <v>72943</v>
      </c>
      <c r="H104">
        <v>0</v>
      </c>
      <c r="I104">
        <v>2</v>
      </c>
      <c r="J104">
        <v>2</v>
      </c>
      <c r="K104">
        <v>43044</v>
      </c>
      <c r="L104">
        <v>0</v>
      </c>
    </row>
    <row r="105" spans="1:12">
      <c r="A105">
        <v>199111</v>
      </c>
      <c r="B105" t="s">
        <v>275</v>
      </c>
      <c r="C105" t="s">
        <v>285</v>
      </c>
      <c r="D105" t="s">
        <v>284</v>
      </c>
      <c r="E105">
        <v>1</v>
      </c>
      <c r="F105">
        <v>1</v>
      </c>
      <c r="G105">
        <v>71193</v>
      </c>
      <c r="H105">
        <v>0</v>
      </c>
      <c r="I105">
        <v>1</v>
      </c>
      <c r="J105">
        <v>1</v>
      </c>
      <c r="K105">
        <v>48353</v>
      </c>
      <c r="L105">
        <v>0</v>
      </c>
    </row>
    <row r="106" spans="1:12">
      <c r="A106">
        <v>199157</v>
      </c>
      <c r="B106" t="s">
        <v>174</v>
      </c>
      <c r="C106" t="s">
        <v>285</v>
      </c>
      <c r="D106" t="s">
        <v>284</v>
      </c>
      <c r="E106">
        <v>1</v>
      </c>
      <c r="F106">
        <v>1</v>
      </c>
      <c r="G106">
        <v>80528</v>
      </c>
      <c r="H106">
        <v>0</v>
      </c>
      <c r="I106">
        <v>2</v>
      </c>
      <c r="J106">
        <v>1.5</v>
      </c>
      <c r="K106">
        <v>52283</v>
      </c>
      <c r="L106">
        <v>0</v>
      </c>
    </row>
    <row r="107" spans="1:12">
      <c r="A107">
        <v>199148</v>
      </c>
      <c r="B107" t="s">
        <v>276</v>
      </c>
      <c r="C107" t="s">
        <v>285</v>
      </c>
      <c r="D107" t="s">
        <v>284</v>
      </c>
      <c r="E107">
        <v>1</v>
      </c>
      <c r="F107">
        <v>1</v>
      </c>
      <c r="G107">
        <v>79059</v>
      </c>
      <c r="H107">
        <v>0</v>
      </c>
      <c r="I107">
        <v>2</v>
      </c>
      <c r="J107">
        <v>2</v>
      </c>
      <c r="K107">
        <v>64866</v>
      </c>
      <c r="L107">
        <v>0</v>
      </c>
    </row>
    <row r="108" spans="1:12">
      <c r="A108">
        <v>199193</v>
      </c>
      <c r="B108" t="s">
        <v>175</v>
      </c>
      <c r="C108" t="s">
        <v>285</v>
      </c>
      <c r="D108" t="s">
        <v>284</v>
      </c>
      <c r="E108">
        <v>1</v>
      </c>
      <c r="F108">
        <v>1</v>
      </c>
      <c r="G108">
        <v>161210</v>
      </c>
      <c r="H108">
        <v>0</v>
      </c>
      <c r="I108">
        <v>2</v>
      </c>
      <c r="J108">
        <v>2</v>
      </c>
      <c r="K108">
        <v>225401</v>
      </c>
      <c r="L108">
        <v>0</v>
      </c>
    </row>
    <row r="109" spans="1:12">
      <c r="A109">
        <v>199218</v>
      </c>
      <c r="B109" t="s">
        <v>176</v>
      </c>
      <c r="C109" t="s">
        <v>285</v>
      </c>
      <c r="D109" t="s">
        <v>284</v>
      </c>
      <c r="E109">
        <v>1</v>
      </c>
      <c r="F109">
        <v>0.6</v>
      </c>
      <c r="G109">
        <v>48668</v>
      </c>
      <c r="H109">
        <v>0</v>
      </c>
      <c r="I109">
        <v>3</v>
      </c>
      <c r="J109">
        <v>1.4</v>
      </c>
      <c r="K109">
        <v>100709</v>
      </c>
      <c r="L109">
        <v>0</v>
      </c>
    </row>
    <row r="110" spans="1:12">
      <c r="A110">
        <v>200280</v>
      </c>
      <c r="B110" t="s">
        <v>177</v>
      </c>
      <c r="C110" t="s">
        <v>285</v>
      </c>
      <c r="D110" t="s">
        <v>284</v>
      </c>
      <c r="E110">
        <v>1</v>
      </c>
      <c r="F110">
        <v>1</v>
      </c>
      <c r="G110">
        <v>163883</v>
      </c>
      <c r="H110">
        <v>0</v>
      </c>
      <c r="I110">
        <v>2</v>
      </c>
      <c r="J110">
        <v>2</v>
      </c>
      <c r="K110">
        <v>119315</v>
      </c>
      <c r="L110">
        <v>0</v>
      </c>
    </row>
    <row r="111" spans="1:12">
      <c r="A111">
        <v>200332</v>
      </c>
      <c r="B111" t="s">
        <v>178</v>
      </c>
      <c r="C111" t="s">
        <v>285</v>
      </c>
      <c r="D111" t="s">
        <v>284</v>
      </c>
      <c r="E111">
        <v>1</v>
      </c>
      <c r="F111">
        <v>1</v>
      </c>
      <c r="G111">
        <v>127291</v>
      </c>
      <c r="H111">
        <v>0</v>
      </c>
      <c r="I111">
        <v>2</v>
      </c>
      <c r="J111">
        <v>2</v>
      </c>
      <c r="K111">
        <v>133123</v>
      </c>
      <c r="L111">
        <v>0</v>
      </c>
    </row>
    <row r="112" spans="1:12">
      <c r="A112">
        <v>136172</v>
      </c>
      <c r="B112" t="s">
        <v>179</v>
      </c>
      <c r="C112" t="s">
        <v>285</v>
      </c>
      <c r="D112" t="s">
        <v>284</v>
      </c>
      <c r="E112">
        <v>1</v>
      </c>
      <c r="F112">
        <v>0.5</v>
      </c>
      <c r="G112">
        <v>59370</v>
      </c>
      <c r="H112">
        <v>0</v>
      </c>
      <c r="I112">
        <v>2</v>
      </c>
      <c r="J112">
        <v>1.5</v>
      </c>
      <c r="K112">
        <v>60883</v>
      </c>
      <c r="L112">
        <v>0</v>
      </c>
    </row>
    <row r="113" spans="1:12">
      <c r="A113">
        <v>227216</v>
      </c>
      <c r="B113" t="s">
        <v>180</v>
      </c>
      <c r="C113" t="s">
        <v>285</v>
      </c>
      <c r="D113" t="s">
        <v>284</v>
      </c>
      <c r="E113">
        <v>1</v>
      </c>
      <c r="F113">
        <v>1</v>
      </c>
      <c r="G113">
        <v>104942</v>
      </c>
      <c r="H113">
        <v>0</v>
      </c>
      <c r="I113">
        <v>2</v>
      </c>
      <c r="J113">
        <v>2</v>
      </c>
      <c r="K113">
        <v>79526</v>
      </c>
      <c r="L113">
        <v>0</v>
      </c>
    </row>
    <row r="114" spans="1:12">
      <c r="A114">
        <v>105330</v>
      </c>
      <c r="B114" t="s">
        <v>181</v>
      </c>
      <c r="C114" t="s">
        <v>285</v>
      </c>
      <c r="D114" t="s">
        <v>284</v>
      </c>
      <c r="E114">
        <v>1</v>
      </c>
      <c r="F114">
        <v>1</v>
      </c>
      <c r="G114">
        <v>137344</v>
      </c>
      <c r="H114">
        <v>0</v>
      </c>
      <c r="I114">
        <v>2</v>
      </c>
      <c r="J114">
        <v>2</v>
      </c>
      <c r="K114">
        <v>117851</v>
      </c>
      <c r="L114">
        <v>0</v>
      </c>
    </row>
    <row r="115" spans="1:12">
      <c r="A115">
        <v>127741</v>
      </c>
      <c r="B115" t="s">
        <v>182</v>
      </c>
      <c r="C115" t="s">
        <v>285</v>
      </c>
      <c r="D115" t="s">
        <v>284</v>
      </c>
      <c r="E115">
        <v>1</v>
      </c>
      <c r="F115">
        <v>1</v>
      </c>
      <c r="G115">
        <v>152919</v>
      </c>
      <c r="H115">
        <v>0</v>
      </c>
      <c r="I115">
        <v>2</v>
      </c>
      <c r="J115">
        <v>2</v>
      </c>
      <c r="K115">
        <v>108265</v>
      </c>
      <c r="L115">
        <v>0</v>
      </c>
    </row>
    <row r="116" spans="1:12">
      <c r="A116">
        <v>154095</v>
      </c>
      <c r="B116" t="s">
        <v>184</v>
      </c>
      <c r="C116" t="s">
        <v>285</v>
      </c>
      <c r="D116" t="s">
        <v>284</v>
      </c>
      <c r="E116">
        <v>1</v>
      </c>
      <c r="F116">
        <v>1</v>
      </c>
      <c r="G116">
        <v>195634</v>
      </c>
      <c r="H116">
        <v>0</v>
      </c>
      <c r="I116">
        <v>2</v>
      </c>
      <c r="J116">
        <v>2</v>
      </c>
      <c r="K116">
        <v>144530</v>
      </c>
      <c r="L116">
        <v>0</v>
      </c>
    </row>
    <row r="117" spans="1:12">
      <c r="A117">
        <v>160038</v>
      </c>
      <c r="B117" t="s">
        <v>185</v>
      </c>
      <c r="C117" t="s">
        <v>285</v>
      </c>
      <c r="D117" t="s">
        <v>284</v>
      </c>
      <c r="E117">
        <v>1</v>
      </c>
      <c r="F117">
        <v>0.9</v>
      </c>
      <c r="G117">
        <v>82318</v>
      </c>
      <c r="H117">
        <v>0</v>
      </c>
      <c r="I117">
        <v>1</v>
      </c>
      <c r="J117">
        <v>0.9</v>
      </c>
      <c r="K117">
        <v>45829</v>
      </c>
      <c r="L117">
        <v>0</v>
      </c>
    </row>
    <row r="118" spans="1:12">
      <c r="A118">
        <v>171571</v>
      </c>
      <c r="B118" t="s">
        <v>186</v>
      </c>
      <c r="C118" t="s">
        <v>285</v>
      </c>
      <c r="D118" t="s">
        <v>284</v>
      </c>
      <c r="E118">
        <v>1</v>
      </c>
      <c r="F118">
        <v>1</v>
      </c>
      <c r="G118">
        <v>108544</v>
      </c>
      <c r="H118">
        <v>0</v>
      </c>
      <c r="I118">
        <v>2</v>
      </c>
      <c r="J118">
        <v>1.5</v>
      </c>
      <c r="K118">
        <v>86579</v>
      </c>
      <c r="L118">
        <v>0</v>
      </c>
    </row>
    <row r="119" spans="1:12">
      <c r="A119">
        <v>204857</v>
      </c>
      <c r="B119" t="s">
        <v>187</v>
      </c>
      <c r="C119" t="s">
        <v>285</v>
      </c>
      <c r="D119" t="s">
        <v>284</v>
      </c>
      <c r="E119">
        <v>1</v>
      </c>
      <c r="F119">
        <v>1</v>
      </c>
      <c r="G119">
        <v>178342</v>
      </c>
      <c r="H119">
        <v>0</v>
      </c>
      <c r="I119">
        <v>3</v>
      </c>
      <c r="J119">
        <v>2.5</v>
      </c>
      <c r="K119">
        <v>148886</v>
      </c>
      <c r="L119">
        <v>0</v>
      </c>
    </row>
    <row r="120" spans="1:12">
      <c r="A120">
        <v>204796</v>
      </c>
      <c r="B120" t="s">
        <v>188</v>
      </c>
      <c r="C120" t="s">
        <v>285</v>
      </c>
      <c r="D120" t="s">
        <v>284</v>
      </c>
      <c r="E120">
        <v>1</v>
      </c>
      <c r="F120">
        <v>1</v>
      </c>
      <c r="G120">
        <v>375101</v>
      </c>
      <c r="H120">
        <v>0</v>
      </c>
      <c r="I120">
        <v>2</v>
      </c>
      <c r="J120">
        <v>2</v>
      </c>
      <c r="K120">
        <v>253403</v>
      </c>
      <c r="L120">
        <v>0</v>
      </c>
    </row>
    <row r="121" spans="1:12">
      <c r="A121">
        <v>207500</v>
      </c>
      <c r="B121" t="s">
        <v>189</v>
      </c>
      <c r="C121" t="s">
        <v>285</v>
      </c>
      <c r="D121" t="s">
        <v>284</v>
      </c>
      <c r="E121">
        <v>1</v>
      </c>
      <c r="F121">
        <v>1</v>
      </c>
      <c r="G121">
        <v>196908</v>
      </c>
      <c r="H121">
        <v>0</v>
      </c>
      <c r="I121">
        <v>2</v>
      </c>
      <c r="J121">
        <v>2</v>
      </c>
      <c r="K121">
        <v>151302</v>
      </c>
      <c r="L121">
        <v>0</v>
      </c>
    </row>
    <row r="122" spans="1:12">
      <c r="A122">
        <v>209551</v>
      </c>
      <c r="B122" t="s">
        <v>192</v>
      </c>
      <c r="C122" t="s">
        <v>285</v>
      </c>
      <c r="D122" t="s">
        <v>284</v>
      </c>
      <c r="E122">
        <v>1</v>
      </c>
      <c r="F122">
        <v>1</v>
      </c>
      <c r="G122">
        <v>237021</v>
      </c>
      <c r="H122">
        <v>3750</v>
      </c>
      <c r="I122">
        <v>2</v>
      </c>
      <c r="J122">
        <v>1.75</v>
      </c>
      <c r="K122">
        <v>272162</v>
      </c>
      <c r="L122">
        <v>4750</v>
      </c>
    </row>
    <row r="123" spans="1:12">
      <c r="A123">
        <v>209542</v>
      </c>
      <c r="B123" t="s">
        <v>193</v>
      </c>
      <c r="C123" t="s">
        <v>285</v>
      </c>
      <c r="D123" t="s">
        <v>284</v>
      </c>
      <c r="E123">
        <v>1</v>
      </c>
      <c r="F123">
        <v>1</v>
      </c>
      <c r="G123">
        <v>266767</v>
      </c>
      <c r="H123">
        <v>0</v>
      </c>
      <c r="I123">
        <v>2</v>
      </c>
      <c r="J123">
        <v>2</v>
      </c>
      <c r="K123">
        <v>195380</v>
      </c>
      <c r="L123">
        <v>0</v>
      </c>
    </row>
    <row r="124" spans="1:12">
      <c r="A124">
        <v>209807</v>
      </c>
      <c r="B124" t="s">
        <v>195</v>
      </c>
      <c r="C124" t="s">
        <v>285</v>
      </c>
      <c r="D124" t="s">
        <v>284</v>
      </c>
      <c r="E124">
        <v>1</v>
      </c>
      <c r="F124">
        <v>1</v>
      </c>
      <c r="G124">
        <v>141027</v>
      </c>
      <c r="H124">
        <v>0</v>
      </c>
      <c r="I124">
        <v>2</v>
      </c>
      <c r="J124">
        <v>2</v>
      </c>
      <c r="K124">
        <v>116602</v>
      </c>
      <c r="L124">
        <v>0</v>
      </c>
    </row>
    <row r="125" spans="1:12">
      <c r="A125">
        <v>227526</v>
      </c>
      <c r="B125" t="s">
        <v>196</v>
      </c>
      <c r="C125" t="s">
        <v>285</v>
      </c>
      <c r="D125" t="s">
        <v>284</v>
      </c>
      <c r="E125">
        <v>1</v>
      </c>
      <c r="F125">
        <v>1</v>
      </c>
      <c r="G125">
        <v>66015</v>
      </c>
      <c r="H125">
        <v>0</v>
      </c>
      <c r="I125">
        <v>2</v>
      </c>
      <c r="J125">
        <v>1.5</v>
      </c>
      <c r="K125">
        <v>37992</v>
      </c>
      <c r="L125">
        <v>0</v>
      </c>
    </row>
    <row r="126" spans="1:12">
      <c r="A126">
        <v>243780</v>
      </c>
      <c r="B126" t="s">
        <v>197</v>
      </c>
      <c r="C126" t="s">
        <v>285</v>
      </c>
      <c r="D126" t="s">
        <v>284</v>
      </c>
      <c r="E126">
        <v>1</v>
      </c>
      <c r="F126">
        <v>1</v>
      </c>
      <c r="G126">
        <v>263902</v>
      </c>
      <c r="H126">
        <v>7976</v>
      </c>
      <c r="I126">
        <v>2</v>
      </c>
      <c r="J126">
        <v>2</v>
      </c>
      <c r="K126">
        <v>192602</v>
      </c>
      <c r="L126">
        <v>6565</v>
      </c>
    </row>
    <row r="127" spans="1:12">
      <c r="A127">
        <v>151102</v>
      </c>
      <c r="B127" t="s">
        <v>198</v>
      </c>
      <c r="C127" t="s">
        <v>285</v>
      </c>
      <c r="D127" t="s">
        <v>284</v>
      </c>
      <c r="E127">
        <v>1</v>
      </c>
      <c r="F127">
        <v>1</v>
      </c>
      <c r="G127">
        <v>86221</v>
      </c>
      <c r="H127">
        <v>0</v>
      </c>
      <c r="I127">
        <v>1</v>
      </c>
      <c r="J127">
        <v>1</v>
      </c>
      <c r="K127">
        <v>52245</v>
      </c>
      <c r="L127">
        <v>0</v>
      </c>
    </row>
    <row r="128" spans="1:12" ht="16">
      <c r="A128">
        <v>233277</v>
      </c>
      <c r="B128" s="49" t="s">
        <v>199</v>
      </c>
      <c r="C128" s="49" t="s">
        <v>285</v>
      </c>
      <c r="D128" s="51" t="s">
        <v>284</v>
      </c>
      <c r="E128" s="50">
        <v>1</v>
      </c>
      <c r="F128" s="50">
        <v>1</v>
      </c>
      <c r="G128" s="50">
        <v>101191</v>
      </c>
      <c r="H128" s="25">
        <v>0</v>
      </c>
      <c r="I128" s="50">
        <v>1</v>
      </c>
      <c r="J128" s="50">
        <v>1</v>
      </c>
      <c r="K128" s="50">
        <v>47798</v>
      </c>
      <c r="L128">
        <v>0</v>
      </c>
    </row>
    <row r="129" spans="1:12">
      <c r="A129">
        <v>217484</v>
      </c>
      <c r="B129" t="s">
        <v>200</v>
      </c>
      <c r="C129" t="s">
        <v>285</v>
      </c>
      <c r="D129" t="s">
        <v>284</v>
      </c>
      <c r="E129">
        <v>1</v>
      </c>
      <c r="F129">
        <v>1</v>
      </c>
      <c r="G129">
        <v>72054</v>
      </c>
      <c r="H129">
        <v>0</v>
      </c>
      <c r="I129">
        <v>2</v>
      </c>
      <c r="J129">
        <v>1.5</v>
      </c>
      <c r="K129">
        <v>72705</v>
      </c>
      <c r="L129">
        <v>0</v>
      </c>
    </row>
    <row r="130" spans="1:12">
      <c r="A130">
        <v>186380</v>
      </c>
      <c r="B130" t="s">
        <v>201</v>
      </c>
      <c r="C130" t="s">
        <v>285</v>
      </c>
      <c r="D130" t="s">
        <v>284</v>
      </c>
      <c r="E130">
        <v>1</v>
      </c>
      <c r="F130">
        <v>1</v>
      </c>
      <c r="G130">
        <v>147746</v>
      </c>
      <c r="H130">
        <v>15000</v>
      </c>
      <c r="I130">
        <v>3</v>
      </c>
      <c r="J130">
        <v>3</v>
      </c>
      <c r="K130">
        <v>156242</v>
      </c>
      <c r="L130">
        <v>8400</v>
      </c>
    </row>
    <row r="131" spans="1:12">
      <c r="A131">
        <v>110617</v>
      </c>
      <c r="B131" t="s">
        <v>202</v>
      </c>
      <c r="C131" t="s">
        <v>285</v>
      </c>
      <c r="D131" t="s">
        <v>284</v>
      </c>
      <c r="E131">
        <v>1</v>
      </c>
      <c r="F131">
        <v>0.7</v>
      </c>
      <c r="G131">
        <v>84296</v>
      </c>
      <c r="H131">
        <v>0</v>
      </c>
      <c r="I131">
        <v>3</v>
      </c>
      <c r="J131">
        <v>1.74</v>
      </c>
      <c r="K131">
        <v>156741</v>
      </c>
      <c r="L131">
        <v>0</v>
      </c>
    </row>
    <row r="132" spans="1:12">
      <c r="A132">
        <v>227881</v>
      </c>
      <c r="B132" t="s">
        <v>203</v>
      </c>
      <c r="C132" t="s">
        <v>285</v>
      </c>
      <c r="D132" t="s">
        <v>284</v>
      </c>
      <c r="E132">
        <v>1</v>
      </c>
      <c r="F132">
        <v>1</v>
      </c>
      <c r="G132">
        <v>128610</v>
      </c>
      <c r="H132">
        <v>0</v>
      </c>
      <c r="I132">
        <v>1</v>
      </c>
      <c r="J132">
        <v>1</v>
      </c>
      <c r="K132">
        <v>55252</v>
      </c>
      <c r="L132">
        <v>0</v>
      </c>
    </row>
    <row r="133" spans="1:12">
      <c r="A133">
        <v>122409</v>
      </c>
      <c r="B133" t="s">
        <v>204</v>
      </c>
      <c r="C133" t="s">
        <v>285</v>
      </c>
      <c r="D133" t="s">
        <v>284</v>
      </c>
      <c r="E133">
        <v>1</v>
      </c>
      <c r="F133">
        <v>1</v>
      </c>
      <c r="G133">
        <v>212826</v>
      </c>
      <c r="H133">
        <v>0</v>
      </c>
      <c r="I133">
        <v>2</v>
      </c>
      <c r="J133">
        <v>2</v>
      </c>
      <c r="K133">
        <v>179036</v>
      </c>
      <c r="L133">
        <v>0</v>
      </c>
    </row>
    <row r="134" spans="1:12">
      <c r="A134">
        <v>122755</v>
      </c>
      <c r="B134" t="s">
        <v>205</v>
      </c>
      <c r="C134" t="s">
        <v>285</v>
      </c>
      <c r="D134" t="s">
        <v>284</v>
      </c>
      <c r="E134">
        <v>1</v>
      </c>
      <c r="F134">
        <v>1</v>
      </c>
      <c r="G134">
        <v>142178</v>
      </c>
      <c r="H134">
        <v>0</v>
      </c>
      <c r="I134">
        <v>1</v>
      </c>
      <c r="J134">
        <v>0.5</v>
      </c>
      <c r="K134">
        <v>52456</v>
      </c>
      <c r="L134">
        <v>0</v>
      </c>
    </row>
    <row r="135" spans="1:12">
      <c r="A135">
        <v>102094</v>
      </c>
      <c r="B135" s="49" t="s">
        <v>207</v>
      </c>
      <c r="C135" s="49" t="s">
        <v>285</v>
      </c>
      <c r="D135" s="48" t="s">
        <v>284</v>
      </c>
      <c r="E135" s="23">
        <v>1</v>
      </c>
      <c r="F135" s="23">
        <v>1</v>
      </c>
      <c r="G135" s="23">
        <v>83086</v>
      </c>
      <c r="H135" s="29">
        <v>0</v>
      </c>
      <c r="I135" s="23">
        <v>2</v>
      </c>
      <c r="J135" s="23">
        <v>2</v>
      </c>
      <c r="K135" s="23">
        <v>84541</v>
      </c>
      <c r="L135" s="29">
        <v>0</v>
      </c>
    </row>
    <row r="136" spans="1:12">
      <c r="A136">
        <v>218663</v>
      </c>
      <c r="B136" t="s">
        <v>208</v>
      </c>
      <c r="C136" t="s">
        <v>285</v>
      </c>
      <c r="D136" t="s">
        <v>284</v>
      </c>
      <c r="E136">
        <v>1</v>
      </c>
      <c r="F136">
        <v>1</v>
      </c>
      <c r="G136">
        <v>152849</v>
      </c>
      <c r="H136">
        <v>0</v>
      </c>
      <c r="I136">
        <v>2</v>
      </c>
      <c r="J136">
        <v>2</v>
      </c>
      <c r="K136">
        <v>149037</v>
      </c>
      <c r="L136">
        <v>0</v>
      </c>
    </row>
    <row r="137" spans="1:12">
      <c r="A137">
        <v>218742</v>
      </c>
      <c r="B137" t="s">
        <v>210</v>
      </c>
      <c r="C137" t="s">
        <v>285</v>
      </c>
      <c r="D137" t="s">
        <v>284</v>
      </c>
      <c r="E137">
        <v>1</v>
      </c>
      <c r="F137">
        <v>1</v>
      </c>
      <c r="G137">
        <v>65380</v>
      </c>
      <c r="H137">
        <v>0</v>
      </c>
      <c r="I137">
        <v>0</v>
      </c>
      <c r="J137">
        <v>1</v>
      </c>
      <c r="K137">
        <v>31542</v>
      </c>
      <c r="L137">
        <v>0</v>
      </c>
    </row>
    <row r="138" spans="1:12">
      <c r="A138">
        <v>219471</v>
      </c>
      <c r="B138" t="s">
        <v>211</v>
      </c>
      <c r="C138" t="s">
        <v>285</v>
      </c>
      <c r="D138" t="s">
        <v>284</v>
      </c>
      <c r="E138">
        <v>1</v>
      </c>
      <c r="F138">
        <v>1</v>
      </c>
      <c r="G138">
        <v>99441</v>
      </c>
      <c r="H138">
        <v>0</v>
      </c>
      <c r="I138">
        <v>2</v>
      </c>
      <c r="J138">
        <v>1.25</v>
      </c>
      <c r="K138">
        <v>77970</v>
      </c>
      <c r="L138">
        <v>0</v>
      </c>
    </row>
    <row r="139" spans="1:12">
      <c r="A139">
        <v>219356</v>
      </c>
      <c r="B139" t="s">
        <v>212</v>
      </c>
      <c r="C139" t="s">
        <v>285</v>
      </c>
      <c r="D139" t="s">
        <v>284</v>
      </c>
      <c r="E139">
        <v>1</v>
      </c>
      <c r="F139">
        <v>1</v>
      </c>
      <c r="G139">
        <v>89875</v>
      </c>
      <c r="H139">
        <v>0</v>
      </c>
      <c r="I139">
        <v>2</v>
      </c>
      <c r="J139">
        <v>1.25</v>
      </c>
      <c r="K139">
        <v>54812</v>
      </c>
      <c r="L139">
        <v>0</v>
      </c>
    </row>
    <row r="140" spans="1:12">
      <c r="A140">
        <v>137351</v>
      </c>
      <c r="B140" t="s">
        <v>213</v>
      </c>
      <c r="C140" t="s">
        <v>285</v>
      </c>
      <c r="D140" t="s">
        <v>284</v>
      </c>
      <c r="E140">
        <v>1</v>
      </c>
      <c r="F140">
        <v>1</v>
      </c>
      <c r="G140">
        <v>126114</v>
      </c>
      <c r="H140">
        <v>0</v>
      </c>
      <c r="I140">
        <v>2</v>
      </c>
      <c r="J140">
        <v>2</v>
      </c>
      <c r="K140">
        <v>118925</v>
      </c>
      <c r="L140">
        <v>0</v>
      </c>
    </row>
    <row r="141" spans="1:12">
      <c r="A141">
        <v>179557</v>
      </c>
      <c r="B141" t="s">
        <v>214</v>
      </c>
      <c r="C141" t="s">
        <v>285</v>
      </c>
      <c r="D141" t="s">
        <v>284</v>
      </c>
      <c r="E141">
        <v>1</v>
      </c>
      <c r="F141">
        <v>1</v>
      </c>
      <c r="G141">
        <v>77659</v>
      </c>
      <c r="H141">
        <v>4850</v>
      </c>
      <c r="I141">
        <v>2</v>
      </c>
      <c r="J141">
        <v>2</v>
      </c>
      <c r="K141">
        <v>87608</v>
      </c>
      <c r="L141">
        <v>0</v>
      </c>
    </row>
    <row r="142" spans="1:12">
      <c r="A142">
        <v>160621</v>
      </c>
      <c r="B142" t="s">
        <v>216</v>
      </c>
      <c r="C142" t="s">
        <v>285</v>
      </c>
      <c r="D142" t="s">
        <v>284</v>
      </c>
      <c r="E142">
        <v>1</v>
      </c>
      <c r="F142">
        <v>1</v>
      </c>
      <c r="G142">
        <v>69404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149231</v>
      </c>
      <c r="B143" t="s">
        <v>218</v>
      </c>
      <c r="C143" t="s">
        <v>285</v>
      </c>
      <c r="D143" t="s">
        <v>284</v>
      </c>
      <c r="E143">
        <v>1</v>
      </c>
      <c r="F143">
        <v>1</v>
      </c>
      <c r="G143">
        <v>69875</v>
      </c>
      <c r="H143">
        <v>0</v>
      </c>
      <c r="I143">
        <v>2</v>
      </c>
      <c r="J143">
        <v>2</v>
      </c>
      <c r="K143">
        <v>75800</v>
      </c>
      <c r="L143">
        <v>0</v>
      </c>
    </row>
    <row r="144" spans="1:12">
      <c r="A144">
        <v>176372</v>
      </c>
      <c r="B144" t="s">
        <v>219</v>
      </c>
      <c r="C144" t="s">
        <v>285</v>
      </c>
      <c r="D144" t="s">
        <v>284</v>
      </c>
      <c r="E144">
        <v>1</v>
      </c>
      <c r="F144">
        <v>1</v>
      </c>
      <c r="G144">
        <v>89709</v>
      </c>
      <c r="H144">
        <v>0</v>
      </c>
      <c r="I144">
        <v>1</v>
      </c>
      <c r="J144">
        <v>1</v>
      </c>
      <c r="K144">
        <v>49854</v>
      </c>
      <c r="L144">
        <v>0</v>
      </c>
    </row>
    <row r="145" spans="1:12">
      <c r="A145">
        <v>230603</v>
      </c>
      <c r="B145" t="s">
        <v>220</v>
      </c>
      <c r="C145" t="s">
        <v>285</v>
      </c>
      <c r="D145" t="s">
        <v>284</v>
      </c>
      <c r="E145">
        <v>1</v>
      </c>
      <c r="F145">
        <v>1</v>
      </c>
      <c r="G145">
        <v>73769</v>
      </c>
      <c r="H145">
        <v>0</v>
      </c>
      <c r="I145">
        <v>2</v>
      </c>
      <c r="J145">
        <v>2</v>
      </c>
      <c r="K145">
        <v>84315</v>
      </c>
      <c r="L145">
        <v>0</v>
      </c>
    </row>
    <row r="146" spans="1:12">
      <c r="A146">
        <v>228431</v>
      </c>
      <c r="B146" t="s">
        <v>221</v>
      </c>
      <c r="C146" t="s">
        <v>285</v>
      </c>
      <c r="D146" t="s">
        <v>284</v>
      </c>
      <c r="E146">
        <v>1</v>
      </c>
      <c r="F146">
        <v>1</v>
      </c>
      <c r="G146">
        <v>101988</v>
      </c>
      <c r="H146">
        <v>0</v>
      </c>
      <c r="I146">
        <v>2</v>
      </c>
      <c r="J146">
        <v>2</v>
      </c>
      <c r="K146">
        <v>111576</v>
      </c>
      <c r="L146">
        <v>0</v>
      </c>
    </row>
    <row r="147" spans="1:12">
      <c r="A147">
        <v>196097</v>
      </c>
      <c r="B147" t="s">
        <v>222</v>
      </c>
      <c r="C147" t="s">
        <v>285</v>
      </c>
      <c r="D147" t="s">
        <v>284</v>
      </c>
      <c r="E147">
        <v>1</v>
      </c>
      <c r="F147">
        <v>1</v>
      </c>
      <c r="G147">
        <v>124155</v>
      </c>
      <c r="H147">
        <v>0</v>
      </c>
      <c r="I147">
        <v>2</v>
      </c>
      <c r="J147">
        <v>1.65</v>
      </c>
      <c r="K147">
        <v>76421</v>
      </c>
      <c r="L147">
        <v>0</v>
      </c>
    </row>
    <row r="148" spans="1:12">
      <c r="A148">
        <v>221759</v>
      </c>
      <c r="B148" t="s">
        <v>223</v>
      </c>
      <c r="C148" t="s">
        <v>285</v>
      </c>
      <c r="D148" t="s">
        <v>284</v>
      </c>
      <c r="E148">
        <v>1</v>
      </c>
      <c r="F148">
        <v>1</v>
      </c>
      <c r="G148">
        <v>250835</v>
      </c>
      <c r="H148">
        <v>0</v>
      </c>
      <c r="I148">
        <v>2</v>
      </c>
      <c r="J148">
        <v>2</v>
      </c>
      <c r="K148">
        <v>197264</v>
      </c>
      <c r="L148">
        <v>0</v>
      </c>
    </row>
    <row r="149" spans="1:12">
      <c r="A149">
        <v>221740</v>
      </c>
      <c r="B149" t="s">
        <v>224</v>
      </c>
      <c r="C149" t="s">
        <v>285</v>
      </c>
      <c r="D149" t="s">
        <v>284</v>
      </c>
      <c r="E149">
        <v>1</v>
      </c>
      <c r="F149">
        <v>1</v>
      </c>
      <c r="G149">
        <v>113580</v>
      </c>
      <c r="H149">
        <v>0</v>
      </c>
      <c r="I149">
        <v>2</v>
      </c>
      <c r="J149">
        <v>2</v>
      </c>
      <c r="K149">
        <v>112220</v>
      </c>
      <c r="L149">
        <v>0</v>
      </c>
    </row>
    <row r="150" spans="1:12">
      <c r="A150">
        <v>221847</v>
      </c>
      <c r="B150" t="s">
        <v>227</v>
      </c>
      <c r="C150" t="s">
        <v>285</v>
      </c>
      <c r="D150" t="s">
        <v>284</v>
      </c>
      <c r="E150">
        <v>1</v>
      </c>
      <c r="F150">
        <v>0.7</v>
      </c>
      <c r="G150">
        <v>64240</v>
      </c>
      <c r="H150">
        <v>0</v>
      </c>
      <c r="I150">
        <v>2</v>
      </c>
      <c r="J150">
        <v>1.8</v>
      </c>
      <c r="K150">
        <v>59617</v>
      </c>
      <c r="L150">
        <v>0</v>
      </c>
    </row>
    <row r="151" spans="1:12">
      <c r="A151">
        <v>228778</v>
      </c>
      <c r="B151" t="s">
        <v>228</v>
      </c>
      <c r="C151" t="s">
        <v>285</v>
      </c>
      <c r="D151" t="s">
        <v>284</v>
      </c>
      <c r="E151">
        <v>1</v>
      </c>
      <c r="F151">
        <v>1</v>
      </c>
      <c r="G151">
        <v>749559</v>
      </c>
      <c r="H151">
        <v>0</v>
      </c>
      <c r="I151">
        <v>2</v>
      </c>
      <c r="J151">
        <v>2</v>
      </c>
      <c r="K151">
        <v>444171</v>
      </c>
      <c r="L151">
        <v>0</v>
      </c>
    </row>
    <row r="152" spans="1:12">
      <c r="A152">
        <v>228723</v>
      </c>
      <c r="B152" t="s">
        <v>229</v>
      </c>
      <c r="C152" t="s">
        <v>285</v>
      </c>
      <c r="D152" t="s">
        <v>284</v>
      </c>
      <c r="E152">
        <v>1</v>
      </c>
      <c r="F152">
        <v>1</v>
      </c>
      <c r="G152">
        <v>242838</v>
      </c>
      <c r="H152">
        <v>0</v>
      </c>
      <c r="I152">
        <v>2</v>
      </c>
      <c r="J152">
        <v>2</v>
      </c>
      <c r="K152">
        <v>274959</v>
      </c>
      <c r="L152">
        <v>0</v>
      </c>
    </row>
    <row r="153" spans="1:12">
      <c r="A153">
        <v>224147</v>
      </c>
      <c r="B153" t="s">
        <v>230</v>
      </c>
      <c r="C153" t="s">
        <v>285</v>
      </c>
      <c r="D153" t="s">
        <v>284</v>
      </c>
      <c r="E153">
        <v>0</v>
      </c>
      <c r="F153">
        <v>0</v>
      </c>
      <c r="G153">
        <v>44258</v>
      </c>
      <c r="H153">
        <v>0</v>
      </c>
      <c r="I153">
        <v>0</v>
      </c>
      <c r="J153">
        <v>0</v>
      </c>
      <c r="K153">
        <v>69012</v>
      </c>
      <c r="L153">
        <v>0</v>
      </c>
    </row>
    <row r="154" spans="1:12">
      <c r="A154">
        <v>228769</v>
      </c>
      <c r="B154" t="s">
        <v>231</v>
      </c>
      <c r="C154" t="s">
        <v>285</v>
      </c>
      <c r="D154" t="s">
        <v>284</v>
      </c>
      <c r="E154">
        <v>1</v>
      </c>
      <c r="F154">
        <v>1</v>
      </c>
      <c r="G154">
        <v>105494</v>
      </c>
      <c r="H154">
        <v>0</v>
      </c>
      <c r="I154">
        <v>2</v>
      </c>
      <c r="J154">
        <v>2</v>
      </c>
      <c r="K154">
        <v>97380</v>
      </c>
      <c r="L154">
        <v>0</v>
      </c>
    </row>
    <row r="155" spans="1:12">
      <c r="A155">
        <v>229063</v>
      </c>
      <c r="B155" t="s">
        <v>232</v>
      </c>
      <c r="C155" t="s">
        <v>285</v>
      </c>
      <c r="D155" t="s">
        <v>284</v>
      </c>
      <c r="E155">
        <v>1</v>
      </c>
      <c r="F155">
        <v>1</v>
      </c>
      <c r="G155">
        <v>104484</v>
      </c>
      <c r="H155">
        <v>0</v>
      </c>
      <c r="I155">
        <v>2</v>
      </c>
      <c r="J155">
        <v>0.5</v>
      </c>
      <c r="K155">
        <v>17668</v>
      </c>
      <c r="L155">
        <v>0</v>
      </c>
    </row>
    <row r="156" spans="1:12">
      <c r="A156">
        <v>228459</v>
      </c>
      <c r="B156" t="s">
        <v>233</v>
      </c>
      <c r="C156" t="s">
        <v>285</v>
      </c>
      <c r="D156" t="s">
        <v>284</v>
      </c>
      <c r="E156">
        <v>1</v>
      </c>
      <c r="F156">
        <v>1</v>
      </c>
      <c r="G156">
        <v>115142</v>
      </c>
      <c r="H156">
        <v>0</v>
      </c>
      <c r="I156">
        <v>2</v>
      </c>
      <c r="J156">
        <v>2</v>
      </c>
      <c r="K156">
        <v>133296</v>
      </c>
      <c r="L156">
        <v>0</v>
      </c>
    </row>
    <row r="157" spans="1:12">
      <c r="A157">
        <v>229115</v>
      </c>
      <c r="B157" t="s">
        <v>234</v>
      </c>
      <c r="C157" t="s">
        <v>285</v>
      </c>
      <c r="D157" t="s">
        <v>284</v>
      </c>
      <c r="E157">
        <v>1</v>
      </c>
      <c r="F157">
        <v>1</v>
      </c>
      <c r="G157">
        <v>172767</v>
      </c>
      <c r="H157">
        <v>0</v>
      </c>
      <c r="I157">
        <v>2</v>
      </c>
      <c r="J157">
        <v>2</v>
      </c>
      <c r="K157">
        <v>173688</v>
      </c>
      <c r="L157">
        <v>0</v>
      </c>
    </row>
    <row r="158" spans="1:12">
      <c r="A158">
        <v>206084</v>
      </c>
      <c r="B158" t="s">
        <v>235</v>
      </c>
      <c r="C158" t="s">
        <v>285</v>
      </c>
      <c r="D158" t="s">
        <v>284</v>
      </c>
      <c r="E158">
        <v>1</v>
      </c>
      <c r="F158">
        <v>1</v>
      </c>
      <c r="G158">
        <v>109258</v>
      </c>
      <c r="H158">
        <v>0</v>
      </c>
      <c r="I158">
        <v>2</v>
      </c>
      <c r="J158">
        <v>2</v>
      </c>
      <c r="K158">
        <v>111438</v>
      </c>
      <c r="L158">
        <v>0</v>
      </c>
    </row>
    <row r="159" spans="1:12">
      <c r="A159">
        <v>164076</v>
      </c>
      <c r="B159" t="s">
        <v>236</v>
      </c>
      <c r="C159" t="s">
        <v>285</v>
      </c>
      <c r="D159" t="s">
        <v>284</v>
      </c>
      <c r="E159">
        <v>1</v>
      </c>
      <c r="F159">
        <v>1</v>
      </c>
      <c r="G159">
        <v>114230</v>
      </c>
      <c r="H159">
        <v>0</v>
      </c>
      <c r="I159">
        <v>2</v>
      </c>
      <c r="J159">
        <v>2</v>
      </c>
      <c r="K159">
        <v>112380</v>
      </c>
      <c r="L159">
        <v>0</v>
      </c>
    </row>
    <row r="160" spans="1:12">
      <c r="A160">
        <v>100663</v>
      </c>
      <c r="B160" t="s">
        <v>238</v>
      </c>
      <c r="C160" t="s">
        <v>285</v>
      </c>
      <c r="D160" t="s">
        <v>284</v>
      </c>
      <c r="E160">
        <v>1</v>
      </c>
      <c r="F160">
        <v>1</v>
      </c>
      <c r="G160">
        <v>97599</v>
      </c>
      <c r="H160">
        <v>0</v>
      </c>
      <c r="I160">
        <v>2</v>
      </c>
      <c r="J160">
        <v>1.75</v>
      </c>
      <c r="K160">
        <v>88131</v>
      </c>
      <c r="L160">
        <v>0</v>
      </c>
    </row>
    <row r="161" spans="1:12">
      <c r="A161">
        <v>110644</v>
      </c>
      <c r="B161" t="s">
        <v>239</v>
      </c>
      <c r="C161" t="s">
        <v>285</v>
      </c>
      <c r="D161" t="s">
        <v>284</v>
      </c>
      <c r="E161">
        <v>1</v>
      </c>
      <c r="F161">
        <v>0.8</v>
      </c>
      <c r="G161">
        <v>120218</v>
      </c>
      <c r="H161">
        <v>0</v>
      </c>
      <c r="I161">
        <v>2</v>
      </c>
      <c r="J161">
        <v>1.8</v>
      </c>
      <c r="K161">
        <v>126662</v>
      </c>
      <c r="L161">
        <v>0</v>
      </c>
    </row>
    <row r="162" spans="1:12">
      <c r="A162">
        <v>110653</v>
      </c>
      <c r="B162" t="s">
        <v>240</v>
      </c>
      <c r="C162" t="s">
        <v>285</v>
      </c>
      <c r="D162" t="s">
        <v>284</v>
      </c>
      <c r="E162">
        <v>1</v>
      </c>
      <c r="F162">
        <v>1</v>
      </c>
      <c r="G162">
        <v>162348</v>
      </c>
      <c r="H162">
        <v>0</v>
      </c>
      <c r="I162">
        <v>2</v>
      </c>
      <c r="J162">
        <v>2</v>
      </c>
      <c r="K162">
        <v>163884</v>
      </c>
      <c r="L162">
        <v>0</v>
      </c>
    </row>
    <row r="163" spans="1:12">
      <c r="A163">
        <v>110671</v>
      </c>
      <c r="B163" t="s">
        <v>241</v>
      </c>
      <c r="C163" t="s">
        <v>285</v>
      </c>
      <c r="D163" t="s">
        <v>284</v>
      </c>
      <c r="E163">
        <v>1</v>
      </c>
      <c r="F163">
        <v>1</v>
      </c>
      <c r="G163">
        <v>144260</v>
      </c>
      <c r="H163">
        <v>0</v>
      </c>
      <c r="I163">
        <v>2</v>
      </c>
      <c r="J163">
        <v>2</v>
      </c>
      <c r="K163">
        <v>118494</v>
      </c>
      <c r="L163">
        <v>0</v>
      </c>
    </row>
    <row r="164" spans="1:12">
      <c r="A164">
        <v>110705</v>
      </c>
      <c r="B164" t="s">
        <v>242</v>
      </c>
      <c r="C164" t="s">
        <v>285</v>
      </c>
      <c r="D164" t="s">
        <v>284</v>
      </c>
      <c r="E164">
        <v>1</v>
      </c>
      <c r="F164">
        <v>1</v>
      </c>
      <c r="G164">
        <v>161352</v>
      </c>
      <c r="H164">
        <v>0</v>
      </c>
      <c r="I164">
        <v>2</v>
      </c>
      <c r="J164">
        <v>2</v>
      </c>
      <c r="K164">
        <v>114211</v>
      </c>
      <c r="L164">
        <v>0</v>
      </c>
    </row>
    <row r="165" spans="1:12">
      <c r="A165">
        <v>132903</v>
      </c>
      <c r="B165" t="s">
        <v>243</v>
      </c>
      <c r="C165" t="s">
        <v>285</v>
      </c>
      <c r="D165" t="s">
        <v>284</v>
      </c>
      <c r="E165">
        <v>1</v>
      </c>
      <c r="F165">
        <v>1</v>
      </c>
      <c r="G165">
        <v>133880</v>
      </c>
      <c r="H165">
        <v>0</v>
      </c>
      <c r="I165">
        <v>2</v>
      </c>
      <c r="J165">
        <v>2</v>
      </c>
      <c r="K165">
        <v>126909</v>
      </c>
      <c r="L165">
        <v>0</v>
      </c>
    </row>
    <row r="166" spans="1:12">
      <c r="A166">
        <v>110662</v>
      </c>
      <c r="B166" t="s">
        <v>244</v>
      </c>
      <c r="C166" t="s">
        <v>285</v>
      </c>
      <c r="D166" t="s">
        <v>284</v>
      </c>
      <c r="E166">
        <v>1</v>
      </c>
      <c r="F166">
        <v>1</v>
      </c>
      <c r="G166">
        <v>295805</v>
      </c>
      <c r="H166">
        <v>0</v>
      </c>
      <c r="I166">
        <v>2</v>
      </c>
      <c r="J166">
        <v>2</v>
      </c>
      <c r="K166">
        <v>279679</v>
      </c>
      <c r="L166">
        <v>0</v>
      </c>
    </row>
    <row r="167" spans="1:12">
      <c r="A167">
        <v>182281</v>
      </c>
      <c r="B167" t="s">
        <v>245</v>
      </c>
      <c r="C167" t="s">
        <v>285</v>
      </c>
      <c r="D167" t="s">
        <v>284</v>
      </c>
      <c r="E167">
        <v>1</v>
      </c>
      <c r="F167">
        <v>1</v>
      </c>
      <c r="G167">
        <v>146463</v>
      </c>
      <c r="H167">
        <v>0</v>
      </c>
      <c r="I167">
        <v>2</v>
      </c>
      <c r="J167">
        <v>2</v>
      </c>
      <c r="K167">
        <v>139189</v>
      </c>
      <c r="L167">
        <v>0</v>
      </c>
    </row>
    <row r="168" spans="1:12">
      <c r="A168">
        <v>230764</v>
      </c>
      <c r="B168" t="s">
        <v>246</v>
      </c>
      <c r="C168" t="s">
        <v>285</v>
      </c>
      <c r="D168" t="s">
        <v>284</v>
      </c>
      <c r="E168">
        <v>1</v>
      </c>
      <c r="F168">
        <v>1</v>
      </c>
      <c r="G168">
        <v>218817</v>
      </c>
      <c r="H168">
        <v>0</v>
      </c>
      <c r="I168">
        <v>2</v>
      </c>
      <c r="J168">
        <v>1.66</v>
      </c>
      <c r="K168">
        <v>159864</v>
      </c>
      <c r="L168">
        <v>0</v>
      </c>
    </row>
    <row r="169" spans="1:12">
      <c r="A169">
        <v>230728</v>
      </c>
      <c r="B169" t="s">
        <v>247</v>
      </c>
      <c r="C169" t="s">
        <v>285</v>
      </c>
      <c r="D169" t="s">
        <v>284</v>
      </c>
      <c r="E169">
        <v>1</v>
      </c>
      <c r="F169">
        <v>1</v>
      </c>
      <c r="G169">
        <v>138791</v>
      </c>
      <c r="H169">
        <v>0</v>
      </c>
      <c r="I169">
        <v>2</v>
      </c>
      <c r="J169">
        <v>2</v>
      </c>
      <c r="K169">
        <v>122631</v>
      </c>
      <c r="L169">
        <v>0</v>
      </c>
    </row>
    <row r="170" spans="1:12">
      <c r="A170">
        <v>230737</v>
      </c>
      <c r="B170" t="s">
        <v>248</v>
      </c>
      <c r="C170" t="s">
        <v>285</v>
      </c>
      <c r="D170" t="s">
        <v>284</v>
      </c>
      <c r="E170">
        <v>1</v>
      </c>
      <c r="F170">
        <v>1</v>
      </c>
      <c r="G170">
        <v>108034</v>
      </c>
      <c r="H170">
        <v>0</v>
      </c>
      <c r="I170">
        <v>2</v>
      </c>
      <c r="J170">
        <v>1.5</v>
      </c>
      <c r="K170">
        <v>76847</v>
      </c>
      <c r="L170">
        <v>0</v>
      </c>
    </row>
    <row r="171" spans="1:12">
      <c r="A171">
        <v>228796</v>
      </c>
      <c r="B171" t="s">
        <v>249</v>
      </c>
      <c r="C171" t="s">
        <v>285</v>
      </c>
      <c r="D171" t="s">
        <v>284</v>
      </c>
      <c r="E171">
        <v>1</v>
      </c>
      <c r="F171">
        <v>1</v>
      </c>
      <c r="G171">
        <v>124384</v>
      </c>
      <c r="H171">
        <v>3960</v>
      </c>
      <c r="I171">
        <v>2</v>
      </c>
      <c r="J171">
        <v>2</v>
      </c>
      <c r="K171">
        <v>88604</v>
      </c>
      <c r="L171">
        <v>0</v>
      </c>
    </row>
    <row r="172" spans="1:12">
      <c r="A172">
        <v>227368</v>
      </c>
      <c r="B172" t="s">
        <v>250</v>
      </c>
      <c r="C172" t="s">
        <v>285</v>
      </c>
      <c r="D172" t="s">
        <v>284</v>
      </c>
      <c r="E172">
        <v>1</v>
      </c>
      <c r="F172">
        <v>1</v>
      </c>
      <c r="G172">
        <v>115824</v>
      </c>
      <c r="H172">
        <v>0</v>
      </c>
      <c r="I172">
        <v>2</v>
      </c>
      <c r="J172">
        <v>2</v>
      </c>
      <c r="K172">
        <v>106387</v>
      </c>
      <c r="L172">
        <v>0</v>
      </c>
    </row>
    <row r="173" spans="1:12">
      <c r="A173">
        <v>229027</v>
      </c>
      <c r="B173" t="s">
        <v>251</v>
      </c>
      <c r="C173" t="s">
        <v>285</v>
      </c>
      <c r="D173" t="s">
        <v>284</v>
      </c>
      <c r="E173">
        <v>1</v>
      </c>
      <c r="F173">
        <v>1</v>
      </c>
      <c r="G173">
        <v>162793</v>
      </c>
      <c r="H173">
        <v>0</v>
      </c>
      <c r="I173">
        <v>2</v>
      </c>
      <c r="J173">
        <v>2</v>
      </c>
      <c r="K173">
        <v>177030</v>
      </c>
      <c r="L173">
        <v>0</v>
      </c>
    </row>
    <row r="174" spans="1:12">
      <c r="A174">
        <v>234030</v>
      </c>
      <c r="B174" t="s">
        <v>252</v>
      </c>
      <c r="C174" t="s">
        <v>285</v>
      </c>
      <c r="D174" t="s">
        <v>284</v>
      </c>
      <c r="E174">
        <v>1</v>
      </c>
      <c r="F174">
        <v>1</v>
      </c>
      <c r="G174">
        <v>120701</v>
      </c>
      <c r="H174">
        <v>0</v>
      </c>
      <c r="I174">
        <v>3</v>
      </c>
      <c r="J174">
        <v>2</v>
      </c>
      <c r="K174">
        <v>103375</v>
      </c>
      <c r="L174">
        <v>0</v>
      </c>
    </row>
    <row r="175" spans="1:12">
      <c r="A175">
        <v>234076</v>
      </c>
      <c r="B175" t="s">
        <v>254</v>
      </c>
      <c r="C175" t="s">
        <v>285</v>
      </c>
      <c r="D175" t="s">
        <v>284</v>
      </c>
      <c r="E175">
        <v>1</v>
      </c>
      <c r="F175">
        <v>1</v>
      </c>
      <c r="G175">
        <v>212192</v>
      </c>
      <c r="H175">
        <v>0</v>
      </c>
      <c r="I175">
        <v>2</v>
      </c>
      <c r="J175">
        <v>2</v>
      </c>
      <c r="K175">
        <v>186980</v>
      </c>
      <c r="L175">
        <v>0</v>
      </c>
    </row>
    <row r="176" spans="1:12">
      <c r="A176">
        <v>233921</v>
      </c>
      <c r="B176" t="s">
        <v>255</v>
      </c>
      <c r="C176" t="s">
        <v>285</v>
      </c>
      <c r="D176" t="s">
        <v>284</v>
      </c>
      <c r="E176">
        <v>1</v>
      </c>
      <c r="F176">
        <v>1</v>
      </c>
      <c r="G176">
        <v>220129</v>
      </c>
      <c r="H176">
        <v>0</v>
      </c>
      <c r="I176">
        <v>2</v>
      </c>
      <c r="J176">
        <v>2</v>
      </c>
      <c r="K176">
        <v>184878</v>
      </c>
      <c r="L176">
        <v>0</v>
      </c>
    </row>
    <row r="177" spans="1:12">
      <c r="A177">
        <v>236948</v>
      </c>
      <c r="B177" t="s">
        <v>257</v>
      </c>
      <c r="C177" t="s">
        <v>285</v>
      </c>
      <c r="D177" t="s">
        <v>284</v>
      </c>
      <c r="E177">
        <v>1</v>
      </c>
      <c r="F177">
        <v>1</v>
      </c>
      <c r="G177">
        <v>396909</v>
      </c>
      <c r="H177">
        <v>0</v>
      </c>
      <c r="I177">
        <v>2</v>
      </c>
      <c r="J177">
        <v>1.5</v>
      </c>
      <c r="K177">
        <v>267781</v>
      </c>
      <c r="L177">
        <v>0</v>
      </c>
    </row>
    <row r="178" spans="1:12">
      <c r="A178">
        <v>236939</v>
      </c>
      <c r="B178" t="s">
        <v>258</v>
      </c>
      <c r="C178" t="s">
        <v>285</v>
      </c>
      <c r="D178" t="s">
        <v>284</v>
      </c>
      <c r="E178">
        <v>1</v>
      </c>
      <c r="F178">
        <v>1</v>
      </c>
      <c r="G178">
        <v>186087</v>
      </c>
      <c r="H178">
        <v>0</v>
      </c>
      <c r="I178">
        <v>2</v>
      </c>
      <c r="J178">
        <v>2</v>
      </c>
      <c r="K178">
        <v>184528</v>
      </c>
      <c r="L178">
        <v>0</v>
      </c>
    </row>
    <row r="179" spans="1:12">
      <c r="A179">
        <v>230782</v>
      </c>
      <c r="B179" t="s">
        <v>259</v>
      </c>
      <c r="C179" t="s">
        <v>285</v>
      </c>
      <c r="D179" t="s">
        <v>284</v>
      </c>
      <c r="E179">
        <v>1</v>
      </c>
      <c r="F179">
        <v>1</v>
      </c>
      <c r="G179">
        <v>97654</v>
      </c>
      <c r="H179">
        <v>0</v>
      </c>
      <c r="I179">
        <v>2</v>
      </c>
      <c r="J179">
        <v>2</v>
      </c>
      <c r="K179">
        <v>118702</v>
      </c>
      <c r="L179">
        <v>0</v>
      </c>
    </row>
    <row r="180" spans="1:12">
      <c r="A180">
        <v>238032</v>
      </c>
      <c r="B180" t="s">
        <v>260</v>
      </c>
      <c r="C180" t="s">
        <v>285</v>
      </c>
      <c r="D180" t="s">
        <v>284</v>
      </c>
      <c r="E180">
        <v>1</v>
      </c>
      <c r="F180">
        <v>1</v>
      </c>
      <c r="G180">
        <v>128145</v>
      </c>
      <c r="H180">
        <v>0</v>
      </c>
      <c r="I180">
        <v>2</v>
      </c>
      <c r="J180">
        <v>2</v>
      </c>
      <c r="K180">
        <v>120000</v>
      </c>
      <c r="L180">
        <v>0</v>
      </c>
    </row>
    <row r="181" spans="1:12">
      <c r="A181">
        <v>200004</v>
      </c>
      <c r="B181" t="s">
        <v>261</v>
      </c>
      <c r="C181" t="s">
        <v>285</v>
      </c>
      <c r="D181" t="s">
        <v>284</v>
      </c>
      <c r="E181">
        <v>1</v>
      </c>
      <c r="F181">
        <v>1</v>
      </c>
      <c r="G181">
        <v>69766</v>
      </c>
      <c r="H181">
        <v>0</v>
      </c>
      <c r="I181">
        <v>1</v>
      </c>
      <c r="J181">
        <v>1</v>
      </c>
      <c r="K181">
        <v>44502</v>
      </c>
      <c r="L181">
        <v>0</v>
      </c>
    </row>
    <row r="182" spans="1:12">
      <c r="A182">
        <v>149772</v>
      </c>
      <c r="B182" t="s">
        <v>262</v>
      </c>
      <c r="C182" t="s">
        <v>285</v>
      </c>
      <c r="D182" t="s">
        <v>284</v>
      </c>
      <c r="E182">
        <v>1</v>
      </c>
      <c r="F182">
        <v>1</v>
      </c>
      <c r="G182">
        <v>102541</v>
      </c>
      <c r="H182">
        <v>0</v>
      </c>
      <c r="I182">
        <v>2</v>
      </c>
      <c r="J182">
        <v>1.67</v>
      </c>
      <c r="K182">
        <v>91483</v>
      </c>
      <c r="L182">
        <v>0</v>
      </c>
    </row>
    <row r="183" spans="1:12">
      <c r="A183">
        <v>157951</v>
      </c>
      <c r="B183" t="s">
        <v>263</v>
      </c>
      <c r="C183" t="s">
        <v>285</v>
      </c>
      <c r="D183" t="s">
        <v>284</v>
      </c>
      <c r="E183">
        <v>1</v>
      </c>
      <c r="F183">
        <v>1</v>
      </c>
      <c r="G183">
        <v>139007</v>
      </c>
      <c r="H183">
        <v>2897</v>
      </c>
      <c r="I183">
        <v>2</v>
      </c>
      <c r="J183">
        <v>2</v>
      </c>
      <c r="K183">
        <v>127784</v>
      </c>
      <c r="L183">
        <v>0</v>
      </c>
    </row>
    <row r="184" spans="1:12">
      <c r="A184">
        <v>157951</v>
      </c>
      <c r="B184" t="s">
        <v>263</v>
      </c>
      <c r="C184" t="s">
        <v>285</v>
      </c>
      <c r="D184" t="s">
        <v>284</v>
      </c>
      <c r="E184">
        <v>1</v>
      </c>
      <c r="F184">
        <v>1</v>
      </c>
      <c r="G184">
        <v>139007</v>
      </c>
      <c r="H184">
        <v>2897</v>
      </c>
      <c r="I184">
        <v>2</v>
      </c>
      <c r="J184">
        <v>2</v>
      </c>
      <c r="K184">
        <v>127784</v>
      </c>
      <c r="L184">
        <v>0</v>
      </c>
    </row>
    <row r="185" spans="1:12">
      <c r="A185">
        <v>172699</v>
      </c>
      <c r="B185" t="s">
        <v>264</v>
      </c>
      <c r="C185" t="s">
        <v>285</v>
      </c>
      <c r="D185" t="s">
        <v>284</v>
      </c>
      <c r="E185">
        <v>1</v>
      </c>
      <c r="F185">
        <v>1</v>
      </c>
      <c r="G185">
        <v>156698</v>
      </c>
      <c r="H185">
        <v>0</v>
      </c>
      <c r="I185">
        <v>3</v>
      </c>
      <c r="J185">
        <v>2</v>
      </c>
      <c r="K185">
        <v>172401</v>
      </c>
      <c r="L185">
        <v>0</v>
      </c>
    </row>
    <row r="186" spans="1:12">
      <c r="A186">
        <v>172699</v>
      </c>
      <c r="B186" t="s">
        <v>264</v>
      </c>
      <c r="C186" t="s">
        <v>285</v>
      </c>
      <c r="D186" t="s">
        <v>284</v>
      </c>
      <c r="E186">
        <v>1</v>
      </c>
      <c r="F186">
        <v>1</v>
      </c>
      <c r="G186">
        <v>156698</v>
      </c>
      <c r="H186">
        <v>0</v>
      </c>
      <c r="I186">
        <v>3</v>
      </c>
      <c r="J186">
        <v>2</v>
      </c>
      <c r="K186">
        <v>172401</v>
      </c>
      <c r="L186">
        <v>0</v>
      </c>
    </row>
    <row r="187" spans="1:12">
      <c r="A187">
        <v>156125</v>
      </c>
      <c r="B187" t="s">
        <v>265</v>
      </c>
      <c r="C187" t="s">
        <v>285</v>
      </c>
      <c r="D187" t="s">
        <v>284</v>
      </c>
      <c r="E187">
        <v>1</v>
      </c>
      <c r="F187">
        <v>1</v>
      </c>
      <c r="G187">
        <v>204524</v>
      </c>
      <c r="H187">
        <v>0</v>
      </c>
      <c r="I187">
        <v>2</v>
      </c>
      <c r="J187">
        <v>2</v>
      </c>
      <c r="K187">
        <v>129275</v>
      </c>
      <c r="L187">
        <v>0</v>
      </c>
    </row>
    <row r="188" spans="1:12">
      <c r="A188">
        <v>156125</v>
      </c>
      <c r="B188" t="s">
        <v>265</v>
      </c>
      <c r="C188" t="s">
        <v>285</v>
      </c>
      <c r="D188" t="s">
        <v>284</v>
      </c>
      <c r="E188">
        <v>1</v>
      </c>
      <c r="F188">
        <v>1</v>
      </c>
      <c r="G188">
        <v>204524</v>
      </c>
      <c r="H188">
        <v>0</v>
      </c>
      <c r="I188">
        <v>2</v>
      </c>
      <c r="J188">
        <v>2</v>
      </c>
      <c r="K188">
        <v>129275</v>
      </c>
      <c r="L188">
        <v>0</v>
      </c>
    </row>
    <row r="189" spans="1:12">
      <c r="A189">
        <v>231624</v>
      </c>
      <c r="B189" t="s">
        <v>266</v>
      </c>
      <c r="C189" t="s">
        <v>285</v>
      </c>
      <c r="D189" t="s">
        <v>284</v>
      </c>
      <c r="E189">
        <v>1</v>
      </c>
      <c r="F189">
        <v>1</v>
      </c>
      <c r="G189">
        <v>102140</v>
      </c>
      <c r="H189">
        <v>0</v>
      </c>
      <c r="I189">
        <v>2</v>
      </c>
      <c r="J189">
        <v>2</v>
      </c>
      <c r="K189">
        <v>96810</v>
      </c>
      <c r="L189">
        <v>0</v>
      </c>
    </row>
    <row r="190" spans="1:12">
      <c r="A190">
        <v>231624</v>
      </c>
      <c r="B190" t="s">
        <v>266</v>
      </c>
      <c r="C190" t="s">
        <v>285</v>
      </c>
      <c r="D190" t="s">
        <v>284</v>
      </c>
      <c r="E190">
        <v>1</v>
      </c>
      <c r="F190">
        <v>1</v>
      </c>
      <c r="G190">
        <v>102140</v>
      </c>
      <c r="H190">
        <v>0</v>
      </c>
      <c r="I190">
        <v>2</v>
      </c>
      <c r="J190">
        <v>2</v>
      </c>
      <c r="K190">
        <v>96810</v>
      </c>
      <c r="L190">
        <v>0</v>
      </c>
    </row>
    <row r="191" spans="1:12">
      <c r="A191">
        <v>218964</v>
      </c>
      <c r="B191" t="s">
        <v>267</v>
      </c>
      <c r="C191" t="s">
        <v>285</v>
      </c>
      <c r="D191" t="s">
        <v>284</v>
      </c>
      <c r="E191">
        <v>1</v>
      </c>
      <c r="F191">
        <v>1</v>
      </c>
      <c r="G191">
        <v>111691</v>
      </c>
      <c r="H191">
        <v>0</v>
      </c>
      <c r="I191">
        <v>2</v>
      </c>
      <c r="J191">
        <v>2</v>
      </c>
      <c r="K191">
        <v>94118</v>
      </c>
      <c r="L191">
        <v>0</v>
      </c>
    </row>
    <row r="192" spans="1:12">
      <c r="A192">
        <v>218964</v>
      </c>
      <c r="B192" t="s">
        <v>267</v>
      </c>
      <c r="C192" t="s">
        <v>285</v>
      </c>
      <c r="D192" t="s">
        <v>284</v>
      </c>
      <c r="E192">
        <v>1</v>
      </c>
      <c r="F192">
        <v>1</v>
      </c>
      <c r="G192">
        <v>111691</v>
      </c>
      <c r="H192">
        <v>0</v>
      </c>
      <c r="I192">
        <v>2</v>
      </c>
      <c r="J192">
        <v>2</v>
      </c>
      <c r="K192">
        <v>94118</v>
      </c>
      <c r="L192">
        <v>0</v>
      </c>
    </row>
    <row r="193" spans="1:12">
      <c r="A193">
        <v>240444</v>
      </c>
      <c r="B193" t="s">
        <v>268</v>
      </c>
      <c r="C193" t="s">
        <v>285</v>
      </c>
      <c r="D193" t="s">
        <v>284</v>
      </c>
      <c r="E193">
        <v>1</v>
      </c>
      <c r="F193">
        <v>1</v>
      </c>
      <c r="G193">
        <v>354892</v>
      </c>
      <c r="H193">
        <v>0</v>
      </c>
      <c r="I193">
        <v>2</v>
      </c>
      <c r="J193">
        <v>2</v>
      </c>
      <c r="K193">
        <v>270118</v>
      </c>
      <c r="L193">
        <v>0</v>
      </c>
    </row>
    <row r="194" spans="1:12">
      <c r="A194">
        <v>240444</v>
      </c>
      <c r="B194" t="s">
        <v>268</v>
      </c>
      <c r="C194" t="s">
        <v>285</v>
      </c>
      <c r="D194" t="s">
        <v>284</v>
      </c>
      <c r="E194">
        <v>1</v>
      </c>
      <c r="F194">
        <v>1</v>
      </c>
      <c r="G194">
        <v>354892</v>
      </c>
      <c r="H194">
        <v>0</v>
      </c>
      <c r="I194">
        <v>2</v>
      </c>
      <c r="J194">
        <v>2</v>
      </c>
      <c r="K194">
        <v>270118</v>
      </c>
      <c r="L194">
        <v>0</v>
      </c>
    </row>
    <row r="195" spans="1:12">
      <c r="A195">
        <v>240277</v>
      </c>
      <c r="B195" t="s">
        <v>269</v>
      </c>
      <c r="C195" t="s">
        <v>285</v>
      </c>
      <c r="D195" t="s">
        <v>284</v>
      </c>
      <c r="E195">
        <v>1</v>
      </c>
      <c r="F195">
        <v>1</v>
      </c>
      <c r="G195">
        <v>96083</v>
      </c>
      <c r="H195">
        <v>0</v>
      </c>
      <c r="I195">
        <v>1</v>
      </c>
      <c r="J195">
        <v>1</v>
      </c>
      <c r="K195">
        <v>52203</v>
      </c>
      <c r="L195">
        <v>0</v>
      </c>
    </row>
    <row r="196" spans="1:12">
      <c r="A196">
        <v>240277</v>
      </c>
      <c r="B196" t="s">
        <v>269</v>
      </c>
      <c r="C196" t="s">
        <v>285</v>
      </c>
      <c r="D196" t="s">
        <v>284</v>
      </c>
      <c r="E196">
        <v>1</v>
      </c>
      <c r="F196">
        <v>1</v>
      </c>
      <c r="G196">
        <v>96083</v>
      </c>
      <c r="H196">
        <v>0</v>
      </c>
      <c r="I196">
        <v>1</v>
      </c>
      <c r="J196">
        <v>1</v>
      </c>
      <c r="K196">
        <v>52203</v>
      </c>
      <c r="L196">
        <v>0</v>
      </c>
    </row>
    <row r="197" spans="1:12">
      <c r="A197">
        <v>240453</v>
      </c>
      <c r="B197" t="s">
        <v>270</v>
      </c>
      <c r="C197" t="s">
        <v>285</v>
      </c>
      <c r="D197" t="s">
        <v>284</v>
      </c>
      <c r="E197">
        <v>1</v>
      </c>
      <c r="F197">
        <v>1</v>
      </c>
      <c r="G197">
        <v>116358</v>
      </c>
      <c r="H197">
        <v>0</v>
      </c>
      <c r="I197">
        <v>2</v>
      </c>
      <c r="J197">
        <v>1.8</v>
      </c>
      <c r="K197">
        <v>100541</v>
      </c>
      <c r="L197">
        <v>0</v>
      </c>
    </row>
    <row r="198" spans="1:12">
      <c r="A198">
        <v>240453</v>
      </c>
      <c r="B198" t="s">
        <v>270</v>
      </c>
      <c r="C198" t="s">
        <v>285</v>
      </c>
      <c r="D198" t="s">
        <v>284</v>
      </c>
      <c r="E198">
        <v>1</v>
      </c>
      <c r="F198">
        <v>1</v>
      </c>
      <c r="G198">
        <v>116358</v>
      </c>
      <c r="H198">
        <v>0</v>
      </c>
      <c r="I198">
        <v>2</v>
      </c>
      <c r="J198">
        <v>1.8</v>
      </c>
      <c r="K198">
        <v>100541</v>
      </c>
      <c r="L198">
        <v>0</v>
      </c>
    </row>
    <row r="199" spans="1:12">
      <c r="A199">
        <v>206604</v>
      </c>
      <c r="B199" t="s">
        <v>271</v>
      </c>
      <c r="C199" t="s">
        <v>285</v>
      </c>
      <c r="D199" t="s">
        <v>284</v>
      </c>
      <c r="E199">
        <v>1</v>
      </c>
      <c r="F199">
        <v>1</v>
      </c>
      <c r="G199">
        <v>87403</v>
      </c>
      <c r="H199">
        <v>0</v>
      </c>
      <c r="I199">
        <v>1</v>
      </c>
      <c r="J199">
        <v>1</v>
      </c>
      <c r="K199">
        <v>53796</v>
      </c>
      <c r="L199">
        <v>0</v>
      </c>
    </row>
    <row r="200" spans="1:12">
      <c r="A200">
        <v>206604</v>
      </c>
      <c r="B200" t="s">
        <v>271</v>
      </c>
      <c r="C200" t="s">
        <v>285</v>
      </c>
      <c r="D200" t="s">
        <v>284</v>
      </c>
      <c r="E200">
        <v>1</v>
      </c>
      <c r="F200">
        <v>1</v>
      </c>
      <c r="G200">
        <v>87403</v>
      </c>
      <c r="H200">
        <v>0</v>
      </c>
      <c r="I200">
        <v>1</v>
      </c>
      <c r="J200">
        <v>1</v>
      </c>
      <c r="K200">
        <v>53796</v>
      </c>
      <c r="L200">
        <v>0</v>
      </c>
    </row>
    <row r="201" spans="1:12" ht="16" thickBot="1">
      <c r="A201">
        <v>240727</v>
      </c>
      <c r="B201" t="s">
        <v>272</v>
      </c>
      <c r="C201" t="s">
        <v>285</v>
      </c>
      <c r="D201" s="7" t="s">
        <v>284</v>
      </c>
      <c r="E201" s="7">
        <v>1</v>
      </c>
      <c r="F201" s="7">
        <v>1</v>
      </c>
      <c r="G201" s="7">
        <v>151907</v>
      </c>
      <c r="H201" s="7">
        <v>12500</v>
      </c>
      <c r="I201" s="7">
        <v>3</v>
      </c>
      <c r="J201" s="7">
        <v>3</v>
      </c>
      <c r="K201" s="7">
        <v>234002</v>
      </c>
      <c r="L201" s="7">
        <v>34500</v>
      </c>
    </row>
    <row r="202" spans="1:12" ht="16" thickBot="1">
      <c r="A202">
        <v>240727</v>
      </c>
      <c r="B202" t="s">
        <v>272</v>
      </c>
      <c r="C202" t="s">
        <v>285</v>
      </c>
      <c r="D202" s="7" t="s">
        <v>284</v>
      </c>
      <c r="E202" s="7">
        <v>1</v>
      </c>
      <c r="F202" s="7">
        <v>1</v>
      </c>
      <c r="G202" s="7">
        <v>151907</v>
      </c>
      <c r="H202" s="7">
        <v>12500</v>
      </c>
      <c r="I202" s="7">
        <v>3</v>
      </c>
      <c r="J202" s="7">
        <v>3</v>
      </c>
      <c r="K202" s="7">
        <v>234002</v>
      </c>
      <c r="L202">
        <v>34500</v>
      </c>
    </row>
    <row r="203" spans="1:12" ht="16" thickBot="1">
      <c r="A203">
        <v>206695</v>
      </c>
      <c r="B203" t="s">
        <v>273</v>
      </c>
      <c r="C203" t="s">
        <v>285</v>
      </c>
      <c r="D203" s="7" t="s">
        <v>284</v>
      </c>
      <c r="E203" s="7">
        <v>1</v>
      </c>
      <c r="F203" s="7">
        <v>1</v>
      </c>
      <c r="G203" s="7">
        <v>87618</v>
      </c>
      <c r="H203" s="7">
        <v>0</v>
      </c>
      <c r="I203" s="7">
        <v>2</v>
      </c>
      <c r="J203" s="7">
        <v>1</v>
      </c>
      <c r="K203" s="7">
        <v>65229</v>
      </c>
      <c r="L203">
        <v>0</v>
      </c>
    </row>
    <row r="204" spans="1:12" ht="16" thickBot="1">
      <c r="A204">
        <v>206695</v>
      </c>
      <c r="B204" t="s">
        <v>273</v>
      </c>
      <c r="C204" t="s">
        <v>285</v>
      </c>
      <c r="D204" s="7" t="s">
        <v>284</v>
      </c>
      <c r="E204" s="7">
        <v>1</v>
      </c>
      <c r="F204" s="7">
        <v>1</v>
      </c>
      <c r="G204" s="7">
        <v>87618</v>
      </c>
      <c r="H204" s="7">
        <v>0</v>
      </c>
      <c r="I204" s="7">
        <v>2</v>
      </c>
      <c r="J204" s="7">
        <v>1</v>
      </c>
      <c r="K204" s="7">
        <v>65229</v>
      </c>
      <c r="L204" s="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8447-6ECB-AD45-869F-FE7D0382FEE4}">
  <dimension ref="A1:L200"/>
  <sheetViews>
    <sheetView workbookViewId="0">
      <selection activeCell="J113" sqref="J113"/>
    </sheetView>
  </sheetViews>
  <sheetFormatPr baseColWidth="10" defaultColWidth="8.6640625" defaultRowHeight="15"/>
  <cols>
    <col min="1" max="1" width="6.83203125" style="46" bestFit="1" customWidth="1"/>
    <col min="2" max="2" width="24.33203125" style="46" bestFit="1" customWidth="1"/>
    <col min="3" max="3" width="7" style="46" bestFit="1" customWidth="1"/>
    <col min="4" max="4" width="8.5" style="46" bestFit="1" customWidth="1"/>
    <col min="5" max="5" width="17.1640625" style="46" bestFit="1" customWidth="1"/>
    <col min="6" max="6" width="4.83203125" style="46" bestFit="1" customWidth="1"/>
    <col min="7" max="7" width="15.33203125" style="46" bestFit="1" customWidth="1"/>
    <col min="8" max="8" width="18.83203125" style="46" bestFit="1" customWidth="1"/>
    <col min="9" max="9" width="17.1640625" style="46" bestFit="1" customWidth="1"/>
    <col min="10" max="10" width="4.83203125" style="46" bestFit="1" customWidth="1"/>
    <col min="11" max="11" width="15.33203125" style="46" bestFit="1" customWidth="1"/>
    <col min="12" max="12" width="18.83203125" style="46" bestFit="1" customWidth="1"/>
    <col min="13" max="16384" width="8.6640625" style="46"/>
  </cols>
  <sheetData>
    <row r="1" spans="1:12" ht="16">
      <c r="A1" s="46" t="s">
        <v>46</v>
      </c>
      <c r="B1" s="46" t="s">
        <v>0</v>
      </c>
      <c r="C1" s="46" t="s">
        <v>292</v>
      </c>
      <c r="D1" s="46" t="s">
        <v>291</v>
      </c>
      <c r="E1" s="46" t="s">
        <v>290</v>
      </c>
      <c r="F1" s="46" t="s">
        <v>289</v>
      </c>
      <c r="G1" s="46" t="s">
        <v>288</v>
      </c>
      <c r="H1" s="46" t="s">
        <v>287</v>
      </c>
      <c r="I1" s="46" t="s">
        <v>290</v>
      </c>
      <c r="J1" s="46" t="s">
        <v>289</v>
      </c>
      <c r="K1" s="46" t="s">
        <v>288</v>
      </c>
      <c r="L1" s="46" t="s">
        <v>287</v>
      </c>
    </row>
    <row r="2" spans="1:12" ht="32">
      <c r="A2" s="46">
        <v>200800</v>
      </c>
      <c r="B2" s="46" t="s">
        <v>48</v>
      </c>
      <c r="C2" s="46" t="s">
        <v>285</v>
      </c>
      <c r="D2" s="46" t="s">
        <v>284</v>
      </c>
      <c r="E2" s="46">
        <v>1</v>
      </c>
      <c r="F2" s="46">
        <v>1</v>
      </c>
      <c r="G2" s="46">
        <v>126680</v>
      </c>
      <c r="H2" s="46">
        <v>0</v>
      </c>
      <c r="I2" s="46">
        <v>2</v>
      </c>
      <c r="J2" s="46">
        <v>2</v>
      </c>
      <c r="K2" s="46">
        <v>108446</v>
      </c>
      <c r="L2" s="46">
        <v>0</v>
      </c>
    </row>
    <row r="3" spans="1:12" ht="32">
      <c r="A3" s="46">
        <v>100751</v>
      </c>
      <c r="B3" s="46" t="s">
        <v>49</v>
      </c>
      <c r="C3" s="46" t="s">
        <v>285</v>
      </c>
      <c r="D3" s="46" t="s">
        <v>284</v>
      </c>
      <c r="E3" s="46">
        <v>1</v>
      </c>
      <c r="F3" s="46">
        <v>1</v>
      </c>
      <c r="G3" s="46">
        <v>209697</v>
      </c>
      <c r="H3" s="46">
        <v>0</v>
      </c>
      <c r="I3" s="46">
        <v>2</v>
      </c>
      <c r="J3" s="46">
        <v>2</v>
      </c>
      <c r="K3" s="46">
        <v>222885</v>
      </c>
      <c r="L3" s="46">
        <v>0</v>
      </c>
    </row>
    <row r="4" spans="1:12" ht="32">
      <c r="A4" s="46">
        <v>196060</v>
      </c>
      <c r="B4" s="46" t="s">
        <v>52</v>
      </c>
      <c r="C4" s="46" t="s">
        <v>285</v>
      </c>
      <c r="D4" s="46" t="s">
        <v>284</v>
      </c>
      <c r="E4" s="46">
        <v>1</v>
      </c>
      <c r="F4" s="46">
        <v>1</v>
      </c>
      <c r="G4" s="46">
        <v>65689</v>
      </c>
      <c r="H4" s="46">
        <v>0</v>
      </c>
      <c r="I4" s="46">
        <v>2</v>
      </c>
      <c r="J4" s="46">
        <v>2</v>
      </c>
      <c r="K4" s="46">
        <v>91022</v>
      </c>
      <c r="L4" s="46">
        <v>0</v>
      </c>
    </row>
    <row r="5" spans="1:12" ht="32">
      <c r="A5" s="46">
        <v>197869</v>
      </c>
      <c r="B5" s="46" t="s">
        <v>54</v>
      </c>
      <c r="C5" s="46" t="s">
        <v>285</v>
      </c>
      <c r="D5" s="46" t="s">
        <v>284</v>
      </c>
      <c r="E5" s="46">
        <v>1</v>
      </c>
      <c r="F5" s="46">
        <v>1</v>
      </c>
      <c r="G5" s="46">
        <v>110134</v>
      </c>
      <c r="H5" s="46">
        <v>0</v>
      </c>
      <c r="I5" s="46">
        <v>2</v>
      </c>
      <c r="J5" s="46">
        <v>2</v>
      </c>
      <c r="K5" s="46">
        <v>103670</v>
      </c>
      <c r="L5" s="46">
        <v>0</v>
      </c>
    </row>
    <row r="6" spans="1:12" ht="32">
      <c r="A6" s="46">
        <v>104179</v>
      </c>
      <c r="B6" s="46" t="s">
        <v>55</v>
      </c>
      <c r="C6" s="46" t="s">
        <v>285</v>
      </c>
      <c r="D6" s="46" t="s">
        <v>284</v>
      </c>
      <c r="E6" s="46">
        <v>1</v>
      </c>
      <c r="F6" s="46">
        <v>1</v>
      </c>
      <c r="G6" s="46">
        <v>199320</v>
      </c>
      <c r="H6" s="46">
        <v>25700</v>
      </c>
      <c r="I6" s="46">
        <v>2</v>
      </c>
      <c r="J6" s="46">
        <v>2</v>
      </c>
      <c r="K6" s="46">
        <v>200376</v>
      </c>
      <c r="L6" s="46">
        <v>0</v>
      </c>
    </row>
    <row r="7" spans="1:12" ht="32">
      <c r="A7" s="46">
        <v>104151</v>
      </c>
      <c r="B7" s="46" t="s">
        <v>56</v>
      </c>
      <c r="C7" s="46" t="s">
        <v>285</v>
      </c>
      <c r="D7" s="46" t="s">
        <v>284</v>
      </c>
      <c r="E7" s="46">
        <v>1</v>
      </c>
      <c r="F7" s="46">
        <v>1</v>
      </c>
      <c r="G7" s="46">
        <v>164267</v>
      </c>
      <c r="H7" s="46">
        <v>0</v>
      </c>
      <c r="I7" s="46">
        <v>2</v>
      </c>
      <c r="J7" s="46">
        <v>2</v>
      </c>
      <c r="K7" s="46">
        <v>159794</v>
      </c>
      <c r="L7" s="46">
        <v>0</v>
      </c>
    </row>
    <row r="8" spans="1:12" ht="32">
      <c r="A8" s="46">
        <v>106397</v>
      </c>
      <c r="B8" s="46" t="s">
        <v>57</v>
      </c>
      <c r="C8" s="46" t="s">
        <v>285</v>
      </c>
      <c r="D8" s="46" t="s">
        <v>284</v>
      </c>
      <c r="E8" s="46">
        <v>1</v>
      </c>
      <c r="F8" s="46">
        <v>1</v>
      </c>
      <c r="G8" s="46">
        <v>244496</v>
      </c>
      <c r="H8" s="46">
        <v>0</v>
      </c>
      <c r="I8" s="46">
        <v>2</v>
      </c>
      <c r="J8" s="46">
        <v>2</v>
      </c>
      <c r="K8" s="46">
        <v>190183</v>
      </c>
      <c r="L8" s="46">
        <v>0</v>
      </c>
    </row>
    <row r="9" spans="1:12" ht="32">
      <c r="A9" s="46">
        <v>106245</v>
      </c>
      <c r="B9" s="46" t="s">
        <v>58</v>
      </c>
      <c r="C9" s="46" t="s">
        <v>285</v>
      </c>
      <c r="D9" s="50" t="s">
        <v>284</v>
      </c>
      <c r="E9" s="22">
        <v>1</v>
      </c>
      <c r="F9" s="22">
        <v>1</v>
      </c>
      <c r="G9" s="22">
        <v>83714</v>
      </c>
      <c r="H9" s="22">
        <v>17660</v>
      </c>
      <c r="I9" s="22">
        <v>2</v>
      </c>
      <c r="J9" s="22">
        <v>1.5</v>
      </c>
      <c r="K9" s="22">
        <v>61941</v>
      </c>
      <c r="L9" s="22">
        <v>13850</v>
      </c>
    </row>
    <row r="10" spans="1:12" ht="32">
      <c r="A10" s="46">
        <v>106412</v>
      </c>
      <c r="B10" s="46" t="s">
        <v>59</v>
      </c>
      <c r="C10" s="46" t="s">
        <v>285</v>
      </c>
      <c r="D10" s="46" t="s">
        <v>284</v>
      </c>
      <c r="E10" s="46">
        <v>1</v>
      </c>
      <c r="F10" s="46">
        <v>1</v>
      </c>
      <c r="G10" s="46">
        <v>55186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</row>
    <row r="11" spans="1:12" ht="32">
      <c r="A11" s="46">
        <v>106458</v>
      </c>
      <c r="B11" s="46" t="s">
        <v>60</v>
      </c>
      <c r="C11" s="46" t="s">
        <v>285</v>
      </c>
      <c r="D11" s="46" t="s">
        <v>284</v>
      </c>
      <c r="E11" s="46">
        <v>1</v>
      </c>
      <c r="F11" s="46">
        <v>1</v>
      </c>
      <c r="G11" s="46">
        <v>96023</v>
      </c>
      <c r="H11" s="46">
        <v>0</v>
      </c>
      <c r="I11" s="46">
        <v>1</v>
      </c>
      <c r="J11" s="46">
        <v>1</v>
      </c>
      <c r="K11" s="46">
        <v>47332</v>
      </c>
      <c r="L11" s="46">
        <v>3600</v>
      </c>
    </row>
    <row r="12" spans="1:12" ht="32">
      <c r="A12" s="46">
        <v>100858</v>
      </c>
      <c r="B12" s="46" t="s">
        <v>62</v>
      </c>
      <c r="C12" s="46" t="s">
        <v>285</v>
      </c>
      <c r="D12" s="46" t="s">
        <v>284</v>
      </c>
      <c r="E12" s="46">
        <v>1</v>
      </c>
      <c r="F12" s="46">
        <v>1</v>
      </c>
      <c r="G12" s="46">
        <v>175143</v>
      </c>
      <c r="H12" s="46">
        <v>0</v>
      </c>
      <c r="I12" s="46">
        <v>2</v>
      </c>
      <c r="J12" s="46">
        <v>2</v>
      </c>
      <c r="K12" s="46">
        <v>177408</v>
      </c>
      <c r="L12" s="46">
        <v>0</v>
      </c>
    </row>
    <row r="13" spans="1:12" ht="32">
      <c r="A13" s="46">
        <v>219602</v>
      </c>
      <c r="B13" s="46" t="s">
        <v>63</v>
      </c>
      <c r="C13" s="46" t="s">
        <v>285</v>
      </c>
      <c r="D13" s="46" t="s">
        <v>284</v>
      </c>
      <c r="E13" s="46">
        <v>1</v>
      </c>
      <c r="F13" s="46">
        <v>0.5</v>
      </c>
      <c r="G13" s="46">
        <v>93196</v>
      </c>
      <c r="H13" s="46">
        <v>0</v>
      </c>
      <c r="I13" s="46">
        <v>2</v>
      </c>
      <c r="J13" s="46">
        <v>0.5</v>
      </c>
      <c r="K13" s="46">
        <v>33979</v>
      </c>
      <c r="L13" s="46">
        <v>0</v>
      </c>
    </row>
    <row r="14" spans="1:12" ht="32">
      <c r="A14" s="46">
        <v>150136</v>
      </c>
      <c r="B14" s="46" t="s">
        <v>64</v>
      </c>
      <c r="C14" s="46" t="s">
        <v>285</v>
      </c>
      <c r="D14" s="46" t="s">
        <v>284</v>
      </c>
      <c r="E14" s="46">
        <v>1</v>
      </c>
      <c r="F14" s="46">
        <v>1</v>
      </c>
      <c r="G14" s="46">
        <v>111859</v>
      </c>
      <c r="H14" s="46">
        <v>0</v>
      </c>
      <c r="I14" s="46">
        <v>2</v>
      </c>
      <c r="J14" s="46">
        <v>2</v>
      </c>
      <c r="K14" s="46">
        <v>132305</v>
      </c>
      <c r="L14" s="46">
        <v>0</v>
      </c>
    </row>
    <row r="15" spans="1:12" ht="32">
      <c r="A15" s="46">
        <v>150136</v>
      </c>
      <c r="B15" s="46" t="s">
        <v>64</v>
      </c>
      <c r="C15" s="46" t="s">
        <v>293</v>
      </c>
      <c r="D15" s="46" t="s">
        <v>284</v>
      </c>
      <c r="E15" s="46">
        <v>1</v>
      </c>
      <c r="F15" s="46">
        <v>1</v>
      </c>
      <c r="G15" s="46">
        <v>89570</v>
      </c>
      <c r="H15" s="46">
        <v>0</v>
      </c>
      <c r="I15" s="46">
        <v>2</v>
      </c>
      <c r="J15" s="46">
        <v>2</v>
      </c>
      <c r="K15" s="46">
        <v>103806</v>
      </c>
      <c r="L15" s="46">
        <v>0</v>
      </c>
    </row>
    <row r="16" spans="1:12" ht="32">
      <c r="A16" s="46">
        <v>196079</v>
      </c>
      <c r="B16" s="46" t="s">
        <v>65</v>
      </c>
      <c r="C16" s="46" t="s">
        <v>285</v>
      </c>
      <c r="D16" s="46" t="s">
        <v>284</v>
      </c>
      <c r="E16" s="46">
        <v>1</v>
      </c>
      <c r="F16" s="46">
        <v>1</v>
      </c>
      <c r="G16" s="46">
        <v>91864</v>
      </c>
      <c r="H16" s="46">
        <v>0</v>
      </c>
      <c r="I16" s="46">
        <v>1</v>
      </c>
      <c r="J16" s="46">
        <v>1</v>
      </c>
      <c r="K16" s="46">
        <v>38289</v>
      </c>
      <c r="L16" s="46">
        <v>0</v>
      </c>
    </row>
    <row r="17" spans="1:12" ht="32">
      <c r="A17" s="46">
        <v>142115</v>
      </c>
      <c r="B17" s="46" t="s">
        <v>66</v>
      </c>
      <c r="C17" s="46" t="s">
        <v>285</v>
      </c>
      <c r="D17" s="46" t="s">
        <v>284</v>
      </c>
      <c r="E17" s="46">
        <v>1</v>
      </c>
      <c r="F17" s="46">
        <v>0.7</v>
      </c>
      <c r="G17" s="46">
        <v>125330</v>
      </c>
      <c r="H17" s="46">
        <v>0</v>
      </c>
      <c r="I17" s="46">
        <v>2</v>
      </c>
      <c r="J17" s="46">
        <v>1.4</v>
      </c>
      <c r="K17" s="46">
        <v>110775</v>
      </c>
      <c r="L17" s="46">
        <v>0</v>
      </c>
    </row>
    <row r="18" spans="1:12" ht="32">
      <c r="A18" s="46">
        <v>201441</v>
      </c>
      <c r="B18" s="46" t="s">
        <v>67</v>
      </c>
      <c r="C18" s="46" t="s">
        <v>285</v>
      </c>
      <c r="D18" s="46" t="s">
        <v>284</v>
      </c>
      <c r="E18" s="46">
        <v>1</v>
      </c>
      <c r="F18" s="46">
        <v>1</v>
      </c>
      <c r="G18" s="46">
        <v>126763</v>
      </c>
      <c r="H18" s="46">
        <v>0</v>
      </c>
      <c r="I18" s="46">
        <v>2</v>
      </c>
      <c r="J18" s="46">
        <v>2</v>
      </c>
      <c r="K18" s="46">
        <v>108835</v>
      </c>
      <c r="L18" s="46">
        <v>0</v>
      </c>
    </row>
    <row r="19" spans="1:12" ht="32">
      <c r="A19" s="46">
        <v>196088</v>
      </c>
      <c r="B19" s="46" t="s">
        <v>68</v>
      </c>
      <c r="C19" s="46" t="s">
        <v>285</v>
      </c>
      <c r="D19" s="46" t="s">
        <v>284</v>
      </c>
      <c r="E19" s="46">
        <v>1</v>
      </c>
      <c r="F19" s="46">
        <v>1</v>
      </c>
      <c r="G19" s="46">
        <v>131843</v>
      </c>
      <c r="H19" s="46">
        <v>0</v>
      </c>
      <c r="I19" s="46">
        <v>2</v>
      </c>
      <c r="J19" s="46">
        <v>2</v>
      </c>
      <c r="K19" s="46">
        <v>144983</v>
      </c>
      <c r="L19" s="46">
        <v>2706</v>
      </c>
    </row>
    <row r="20" spans="1:12" ht="32">
      <c r="A20" s="46">
        <v>110422</v>
      </c>
      <c r="B20" s="46" t="s">
        <v>69</v>
      </c>
      <c r="C20" s="46" t="s">
        <v>285</v>
      </c>
      <c r="D20" s="46" t="s">
        <v>284</v>
      </c>
      <c r="E20" s="46">
        <v>1</v>
      </c>
      <c r="F20" s="46">
        <v>1</v>
      </c>
      <c r="G20" s="46">
        <v>197470</v>
      </c>
      <c r="H20" s="46">
        <v>0</v>
      </c>
      <c r="I20" s="46">
        <v>2</v>
      </c>
      <c r="J20" s="46">
        <v>2</v>
      </c>
      <c r="K20" s="46">
        <v>202546</v>
      </c>
      <c r="L20" s="46">
        <v>0</v>
      </c>
    </row>
    <row r="21" spans="1:12" ht="32">
      <c r="A21" s="46">
        <v>110486</v>
      </c>
      <c r="B21" s="46" t="s">
        <v>70</v>
      </c>
      <c r="C21" s="46" t="s">
        <v>285</v>
      </c>
      <c r="D21" s="46" t="s">
        <v>284</v>
      </c>
      <c r="E21" s="46">
        <v>1</v>
      </c>
      <c r="F21" s="46">
        <v>1</v>
      </c>
      <c r="G21" s="46">
        <v>139524</v>
      </c>
      <c r="H21" s="46">
        <v>0</v>
      </c>
      <c r="I21" s="46">
        <v>4</v>
      </c>
      <c r="J21" s="46">
        <v>1.5</v>
      </c>
      <c r="K21" s="46">
        <v>111524</v>
      </c>
      <c r="L21" s="46">
        <v>0</v>
      </c>
    </row>
    <row r="22" spans="1:12" ht="32">
      <c r="A22" s="46">
        <v>110565</v>
      </c>
      <c r="B22" s="46" t="s">
        <v>71</v>
      </c>
      <c r="C22" s="46" t="s">
        <v>285</v>
      </c>
      <c r="D22" s="46" t="s">
        <v>284</v>
      </c>
      <c r="E22" s="46">
        <v>1</v>
      </c>
      <c r="F22" s="46">
        <v>1</v>
      </c>
      <c r="G22" s="46">
        <v>148573</v>
      </c>
      <c r="H22" s="46">
        <v>0</v>
      </c>
      <c r="I22" s="46">
        <v>2</v>
      </c>
      <c r="J22" s="46">
        <v>2</v>
      </c>
      <c r="K22" s="46">
        <v>177926</v>
      </c>
      <c r="L22" s="46">
        <v>0</v>
      </c>
    </row>
    <row r="23" spans="1:12" ht="32">
      <c r="A23" s="46">
        <v>110608</v>
      </c>
      <c r="B23" s="46" t="s">
        <v>72</v>
      </c>
      <c r="C23" s="46" t="s">
        <v>285</v>
      </c>
      <c r="D23" s="46" t="s">
        <v>284</v>
      </c>
      <c r="E23" s="46">
        <v>1</v>
      </c>
      <c r="F23" s="46">
        <v>0.5</v>
      </c>
      <c r="G23" s="46">
        <v>190090</v>
      </c>
      <c r="H23" s="46">
        <v>0</v>
      </c>
      <c r="I23" s="46">
        <v>2</v>
      </c>
      <c r="J23" s="46">
        <v>1.4</v>
      </c>
      <c r="K23" s="46">
        <v>150587</v>
      </c>
      <c r="L23" s="46">
        <v>0</v>
      </c>
    </row>
    <row r="24" spans="1:12" ht="32">
      <c r="A24" s="46">
        <v>110608</v>
      </c>
      <c r="B24" s="46" t="s">
        <v>72</v>
      </c>
      <c r="C24" s="46" t="s">
        <v>293</v>
      </c>
      <c r="D24" s="46" t="s">
        <v>284</v>
      </c>
      <c r="E24" s="46">
        <v>1</v>
      </c>
      <c r="F24" s="46">
        <v>1</v>
      </c>
      <c r="G24" s="46">
        <v>177637</v>
      </c>
      <c r="H24" s="46">
        <v>0</v>
      </c>
      <c r="I24" s="46">
        <v>1</v>
      </c>
      <c r="J24" s="46">
        <v>0.8</v>
      </c>
      <c r="K24" s="46">
        <v>83644</v>
      </c>
      <c r="L24" s="46">
        <v>0</v>
      </c>
    </row>
    <row r="25" spans="1:12" ht="32">
      <c r="A25" s="46">
        <v>110635</v>
      </c>
      <c r="B25" s="46" t="s">
        <v>73</v>
      </c>
      <c r="C25" s="46" t="s">
        <v>285</v>
      </c>
      <c r="D25" s="46" t="s">
        <v>284</v>
      </c>
      <c r="E25" s="46">
        <v>1</v>
      </c>
      <c r="F25" s="46">
        <v>1</v>
      </c>
      <c r="G25" s="46">
        <v>232227</v>
      </c>
      <c r="H25" s="46">
        <v>0</v>
      </c>
      <c r="I25" s="46">
        <v>2</v>
      </c>
      <c r="J25" s="46">
        <v>2</v>
      </c>
      <c r="K25" s="46">
        <v>245718</v>
      </c>
      <c r="L25" s="46">
        <v>0</v>
      </c>
    </row>
    <row r="26" spans="1:12" ht="32">
      <c r="A26" s="46">
        <v>106704</v>
      </c>
      <c r="B26" s="46" t="s">
        <v>74</v>
      </c>
      <c r="C26" s="46" t="s">
        <v>285</v>
      </c>
      <c r="D26" s="46" t="s">
        <v>284</v>
      </c>
      <c r="E26" s="46">
        <v>1</v>
      </c>
      <c r="F26" s="46">
        <v>0.82</v>
      </c>
      <c r="G26" s="46">
        <v>82409</v>
      </c>
      <c r="H26" s="46">
        <v>9000</v>
      </c>
      <c r="I26" s="46">
        <v>2</v>
      </c>
      <c r="J26" s="46">
        <v>1.93</v>
      </c>
      <c r="K26" s="46">
        <v>111211</v>
      </c>
      <c r="L26" s="46">
        <v>11500</v>
      </c>
    </row>
    <row r="27" spans="1:12" ht="32">
      <c r="A27" s="46">
        <v>128771</v>
      </c>
      <c r="B27" s="46" t="s">
        <v>75</v>
      </c>
      <c r="C27" s="46" t="s">
        <v>285</v>
      </c>
      <c r="D27" s="46" t="s">
        <v>284</v>
      </c>
      <c r="E27" s="46">
        <v>1</v>
      </c>
      <c r="F27" s="46">
        <v>1</v>
      </c>
      <c r="G27" s="46">
        <v>206964</v>
      </c>
      <c r="H27" s="46">
        <v>0</v>
      </c>
      <c r="I27" s="46">
        <v>1</v>
      </c>
      <c r="J27" s="46">
        <v>1</v>
      </c>
      <c r="K27" s="46">
        <v>83308</v>
      </c>
      <c r="L27" s="46">
        <v>0</v>
      </c>
    </row>
    <row r="28" spans="1:12" ht="32">
      <c r="A28" s="46">
        <v>169248</v>
      </c>
      <c r="B28" s="46" t="s">
        <v>76</v>
      </c>
      <c r="C28" s="46" t="s">
        <v>285</v>
      </c>
      <c r="D28" s="46" t="s">
        <v>284</v>
      </c>
      <c r="E28" s="46">
        <v>1</v>
      </c>
      <c r="F28" s="46">
        <v>1</v>
      </c>
      <c r="G28" s="46">
        <v>134316</v>
      </c>
      <c r="H28" s="46">
        <v>0</v>
      </c>
      <c r="I28" s="46">
        <v>2</v>
      </c>
      <c r="J28" s="46">
        <v>2</v>
      </c>
      <c r="K28" s="46">
        <v>120906</v>
      </c>
      <c r="L28" s="46">
        <v>0</v>
      </c>
    </row>
    <row r="29" spans="1:12" ht="32">
      <c r="A29" s="46">
        <v>199139</v>
      </c>
      <c r="B29" s="46" t="s">
        <v>77</v>
      </c>
      <c r="C29" s="46" t="s">
        <v>285</v>
      </c>
      <c r="D29" s="46" t="s">
        <v>284</v>
      </c>
      <c r="E29" s="46">
        <v>1</v>
      </c>
      <c r="F29" s="46">
        <v>1</v>
      </c>
      <c r="G29" s="46">
        <v>96509</v>
      </c>
      <c r="H29" s="46">
        <v>0</v>
      </c>
      <c r="I29" s="46">
        <v>2</v>
      </c>
      <c r="J29" s="46">
        <v>2</v>
      </c>
      <c r="K29" s="46">
        <v>117160</v>
      </c>
      <c r="L29" s="46">
        <v>0</v>
      </c>
    </row>
    <row r="30" spans="1:12" ht="32">
      <c r="A30" s="46">
        <v>144005</v>
      </c>
      <c r="B30" s="46" t="s">
        <v>78</v>
      </c>
      <c r="C30" s="46" t="s">
        <v>285</v>
      </c>
      <c r="D30" s="46" t="s">
        <v>284</v>
      </c>
      <c r="E30" s="46">
        <v>1</v>
      </c>
      <c r="F30" s="46">
        <v>1</v>
      </c>
      <c r="G30" s="46">
        <v>60000</v>
      </c>
      <c r="H30" s="46">
        <v>0</v>
      </c>
      <c r="I30" s="46">
        <v>1</v>
      </c>
      <c r="J30" s="46">
        <v>1</v>
      </c>
      <c r="K30" s="46">
        <v>40000</v>
      </c>
      <c r="L30" s="46">
        <v>0</v>
      </c>
    </row>
    <row r="31" spans="1:12" ht="32">
      <c r="A31" s="46">
        <v>201885</v>
      </c>
      <c r="B31" s="46" t="s">
        <v>79</v>
      </c>
      <c r="C31" s="46" t="s">
        <v>285</v>
      </c>
      <c r="D31" s="46" t="s">
        <v>284</v>
      </c>
      <c r="E31" s="46">
        <v>1</v>
      </c>
      <c r="F31" s="46">
        <v>1</v>
      </c>
      <c r="G31" s="46">
        <v>166660</v>
      </c>
      <c r="H31" s="46">
        <v>0</v>
      </c>
      <c r="I31" s="46">
        <v>2</v>
      </c>
      <c r="J31" s="46">
        <v>2</v>
      </c>
      <c r="K31" s="46">
        <v>161677</v>
      </c>
      <c r="L31" s="46">
        <v>0</v>
      </c>
    </row>
    <row r="32" spans="1:12" ht="32">
      <c r="A32" s="46">
        <v>217882</v>
      </c>
      <c r="B32" s="46" t="s">
        <v>81</v>
      </c>
      <c r="C32" s="46" t="s">
        <v>285</v>
      </c>
      <c r="D32" s="46" t="s">
        <v>284</v>
      </c>
      <c r="E32" s="46">
        <v>1</v>
      </c>
      <c r="F32" s="46">
        <v>1</v>
      </c>
      <c r="G32" s="46">
        <v>180154</v>
      </c>
      <c r="H32" s="46">
        <v>0</v>
      </c>
      <c r="I32" s="46">
        <v>2</v>
      </c>
      <c r="J32" s="46">
        <v>2</v>
      </c>
      <c r="K32" s="46">
        <v>234068</v>
      </c>
      <c r="L32" s="46">
        <v>0</v>
      </c>
    </row>
    <row r="33" spans="1:12" ht="32">
      <c r="A33" s="46">
        <v>202134</v>
      </c>
      <c r="B33" s="46" t="s">
        <v>82</v>
      </c>
      <c r="C33" s="46" t="s">
        <v>285</v>
      </c>
      <c r="D33" s="46" t="s">
        <v>284</v>
      </c>
      <c r="E33" s="46">
        <v>1</v>
      </c>
      <c r="F33" s="46">
        <v>1</v>
      </c>
      <c r="G33" s="46">
        <v>112993</v>
      </c>
      <c r="H33" s="46">
        <v>0</v>
      </c>
      <c r="I33" s="46">
        <v>2</v>
      </c>
      <c r="J33" s="46">
        <v>2</v>
      </c>
      <c r="K33" s="46">
        <v>85619</v>
      </c>
      <c r="L33" s="46">
        <v>0</v>
      </c>
    </row>
    <row r="34" spans="1:12" ht="32">
      <c r="A34" s="46">
        <v>218724</v>
      </c>
      <c r="B34" s="46" t="s">
        <v>83</v>
      </c>
      <c r="C34" s="46" t="s">
        <v>285</v>
      </c>
      <c r="D34" s="46" t="s">
        <v>284</v>
      </c>
      <c r="E34" s="46">
        <v>1</v>
      </c>
      <c r="F34" s="46">
        <v>1</v>
      </c>
      <c r="G34" s="46">
        <v>126940</v>
      </c>
      <c r="H34" s="46">
        <v>0</v>
      </c>
      <c r="I34" s="46">
        <v>3</v>
      </c>
      <c r="J34" s="46">
        <v>1.65</v>
      </c>
      <c r="K34" s="46">
        <v>110754</v>
      </c>
      <c r="L34" s="46">
        <v>0</v>
      </c>
    </row>
    <row r="35" spans="1:12" ht="32">
      <c r="A35" s="46">
        <v>217819</v>
      </c>
      <c r="B35" s="46" t="s">
        <v>84</v>
      </c>
      <c r="C35" s="46" t="s">
        <v>285</v>
      </c>
      <c r="D35" s="46" t="s">
        <v>284</v>
      </c>
      <c r="E35" s="46">
        <v>1</v>
      </c>
      <c r="F35" s="46">
        <v>0.62</v>
      </c>
      <c r="G35" s="46">
        <v>103454</v>
      </c>
      <c r="H35" s="46">
        <v>0</v>
      </c>
      <c r="I35" s="46">
        <v>2</v>
      </c>
      <c r="J35" s="46">
        <v>1.66</v>
      </c>
      <c r="K35" s="46">
        <v>92651</v>
      </c>
      <c r="L35" s="46">
        <v>0</v>
      </c>
    </row>
    <row r="36" spans="1:12" ht="32">
      <c r="A36" s="46">
        <v>126614</v>
      </c>
      <c r="B36" s="46" t="s">
        <v>85</v>
      </c>
      <c r="C36" s="46" t="s">
        <v>285</v>
      </c>
      <c r="D36" s="46" t="s">
        <v>284</v>
      </c>
      <c r="E36" s="46">
        <v>1</v>
      </c>
      <c r="F36" s="46">
        <v>1</v>
      </c>
      <c r="G36" s="46">
        <v>288410</v>
      </c>
      <c r="H36" s="46">
        <v>0</v>
      </c>
      <c r="I36" s="46">
        <v>2</v>
      </c>
      <c r="J36" s="46">
        <v>2</v>
      </c>
      <c r="K36" s="46">
        <v>269981</v>
      </c>
      <c r="L36" s="46">
        <v>0</v>
      </c>
    </row>
    <row r="37" spans="1:12" ht="32">
      <c r="A37" s="46">
        <v>126818</v>
      </c>
      <c r="B37" s="46" t="s">
        <v>86</v>
      </c>
      <c r="C37" s="46" t="s">
        <v>285</v>
      </c>
      <c r="D37" s="46" t="s">
        <v>284</v>
      </c>
      <c r="E37" s="46">
        <v>1</v>
      </c>
      <c r="F37" s="46">
        <v>1</v>
      </c>
      <c r="G37" s="46">
        <v>318565</v>
      </c>
      <c r="H37" s="46">
        <v>0</v>
      </c>
      <c r="I37" s="46">
        <v>2</v>
      </c>
      <c r="J37" s="46">
        <v>2</v>
      </c>
      <c r="K37" s="46">
        <v>211624</v>
      </c>
      <c r="L37" s="46">
        <v>0</v>
      </c>
    </row>
    <row r="38" spans="1:12" ht="32">
      <c r="A38" s="46">
        <v>129020</v>
      </c>
      <c r="B38" s="46" t="s">
        <v>87</v>
      </c>
      <c r="C38" s="46" t="s">
        <v>285</v>
      </c>
      <c r="D38" s="46" t="s">
        <v>284</v>
      </c>
      <c r="E38" s="46">
        <v>1</v>
      </c>
      <c r="F38" s="46">
        <v>1</v>
      </c>
      <c r="G38" s="46">
        <v>114163</v>
      </c>
      <c r="H38" s="46">
        <v>0</v>
      </c>
      <c r="I38" s="46">
        <v>2</v>
      </c>
      <c r="J38" s="46">
        <v>2</v>
      </c>
      <c r="K38" s="46">
        <v>154556</v>
      </c>
      <c r="L38" s="46">
        <v>0</v>
      </c>
    </row>
    <row r="39" spans="1:12" ht="32">
      <c r="A39" s="46">
        <v>162283</v>
      </c>
      <c r="B39" s="46" t="s">
        <v>88</v>
      </c>
      <c r="C39" s="46" t="s">
        <v>285</v>
      </c>
      <c r="D39" s="46" t="s">
        <v>284</v>
      </c>
      <c r="E39" s="46">
        <v>1</v>
      </c>
      <c r="F39" s="46">
        <v>0</v>
      </c>
      <c r="G39" s="46">
        <v>94460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</row>
    <row r="40" spans="1:12" ht="32">
      <c r="A40" s="46">
        <v>198464</v>
      </c>
      <c r="B40" s="46" t="s">
        <v>89</v>
      </c>
      <c r="C40" s="46" t="s">
        <v>285</v>
      </c>
      <c r="D40" s="46" t="s">
        <v>284</v>
      </c>
      <c r="E40" s="46">
        <v>1</v>
      </c>
      <c r="F40" s="46">
        <v>1</v>
      </c>
      <c r="G40" s="46">
        <v>130594</v>
      </c>
      <c r="H40" s="46">
        <v>0</v>
      </c>
      <c r="I40" s="46">
        <v>2</v>
      </c>
      <c r="J40" s="46">
        <v>2</v>
      </c>
      <c r="K40" s="46">
        <v>107139</v>
      </c>
      <c r="L40" s="46">
        <v>0</v>
      </c>
    </row>
    <row r="41" spans="1:12" ht="32">
      <c r="A41" s="46">
        <v>144892</v>
      </c>
      <c r="B41" s="46" t="s">
        <v>91</v>
      </c>
      <c r="C41" s="46" t="s">
        <v>285</v>
      </c>
      <c r="D41" s="46" t="s">
        <v>284</v>
      </c>
      <c r="E41" s="46">
        <v>1</v>
      </c>
      <c r="F41" s="46">
        <v>1</v>
      </c>
      <c r="G41" s="46">
        <v>85354</v>
      </c>
      <c r="H41" s="46">
        <v>0</v>
      </c>
      <c r="I41" s="46">
        <v>1</v>
      </c>
      <c r="J41" s="46">
        <v>1</v>
      </c>
      <c r="K41" s="46">
        <v>57138</v>
      </c>
      <c r="L41" s="46">
        <v>0</v>
      </c>
    </row>
    <row r="42" spans="1:12" ht="32">
      <c r="A42" s="46">
        <v>156620</v>
      </c>
      <c r="B42" s="46" t="s">
        <v>92</v>
      </c>
      <c r="C42" s="46" t="s">
        <v>285</v>
      </c>
      <c r="D42" s="46" t="s">
        <v>284</v>
      </c>
      <c r="E42" s="46">
        <v>1</v>
      </c>
      <c r="F42" s="46">
        <v>1</v>
      </c>
      <c r="G42" s="46">
        <v>101960</v>
      </c>
      <c r="H42" s="46">
        <v>5350</v>
      </c>
      <c r="I42" s="46">
        <v>2</v>
      </c>
      <c r="J42" s="46">
        <v>2</v>
      </c>
      <c r="K42" s="46">
        <v>57228</v>
      </c>
      <c r="L42" s="46">
        <v>5150</v>
      </c>
    </row>
    <row r="43" spans="1:12" ht="32">
      <c r="A43" s="46">
        <v>169798</v>
      </c>
      <c r="B43" s="46" t="s">
        <v>93</v>
      </c>
      <c r="C43" s="46" t="s">
        <v>285</v>
      </c>
      <c r="D43" s="46" t="s">
        <v>284</v>
      </c>
      <c r="E43" s="46">
        <v>1</v>
      </c>
      <c r="F43" s="46">
        <v>1</v>
      </c>
      <c r="G43" s="46">
        <v>134365</v>
      </c>
      <c r="H43" s="46">
        <v>0</v>
      </c>
      <c r="I43" s="46">
        <v>2</v>
      </c>
      <c r="J43" s="46">
        <v>2</v>
      </c>
      <c r="K43" s="46">
        <v>109210</v>
      </c>
      <c r="L43" s="46">
        <v>0</v>
      </c>
    </row>
    <row r="44" spans="1:12" ht="32">
      <c r="A44" s="46">
        <v>235097</v>
      </c>
      <c r="B44" s="46" t="s">
        <v>94</v>
      </c>
      <c r="C44" s="46" t="s">
        <v>285</v>
      </c>
      <c r="D44" s="46" t="s">
        <v>284</v>
      </c>
      <c r="E44" s="46">
        <v>1</v>
      </c>
      <c r="F44" s="46">
        <v>1</v>
      </c>
      <c r="G44" s="46">
        <v>113461</v>
      </c>
      <c r="H44" s="46">
        <v>0</v>
      </c>
      <c r="I44" s="46">
        <v>2</v>
      </c>
      <c r="J44" s="46">
        <v>2</v>
      </c>
      <c r="K44" s="46">
        <v>95905</v>
      </c>
      <c r="L44" s="46">
        <v>0</v>
      </c>
    </row>
    <row r="45" spans="1:12" ht="32">
      <c r="A45" s="46">
        <v>134130</v>
      </c>
      <c r="B45" s="46" t="s">
        <v>95</v>
      </c>
      <c r="C45" s="46" t="s">
        <v>285</v>
      </c>
      <c r="D45" s="46" t="s">
        <v>284</v>
      </c>
      <c r="E45" s="46">
        <v>1</v>
      </c>
      <c r="F45" s="46">
        <v>1</v>
      </c>
      <c r="G45" s="46">
        <v>481088</v>
      </c>
      <c r="H45" s="46">
        <v>0</v>
      </c>
      <c r="I45" s="46">
        <v>2</v>
      </c>
      <c r="J45" s="46">
        <v>2</v>
      </c>
      <c r="K45" s="46">
        <v>399395</v>
      </c>
      <c r="L45" s="46">
        <v>0</v>
      </c>
    </row>
    <row r="46" spans="1:12" ht="32">
      <c r="A46" s="46">
        <v>133669</v>
      </c>
      <c r="B46" s="46" t="s">
        <v>96</v>
      </c>
      <c r="C46" s="46" t="s">
        <v>285</v>
      </c>
      <c r="D46" s="46" t="s">
        <v>284</v>
      </c>
      <c r="E46" s="46">
        <v>1</v>
      </c>
      <c r="F46" s="46">
        <v>1</v>
      </c>
      <c r="G46" s="46">
        <v>114381</v>
      </c>
      <c r="H46" s="46">
        <v>0</v>
      </c>
      <c r="I46" s="46">
        <v>2</v>
      </c>
      <c r="J46" s="46">
        <v>2</v>
      </c>
      <c r="K46" s="46">
        <v>110904</v>
      </c>
      <c r="L46" s="46">
        <v>0</v>
      </c>
    </row>
    <row r="47" spans="1:12" ht="32">
      <c r="A47" s="46">
        <v>433660</v>
      </c>
      <c r="B47" s="46" t="s">
        <v>97</v>
      </c>
      <c r="C47" s="46" t="s">
        <v>285</v>
      </c>
      <c r="D47" s="46" t="s">
        <v>284</v>
      </c>
      <c r="E47" s="46">
        <v>1</v>
      </c>
      <c r="F47" s="46">
        <v>0.75</v>
      </c>
      <c r="G47" s="46">
        <v>86027</v>
      </c>
      <c r="H47" s="46">
        <v>0</v>
      </c>
      <c r="I47" s="46">
        <v>2</v>
      </c>
      <c r="J47" s="46">
        <v>2</v>
      </c>
      <c r="K47" s="46">
        <v>96309</v>
      </c>
      <c r="L47" s="46">
        <v>0</v>
      </c>
    </row>
    <row r="48" spans="1:12" ht="32">
      <c r="A48" s="46">
        <v>133951</v>
      </c>
      <c r="B48" s="46" t="s">
        <v>98</v>
      </c>
      <c r="C48" s="46" t="s">
        <v>285</v>
      </c>
      <c r="D48" s="46" t="s">
        <v>284</v>
      </c>
      <c r="E48" s="46">
        <v>1</v>
      </c>
      <c r="F48" s="46">
        <v>0.5</v>
      </c>
      <c r="G48" s="46">
        <v>46116</v>
      </c>
      <c r="H48" s="46">
        <v>0</v>
      </c>
      <c r="I48" s="46">
        <v>2</v>
      </c>
      <c r="J48" s="46">
        <v>2</v>
      </c>
      <c r="K48" s="46">
        <v>98795</v>
      </c>
      <c r="L48" s="46">
        <v>0</v>
      </c>
    </row>
    <row r="49" spans="1:12" ht="32">
      <c r="A49" s="46">
        <v>134097</v>
      </c>
      <c r="B49" s="46" t="s">
        <v>99</v>
      </c>
      <c r="C49" s="46" t="s">
        <v>285</v>
      </c>
      <c r="D49" s="46" t="s">
        <v>284</v>
      </c>
      <c r="E49" s="46">
        <v>1</v>
      </c>
      <c r="F49" s="46">
        <v>1</v>
      </c>
      <c r="G49" s="46">
        <v>223879</v>
      </c>
      <c r="H49" s="46">
        <v>0</v>
      </c>
      <c r="I49" s="46">
        <v>3</v>
      </c>
      <c r="J49" s="46">
        <v>2</v>
      </c>
      <c r="K49" s="46">
        <v>206681</v>
      </c>
      <c r="L49" s="46">
        <v>0</v>
      </c>
    </row>
    <row r="50" spans="1:12" ht="32">
      <c r="A50" s="46">
        <v>110556</v>
      </c>
      <c r="B50" s="46" t="s">
        <v>100</v>
      </c>
      <c r="C50" s="46" t="s">
        <v>285</v>
      </c>
      <c r="D50" s="46" t="s">
        <v>284</v>
      </c>
      <c r="E50" s="46">
        <v>1</v>
      </c>
      <c r="F50" s="46">
        <v>1</v>
      </c>
      <c r="G50" s="46">
        <v>221359</v>
      </c>
      <c r="H50" s="46">
        <v>800</v>
      </c>
      <c r="I50" s="46">
        <v>2</v>
      </c>
      <c r="J50" s="46">
        <v>2</v>
      </c>
      <c r="K50" s="46">
        <v>197295</v>
      </c>
      <c r="L50" s="46">
        <v>500</v>
      </c>
    </row>
    <row r="51" spans="1:12" ht="32">
      <c r="A51" s="46">
        <v>139959</v>
      </c>
      <c r="B51" s="46" t="s">
        <v>102</v>
      </c>
      <c r="C51" s="46" t="s">
        <v>285</v>
      </c>
      <c r="D51" s="46" t="s">
        <v>284</v>
      </c>
      <c r="E51" s="46">
        <v>1</v>
      </c>
      <c r="F51" s="46">
        <v>1</v>
      </c>
      <c r="G51" s="46">
        <v>226752</v>
      </c>
      <c r="H51" s="46">
        <v>0</v>
      </c>
      <c r="I51" s="46">
        <v>2</v>
      </c>
      <c r="J51" s="46">
        <v>2</v>
      </c>
      <c r="K51" s="46">
        <v>180498</v>
      </c>
      <c r="L51" s="46">
        <v>0</v>
      </c>
    </row>
    <row r="52" spans="1:12" ht="32">
      <c r="A52" s="46">
        <v>139931</v>
      </c>
      <c r="B52" s="46" t="s">
        <v>103</v>
      </c>
      <c r="C52" s="46" t="s">
        <v>285</v>
      </c>
      <c r="D52" s="46" t="s">
        <v>284</v>
      </c>
      <c r="E52" s="46">
        <v>1</v>
      </c>
      <c r="F52" s="46">
        <v>1</v>
      </c>
      <c r="G52" s="46">
        <v>100607</v>
      </c>
      <c r="H52" s="46">
        <v>0</v>
      </c>
      <c r="I52" s="46">
        <v>2</v>
      </c>
      <c r="J52" s="46">
        <v>2</v>
      </c>
      <c r="K52" s="46">
        <v>113963</v>
      </c>
      <c r="L52" s="46">
        <v>0</v>
      </c>
    </row>
    <row r="53" spans="1:12" ht="32">
      <c r="A53" s="46">
        <v>139940</v>
      </c>
      <c r="B53" s="46" t="s">
        <v>104</v>
      </c>
      <c r="C53" s="46" t="s">
        <v>285</v>
      </c>
      <c r="D53" s="46" t="s">
        <v>284</v>
      </c>
      <c r="E53" s="46">
        <v>1</v>
      </c>
      <c r="F53" s="46">
        <v>1</v>
      </c>
      <c r="G53" s="46">
        <v>134317</v>
      </c>
      <c r="H53" s="46">
        <v>0</v>
      </c>
      <c r="I53" s="46">
        <v>2</v>
      </c>
      <c r="J53" s="46">
        <v>2</v>
      </c>
      <c r="K53" s="46">
        <v>110553</v>
      </c>
      <c r="L53" s="46">
        <v>0</v>
      </c>
    </row>
    <row r="54" spans="1:12" ht="32">
      <c r="A54" s="46">
        <v>139755</v>
      </c>
      <c r="B54" s="46" t="s">
        <v>105</v>
      </c>
      <c r="C54" s="46" t="s">
        <v>285</v>
      </c>
      <c r="D54" s="46" t="s">
        <v>284</v>
      </c>
      <c r="E54" s="46">
        <v>1</v>
      </c>
      <c r="F54" s="46">
        <v>1</v>
      </c>
      <c r="G54" s="46">
        <v>171707</v>
      </c>
      <c r="H54" s="46">
        <v>0</v>
      </c>
      <c r="I54" s="46">
        <v>3</v>
      </c>
      <c r="J54" s="46">
        <v>2</v>
      </c>
      <c r="K54" s="46">
        <v>174585</v>
      </c>
      <c r="L54" s="46">
        <v>0</v>
      </c>
    </row>
    <row r="55" spans="1:12" ht="32">
      <c r="A55" s="46">
        <v>159009</v>
      </c>
      <c r="B55" s="46" t="s">
        <v>106</v>
      </c>
      <c r="C55" s="46" t="s">
        <v>285</v>
      </c>
      <c r="D55" s="46" t="s">
        <v>284</v>
      </c>
      <c r="E55" s="46">
        <v>1</v>
      </c>
      <c r="F55" s="46">
        <v>1</v>
      </c>
      <c r="G55" s="46">
        <v>64252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 ht="32">
      <c r="A56" s="46">
        <v>225511</v>
      </c>
      <c r="B56" s="46" t="s">
        <v>108</v>
      </c>
      <c r="C56" s="46" t="s">
        <v>285</v>
      </c>
      <c r="D56" s="46" t="s">
        <v>284</v>
      </c>
      <c r="E56" s="46">
        <v>1</v>
      </c>
      <c r="F56" s="46">
        <v>1</v>
      </c>
      <c r="G56" s="46">
        <v>106050</v>
      </c>
      <c r="H56" s="46">
        <v>0</v>
      </c>
      <c r="I56" s="46">
        <v>2</v>
      </c>
      <c r="J56" s="46">
        <v>2</v>
      </c>
      <c r="K56" s="46">
        <v>125000</v>
      </c>
      <c r="L56" s="46">
        <v>0</v>
      </c>
    </row>
    <row r="57" spans="1:12" ht="32">
      <c r="A57" s="46">
        <v>142285</v>
      </c>
      <c r="B57" s="46" t="s">
        <v>109</v>
      </c>
      <c r="C57" s="46" t="s">
        <v>285</v>
      </c>
      <c r="D57" s="46" t="s">
        <v>284</v>
      </c>
      <c r="E57" s="46">
        <v>1</v>
      </c>
      <c r="F57" s="46">
        <v>1</v>
      </c>
      <c r="G57" s="46">
        <v>128521</v>
      </c>
      <c r="H57" s="46">
        <v>15000</v>
      </c>
      <c r="I57" s="46">
        <v>2</v>
      </c>
      <c r="J57" s="46">
        <v>2</v>
      </c>
      <c r="K57" s="46">
        <v>102493</v>
      </c>
      <c r="L57" s="46">
        <v>10000</v>
      </c>
    </row>
    <row r="58" spans="1:12" ht="32">
      <c r="A58" s="46">
        <v>142276</v>
      </c>
      <c r="B58" s="46" t="s">
        <v>110</v>
      </c>
      <c r="C58" s="46" t="s">
        <v>285</v>
      </c>
      <c r="D58" s="46" t="s">
        <v>284</v>
      </c>
      <c r="E58" s="46">
        <v>1</v>
      </c>
      <c r="F58" s="46">
        <v>0.91</v>
      </c>
      <c r="G58" s="46">
        <v>106475</v>
      </c>
      <c r="H58" s="46">
        <v>0</v>
      </c>
      <c r="I58" s="46">
        <v>2</v>
      </c>
      <c r="J58" s="46">
        <v>1</v>
      </c>
      <c r="K58" s="46">
        <v>89464</v>
      </c>
      <c r="L58" s="46">
        <v>0</v>
      </c>
    </row>
    <row r="59" spans="1:12" ht="32">
      <c r="A59" s="46">
        <v>145637</v>
      </c>
      <c r="B59" s="46" t="s">
        <v>111</v>
      </c>
      <c r="C59" s="46" t="s">
        <v>285</v>
      </c>
      <c r="D59" s="46" t="s">
        <v>284</v>
      </c>
      <c r="E59" s="46">
        <v>1</v>
      </c>
      <c r="F59" s="46">
        <v>1</v>
      </c>
      <c r="G59" s="46">
        <v>401266</v>
      </c>
      <c r="H59" s="46">
        <v>0</v>
      </c>
      <c r="I59" s="46">
        <v>2</v>
      </c>
      <c r="J59" s="46">
        <v>2</v>
      </c>
      <c r="K59" s="46">
        <v>259865</v>
      </c>
      <c r="L59" s="46">
        <v>0</v>
      </c>
    </row>
    <row r="60" spans="1:12" ht="32">
      <c r="A60" s="46">
        <v>145600</v>
      </c>
      <c r="B60" s="46" t="s">
        <v>112</v>
      </c>
      <c r="C60" s="46" t="s">
        <v>285</v>
      </c>
      <c r="D60" s="46" t="s">
        <v>284</v>
      </c>
      <c r="E60" s="46">
        <v>1</v>
      </c>
      <c r="F60" s="46">
        <v>1</v>
      </c>
      <c r="G60" s="46">
        <v>132022</v>
      </c>
      <c r="H60" s="46">
        <v>0</v>
      </c>
      <c r="I60" s="46">
        <v>2</v>
      </c>
      <c r="J60" s="46">
        <v>2</v>
      </c>
      <c r="K60" s="46">
        <v>107244</v>
      </c>
      <c r="L60" s="46">
        <v>0</v>
      </c>
    </row>
    <row r="61" spans="1:12" ht="32">
      <c r="A61" s="46">
        <v>145813</v>
      </c>
      <c r="B61" s="46" t="s">
        <v>113</v>
      </c>
      <c r="C61" s="46" t="s">
        <v>285</v>
      </c>
      <c r="D61" s="46" t="s">
        <v>284</v>
      </c>
      <c r="E61" s="46">
        <v>1</v>
      </c>
      <c r="F61" s="46">
        <v>1</v>
      </c>
      <c r="G61" s="46">
        <v>143791</v>
      </c>
      <c r="H61" s="46">
        <v>0</v>
      </c>
      <c r="I61" s="46">
        <v>2</v>
      </c>
      <c r="J61" s="46">
        <v>2</v>
      </c>
      <c r="K61" s="46">
        <v>113214</v>
      </c>
      <c r="L61" s="46">
        <v>0</v>
      </c>
    </row>
    <row r="62" spans="1:12" ht="32">
      <c r="A62" s="46">
        <v>151351</v>
      </c>
      <c r="B62" s="46" t="s">
        <v>114</v>
      </c>
      <c r="C62" s="46" t="s">
        <v>285</v>
      </c>
      <c r="D62" s="46" t="s">
        <v>284</v>
      </c>
      <c r="E62" s="46">
        <v>1</v>
      </c>
      <c r="F62" s="46">
        <v>1</v>
      </c>
      <c r="G62" s="46">
        <v>308919</v>
      </c>
      <c r="H62" s="46">
        <v>0</v>
      </c>
      <c r="I62" s="46">
        <v>2</v>
      </c>
      <c r="J62" s="46">
        <v>2</v>
      </c>
      <c r="K62" s="46">
        <v>237528</v>
      </c>
      <c r="L62" s="46">
        <v>0</v>
      </c>
    </row>
    <row r="63" spans="1:12" ht="32">
      <c r="A63" s="46">
        <v>151324</v>
      </c>
      <c r="B63" s="46" t="s">
        <v>115</v>
      </c>
      <c r="C63" s="46" t="s">
        <v>285</v>
      </c>
      <c r="D63" s="46" t="s">
        <v>284</v>
      </c>
      <c r="E63" s="46">
        <v>1</v>
      </c>
      <c r="F63" s="46">
        <v>1</v>
      </c>
      <c r="G63" s="46">
        <v>106798</v>
      </c>
      <c r="H63" s="46">
        <v>0</v>
      </c>
      <c r="I63" s="46">
        <v>2</v>
      </c>
      <c r="J63" s="46">
        <v>1.5</v>
      </c>
      <c r="K63" s="46">
        <v>75375</v>
      </c>
      <c r="L63" s="46">
        <v>0</v>
      </c>
    </row>
    <row r="64" spans="1:12" ht="32">
      <c r="A64" s="46">
        <v>153658</v>
      </c>
      <c r="B64" s="46" t="s">
        <v>116</v>
      </c>
      <c r="C64" s="46" t="s">
        <v>285</v>
      </c>
      <c r="D64" s="46" t="s">
        <v>284</v>
      </c>
      <c r="E64" s="46">
        <v>1</v>
      </c>
      <c r="F64" s="46">
        <v>1</v>
      </c>
      <c r="G64" s="46">
        <v>322843</v>
      </c>
      <c r="H64" s="46">
        <v>0</v>
      </c>
      <c r="I64" s="46">
        <v>2</v>
      </c>
      <c r="J64" s="46">
        <v>2</v>
      </c>
      <c r="K64" s="46">
        <v>222164</v>
      </c>
      <c r="L64" s="46">
        <v>0</v>
      </c>
    </row>
    <row r="65" spans="1:12" ht="32">
      <c r="A65" s="46">
        <v>153603</v>
      </c>
      <c r="B65" s="46" t="s">
        <v>117</v>
      </c>
      <c r="C65" s="46" t="s">
        <v>285</v>
      </c>
      <c r="D65" s="46" t="s">
        <v>284</v>
      </c>
      <c r="E65" s="46">
        <v>1</v>
      </c>
      <c r="F65" s="46">
        <v>1</v>
      </c>
      <c r="G65" s="46">
        <v>322800</v>
      </c>
      <c r="H65" s="46">
        <v>0</v>
      </c>
      <c r="I65" s="46">
        <v>2</v>
      </c>
      <c r="J65" s="46">
        <v>2</v>
      </c>
      <c r="K65" s="46">
        <v>214499</v>
      </c>
      <c r="L65" s="46">
        <v>0</v>
      </c>
    </row>
    <row r="66" spans="1:12" ht="32">
      <c r="A66" s="46">
        <v>151111</v>
      </c>
      <c r="B66" s="46" t="s">
        <v>118</v>
      </c>
      <c r="C66" s="46" t="s">
        <v>285</v>
      </c>
      <c r="D66" s="46" t="s">
        <v>284</v>
      </c>
      <c r="E66" s="46">
        <v>1</v>
      </c>
      <c r="F66" s="46">
        <v>1</v>
      </c>
      <c r="G66" s="46">
        <v>81709</v>
      </c>
      <c r="H66" s="46">
        <v>0</v>
      </c>
      <c r="I66" s="46">
        <v>1</v>
      </c>
      <c r="J66" s="46">
        <v>1</v>
      </c>
      <c r="K66" s="46">
        <v>46107</v>
      </c>
      <c r="L66" s="46">
        <v>0</v>
      </c>
    </row>
    <row r="67" spans="1:12" ht="32">
      <c r="A67" s="46">
        <v>232423</v>
      </c>
      <c r="B67" s="46" t="s">
        <v>121</v>
      </c>
      <c r="C67" s="46" t="s">
        <v>285</v>
      </c>
      <c r="D67" s="46" t="s">
        <v>284</v>
      </c>
      <c r="E67" s="46">
        <v>1</v>
      </c>
      <c r="F67" s="46">
        <v>1</v>
      </c>
      <c r="G67" s="46">
        <v>131992</v>
      </c>
      <c r="H67" s="46">
        <v>0</v>
      </c>
      <c r="I67" s="46">
        <v>2</v>
      </c>
      <c r="J67" s="46">
        <v>2</v>
      </c>
      <c r="K67" s="46">
        <v>114385</v>
      </c>
      <c r="L67" s="46">
        <v>0</v>
      </c>
    </row>
    <row r="68" spans="1:12" ht="32">
      <c r="A68" s="46">
        <v>155317</v>
      </c>
      <c r="B68" s="46" t="s">
        <v>122</v>
      </c>
      <c r="C68" s="46" t="s">
        <v>285</v>
      </c>
      <c r="D68" s="46" t="s">
        <v>284</v>
      </c>
      <c r="E68" s="46">
        <v>1</v>
      </c>
      <c r="F68" s="46">
        <v>1</v>
      </c>
      <c r="G68" s="46">
        <v>246761</v>
      </c>
      <c r="H68" s="46">
        <v>0</v>
      </c>
      <c r="I68" s="46">
        <v>2</v>
      </c>
      <c r="J68" s="46">
        <v>2</v>
      </c>
      <c r="K68" s="46">
        <v>203033</v>
      </c>
      <c r="L68" s="46">
        <v>0</v>
      </c>
    </row>
    <row r="69" spans="1:12" ht="32">
      <c r="A69" s="46">
        <v>155399</v>
      </c>
      <c r="B69" s="46" t="s">
        <v>123</v>
      </c>
      <c r="C69" s="46" t="s">
        <v>285</v>
      </c>
      <c r="D69" s="46" t="s">
        <v>284</v>
      </c>
      <c r="E69" s="46">
        <v>1</v>
      </c>
      <c r="F69" s="46">
        <v>1</v>
      </c>
      <c r="G69" s="46">
        <v>213880</v>
      </c>
      <c r="H69" s="46">
        <v>0</v>
      </c>
      <c r="I69" s="46">
        <v>2</v>
      </c>
      <c r="J69" s="46">
        <v>2</v>
      </c>
      <c r="K69" s="46">
        <v>243064</v>
      </c>
      <c r="L69" s="46">
        <v>0</v>
      </c>
    </row>
    <row r="70" spans="1:12" ht="32">
      <c r="A70" s="46">
        <v>203517</v>
      </c>
      <c r="B70" s="46" t="s">
        <v>125</v>
      </c>
      <c r="C70" s="46" t="s">
        <v>285</v>
      </c>
      <c r="D70" s="46" t="s">
        <v>284</v>
      </c>
      <c r="E70" s="46">
        <v>1</v>
      </c>
      <c r="F70" s="46">
        <v>1</v>
      </c>
      <c r="G70" s="46">
        <v>136348</v>
      </c>
      <c r="H70" s="46">
        <v>0</v>
      </c>
      <c r="I70" s="46">
        <v>2</v>
      </c>
      <c r="J70" s="46">
        <v>2</v>
      </c>
      <c r="K70" s="46">
        <v>96950</v>
      </c>
      <c r="L70" s="46">
        <v>0</v>
      </c>
    </row>
    <row r="71" spans="1:12" ht="32">
      <c r="A71" s="46">
        <v>157085</v>
      </c>
      <c r="B71" s="46" t="s">
        <v>126</v>
      </c>
      <c r="C71" s="46" t="s">
        <v>285</v>
      </c>
      <c r="D71" s="46" t="s">
        <v>284</v>
      </c>
      <c r="E71" s="46">
        <v>1</v>
      </c>
      <c r="F71" s="46">
        <v>1</v>
      </c>
      <c r="G71" s="46">
        <v>371204</v>
      </c>
      <c r="H71" s="46">
        <v>0</v>
      </c>
      <c r="I71" s="46">
        <v>2</v>
      </c>
      <c r="J71" s="46">
        <v>2</v>
      </c>
      <c r="K71" s="46">
        <v>266455</v>
      </c>
      <c r="L71" s="46">
        <v>0</v>
      </c>
    </row>
    <row r="72" spans="1:12" ht="32">
      <c r="A72" s="46">
        <v>226091</v>
      </c>
      <c r="B72" s="46" t="s">
        <v>127</v>
      </c>
      <c r="C72" s="46" t="s">
        <v>285</v>
      </c>
      <c r="D72" s="46" t="s">
        <v>284</v>
      </c>
      <c r="E72" s="46">
        <v>1</v>
      </c>
      <c r="F72" s="46">
        <v>1</v>
      </c>
      <c r="G72" s="46">
        <v>94591</v>
      </c>
      <c r="H72" s="46">
        <v>0</v>
      </c>
      <c r="I72" s="46">
        <v>1</v>
      </c>
      <c r="J72" s="46">
        <v>1</v>
      </c>
      <c r="K72" s="46">
        <v>43378</v>
      </c>
      <c r="L72" s="46">
        <v>0</v>
      </c>
    </row>
    <row r="73" spans="1:12" ht="32">
      <c r="A73" s="46">
        <v>110583</v>
      </c>
      <c r="B73" s="46" t="s">
        <v>128</v>
      </c>
      <c r="C73" s="46" t="s">
        <v>285</v>
      </c>
      <c r="D73" s="46" t="s">
        <v>284</v>
      </c>
      <c r="E73" s="46">
        <v>1</v>
      </c>
      <c r="F73" s="46">
        <v>1</v>
      </c>
      <c r="G73" s="46">
        <v>258306</v>
      </c>
      <c r="H73" s="46">
        <v>0</v>
      </c>
      <c r="I73" s="46">
        <v>2</v>
      </c>
      <c r="J73" s="46">
        <v>2</v>
      </c>
      <c r="K73" s="46">
        <v>145244</v>
      </c>
      <c r="L73" s="46">
        <v>0</v>
      </c>
    </row>
    <row r="74" spans="1:12" ht="32">
      <c r="A74" s="46">
        <v>110583</v>
      </c>
      <c r="B74" s="46" t="s">
        <v>128</v>
      </c>
      <c r="C74" s="46" t="s">
        <v>293</v>
      </c>
      <c r="D74" s="46" t="s">
        <v>284</v>
      </c>
      <c r="E74" s="46">
        <v>1</v>
      </c>
      <c r="F74" s="46">
        <v>1</v>
      </c>
      <c r="G74" s="46">
        <v>258323</v>
      </c>
      <c r="H74" s="46">
        <v>0</v>
      </c>
      <c r="I74" s="46">
        <v>2</v>
      </c>
      <c r="J74" s="46">
        <v>2</v>
      </c>
      <c r="K74" s="46">
        <v>206179</v>
      </c>
      <c r="L74" s="46">
        <v>0</v>
      </c>
    </row>
    <row r="75" spans="1:12" ht="32">
      <c r="A75" s="46">
        <v>160658</v>
      </c>
      <c r="B75" s="46" t="s">
        <v>130</v>
      </c>
      <c r="C75" s="46" t="s">
        <v>285</v>
      </c>
      <c r="D75" s="46" t="s">
        <v>284</v>
      </c>
      <c r="E75" s="46">
        <v>1</v>
      </c>
      <c r="F75" s="46">
        <v>1</v>
      </c>
      <c r="G75" s="46">
        <v>96658</v>
      </c>
      <c r="H75" s="46">
        <v>0</v>
      </c>
      <c r="I75" s="46">
        <v>2</v>
      </c>
      <c r="J75" s="46">
        <v>2</v>
      </c>
      <c r="K75" s="46">
        <v>94122</v>
      </c>
      <c r="L75" s="46">
        <v>0</v>
      </c>
    </row>
    <row r="76" spans="1:12" ht="32">
      <c r="A76" s="46">
        <v>159647</v>
      </c>
      <c r="B76" s="46" t="s">
        <v>132</v>
      </c>
      <c r="C76" s="46" t="s">
        <v>285</v>
      </c>
      <c r="D76" s="46" t="s">
        <v>284</v>
      </c>
      <c r="E76" s="46">
        <v>1</v>
      </c>
      <c r="F76" s="46">
        <v>1</v>
      </c>
      <c r="G76" s="46">
        <v>96217</v>
      </c>
      <c r="H76" s="46">
        <v>0</v>
      </c>
      <c r="I76" s="46">
        <v>2</v>
      </c>
      <c r="J76" s="46">
        <v>2</v>
      </c>
      <c r="K76" s="46">
        <v>67349</v>
      </c>
      <c r="L76" s="46">
        <v>0</v>
      </c>
    </row>
    <row r="77" spans="1:12" ht="32">
      <c r="A77" s="46">
        <v>157289</v>
      </c>
      <c r="B77" s="46" t="s">
        <v>133</v>
      </c>
      <c r="C77" s="46" t="s">
        <v>285</v>
      </c>
      <c r="D77" s="46" t="s">
        <v>284</v>
      </c>
      <c r="E77" s="46">
        <v>1</v>
      </c>
      <c r="F77" s="46">
        <v>1</v>
      </c>
      <c r="G77" s="46">
        <v>275677</v>
      </c>
      <c r="H77" s="46">
        <v>0</v>
      </c>
      <c r="I77" s="46">
        <v>2</v>
      </c>
      <c r="J77" s="46">
        <v>2</v>
      </c>
      <c r="K77" s="46">
        <v>283671</v>
      </c>
      <c r="L77" s="46">
        <v>0</v>
      </c>
    </row>
    <row r="78" spans="1:12" ht="32">
      <c r="A78" s="46">
        <v>159391</v>
      </c>
      <c r="B78" s="46" t="s">
        <v>134</v>
      </c>
      <c r="C78" s="46" t="s">
        <v>285</v>
      </c>
      <c r="D78" s="46" t="s">
        <v>284</v>
      </c>
      <c r="E78" s="46">
        <v>0</v>
      </c>
      <c r="F78" s="46">
        <v>0</v>
      </c>
      <c r="G78" s="46">
        <v>268457</v>
      </c>
      <c r="H78" s="46">
        <v>0</v>
      </c>
      <c r="I78" s="46">
        <v>0</v>
      </c>
      <c r="J78" s="46">
        <v>0</v>
      </c>
      <c r="K78" s="46">
        <v>199198</v>
      </c>
      <c r="L78" s="46">
        <v>0</v>
      </c>
    </row>
    <row r="79" spans="1:12" ht="32">
      <c r="A79" s="46">
        <v>237525</v>
      </c>
      <c r="B79" s="46" t="s">
        <v>136</v>
      </c>
      <c r="C79" s="46" t="s">
        <v>285</v>
      </c>
      <c r="D79" s="46" t="s">
        <v>284</v>
      </c>
      <c r="E79" s="46">
        <v>1</v>
      </c>
      <c r="F79" s="46">
        <v>1</v>
      </c>
      <c r="G79" s="46">
        <v>115519</v>
      </c>
      <c r="H79" s="46">
        <v>0</v>
      </c>
      <c r="I79" s="46">
        <v>2</v>
      </c>
      <c r="J79" s="46">
        <v>2</v>
      </c>
      <c r="K79" s="46">
        <v>80049</v>
      </c>
      <c r="L79" s="46">
        <v>0</v>
      </c>
    </row>
    <row r="80" spans="1:12" ht="32">
      <c r="A80" s="46">
        <v>163286</v>
      </c>
      <c r="B80" s="46" t="s">
        <v>137</v>
      </c>
      <c r="C80" s="46" t="s">
        <v>285</v>
      </c>
      <c r="D80" s="46" t="s">
        <v>284</v>
      </c>
      <c r="E80" s="46">
        <v>1</v>
      </c>
      <c r="F80" s="46">
        <v>1</v>
      </c>
      <c r="G80" s="46">
        <v>177952</v>
      </c>
      <c r="H80" s="46">
        <v>0</v>
      </c>
      <c r="I80" s="46">
        <v>2</v>
      </c>
      <c r="J80" s="46">
        <v>2</v>
      </c>
      <c r="K80" s="46">
        <v>193013</v>
      </c>
      <c r="L80" s="46">
        <v>0</v>
      </c>
    </row>
    <row r="81" spans="1:12" ht="32">
      <c r="A81" s="46">
        <v>163268</v>
      </c>
      <c r="B81" s="46" t="s">
        <v>138</v>
      </c>
      <c r="C81" s="46" t="s">
        <v>285</v>
      </c>
      <c r="D81" s="46" t="s">
        <v>284</v>
      </c>
      <c r="E81" s="46">
        <v>1</v>
      </c>
      <c r="F81" s="46">
        <v>1</v>
      </c>
      <c r="G81" s="46">
        <v>83140</v>
      </c>
      <c r="H81" s="46">
        <v>0</v>
      </c>
      <c r="I81" s="46">
        <v>2</v>
      </c>
      <c r="J81" s="46">
        <v>1</v>
      </c>
      <c r="K81" s="46">
        <v>46358</v>
      </c>
      <c r="L81" s="46">
        <v>0</v>
      </c>
    </row>
    <row r="82" spans="1:12" ht="32">
      <c r="A82" s="46">
        <v>163338</v>
      </c>
      <c r="B82" s="46" t="s">
        <v>139</v>
      </c>
      <c r="C82" s="46" t="s">
        <v>285</v>
      </c>
      <c r="D82" s="46" t="s">
        <v>284</v>
      </c>
      <c r="E82" s="46">
        <v>1</v>
      </c>
      <c r="F82" s="46">
        <v>1</v>
      </c>
      <c r="G82" s="46">
        <v>41870</v>
      </c>
      <c r="H82" s="46">
        <v>0</v>
      </c>
      <c r="I82" s="46">
        <v>1</v>
      </c>
      <c r="J82" s="46">
        <v>1</v>
      </c>
      <c r="K82" s="46">
        <v>53740</v>
      </c>
      <c r="L82" s="46">
        <v>0</v>
      </c>
    </row>
    <row r="83" spans="1:12" ht="32">
      <c r="A83" s="46">
        <v>166513</v>
      </c>
      <c r="B83" s="46" t="s">
        <v>141</v>
      </c>
      <c r="C83" s="46" t="s">
        <v>285</v>
      </c>
      <c r="D83" s="46" t="s">
        <v>284</v>
      </c>
      <c r="E83" s="46">
        <v>1</v>
      </c>
      <c r="F83" s="46">
        <v>1</v>
      </c>
      <c r="G83" s="46">
        <v>96629</v>
      </c>
      <c r="H83" s="46">
        <v>0</v>
      </c>
      <c r="I83" s="46">
        <v>2</v>
      </c>
      <c r="J83" s="46">
        <v>1.5</v>
      </c>
      <c r="K83" s="46">
        <v>89408</v>
      </c>
      <c r="L83" s="46">
        <v>0</v>
      </c>
    </row>
    <row r="84" spans="1:12" ht="32">
      <c r="A84" s="46">
        <v>159717</v>
      </c>
      <c r="B84" s="46" t="s">
        <v>142</v>
      </c>
      <c r="C84" s="46" t="s">
        <v>285</v>
      </c>
      <c r="D84" s="46" t="s">
        <v>284</v>
      </c>
      <c r="E84" s="46">
        <v>1</v>
      </c>
      <c r="F84" s="46">
        <v>0.83</v>
      </c>
      <c r="G84" s="46">
        <v>56422</v>
      </c>
      <c r="H84" s="46">
        <v>0</v>
      </c>
      <c r="I84" s="46">
        <v>2</v>
      </c>
      <c r="J84" s="46">
        <v>1.66</v>
      </c>
      <c r="K84" s="46">
        <v>65615</v>
      </c>
      <c r="L84" s="46">
        <v>0</v>
      </c>
    </row>
    <row r="85" spans="1:12" ht="32">
      <c r="A85" s="46">
        <v>204024</v>
      </c>
      <c r="B85" s="46" t="s">
        <v>144</v>
      </c>
      <c r="C85" s="46" t="s">
        <v>285</v>
      </c>
      <c r="D85" s="46" t="s">
        <v>284</v>
      </c>
      <c r="E85" s="46">
        <v>1</v>
      </c>
      <c r="F85" s="46">
        <v>1</v>
      </c>
      <c r="G85" s="46">
        <v>164840</v>
      </c>
      <c r="H85" s="46">
        <v>0</v>
      </c>
      <c r="I85" s="46">
        <v>2</v>
      </c>
      <c r="J85" s="46">
        <v>2</v>
      </c>
      <c r="K85" s="46">
        <v>117112</v>
      </c>
      <c r="L85" s="46">
        <v>0</v>
      </c>
    </row>
    <row r="86" spans="1:12" ht="32">
      <c r="A86" s="46">
        <v>170976</v>
      </c>
      <c r="B86" s="46" t="s">
        <v>145</v>
      </c>
      <c r="C86" s="46" t="s">
        <v>285</v>
      </c>
      <c r="D86" s="46" t="s">
        <v>284</v>
      </c>
      <c r="E86" s="46">
        <v>1</v>
      </c>
      <c r="F86" s="46">
        <v>1</v>
      </c>
      <c r="G86" s="46">
        <v>226250</v>
      </c>
      <c r="H86" s="46">
        <v>0</v>
      </c>
      <c r="I86" s="46">
        <v>2</v>
      </c>
      <c r="J86" s="46">
        <v>2</v>
      </c>
      <c r="K86" s="46">
        <v>207126</v>
      </c>
      <c r="L86" s="46">
        <v>0</v>
      </c>
    </row>
    <row r="87" spans="1:12" ht="32">
      <c r="A87" s="46">
        <v>171100</v>
      </c>
      <c r="B87" s="46" t="s">
        <v>146</v>
      </c>
      <c r="C87" s="46" t="s">
        <v>285</v>
      </c>
      <c r="D87" s="46" t="s">
        <v>284</v>
      </c>
      <c r="E87" s="46">
        <v>1</v>
      </c>
      <c r="F87" s="46">
        <v>1</v>
      </c>
      <c r="G87" s="46">
        <v>308671</v>
      </c>
      <c r="H87" s="46">
        <v>0</v>
      </c>
      <c r="I87" s="46">
        <v>2</v>
      </c>
      <c r="J87" s="46">
        <v>2</v>
      </c>
      <c r="K87" s="46">
        <v>266723</v>
      </c>
      <c r="L87" s="46">
        <v>0</v>
      </c>
    </row>
    <row r="88" spans="1:12" ht="32">
      <c r="A88" s="46">
        <v>220978</v>
      </c>
      <c r="B88" s="46" t="s">
        <v>147</v>
      </c>
      <c r="C88" s="46" t="s">
        <v>285</v>
      </c>
      <c r="D88" s="50" t="s">
        <v>284</v>
      </c>
      <c r="E88" s="22">
        <v>1</v>
      </c>
      <c r="F88" s="22">
        <v>0.81</v>
      </c>
      <c r="G88" s="22">
        <v>106139</v>
      </c>
      <c r="H88" s="22">
        <v>0</v>
      </c>
      <c r="I88" s="22">
        <v>2</v>
      </c>
      <c r="J88" s="22">
        <v>2</v>
      </c>
      <c r="K88" s="22">
        <v>101938</v>
      </c>
      <c r="L88" s="53">
        <v>0</v>
      </c>
    </row>
    <row r="89" spans="1:12" ht="32">
      <c r="A89" s="46">
        <v>174066</v>
      </c>
      <c r="B89" s="46" t="s">
        <v>148</v>
      </c>
      <c r="C89" s="46" t="s">
        <v>285</v>
      </c>
      <c r="D89" s="46" t="s">
        <v>284</v>
      </c>
      <c r="E89" s="46">
        <v>1</v>
      </c>
      <c r="F89" s="46">
        <v>1</v>
      </c>
      <c r="G89" s="46">
        <v>597795</v>
      </c>
      <c r="H89" s="46">
        <v>0</v>
      </c>
      <c r="I89" s="46">
        <v>2</v>
      </c>
      <c r="J89" s="46">
        <v>2</v>
      </c>
      <c r="K89" s="46">
        <v>219313</v>
      </c>
      <c r="L89" s="46">
        <v>0</v>
      </c>
    </row>
    <row r="90" spans="1:12" ht="32">
      <c r="A90" s="46">
        <v>176017</v>
      </c>
      <c r="B90" s="46" t="s">
        <v>149</v>
      </c>
      <c r="C90" s="46" t="s">
        <v>285</v>
      </c>
      <c r="D90" s="46" t="s">
        <v>284</v>
      </c>
      <c r="E90" s="46">
        <v>1</v>
      </c>
      <c r="F90" s="46">
        <v>1</v>
      </c>
      <c r="G90" s="46">
        <v>217343</v>
      </c>
      <c r="H90" s="46">
        <v>0</v>
      </c>
      <c r="I90" s="46">
        <v>2</v>
      </c>
      <c r="J90" s="46">
        <v>2</v>
      </c>
      <c r="K90" s="46">
        <v>201843</v>
      </c>
      <c r="L90" s="46">
        <v>0</v>
      </c>
    </row>
    <row r="91" spans="1:12" ht="32">
      <c r="A91" s="46">
        <v>176080</v>
      </c>
      <c r="B91" s="46" t="s">
        <v>150</v>
      </c>
      <c r="C91" s="46" t="s">
        <v>285</v>
      </c>
      <c r="D91" s="46" t="s">
        <v>284</v>
      </c>
      <c r="E91" s="46">
        <v>1</v>
      </c>
      <c r="F91" s="46">
        <v>1</v>
      </c>
      <c r="G91" s="46">
        <v>198926</v>
      </c>
      <c r="H91" s="46">
        <v>0</v>
      </c>
      <c r="I91" s="46">
        <v>2</v>
      </c>
      <c r="J91" s="46">
        <v>2</v>
      </c>
      <c r="K91" s="46">
        <v>155998</v>
      </c>
      <c r="L91" s="46">
        <v>0</v>
      </c>
    </row>
    <row r="92" spans="1:12" ht="32">
      <c r="A92" s="46">
        <v>178396</v>
      </c>
      <c r="B92" s="46" t="s">
        <v>152</v>
      </c>
      <c r="C92" s="46" t="s">
        <v>285</v>
      </c>
      <c r="D92" s="46" t="s">
        <v>284</v>
      </c>
      <c r="E92" s="46">
        <v>1</v>
      </c>
      <c r="F92" s="46">
        <v>1</v>
      </c>
      <c r="G92" s="46">
        <v>302243</v>
      </c>
      <c r="H92" s="46">
        <v>0</v>
      </c>
      <c r="I92" s="46">
        <v>2</v>
      </c>
      <c r="J92" s="46">
        <v>2</v>
      </c>
      <c r="K92" s="46">
        <v>186723</v>
      </c>
      <c r="L92" s="46">
        <v>0</v>
      </c>
    </row>
    <row r="93" spans="1:12" ht="32">
      <c r="A93" s="46">
        <v>178402</v>
      </c>
      <c r="B93" s="46" t="s">
        <v>153</v>
      </c>
      <c r="C93" s="46" t="s">
        <v>285</v>
      </c>
      <c r="D93" s="46" t="s">
        <v>284</v>
      </c>
      <c r="E93" s="46">
        <v>1</v>
      </c>
      <c r="F93" s="46">
        <v>1</v>
      </c>
      <c r="G93" s="46">
        <v>112343</v>
      </c>
      <c r="H93" s="46">
        <v>0</v>
      </c>
      <c r="I93" s="46">
        <v>1</v>
      </c>
      <c r="J93" s="46">
        <v>1</v>
      </c>
      <c r="K93" s="46">
        <v>74713</v>
      </c>
      <c r="L93" s="46">
        <v>0</v>
      </c>
    </row>
    <row r="94" spans="1:12" ht="32">
      <c r="A94" s="46">
        <v>179566</v>
      </c>
      <c r="B94" s="46" t="s">
        <v>154</v>
      </c>
      <c r="C94" s="46" t="s">
        <v>285</v>
      </c>
      <c r="D94" s="46" t="s">
        <v>284</v>
      </c>
      <c r="E94" s="46">
        <v>1</v>
      </c>
      <c r="F94" s="46">
        <v>1</v>
      </c>
      <c r="G94" s="46">
        <v>169296</v>
      </c>
      <c r="H94" s="46">
        <v>0</v>
      </c>
      <c r="I94" s="46">
        <v>2</v>
      </c>
      <c r="J94" s="46">
        <v>2</v>
      </c>
      <c r="K94" s="46">
        <v>107527</v>
      </c>
      <c r="L94" s="46">
        <v>0</v>
      </c>
    </row>
    <row r="95" spans="1:12" ht="32">
      <c r="A95" s="46">
        <v>180489</v>
      </c>
      <c r="B95" s="46" t="s">
        <v>155</v>
      </c>
      <c r="C95" s="46" t="s">
        <v>285</v>
      </c>
      <c r="D95" s="46" t="s">
        <v>284</v>
      </c>
      <c r="E95" s="46">
        <v>1</v>
      </c>
      <c r="F95" s="46">
        <v>1</v>
      </c>
      <c r="G95" s="46">
        <v>88625</v>
      </c>
      <c r="H95" s="46">
        <v>6000</v>
      </c>
      <c r="I95" s="46">
        <v>2</v>
      </c>
      <c r="J95" s="46">
        <v>2</v>
      </c>
      <c r="K95" s="46">
        <v>108100</v>
      </c>
      <c r="L95" s="46">
        <v>10000</v>
      </c>
    </row>
    <row r="96" spans="1:12" ht="32">
      <c r="A96" s="46">
        <v>180461</v>
      </c>
      <c r="B96" s="46" t="s">
        <v>156</v>
      </c>
      <c r="C96" s="46" t="s">
        <v>285</v>
      </c>
      <c r="D96" s="46" t="s">
        <v>284</v>
      </c>
      <c r="E96" s="46">
        <v>1</v>
      </c>
      <c r="F96" s="46">
        <v>1</v>
      </c>
      <c r="G96" s="46">
        <v>112418</v>
      </c>
      <c r="H96" s="46">
        <v>0</v>
      </c>
      <c r="I96" s="46">
        <v>2</v>
      </c>
      <c r="J96" s="46">
        <v>2</v>
      </c>
      <c r="K96" s="46">
        <v>131716</v>
      </c>
      <c r="L96" s="46">
        <v>0</v>
      </c>
    </row>
    <row r="97" spans="1:12" ht="32">
      <c r="A97" s="46">
        <v>163453</v>
      </c>
      <c r="B97" s="46" t="s">
        <v>158</v>
      </c>
      <c r="C97" s="46" t="s">
        <v>285</v>
      </c>
      <c r="D97" s="46" t="s">
        <v>284</v>
      </c>
      <c r="E97" s="46">
        <v>1</v>
      </c>
      <c r="F97" s="46">
        <v>1</v>
      </c>
      <c r="G97" s="46">
        <v>81232</v>
      </c>
      <c r="H97" s="46">
        <v>0</v>
      </c>
      <c r="I97" s="46">
        <v>1</v>
      </c>
      <c r="J97" s="46">
        <v>1</v>
      </c>
      <c r="K97" s="46">
        <v>34278</v>
      </c>
      <c r="L97" s="46">
        <v>0</v>
      </c>
    </row>
    <row r="98" spans="1:12" ht="32">
      <c r="A98" s="46">
        <v>181464</v>
      </c>
      <c r="B98" s="46" t="s">
        <v>161</v>
      </c>
      <c r="C98" s="46" t="s">
        <v>285</v>
      </c>
      <c r="D98" s="46" t="s">
        <v>284</v>
      </c>
      <c r="E98" s="46">
        <v>1</v>
      </c>
      <c r="F98" s="46">
        <v>1</v>
      </c>
      <c r="G98" s="46">
        <v>898487</v>
      </c>
      <c r="H98" s="46">
        <v>0</v>
      </c>
      <c r="I98" s="46">
        <v>2</v>
      </c>
      <c r="J98" s="46">
        <v>1.84</v>
      </c>
      <c r="K98" s="46">
        <v>236663</v>
      </c>
      <c r="L98" s="46">
        <v>0</v>
      </c>
    </row>
    <row r="99" spans="1:12" ht="32">
      <c r="A99" s="46">
        <v>181394</v>
      </c>
      <c r="B99" s="46" t="s">
        <v>162</v>
      </c>
      <c r="C99" s="46" t="s">
        <v>285</v>
      </c>
      <c r="D99" s="46" t="s">
        <v>284</v>
      </c>
      <c r="E99" s="46">
        <v>1</v>
      </c>
      <c r="F99" s="46">
        <v>1</v>
      </c>
      <c r="G99" s="46">
        <v>107996</v>
      </c>
      <c r="H99" s="46">
        <v>0</v>
      </c>
      <c r="I99" s="46">
        <v>2</v>
      </c>
      <c r="J99" s="46">
        <v>2</v>
      </c>
      <c r="K99" s="46">
        <v>109941</v>
      </c>
      <c r="L99" s="46">
        <v>0</v>
      </c>
    </row>
    <row r="100" spans="1:12" ht="32">
      <c r="A100" s="46">
        <v>182290</v>
      </c>
      <c r="B100" s="46" t="s">
        <v>163</v>
      </c>
      <c r="C100" s="46" t="s">
        <v>285</v>
      </c>
      <c r="D100" s="46" t="s">
        <v>284</v>
      </c>
      <c r="E100" s="46">
        <v>1</v>
      </c>
      <c r="F100" s="46">
        <v>1</v>
      </c>
      <c r="G100" s="46">
        <v>142475</v>
      </c>
      <c r="H100" s="46">
        <v>0</v>
      </c>
      <c r="I100" s="46">
        <v>2</v>
      </c>
      <c r="J100" s="46">
        <v>2</v>
      </c>
      <c r="K100" s="46">
        <v>145814</v>
      </c>
      <c r="L100" s="46">
        <v>0</v>
      </c>
    </row>
    <row r="101" spans="1:12" ht="32">
      <c r="A101" s="46">
        <v>183044</v>
      </c>
      <c r="B101" s="46" t="s">
        <v>164</v>
      </c>
      <c r="C101" s="46" t="s">
        <v>285</v>
      </c>
      <c r="D101" s="46" t="s">
        <v>284</v>
      </c>
      <c r="E101" s="46">
        <v>1</v>
      </c>
      <c r="F101" s="46">
        <v>1</v>
      </c>
      <c r="G101" s="46">
        <v>152597</v>
      </c>
      <c r="H101" s="46">
        <v>0</v>
      </c>
      <c r="I101" s="46">
        <v>2</v>
      </c>
      <c r="J101" s="46">
        <v>1.75</v>
      </c>
      <c r="K101" s="46">
        <v>113715</v>
      </c>
      <c r="L101" s="46">
        <v>0</v>
      </c>
    </row>
    <row r="102" spans="1:12" ht="32">
      <c r="A102" s="46">
        <v>187985</v>
      </c>
      <c r="B102" s="46" t="s">
        <v>165</v>
      </c>
      <c r="C102" s="46" t="s">
        <v>285</v>
      </c>
      <c r="D102" s="46" t="s">
        <v>284</v>
      </c>
      <c r="E102" s="46">
        <v>1</v>
      </c>
      <c r="F102" s="46">
        <v>1</v>
      </c>
      <c r="G102" s="46">
        <v>171094</v>
      </c>
      <c r="H102" s="46">
        <v>0</v>
      </c>
      <c r="I102" s="46">
        <v>2</v>
      </c>
      <c r="J102" s="46">
        <v>1.5</v>
      </c>
      <c r="K102" s="46">
        <v>81594</v>
      </c>
      <c r="L102" s="46">
        <v>0</v>
      </c>
    </row>
    <row r="103" spans="1:12" ht="32">
      <c r="A103" s="46">
        <v>188030</v>
      </c>
      <c r="B103" s="46" t="s">
        <v>166</v>
      </c>
      <c r="C103" s="46" t="s">
        <v>285</v>
      </c>
      <c r="D103" s="46" t="s">
        <v>284</v>
      </c>
      <c r="E103" s="46">
        <v>1</v>
      </c>
      <c r="F103" s="46">
        <v>1</v>
      </c>
      <c r="G103" s="46">
        <v>149110</v>
      </c>
      <c r="H103" s="46">
        <v>0</v>
      </c>
      <c r="I103" s="46">
        <v>2</v>
      </c>
      <c r="J103" s="46">
        <v>2</v>
      </c>
      <c r="K103" s="46">
        <v>145762</v>
      </c>
      <c r="L103" s="46">
        <v>0</v>
      </c>
    </row>
    <row r="104" spans="1:12" ht="32">
      <c r="A104" s="46">
        <v>159966</v>
      </c>
      <c r="B104" s="46" t="s">
        <v>168</v>
      </c>
      <c r="C104" s="46" t="s">
        <v>285</v>
      </c>
      <c r="D104" s="46" t="s">
        <v>284</v>
      </c>
      <c r="E104" s="46">
        <v>1</v>
      </c>
      <c r="F104" s="46">
        <v>1</v>
      </c>
      <c r="G104" s="46">
        <v>53928</v>
      </c>
      <c r="H104" s="46">
        <v>0</v>
      </c>
      <c r="I104" s="46">
        <v>1</v>
      </c>
      <c r="J104" s="46">
        <v>1</v>
      </c>
      <c r="K104" s="46">
        <v>23569</v>
      </c>
      <c r="L104" s="46">
        <v>0</v>
      </c>
    </row>
    <row r="105" spans="1:12" ht="32">
      <c r="A105" s="46">
        <v>185828</v>
      </c>
      <c r="B105" s="46" t="s">
        <v>169</v>
      </c>
      <c r="C105" s="46" t="s">
        <v>285</v>
      </c>
      <c r="D105" s="46" t="s">
        <v>284</v>
      </c>
      <c r="E105" s="46">
        <v>1</v>
      </c>
      <c r="F105" s="46">
        <v>0.5</v>
      </c>
      <c r="G105" s="46">
        <v>42471</v>
      </c>
      <c r="H105" s="46">
        <v>0</v>
      </c>
      <c r="I105" s="46">
        <v>3</v>
      </c>
      <c r="J105" s="46">
        <v>0.75</v>
      </c>
      <c r="K105" s="46">
        <v>42490</v>
      </c>
      <c r="L105" s="46">
        <v>0</v>
      </c>
    </row>
    <row r="106" spans="1:12" ht="32">
      <c r="A106" s="46">
        <v>185828</v>
      </c>
      <c r="B106" s="46" t="s">
        <v>169</v>
      </c>
      <c r="C106" s="46" t="s">
        <v>293</v>
      </c>
      <c r="D106" s="46" t="s">
        <v>284</v>
      </c>
      <c r="E106" s="46">
        <v>1</v>
      </c>
      <c r="F106" s="46">
        <v>1</v>
      </c>
      <c r="G106" s="46">
        <v>91063</v>
      </c>
      <c r="H106" s="46">
        <v>0</v>
      </c>
      <c r="I106" s="46">
        <v>1</v>
      </c>
      <c r="J106" s="46">
        <v>0.25</v>
      </c>
      <c r="K106" s="46">
        <v>23890</v>
      </c>
      <c r="L106" s="46">
        <v>0</v>
      </c>
    </row>
    <row r="107" spans="1:12" ht="32">
      <c r="A107" s="46">
        <v>199120</v>
      </c>
      <c r="B107" s="46" t="s">
        <v>172</v>
      </c>
      <c r="C107" s="46" t="s">
        <v>285</v>
      </c>
      <c r="D107" s="46" t="s">
        <v>284</v>
      </c>
      <c r="E107" s="46">
        <v>1</v>
      </c>
      <c r="F107" s="46">
        <v>1</v>
      </c>
      <c r="G107" s="46">
        <v>167225</v>
      </c>
      <c r="H107" s="46">
        <v>0</v>
      </c>
      <c r="I107" s="46">
        <v>2</v>
      </c>
      <c r="J107" s="46">
        <v>2</v>
      </c>
      <c r="K107" s="46">
        <v>168738</v>
      </c>
      <c r="L107" s="46">
        <v>0</v>
      </c>
    </row>
    <row r="108" spans="1:12" ht="32">
      <c r="A108" s="46">
        <v>199102</v>
      </c>
      <c r="B108" s="46" t="s">
        <v>173</v>
      </c>
      <c r="C108" s="46" t="s">
        <v>285</v>
      </c>
      <c r="D108" s="46" t="s">
        <v>284</v>
      </c>
      <c r="E108" s="46">
        <v>1</v>
      </c>
      <c r="F108" s="46">
        <v>1</v>
      </c>
      <c r="G108" s="46">
        <v>74685</v>
      </c>
      <c r="H108" s="46">
        <v>0</v>
      </c>
      <c r="I108" s="46">
        <v>2</v>
      </c>
      <c r="J108" s="46">
        <v>1.5</v>
      </c>
      <c r="K108" s="46">
        <v>5383</v>
      </c>
      <c r="L108" s="46">
        <v>0</v>
      </c>
    </row>
    <row r="109" spans="1:12" ht="32">
      <c r="A109" s="46">
        <v>199111</v>
      </c>
      <c r="B109" s="46" t="s">
        <v>275</v>
      </c>
      <c r="C109" s="46" t="s">
        <v>285</v>
      </c>
      <c r="D109" s="46" t="s">
        <v>284</v>
      </c>
      <c r="E109" s="46">
        <v>1</v>
      </c>
      <c r="F109" s="46">
        <v>1</v>
      </c>
      <c r="G109" s="46">
        <v>72872</v>
      </c>
      <c r="H109" s="46">
        <v>0</v>
      </c>
      <c r="I109" s="46">
        <v>1</v>
      </c>
      <c r="J109" s="46">
        <v>1</v>
      </c>
      <c r="K109" s="46">
        <v>38709</v>
      </c>
      <c r="L109" s="46">
        <v>0</v>
      </c>
    </row>
    <row r="110" spans="1:12" ht="32">
      <c r="A110" s="46">
        <v>199157</v>
      </c>
      <c r="B110" s="46" t="s">
        <v>174</v>
      </c>
      <c r="C110" s="46" t="s">
        <v>285</v>
      </c>
      <c r="D110" s="46" t="s">
        <v>284</v>
      </c>
      <c r="E110" s="46">
        <v>1</v>
      </c>
      <c r="F110" s="46">
        <v>1</v>
      </c>
      <c r="G110" s="46">
        <v>80725</v>
      </c>
      <c r="H110" s="46">
        <v>0</v>
      </c>
      <c r="I110" s="46">
        <v>1</v>
      </c>
      <c r="J110" s="46">
        <v>1.5</v>
      </c>
      <c r="K110" s="46">
        <v>57913</v>
      </c>
      <c r="L110" s="46">
        <v>0</v>
      </c>
    </row>
    <row r="111" spans="1:12" ht="32">
      <c r="A111" s="46">
        <v>199148</v>
      </c>
      <c r="B111" s="46" t="s">
        <v>276</v>
      </c>
      <c r="C111" s="46" t="s">
        <v>285</v>
      </c>
      <c r="D111" s="46" t="s">
        <v>284</v>
      </c>
      <c r="E111" s="46">
        <v>1</v>
      </c>
      <c r="F111" s="46">
        <v>1</v>
      </c>
      <c r="G111" s="46">
        <v>78958</v>
      </c>
      <c r="H111" s="46">
        <v>0</v>
      </c>
      <c r="I111" s="46">
        <v>2</v>
      </c>
      <c r="J111" s="46">
        <v>2</v>
      </c>
      <c r="K111" s="46">
        <v>76417</v>
      </c>
      <c r="L111" s="46">
        <v>0</v>
      </c>
    </row>
    <row r="112" spans="1:12" ht="32">
      <c r="A112" s="46">
        <v>199193</v>
      </c>
      <c r="B112" s="46" t="s">
        <v>175</v>
      </c>
      <c r="C112" s="46" t="s">
        <v>285</v>
      </c>
      <c r="D112" s="46" t="s">
        <v>284</v>
      </c>
      <c r="E112" s="46">
        <v>1</v>
      </c>
      <c r="F112" s="46">
        <v>1</v>
      </c>
      <c r="G112" s="46">
        <v>177874</v>
      </c>
      <c r="H112" s="46">
        <v>0</v>
      </c>
      <c r="I112" s="46">
        <v>1</v>
      </c>
      <c r="J112" s="46">
        <v>2</v>
      </c>
      <c r="K112" s="46">
        <v>198078</v>
      </c>
      <c r="L112" s="46">
        <v>0</v>
      </c>
    </row>
    <row r="113" spans="1:12" ht="32">
      <c r="A113" s="46">
        <v>199218</v>
      </c>
      <c r="B113" s="46" t="s">
        <v>176</v>
      </c>
      <c r="C113" s="46" t="s">
        <v>285</v>
      </c>
      <c r="D113" s="46" t="s">
        <v>284</v>
      </c>
      <c r="E113" s="46">
        <v>0</v>
      </c>
      <c r="F113" s="46">
        <v>0.6</v>
      </c>
      <c r="G113" s="46">
        <v>49303</v>
      </c>
      <c r="H113" s="46">
        <v>0</v>
      </c>
      <c r="I113" s="46">
        <v>3</v>
      </c>
      <c r="J113" s="46">
        <v>1.3</v>
      </c>
      <c r="K113" s="46">
        <v>79504</v>
      </c>
      <c r="L113" s="46">
        <v>0</v>
      </c>
    </row>
    <row r="114" spans="1:12" ht="32">
      <c r="A114" s="46">
        <v>200280</v>
      </c>
      <c r="B114" s="46" t="s">
        <v>177</v>
      </c>
      <c r="C114" s="46" t="s">
        <v>294</v>
      </c>
      <c r="D114" s="46" t="s">
        <v>284</v>
      </c>
      <c r="E114" s="46">
        <v>1</v>
      </c>
      <c r="F114" s="46">
        <v>1</v>
      </c>
      <c r="G114" s="46">
        <v>178362</v>
      </c>
      <c r="H114" s="46">
        <v>0</v>
      </c>
      <c r="I114" s="46">
        <v>2</v>
      </c>
      <c r="J114" s="46">
        <v>2</v>
      </c>
      <c r="K114" s="46">
        <v>126434</v>
      </c>
      <c r="L114" s="46">
        <v>0</v>
      </c>
    </row>
    <row r="115" spans="1:12" ht="32">
      <c r="A115" s="46">
        <v>200332</v>
      </c>
      <c r="B115" s="46" t="s">
        <v>178</v>
      </c>
      <c r="C115" s="46" t="s">
        <v>294</v>
      </c>
      <c r="D115" s="46" t="s">
        <v>284</v>
      </c>
      <c r="E115" s="46">
        <v>1</v>
      </c>
      <c r="F115" s="46">
        <v>1</v>
      </c>
      <c r="G115" s="46">
        <v>134958</v>
      </c>
      <c r="H115" s="46">
        <v>0</v>
      </c>
      <c r="I115" s="46">
        <v>2</v>
      </c>
      <c r="J115" s="46">
        <v>2</v>
      </c>
      <c r="K115" s="46">
        <v>135228</v>
      </c>
      <c r="L115" s="46">
        <v>0</v>
      </c>
    </row>
    <row r="116" spans="1:12" ht="32">
      <c r="A116" s="46">
        <v>136172</v>
      </c>
      <c r="B116" s="46" t="s">
        <v>179</v>
      </c>
      <c r="C116" s="46" t="s">
        <v>285</v>
      </c>
      <c r="D116" s="46" t="s">
        <v>284</v>
      </c>
      <c r="E116" s="46">
        <v>1</v>
      </c>
      <c r="F116" s="46">
        <v>0.5</v>
      </c>
      <c r="G116" s="46">
        <v>70828</v>
      </c>
      <c r="H116" s="46">
        <v>0</v>
      </c>
      <c r="I116" s="46">
        <v>2</v>
      </c>
      <c r="J116" s="46">
        <v>1.5</v>
      </c>
      <c r="K116" s="46">
        <v>83937</v>
      </c>
      <c r="L116" s="46">
        <v>0</v>
      </c>
    </row>
    <row r="117" spans="1:12" ht="32">
      <c r="A117" s="46">
        <v>227216</v>
      </c>
      <c r="B117" s="46" t="s">
        <v>180</v>
      </c>
      <c r="C117" s="46" t="s">
        <v>285</v>
      </c>
      <c r="D117" s="46" t="s">
        <v>284</v>
      </c>
      <c r="E117" s="46">
        <v>1</v>
      </c>
      <c r="F117" s="46">
        <v>1</v>
      </c>
      <c r="G117" s="46">
        <v>124160</v>
      </c>
      <c r="H117" s="46">
        <v>0</v>
      </c>
      <c r="I117" s="46">
        <v>2</v>
      </c>
      <c r="J117" s="46">
        <v>2</v>
      </c>
      <c r="K117" s="46">
        <v>93842</v>
      </c>
      <c r="L117" s="46">
        <v>0</v>
      </c>
    </row>
    <row r="118" spans="1:12" ht="32">
      <c r="A118" s="46">
        <v>105330</v>
      </c>
      <c r="B118" s="46" t="s">
        <v>181</v>
      </c>
      <c r="C118" s="46" t="s">
        <v>285</v>
      </c>
      <c r="D118" s="46" t="s">
        <v>284</v>
      </c>
      <c r="E118" s="46">
        <v>1</v>
      </c>
      <c r="F118" s="46">
        <v>1</v>
      </c>
      <c r="G118" s="46">
        <v>133147</v>
      </c>
      <c r="H118" s="46">
        <v>0</v>
      </c>
      <c r="I118" s="46">
        <v>2</v>
      </c>
      <c r="J118" s="46">
        <v>2</v>
      </c>
      <c r="K118" s="46">
        <v>113833</v>
      </c>
      <c r="L118" s="46">
        <v>0</v>
      </c>
    </row>
    <row r="119" spans="1:12" ht="32">
      <c r="A119" s="46">
        <v>127741</v>
      </c>
      <c r="B119" s="46" t="s">
        <v>182</v>
      </c>
      <c r="C119" s="46" t="s">
        <v>285</v>
      </c>
      <c r="D119" s="46" t="s">
        <v>284</v>
      </c>
      <c r="E119" s="46">
        <v>1</v>
      </c>
      <c r="F119" s="46">
        <v>1</v>
      </c>
      <c r="G119" s="46">
        <v>156089</v>
      </c>
      <c r="H119" s="46">
        <v>0</v>
      </c>
      <c r="I119" s="46">
        <v>2</v>
      </c>
      <c r="J119" s="46">
        <v>2</v>
      </c>
      <c r="K119" s="46">
        <v>109318</v>
      </c>
      <c r="L119" s="46">
        <v>0</v>
      </c>
    </row>
    <row r="120" spans="1:12" ht="32">
      <c r="A120" s="46">
        <v>154095</v>
      </c>
      <c r="B120" s="46" t="s">
        <v>184</v>
      </c>
      <c r="C120" s="46" t="s">
        <v>285</v>
      </c>
      <c r="D120" s="46" t="s">
        <v>284</v>
      </c>
      <c r="E120" s="46">
        <v>1</v>
      </c>
      <c r="F120" s="46">
        <v>1</v>
      </c>
      <c r="G120" s="46">
        <v>206190</v>
      </c>
      <c r="H120" s="46">
        <v>0</v>
      </c>
      <c r="I120" s="46">
        <v>2</v>
      </c>
      <c r="J120" s="46">
        <v>2</v>
      </c>
      <c r="K120" s="46">
        <v>157203</v>
      </c>
      <c r="L120" s="46">
        <v>0</v>
      </c>
    </row>
    <row r="121" spans="1:12" ht="32">
      <c r="A121" s="46">
        <v>160038</v>
      </c>
      <c r="B121" s="46" t="s">
        <v>185</v>
      </c>
      <c r="C121" s="46" t="s">
        <v>285</v>
      </c>
      <c r="D121" s="46" t="s">
        <v>284</v>
      </c>
      <c r="E121" s="46">
        <v>1</v>
      </c>
      <c r="F121" s="46">
        <v>0.9</v>
      </c>
      <c r="G121" s="46">
        <v>84464</v>
      </c>
      <c r="H121" s="46">
        <v>0</v>
      </c>
      <c r="I121" s="46">
        <v>1</v>
      </c>
      <c r="J121" s="46">
        <v>0.9</v>
      </c>
      <c r="K121" s="46">
        <v>44729</v>
      </c>
      <c r="L121" s="46">
        <v>0</v>
      </c>
    </row>
    <row r="122" spans="1:12" ht="32">
      <c r="A122" s="46">
        <v>171571</v>
      </c>
      <c r="B122" s="46" t="s">
        <v>186</v>
      </c>
      <c r="C122" s="46" t="s">
        <v>285</v>
      </c>
      <c r="D122" s="46" t="s">
        <v>284</v>
      </c>
      <c r="E122" s="46">
        <v>1</v>
      </c>
      <c r="F122" s="46">
        <v>1</v>
      </c>
      <c r="G122" s="46">
        <v>116118</v>
      </c>
      <c r="H122" s="46">
        <v>0</v>
      </c>
      <c r="I122" s="46">
        <v>3</v>
      </c>
      <c r="J122" s="46">
        <v>1.42</v>
      </c>
      <c r="K122" s="46">
        <v>87373</v>
      </c>
      <c r="L122" s="46">
        <v>0</v>
      </c>
    </row>
    <row r="123" spans="1:12" ht="32">
      <c r="A123" s="46">
        <v>204857</v>
      </c>
      <c r="B123" s="46" t="s">
        <v>187</v>
      </c>
      <c r="C123" s="46" t="s">
        <v>285</v>
      </c>
      <c r="D123" s="46" t="s">
        <v>284</v>
      </c>
      <c r="E123" s="46">
        <v>1</v>
      </c>
      <c r="F123" s="46">
        <v>1</v>
      </c>
      <c r="G123" s="46">
        <v>178110</v>
      </c>
      <c r="H123" s="46">
        <v>0</v>
      </c>
      <c r="I123" s="46">
        <v>2</v>
      </c>
      <c r="J123" s="46">
        <v>2</v>
      </c>
      <c r="K123" s="46">
        <v>140230</v>
      </c>
      <c r="L123" s="46">
        <v>0</v>
      </c>
    </row>
    <row r="124" spans="1:12" ht="32">
      <c r="A124" s="46">
        <v>204796</v>
      </c>
      <c r="B124" s="46" t="s">
        <v>188</v>
      </c>
      <c r="C124" s="46" t="s">
        <v>285</v>
      </c>
      <c r="D124" s="46" t="s">
        <v>284</v>
      </c>
      <c r="E124" s="46">
        <v>1</v>
      </c>
      <c r="F124" s="46">
        <v>1</v>
      </c>
      <c r="G124" s="46">
        <v>333011</v>
      </c>
      <c r="H124" s="46">
        <v>0</v>
      </c>
      <c r="I124" s="46">
        <v>2</v>
      </c>
      <c r="J124" s="46">
        <v>2</v>
      </c>
      <c r="K124" s="46">
        <v>234603</v>
      </c>
      <c r="L124" s="46">
        <v>0</v>
      </c>
    </row>
    <row r="125" spans="1:12" ht="32">
      <c r="A125" s="46">
        <v>204796</v>
      </c>
      <c r="B125" s="46" t="s">
        <v>188</v>
      </c>
      <c r="C125" s="46" t="s">
        <v>293</v>
      </c>
      <c r="D125" s="46" t="s">
        <v>284</v>
      </c>
      <c r="E125" s="46">
        <v>1</v>
      </c>
      <c r="F125" s="46">
        <v>1</v>
      </c>
      <c r="G125" s="46">
        <v>317084</v>
      </c>
      <c r="H125" s="46">
        <v>0</v>
      </c>
      <c r="I125" s="46">
        <v>2</v>
      </c>
      <c r="J125" s="46">
        <v>2</v>
      </c>
      <c r="K125" s="46">
        <v>202204</v>
      </c>
      <c r="L125" s="46">
        <v>0</v>
      </c>
    </row>
    <row r="126" spans="1:12" ht="32">
      <c r="A126" s="46">
        <v>207500</v>
      </c>
      <c r="B126" s="46" t="s">
        <v>189</v>
      </c>
      <c r="C126" s="46" t="s">
        <v>285</v>
      </c>
      <c r="D126" s="46" t="s">
        <v>284</v>
      </c>
      <c r="E126" s="46">
        <v>1</v>
      </c>
      <c r="F126" s="46">
        <v>1</v>
      </c>
      <c r="G126" s="46">
        <v>231987</v>
      </c>
      <c r="H126" s="46">
        <v>0</v>
      </c>
      <c r="I126" s="46">
        <v>2</v>
      </c>
      <c r="J126" s="46">
        <v>2</v>
      </c>
      <c r="K126" s="46">
        <v>212155</v>
      </c>
      <c r="L126" s="46">
        <v>0</v>
      </c>
    </row>
    <row r="127" spans="1:12" ht="32">
      <c r="A127" s="46">
        <v>209551</v>
      </c>
      <c r="B127" s="46" t="s">
        <v>192</v>
      </c>
      <c r="C127" s="46" t="s">
        <v>285</v>
      </c>
      <c r="D127" s="46" t="s">
        <v>284</v>
      </c>
      <c r="E127" s="46">
        <v>1</v>
      </c>
      <c r="F127" s="46">
        <v>0.75</v>
      </c>
      <c r="G127" s="46">
        <v>143359</v>
      </c>
      <c r="H127" s="46">
        <v>3000</v>
      </c>
      <c r="I127" s="46">
        <v>2</v>
      </c>
      <c r="J127" s="46">
        <v>2</v>
      </c>
      <c r="K127" s="46">
        <v>207488</v>
      </c>
      <c r="L127" s="46">
        <v>5500</v>
      </c>
    </row>
    <row r="128" spans="1:12" ht="32">
      <c r="A128" s="46">
        <v>209542</v>
      </c>
      <c r="B128" s="46" t="s">
        <v>193</v>
      </c>
      <c r="C128" s="46" t="s">
        <v>285</v>
      </c>
      <c r="D128" s="46" t="s">
        <v>284</v>
      </c>
      <c r="E128" s="46">
        <v>1</v>
      </c>
      <c r="F128" s="46">
        <v>1</v>
      </c>
      <c r="G128" s="46">
        <v>240513</v>
      </c>
      <c r="H128" s="46">
        <v>0</v>
      </c>
      <c r="I128" s="46">
        <v>2</v>
      </c>
      <c r="J128" s="46">
        <v>2</v>
      </c>
      <c r="K128" s="46">
        <v>203490</v>
      </c>
      <c r="L128" s="46">
        <v>0</v>
      </c>
    </row>
    <row r="129" spans="1:12" ht="32">
      <c r="A129" s="46">
        <v>209807</v>
      </c>
      <c r="B129" s="46" t="s">
        <v>195</v>
      </c>
      <c r="C129" s="46" t="s">
        <v>285</v>
      </c>
      <c r="D129" s="46" t="s">
        <v>284</v>
      </c>
      <c r="E129" s="46">
        <v>1</v>
      </c>
      <c r="F129" s="46">
        <v>1</v>
      </c>
      <c r="G129" s="46">
        <v>91404</v>
      </c>
      <c r="H129" s="46">
        <v>0</v>
      </c>
      <c r="I129" s="46">
        <v>2</v>
      </c>
      <c r="J129" s="46">
        <v>2</v>
      </c>
      <c r="K129" s="46">
        <v>64372</v>
      </c>
      <c r="L129" s="46">
        <v>0</v>
      </c>
    </row>
    <row r="130" spans="1:12" ht="32">
      <c r="A130" s="46">
        <v>227526</v>
      </c>
      <c r="B130" s="46" t="s">
        <v>196</v>
      </c>
      <c r="C130" s="46" t="s">
        <v>285</v>
      </c>
      <c r="D130" s="46" t="s">
        <v>284</v>
      </c>
      <c r="E130" s="46">
        <v>1</v>
      </c>
      <c r="F130" s="46">
        <v>1</v>
      </c>
      <c r="G130" s="46">
        <v>68421</v>
      </c>
      <c r="H130" s="46">
        <v>0</v>
      </c>
      <c r="I130" s="46">
        <v>2</v>
      </c>
      <c r="J130" s="46">
        <v>1.5</v>
      </c>
      <c r="K130" s="46">
        <v>46059</v>
      </c>
      <c r="L130" s="46">
        <v>0</v>
      </c>
    </row>
    <row r="131" spans="1:12" ht="32">
      <c r="A131" s="46">
        <v>243780</v>
      </c>
      <c r="B131" s="46" t="s">
        <v>197</v>
      </c>
      <c r="C131" s="46" t="s">
        <v>285</v>
      </c>
      <c r="D131" s="46" t="s">
        <v>284</v>
      </c>
      <c r="E131" s="46">
        <v>1</v>
      </c>
      <c r="F131" s="46">
        <v>1</v>
      </c>
      <c r="G131" s="46">
        <v>274535</v>
      </c>
      <c r="H131" s="46">
        <v>9235</v>
      </c>
      <c r="I131" s="46">
        <v>2</v>
      </c>
      <c r="J131" s="46">
        <v>2</v>
      </c>
      <c r="K131" s="46">
        <v>209945</v>
      </c>
      <c r="L131" s="46">
        <v>5864</v>
      </c>
    </row>
    <row r="132" spans="1:12" ht="32">
      <c r="A132" s="46">
        <v>151102</v>
      </c>
      <c r="B132" s="46" t="s">
        <v>198</v>
      </c>
      <c r="C132" s="46" t="s">
        <v>285</v>
      </c>
      <c r="D132" s="46" t="s">
        <v>284</v>
      </c>
      <c r="E132" s="46">
        <v>1</v>
      </c>
      <c r="F132" s="46">
        <v>1</v>
      </c>
      <c r="G132" s="46">
        <v>87558</v>
      </c>
      <c r="H132" s="46">
        <v>0</v>
      </c>
      <c r="I132" s="46">
        <v>2</v>
      </c>
      <c r="J132" s="46">
        <v>1.5</v>
      </c>
      <c r="K132" s="46">
        <v>68583</v>
      </c>
      <c r="L132" s="46">
        <v>0</v>
      </c>
    </row>
    <row r="133" spans="1:12" ht="32">
      <c r="A133" s="46">
        <v>151102</v>
      </c>
      <c r="B133" s="46" t="s">
        <v>198</v>
      </c>
      <c r="C133" s="46" t="s">
        <v>293</v>
      </c>
      <c r="D133" s="46" t="s">
        <v>284</v>
      </c>
      <c r="E133" s="46">
        <v>1</v>
      </c>
      <c r="F133" s="46">
        <v>1</v>
      </c>
      <c r="G133" s="46">
        <v>85164</v>
      </c>
      <c r="H133" s="46">
        <v>0</v>
      </c>
      <c r="I133" s="46">
        <v>2</v>
      </c>
      <c r="J133" s="46">
        <v>1.5</v>
      </c>
      <c r="K133" s="46">
        <v>62721</v>
      </c>
      <c r="L133" s="46">
        <v>0</v>
      </c>
    </row>
    <row r="134" spans="1:12" ht="34">
      <c r="A134" s="46">
        <v>233277</v>
      </c>
      <c r="B134" t="s">
        <v>199</v>
      </c>
      <c r="C134" t="s">
        <v>285</v>
      </c>
      <c r="D134" s="56" t="s">
        <v>284</v>
      </c>
      <c r="E134" s="11">
        <v>1</v>
      </c>
      <c r="F134" s="11">
        <v>1</v>
      </c>
      <c r="G134" s="54">
        <v>118447</v>
      </c>
      <c r="H134" s="55">
        <v>0</v>
      </c>
      <c r="I134" s="11">
        <v>2</v>
      </c>
      <c r="J134" s="11">
        <v>1</v>
      </c>
      <c r="K134" s="54">
        <v>65816</v>
      </c>
      <c r="L134" s="30">
        <v>0</v>
      </c>
    </row>
    <row r="135" spans="1:12" ht="32">
      <c r="A135" s="46">
        <v>217484</v>
      </c>
      <c r="B135" s="46" t="s">
        <v>200</v>
      </c>
      <c r="C135" s="46" t="s">
        <v>285</v>
      </c>
      <c r="D135" s="46" t="s">
        <v>284</v>
      </c>
      <c r="E135" s="46">
        <v>1</v>
      </c>
      <c r="F135" s="46">
        <v>1</v>
      </c>
      <c r="G135" s="46">
        <v>66950</v>
      </c>
      <c r="H135" s="46">
        <v>0</v>
      </c>
      <c r="I135" s="46">
        <v>2</v>
      </c>
      <c r="J135" s="46">
        <v>1</v>
      </c>
      <c r="K135" s="46">
        <v>114727</v>
      </c>
      <c r="L135" s="46">
        <v>0</v>
      </c>
    </row>
    <row r="136" spans="1:12" ht="32">
      <c r="A136" s="46">
        <v>186380</v>
      </c>
      <c r="B136" s="46" t="s">
        <v>201</v>
      </c>
      <c r="C136" s="46" t="s">
        <v>285</v>
      </c>
      <c r="D136" s="46" t="s">
        <v>284</v>
      </c>
      <c r="E136" s="46">
        <v>1</v>
      </c>
      <c r="F136" s="46">
        <v>1</v>
      </c>
      <c r="G136" s="46">
        <v>148035</v>
      </c>
      <c r="H136" s="46">
        <v>10000</v>
      </c>
      <c r="I136" s="46">
        <v>2</v>
      </c>
      <c r="J136" s="46">
        <v>2</v>
      </c>
      <c r="K136" s="46">
        <v>196985</v>
      </c>
      <c r="L136" s="46">
        <v>5000</v>
      </c>
    </row>
    <row r="137" spans="1:12" ht="32">
      <c r="A137" s="46">
        <v>110617</v>
      </c>
      <c r="B137" s="46" t="s">
        <v>202</v>
      </c>
      <c r="C137" s="46" t="s">
        <v>285</v>
      </c>
      <c r="D137" s="46" t="s">
        <v>284</v>
      </c>
      <c r="E137" s="46">
        <v>1</v>
      </c>
      <c r="F137" s="46">
        <v>0.7</v>
      </c>
      <c r="G137" s="46">
        <v>94337</v>
      </c>
      <c r="H137" s="46">
        <v>0</v>
      </c>
      <c r="I137" s="46">
        <v>2</v>
      </c>
      <c r="J137" s="46">
        <v>1.17</v>
      </c>
      <c r="K137" s="46">
        <v>121410</v>
      </c>
      <c r="L137" s="46">
        <v>0</v>
      </c>
    </row>
    <row r="138" spans="1:12" ht="32">
      <c r="A138" s="46">
        <v>227881</v>
      </c>
      <c r="B138" s="46" t="s">
        <v>203</v>
      </c>
      <c r="C138" s="46" t="s">
        <v>285</v>
      </c>
      <c r="D138" s="46" t="s">
        <v>284</v>
      </c>
      <c r="E138" s="46">
        <v>1</v>
      </c>
      <c r="F138" s="46">
        <v>1</v>
      </c>
      <c r="G138" s="46">
        <v>130000</v>
      </c>
      <c r="H138" s="46">
        <v>0</v>
      </c>
      <c r="I138" s="46">
        <v>1</v>
      </c>
      <c r="J138" s="46">
        <v>1</v>
      </c>
      <c r="K138" s="46">
        <v>56302</v>
      </c>
      <c r="L138" s="46">
        <v>0</v>
      </c>
    </row>
    <row r="139" spans="1:12" ht="32">
      <c r="A139" s="46">
        <v>122409</v>
      </c>
      <c r="B139" s="46" t="s">
        <v>204</v>
      </c>
      <c r="C139" s="46" t="s">
        <v>285</v>
      </c>
      <c r="D139" s="46" t="s">
        <v>284</v>
      </c>
      <c r="E139" s="46">
        <v>1</v>
      </c>
      <c r="F139" s="46">
        <v>1</v>
      </c>
      <c r="G139" s="46">
        <v>215498</v>
      </c>
      <c r="H139" s="46">
        <v>0</v>
      </c>
      <c r="I139" s="46">
        <v>2</v>
      </c>
      <c r="J139" s="46">
        <v>2</v>
      </c>
      <c r="K139" s="46">
        <v>189539</v>
      </c>
      <c r="L139" s="46">
        <v>0</v>
      </c>
    </row>
    <row r="140" spans="1:12" ht="32">
      <c r="A140" s="46">
        <v>122755</v>
      </c>
      <c r="B140" s="46" t="s">
        <v>205</v>
      </c>
      <c r="C140" s="46" t="s">
        <v>285</v>
      </c>
      <c r="D140" s="46" t="s">
        <v>284</v>
      </c>
      <c r="E140" s="46">
        <v>1</v>
      </c>
      <c r="F140" s="46">
        <v>1</v>
      </c>
      <c r="G140" s="46">
        <v>168419</v>
      </c>
      <c r="H140" s="46">
        <v>0</v>
      </c>
      <c r="I140" s="46">
        <v>2</v>
      </c>
      <c r="J140" s="46">
        <v>1.5</v>
      </c>
      <c r="K140" s="46">
        <v>75327</v>
      </c>
      <c r="L140" s="46">
        <v>0</v>
      </c>
    </row>
    <row r="141" spans="1:12" ht="32">
      <c r="A141" s="46">
        <v>102094</v>
      </c>
      <c r="B141" s="46" t="s">
        <v>207</v>
      </c>
      <c r="C141" s="46" t="s">
        <v>285</v>
      </c>
      <c r="D141" s="50" t="s">
        <v>284</v>
      </c>
      <c r="E141" s="22">
        <v>1</v>
      </c>
      <c r="F141" s="22">
        <v>1</v>
      </c>
      <c r="G141" s="22">
        <v>85871</v>
      </c>
      <c r="H141" s="22">
        <v>0</v>
      </c>
      <c r="I141" s="22">
        <v>2</v>
      </c>
      <c r="J141" s="22">
        <v>2</v>
      </c>
      <c r="K141" s="22">
        <v>89240</v>
      </c>
      <c r="L141" s="53">
        <v>0</v>
      </c>
    </row>
    <row r="142" spans="1:12" ht="32">
      <c r="A142" s="46">
        <v>218663</v>
      </c>
      <c r="B142" s="46" t="s">
        <v>208</v>
      </c>
      <c r="C142" s="46" t="s">
        <v>285</v>
      </c>
      <c r="D142" s="46" t="s">
        <v>284</v>
      </c>
      <c r="E142" s="46">
        <v>1</v>
      </c>
      <c r="F142" s="46">
        <v>1</v>
      </c>
      <c r="G142" s="46">
        <v>166394</v>
      </c>
      <c r="H142" s="46">
        <v>0</v>
      </c>
      <c r="I142" s="46">
        <v>2</v>
      </c>
      <c r="J142" s="46">
        <v>2</v>
      </c>
      <c r="K142" s="46">
        <v>194632</v>
      </c>
      <c r="L142" s="46">
        <v>0</v>
      </c>
    </row>
    <row r="143" spans="1:12" ht="32">
      <c r="A143" s="46">
        <v>218742</v>
      </c>
      <c r="B143" s="46" t="s">
        <v>210</v>
      </c>
      <c r="C143" s="46" t="s">
        <v>285</v>
      </c>
      <c r="D143" s="46" t="s">
        <v>284</v>
      </c>
      <c r="E143" s="46">
        <v>1</v>
      </c>
      <c r="F143" s="46">
        <v>1</v>
      </c>
      <c r="G143" s="46">
        <v>69094</v>
      </c>
      <c r="H143" s="46">
        <v>0</v>
      </c>
      <c r="I143" s="46">
        <v>1</v>
      </c>
      <c r="J143" s="46">
        <v>1</v>
      </c>
      <c r="K143" s="46">
        <v>36306</v>
      </c>
      <c r="L143" s="46">
        <v>0</v>
      </c>
    </row>
    <row r="144" spans="1:12" ht="32">
      <c r="A144" s="46">
        <v>219471</v>
      </c>
      <c r="B144" s="46" t="s">
        <v>211</v>
      </c>
      <c r="C144" s="46" t="s">
        <v>285</v>
      </c>
      <c r="D144" s="46" t="s">
        <v>284</v>
      </c>
      <c r="E144" s="46">
        <v>1</v>
      </c>
      <c r="F144" s="46">
        <v>1</v>
      </c>
      <c r="G144" s="46">
        <v>110745</v>
      </c>
      <c r="H144" s="46">
        <v>1128</v>
      </c>
      <c r="I144" s="46">
        <v>2</v>
      </c>
      <c r="J144" s="46">
        <v>2</v>
      </c>
      <c r="K144" s="46">
        <v>128940</v>
      </c>
      <c r="L144" s="46">
        <v>0</v>
      </c>
    </row>
    <row r="145" spans="1:12" ht="32">
      <c r="A145" s="46">
        <v>219356</v>
      </c>
      <c r="B145" s="46" t="s">
        <v>212</v>
      </c>
      <c r="C145" s="46" t="s">
        <v>285</v>
      </c>
      <c r="D145" s="46" t="s">
        <v>284</v>
      </c>
      <c r="E145" s="46">
        <v>1</v>
      </c>
      <c r="F145" s="46">
        <v>1</v>
      </c>
      <c r="G145" s="46">
        <v>93062</v>
      </c>
      <c r="H145" s="46">
        <v>0</v>
      </c>
      <c r="I145" s="46">
        <v>2</v>
      </c>
      <c r="J145" s="46">
        <v>1.5</v>
      </c>
      <c r="K145" s="46">
        <v>60894</v>
      </c>
      <c r="L145" s="46">
        <v>0</v>
      </c>
    </row>
    <row r="146" spans="1:12" ht="32">
      <c r="A146" s="46">
        <v>137351</v>
      </c>
      <c r="B146" s="46" t="s">
        <v>213</v>
      </c>
      <c r="C146" s="46" t="s">
        <v>285</v>
      </c>
      <c r="D146" s="46" t="s">
        <v>284</v>
      </c>
      <c r="E146" s="46">
        <v>1</v>
      </c>
      <c r="F146" s="46">
        <v>1</v>
      </c>
      <c r="G146" s="46">
        <v>132369</v>
      </c>
      <c r="H146" s="46">
        <v>0</v>
      </c>
      <c r="I146" s="46">
        <v>2</v>
      </c>
      <c r="J146" s="46">
        <v>2</v>
      </c>
      <c r="K146" s="46">
        <v>125787</v>
      </c>
      <c r="L146" s="46">
        <v>0</v>
      </c>
    </row>
    <row r="147" spans="1:12" ht="32">
      <c r="A147" s="46">
        <v>179557</v>
      </c>
      <c r="B147" s="46" t="s">
        <v>214</v>
      </c>
      <c r="C147" s="46" t="s">
        <v>285</v>
      </c>
      <c r="D147" s="46" t="s">
        <v>284</v>
      </c>
      <c r="E147" s="46">
        <v>1</v>
      </c>
      <c r="F147" s="46">
        <v>1</v>
      </c>
      <c r="G147" s="46">
        <v>79483</v>
      </c>
      <c r="H147" s="46">
        <v>4350</v>
      </c>
      <c r="I147" s="46">
        <v>2</v>
      </c>
      <c r="J147" s="46">
        <v>2</v>
      </c>
      <c r="K147" s="46">
        <v>85498</v>
      </c>
      <c r="L147" s="46">
        <v>0</v>
      </c>
    </row>
    <row r="148" spans="1:12" ht="32">
      <c r="A148" s="46">
        <v>160621</v>
      </c>
      <c r="B148" s="46" t="s">
        <v>216</v>
      </c>
      <c r="C148" s="46" t="s">
        <v>285</v>
      </c>
      <c r="D148" s="46" t="s">
        <v>284</v>
      </c>
      <c r="E148" s="46">
        <v>1</v>
      </c>
      <c r="F148" s="46">
        <v>1</v>
      </c>
      <c r="G148" s="46">
        <v>67664</v>
      </c>
      <c r="H148" s="46">
        <v>0</v>
      </c>
      <c r="I148" s="46">
        <v>0</v>
      </c>
      <c r="J148" s="46">
        <v>0</v>
      </c>
      <c r="K148" s="46">
        <v>0</v>
      </c>
      <c r="L148" s="46">
        <v>0</v>
      </c>
    </row>
    <row r="149" spans="1:12" ht="32">
      <c r="A149" s="46">
        <v>149231</v>
      </c>
      <c r="B149" s="46" t="s">
        <v>218</v>
      </c>
      <c r="C149" s="46" t="s">
        <v>285</v>
      </c>
      <c r="D149" s="46" t="s">
        <v>284</v>
      </c>
      <c r="E149" s="46">
        <v>1</v>
      </c>
      <c r="F149" s="46">
        <v>1</v>
      </c>
      <c r="G149" s="46">
        <v>65389</v>
      </c>
      <c r="H149" s="46">
        <v>0</v>
      </c>
      <c r="I149" s="46">
        <v>1</v>
      </c>
      <c r="J149" s="46">
        <v>1</v>
      </c>
      <c r="K149" s="46">
        <v>52552</v>
      </c>
      <c r="L149" s="46">
        <v>0</v>
      </c>
    </row>
    <row r="150" spans="1:12" ht="32">
      <c r="A150" s="46">
        <v>176372</v>
      </c>
      <c r="B150" s="46" t="s">
        <v>219</v>
      </c>
      <c r="C150" s="46" t="s">
        <v>285</v>
      </c>
      <c r="D150" s="46" t="s">
        <v>284</v>
      </c>
      <c r="E150" s="46">
        <v>1</v>
      </c>
      <c r="F150" s="46">
        <v>1</v>
      </c>
      <c r="G150" s="46">
        <v>105965</v>
      </c>
      <c r="H150" s="46">
        <v>0</v>
      </c>
      <c r="I150" s="46">
        <v>1</v>
      </c>
      <c r="J150" s="46">
        <v>1</v>
      </c>
      <c r="K150" s="46">
        <v>81828</v>
      </c>
      <c r="L150" s="46">
        <v>0</v>
      </c>
    </row>
    <row r="151" spans="1:12" ht="32">
      <c r="A151" s="46">
        <v>230603</v>
      </c>
      <c r="B151" s="46" t="s">
        <v>220</v>
      </c>
      <c r="C151" s="46" t="s">
        <v>285</v>
      </c>
      <c r="D151" s="46" t="s">
        <v>284</v>
      </c>
      <c r="E151" s="46">
        <v>1</v>
      </c>
      <c r="F151" s="46">
        <v>1</v>
      </c>
      <c r="G151" s="46">
        <v>88522</v>
      </c>
      <c r="H151" s="46">
        <v>0</v>
      </c>
      <c r="I151" s="46">
        <v>2</v>
      </c>
      <c r="J151" s="46">
        <v>2</v>
      </c>
      <c r="K151" s="46">
        <v>86296</v>
      </c>
      <c r="L151" s="46">
        <v>0</v>
      </c>
    </row>
    <row r="152" spans="1:12" ht="32">
      <c r="A152" s="46">
        <v>228431</v>
      </c>
      <c r="B152" s="46" t="s">
        <v>221</v>
      </c>
      <c r="C152" s="46" t="s">
        <v>285</v>
      </c>
      <c r="D152" s="46" t="s">
        <v>284</v>
      </c>
      <c r="E152" s="46">
        <v>1</v>
      </c>
      <c r="F152" s="46">
        <v>1</v>
      </c>
      <c r="G152" s="46">
        <v>110187</v>
      </c>
      <c r="H152" s="46">
        <v>0</v>
      </c>
      <c r="I152" s="46">
        <v>2</v>
      </c>
      <c r="J152" s="46">
        <v>2</v>
      </c>
      <c r="K152" s="46">
        <v>102923</v>
      </c>
      <c r="L152" s="46">
        <v>0</v>
      </c>
    </row>
    <row r="153" spans="1:12" ht="32">
      <c r="A153" s="46">
        <v>196097</v>
      </c>
      <c r="B153" s="46" t="s">
        <v>222</v>
      </c>
      <c r="C153" s="46" t="s">
        <v>285</v>
      </c>
      <c r="D153" s="46" t="s">
        <v>284</v>
      </c>
      <c r="E153" s="46">
        <v>1</v>
      </c>
      <c r="F153" s="46">
        <v>1</v>
      </c>
      <c r="G153" s="46">
        <v>93968</v>
      </c>
      <c r="H153" s="46">
        <v>0</v>
      </c>
      <c r="I153" s="46">
        <v>2</v>
      </c>
      <c r="J153" s="46">
        <v>1.65</v>
      </c>
      <c r="K153" s="46">
        <v>81771</v>
      </c>
      <c r="L153" s="46">
        <v>0</v>
      </c>
    </row>
    <row r="154" spans="1:12" ht="32">
      <c r="A154" s="46">
        <v>221759</v>
      </c>
      <c r="B154" s="46" t="s">
        <v>223</v>
      </c>
      <c r="C154" s="46" t="s">
        <v>285</v>
      </c>
      <c r="D154" s="46" t="s">
        <v>284</v>
      </c>
      <c r="E154" s="46">
        <v>1</v>
      </c>
      <c r="F154" s="46">
        <v>1</v>
      </c>
      <c r="G154" s="46">
        <v>378670</v>
      </c>
      <c r="H154" s="46">
        <v>0</v>
      </c>
      <c r="I154" s="46">
        <v>2</v>
      </c>
      <c r="J154" s="46">
        <v>2</v>
      </c>
      <c r="K154" s="46">
        <v>229300</v>
      </c>
      <c r="L154" s="46">
        <v>0</v>
      </c>
    </row>
    <row r="155" spans="1:12" ht="32">
      <c r="A155" s="46">
        <v>221740</v>
      </c>
      <c r="B155" s="46" t="s">
        <v>224</v>
      </c>
      <c r="C155" s="46" t="s">
        <v>285</v>
      </c>
      <c r="D155" s="46" t="s">
        <v>284</v>
      </c>
      <c r="E155" s="46">
        <v>1</v>
      </c>
      <c r="F155" s="46">
        <v>1</v>
      </c>
      <c r="G155" s="46">
        <v>112281</v>
      </c>
      <c r="H155" s="46">
        <v>0</v>
      </c>
      <c r="I155" s="46">
        <v>2</v>
      </c>
      <c r="J155" s="46">
        <v>2</v>
      </c>
      <c r="K155" s="46">
        <v>116092</v>
      </c>
      <c r="L155" s="46">
        <v>0</v>
      </c>
    </row>
    <row r="156" spans="1:12" ht="32">
      <c r="A156" s="46">
        <v>221847</v>
      </c>
      <c r="B156" s="46" t="s">
        <v>227</v>
      </c>
      <c r="C156" s="46" t="s">
        <v>285</v>
      </c>
      <c r="D156" s="46" t="s">
        <v>284</v>
      </c>
      <c r="E156" s="46">
        <v>1</v>
      </c>
      <c r="F156" s="46">
        <v>0.7</v>
      </c>
      <c r="G156" s="46">
        <v>77020</v>
      </c>
      <c r="H156" s="46">
        <v>0</v>
      </c>
      <c r="I156" s="46">
        <v>2</v>
      </c>
      <c r="J156" s="46">
        <v>1.8</v>
      </c>
      <c r="K156" s="46">
        <v>99714</v>
      </c>
      <c r="L156" s="46">
        <v>0</v>
      </c>
    </row>
    <row r="157" spans="1:12" ht="32">
      <c r="A157" s="46">
        <v>228778</v>
      </c>
      <c r="B157" s="46" t="s">
        <v>228</v>
      </c>
      <c r="C157" s="46" t="s">
        <v>285</v>
      </c>
      <c r="D157" s="46" t="s">
        <v>284</v>
      </c>
      <c r="E157" s="46">
        <v>1</v>
      </c>
      <c r="F157" s="46">
        <v>1</v>
      </c>
      <c r="G157" s="46">
        <v>794207</v>
      </c>
      <c r="H157" s="46">
        <v>0</v>
      </c>
      <c r="I157" s="46">
        <v>2</v>
      </c>
      <c r="J157" s="46">
        <v>2</v>
      </c>
      <c r="K157" s="46">
        <v>448240</v>
      </c>
      <c r="L157" s="46">
        <v>0</v>
      </c>
    </row>
    <row r="158" spans="1:12" ht="32">
      <c r="A158" s="46">
        <v>228723</v>
      </c>
      <c r="B158" s="46" t="s">
        <v>229</v>
      </c>
      <c r="C158" s="46" t="s">
        <v>285</v>
      </c>
      <c r="D158" s="46" t="s">
        <v>284</v>
      </c>
      <c r="E158" s="46">
        <v>1</v>
      </c>
      <c r="F158" s="46">
        <v>1</v>
      </c>
      <c r="G158" s="46">
        <v>197073</v>
      </c>
      <c r="H158" s="46">
        <v>0</v>
      </c>
      <c r="I158" s="46">
        <v>2</v>
      </c>
      <c r="J158" s="46">
        <v>2</v>
      </c>
      <c r="K158" s="46">
        <v>322860</v>
      </c>
      <c r="L158" s="46">
        <v>0</v>
      </c>
    </row>
    <row r="159" spans="1:12" ht="32">
      <c r="A159" s="46">
        <v>224147</v>
      </c>
      <c r="B159" s="46" t="s">
        <v>230</v>
      </c>
      <c r="C159" s="46" t="s">
        <v>285</v>
      </c>
      <c r="D159" s="46" t="s">
        <v>284</v>
      </c>
      <c r="E159" s="46">
        <v>1</v>
      </c>
      <c r="F159" s="46">
        <v>1</v>
      </c>
      <c r="G159" s="46">
        <v>112690</v>
      </c>
      <c r="H159" s="46">
        <v>0</v>
      </c>
      <c r="I159" s="46">
        <v>2</v>
      </c>
      <c r="J159" s="46">
        <v>1.5</v>
      </c>
      <c r="K159" s="46">
        <v>52220</v>
      </c>
      <c r="L159" s="46">
        <v>0</v>
      </c>
    </row>
    <row r="160" spans="1:12" ht="32">
      <c r="A160" s="46">
        <v>228769</v>
      </c>
      <c r="B160" s="46" t="s">
        <v>231</v>
      </c>
      <c r="C160" s="46" t="s">
        <v>285</v>
      </c>
      <c r="D160" s="46" t="s">
        <v>284</v>
      </c>
      <c r="E160" s="46">
        <v>1</v>
      </c>
      <c r="F160" s="46">
        <v>1</v>
      </c>
      <c r="G160" s="46">
        <v>150388</v>
      </c>
      <c r="H160" s="46">
        <v>0</v>
      </c>
      <c r="I160" s="46">
        <v>2</v>
      </c>
      <c r="J160" s="46">
        <v>2</v>
      </c>
      <c r="K160" s="46">
        <v>120317</v>
      </c>
      <c r="L160" s="46">
        <v>0</v>
      </c>
    </row>
    <row r="161" spans="1:12" ht="32">
      <c r="A161" s="46">
        <v>229063</v>
      </c>
      <c r="B161" s="46" t="s">
        <v>232</v>
      </c>
      <c r="C161" s="46" t="s">
        <v>285</v>
      </c>
      <c r="D161" s="46" t="s">
        <v>284</v>
      </c>
      <c r="E161" s="46">
        <v>1</v>
      </c>
      <c r="F161" s="46">
        <v>1</v>
      </c>
      <c r="G161" s="46">
        <v>109532</v>
      </c>
      <c r="H161" s="46">
        <v>0</v>
      </c>
      <c r="I161" s="46">
        <v>2</v>
      </c>
      <c r="J161" s="46">
        <v>0.5</v>
      </c>
      <c r="K161" s="46">
        <v>17668</v>
      </c>
      <c r="L161" s="46">
        <v>0</v>
      </c>
    </row>
    <row r="162" spans="1:12" ht="32">
      <c r="A162" s="46">
        <v>228459</v>
      </c>
      <c r="B162" s="46" t="s">
        <v>233</v>
      </c>
      <c r="C162" s="46" t="s">
        <v>285</v>
      </c>
      <c r="D162" s="46" t="s">
        <v>284</v>
      </c>
      <c r="E162" s="46">
        <v>1</v>
      </c>
      <c r="F162" s="46">
        <v>1</v>
      </c>
      <c r="G162" s="46">
        <v>111242</v>
      </c>
      <c r="H162" s="46">
        <v>0</v>
      </c>
      <c r="I162" s="46">
        <v>2</v>
      </c>
      <c r="J162" s="46">
        <v>2</v>
      </c>
      <c r="K162" s="46">
        <v>130557</v>
      </c>
      <c r="L162" s="46">
        <v>0</v>
      </c>
    </row>
    <row r="163" spans="1:12" ht="32">
      <c r="A163" s="46">
        <v>229115</v>
      </c>
      <c r="B163" s="46" t="s">
        <v>234</v>
      </c>
      <c r="C163" s="46" t="s">
        <v>285</v>
      </c>
      <c r="D163" s="46" t="s">
        <v>284</v>
      </c>
      <c r="E163" s="46">
        <v>1</v>
      </c>
      <c r="F163" s="46">
        <v>1</v>
      </c>
      <c r="G163" s="46">
        <v>176922</v>
      </c>
      <c r="H163" s="46">
        <v>0</v>
      </c>
      <c r="I163" s="46">
        <v>2</v>
      </c>
      <c r="J163" s="46">
        <v>2</v>
      </c>
      <c r="K163" s="46">
        <v>165328</v>
      </c>
      <c r="L163" s="46">
        <v>0</v>
      </c>
    </row>
    <row r="164" spans="1:12" ht="32">
      <c r="A164" s="46">
        <v>206084</v>
      </c>
      <c r="B164" s="46" t="s">
        <v>235</v>
      </c>
      <c r="C164" s="46" t="s">
        <v>285</v>
      </c>
      <c r="D164" s="46" t="s">
        <v>284</v>
      </c>
      <c r="E164" s="46">
        <v>1</v>
      </c>
      <c r="F164" s="46">
        <v>1</v>
      </c>
      <c r="G164" s="46">
        <v>118540</v>
      </c>
      <c r="H164" s="46">
        <v>0</v>
      </c>
      <c r="I164" s="46">
        <v>2</v>
      </c>
      <c r="J164" s="46">
        <v>2</v>
      </c>
      <c r="K164" s="46">
        <v>113150</v>
      </c>
      <c r="L164" s="46">
        <v>0</v>
      </c>
    </row>
    <row r="165" spans="1:12" ht="32">
      <c r="A165" s="46">
        <v>164076</v>
      </c>
      <c r="B165" s="46" t="s">
        <v>236</v>
      </c>
      <c r="C165" s="46" t="s">
        <v>285</v>
      </c>
      <c r="D165" s="46" t="s">
        <v>284</v>
      </c>
      <c r="E165" s="46">
        <v>1</v>
      </c>
      <c r="F165" s="46">
        <v>1</v>
      </c>
      <c r="G165" s="46">
        <v>112087</v>
      </c>
      <c r="H165" s="46">
        <v>0</v>
      </c>
      <c r="I165" s="46">
        <v>3</v>
      </c>
      <c r="J165" s="46">
        <v>2.5</v>
      </c>
      <c r="K165" s="46">
        <v>105859</v>
      </c>
      <c r="L165" s="46">
        <v>0</v>
      </c>
    </row>
    <row r="166" spans="1:12" ht="32">
      <c r="A166" s="46">
        <v>100663</v>
      </c>
      <c r="B166" s="46" t="s">
        <v>238</v>
      </c>
      <c r="C166" s="46" t="s">
        <v>285</v>
      </c>
      <c r="D166" s="46" t="s">
        <v>284</v>
      </c>
      <c r="E166" s="46">
        <v>1</v>
      </c>
      <c r="F166" s="46">
        <v>0.92</v>
      </c>
      <c r="G166" s="46">
        <v>116153</v>
      </c>
      <c r="H166" s="46">
        <v>0</v>
      </c>
      <c r="I166" s="46">
        <v>2</v>
      </c>
      <c r="J166" s="46">
        <v>1.67</v>
      </c>
      <c r="K166" s="46">
        <v>92918</v>
      </c>
      <c r="L166" s="46">
        <v>0</v>
      </c>
    </row>
    <row r="167" spans="1:12" ht="32">
      <c r="A167" s="46">
        <v>110644</v>
      </c>
      <c r="B167" s="46" t="s">
        <v>239</v>
      </c>
      <c r="C167" s="46" t="s">
        <v>285</v>
      </c>
      <c r="D167" s="46" t="s">
        <v>284</v>
      </c>
      <c r="E167" s="46">
        <v>1</v>
      </c>
      <c r="F167" s="46">
        <v>0.8</v>
      </c>
      <c r="G167" s="46">
        <v>128509</v>
      </c>
      <c r="H167" s="46">
        <v>0</v>
      </c>
      <c r="I167" s="46">
        <v>2</v>
      </c>
      <c r="J167" s="46">
        <v>2</v>
      </c>
      <c r="K167" s="46">
        <v>137342</v>
      </c>
      <c r="L167" s="46">
        <v>0</v>
      </c>
    </row>
    <row r="168" spans="1:12" ht="32">
      <c r="A168" s="46">
        <v>110653</v>
      </c>
      <c r="B168" s="46" t="s">
        <v>240</v>
      </c>
      <c r="C168" s="46" t="s">
        <v>285</v>
      </c>
      <c r="D168" s="46" t="s">
        <v>284</v>
      </c>
      <c r="E168" s="46">
        <v>1</v>
      </c>
      <c r="F168" s="46">
        <v>1</v>
      </c>
      <c r="G168" s="46">
        <v>154754</v>
      </c>
      <c r="H168" s="46">
        <v>0</v>
      </c>
      <c r="I168" s="46">
        <v>2</v>
      </c>
      <c r="J168" s="46">
        <v>2</v>
      </c>
      <c r="K168" s="46">
        <v>136582</v>
      </c>
      <c r="L168" s="46">
        <v>0</v>
      </c>
    </row>
    <row r="169" spans="1:12" ht="32">
      <c r="A169" s="46">
        <v>110653</v>
      </c>
      <c r="B169" s="46" t="s">
        <v>240</v>
      </c>
      <c r="C169" s="46" t="s">
        <v>293</v>
      </c>
      <c r="D169" s="46" t="s">
        <v>284</v>
      </c>
      <c r="E169" s="46">
        <v>1</v>
      </c>
      <c r="F169" s="46">
        <v>1</v>
      </c>
      <c r="G169" s="46">
        <v>159531</v>
      </c>
      <c r="H169" s="46">
        <v>0</v>
      </c>
      <c r="I169" s="46">
        <v>2</v>
      </c>
      <c r="J169" s="46">
        <v>1.5</v>
      </c>
      <c r="K169" s="46">
        <v>117861</v>
      </c>
      <c r="L169" s="46">
        <v>0</v>
      </c>
    </row>
    <row r="170" spans="1:12" ht="32">
      <c r="A170" s="46">
        <v>110671</v>
      </c>
      <c r="B170" s="46" t="s">
        <v>241</v>
      </c>
      <c r="C170" s="46" t="s">
        <v>285</v>
      </c>
      <c r="D170" s="46" t="s">
        <v>284</v>
      </c>
      <c r="E170" s="46">
        <v>1</v>
      </c>
      <c r="F170" s="46">
        <v>1</v>
      </c>
      <c r="G170" s="46">
        <v>154884</v>
      </c>
      <c r="H170" s="46">
        <v>0</v>
      </c>
      <c r="I170" s="46">
        <v>2</v>
      </c>
      <c r="J170" s="46">
        <v>2</v>
      </c>
      <c r="K170" s="46">
        <v>130072</v>
      </c>
      <c r="L170" s="46">
        <v>0</v>
      </c>
    </row>
    <row r="171" spans="1:12" ht="32">
      <c r="A171" s="46">
        <v>110705</v>
      </c>
      <c r="B171" s="46" t="s">
        <v>242</v>
      </c>
      <c r="C171" s="46" t="s">
        <v>285</v>
      </c>
      <c r="D171" s="46" t="s">
        <v>284</v>
      </c>
      <c r="E171" s="46">
        <v>1</v>
      </c>
      <c r="F171" s="46">
        <v>1</v>
      </c>
      <c r="G171" s="46">
        <v>166385</v>
      </c>
      <c r="H171" s="46">
        <v>0</v>
      </c>
      <c r="I171" s="46">
        <v>2</v>
      </c>
      <c r="J171" s="46">
        <v>2</v>
      </c>
      <c r="K171" s="46">
        <v>133772</v>
      </c>
      <c r="L171" s="46">
        <v>0</v>
      </c>
    </row>
    <row r="172" spans="1:12" ht="32">
      <c r="A172" s="46">
        <v>110705</v>
      </c>
      <c r="B172" s="46" t="s">
        <v>242</v>
      </c>
      <c r="C172" s="46" t="s">
        <v>293</v>
      </c>
      <c r="D172" s="46" t="s">
        <v>284</v>
      </c>
      <c r="E172" s="46">
        <v>1</v>
      </c>
      <c r="F172" s="46">
        <v>1</v>
      </c>
      <c r="G172" s="46">
        <v>160698</v>
      </c>
      <c r="H172" s="46">
        <v>0</v>
      </c>
      <c r="I172" s="46">
        <v>2</v>
      </c>
      <c r="J172" s="46">
        <v>2</v>
      </c>
      <c r="K172" s="46">
        <v>153719</v>
      </c>
      <c r="L172" s="46">
        <v>0</v>
      </c>
    </row>
    <row r="173" spans="1:12" ht="32">
      <c r="A173" s="46">
        <v>132903</v>
      </c>
      <c r="B173" s="46" t="s">
        <v>243</v>
      </c>
      <c r="C173" s="46" t="s">
        <v>285</v>
      </c>
      <c r="D173" s="46" t="s">
        <v>284</v>
      </c>
      <c r="E173" s="46">
        <v>1</v>
      </c>
      <c r="F173" s="46">
        <v>1</v>
      </c>
      <c r="G173" s="46">
        <v>138721</v>
      </c>
      <c r="H173" s="46">
        <v>0</v>
      </c>
      <c r="I173" s="46">
        <v>2</v>
      </c>
      <c r="J173" s="46">
        <v>2</v>
      </c>
      <c r="K173" s="46">
        <v>139819</v>
      </c>
      <c r="L173" s="46">
        <v>0</v>
      </c>
    </row>
    <row r="174" spans="1:12" ht="32">
      <c r="A174" s="46">
        <v>182281</v>
      </c>
      <c r="B174" s="46" t="s">
        <v>245</v>
      </c>
      <c r="C174" s="46" t="s">
        <v>285</v>
      </c>
      <c r="D174" s="46" t="s">
        <v>284</v>
      </c>
      <c r="E174" s="46">
        <v>1</v>
      </c>
      <c r="F174" s="46">
        <v>1</v>
      </c>
      <c r="G174" s="46">
        <v>148233</v>
      </c>
      <c r="H174" s="46">
        <v>0</v>
      </c>
      <c r="I174" s="46">
        <v>2</v>
      </c>
      <c r="J174" s="46">
        <v>2</v>
      </c>
      <c r="K174" s="46">
        <v>142285</v>
      </c>
      <c r="L174" s="46">
        <v>0</v>
      </c>
    </row>
    <row r="175" spans="1:12" ht="32">
      <c r="A175" s="46">
        <v>230764</v>
      </c>
      <c r="B175" s="46" t="s">
        <v>246</v>
      </c>
      <c r="C175" s="46" t="s">
        <v>285</v>
      </c>
      <c r="D175" s="46" t="s">
        <v>284</v>
      </c>
      <c r="E175" s="46">
        <v>1</v>
      </c>
      <c r="F175" s="46">
        <v>1</v>
      </c>
      <c r="G175" s="46">
        <v>266245</v>
      </c>
      <c r="H175" s="46">
        <v>0</v>
      </c>
      <c r="I175" s="46">
        <v>2</v>
      </c>
      <c r="J175" s="46">
        <v>2</v>
      </c>
      <c r="K175" s="46">
        <v>248637</v>
      </c>
      <c r="L175" s="46">
        <v>0</v>
      </c>
    </row>
    <row r="176" spans="1:12" ht="32">
      <c r="A176" s="46">
        <v>230728</v>
      </c>
      <c r="B176" s="46" t="s">
        <v>247</v>
      </c>
      <c r="C176" s="46" t="s">
        <v>285</v>
      </c>
      <c r="D176" s="46" t="s">
        <v>284</v>
      </c>
      <c r="E176" s="46">
        <v>1</v>
      </c>
      <c r="F176" s="46">
        <v>1</v>
      </c>
      <c r="G176" s="46">
        <v>148905</v>
      </c>
      <c r="H176" s="46">
        <v>0</v>
      </c>
      <c r="I176" s="46">
        <v>2</v>
      </c>
      <c r="J176" s="46">
        <v>2</v>
      </c>
      <c r="K176" s="46">
        <v>128671</v>
      </c>
      <c r="L176" s="46">
        <v>0</v>
      </c>
    </row>
    <row r="177" spans="1:12" ht="32">
      <c r="A177" s="46">
        <v>230737</v>
      </c>
      <c r="B177" s="46" t="s">
        <v>248</v>
      </c>
      <c r="C177" s="46" t="s">
        <v>285</v>
      </c>
      <c r="D177" s="46" t="s">
        <v>284</v>
      </c>
      <c r="E177" s="46">
        <v>1</v>
      </c>
      <c r="F177" s="46">
        <v>1</v>
      </c>
      <c r="G177" s="46">
        <v>104591</v>
      </c>
      <c r="H177" s="46">
        <v>0</v>
      </c>
      <c r="I177" s="46">
        <v>2</v>
      </c>
      <c r="J177" s="46">
        <v>1.5</v>
      </c>
      <c r="K177" s="46">
        <v>76098</v>
      </c>
      <c r="L177" s="46">
        <v>0</v>
      </c>
    </row>
    <row r="178" spans="1:12" ht="32">
      <c r="A178" s="46">
        <v>228796</v>
      </c>
      <c r="B178" s="46" t="s">
        <v>249</v>
      </c>
      <c r="C178" s="46" t="s">
        <v>285</v>
      </c>
      <c r="D178" s="46" t="s">
        <v>284</v>
      </c>
      <c r="E178" s="46">
        <v>1</v>
      </c>
      <c r="F178" s="46">
        <v>1</v>
      </c>
      <c r="G178" s="46">
        <v>125326</v>
      </c>
      <c r="H178" s="46">
        <v>7927</v>
      </c>
      <c r="I178" s="46">
        <v>2</v>
      </c>
      <c r="J178" s="46">
        <v>2</v>
      </c>
      <c r="K178" s="46">
        <v>121137</v>
      </c>
      <c r="L178" s="46">
        <v>0</v>
      </c>
    </row>
    <row r="179" spans="1:12" ht="32">
      <c r="A179" s="46">
        <v>227368</v>
      </c>
      <c r="B179" s="46" t="s">
        <v>250</v>
      </c>
      <c r="C179" s="46" t="s">
        <v>285</v>
      </c>
      <c r="D179" s="46" t="s">
        <v>284</v>
      </c>
      <c r="E179" s="46">
        <v>1</v>
      </c>
      <c r="F179" s="46">
        <v>1</v>
      </c>
      <c r="G179" s="46">
        <v>122100</v>
      </c>
      <c r="H179" s="46">
        <v>0</v>
      </c>
      <c r="I179" s="46">
        <v>2</v>
      </c>
      <c r="J179" s="46">
        <v>2</v>
      </c>
      <c r="K179" s="46">
        <v>92282</v>
      </c>
      <c r="L179" s="46">
        <v>0</v>
      </c>
    </row>
    <row r="180" spans="1:12" ht="32">
      <c r="A180" s="46">
        <v>229027</v>
      </c>
      <c r="B180" s="46" t="s">
        <v>251</v>
      </c>
      <c r="C180" s="46" t="s">
        <v>285</v>
      </c>
      <c r="D180" s="46" t="s">
        <v>284</v>
      </c>
      <c r="E180" s="46">
        <v>1</v>
      </c>
      <c r="F180" s="46">
        <v>1</v>
      </c>
      <c r="G180" s="46">
        <v>140045</v>
      </c>
      <c r="H180" s="46">
        <v>0</v>
      </c>
      <c r="I180" s="46">
        <v>2</v>
      </c>
      <c r="J180" s="46">
        <v>2</v>
      </c>
      <c r="K180" s="46">
        <v>168707</v>
      </c>
      <c r="L180" s="46">
        <v>0</v>
      </c>
    </row>
    <row r="181" spans="1:12" ht="32">
      <c r="A181" s="46">
        <v>234030</v>
      </c>
      <c r="B181" s="46" t="s">
        <v>252</v>
      </c>
      <c r="C181" s="46" t="s">
        <v>285</v>
      </c>
      <c r="D181" s="46" t="s">
        <v>284</v>
      </c>
      <c r="E181" s="46">
        <v>1</v>
      </c>
      <c r="F181" s="46">
        <v>1</v>
      </c>
      <c r="G181" s="46">
        <v>146845</v>
      </c>
      <c r="H181" s="46">
        <v>0</v>
      </c>
      <c r="I181" s="46">
        <v>3</v>
      </c>
      <c r="J181" s="46">
        <v>2</v>
      </c>
      <c r="K181" s="46">
        <v>109060</v>
      </c>
      <c r="L181" s="46">
        <v>0</v>
      </c>
    </row>
    <row r="182" spans="1:12" ht="32">
      <c r="A182" s="46">
        <v>234076</v>
      </c>
      <c r="B182" s="46" t="s">
        <v>254</v>
      </c>
      <c r="C182" s="46" t="s">
        <v>285</v>
      </c>
      <c r="D182" s="46" t="s">
        <v>284</v>
      </c>
      <c r="E182" s="46">
        <v>1</v>
      </c>
      <c r="F182" s="46">
        <v>1</v>
      </c>
      <c r="G182" s="46">
        <v>191610</v>
      </c>
      <c r="H182" s="46">
        <v>0</v>
      </c>
      <c r="I182" s="46">
        <v>2</v>
      </c>
      <c r="J182" s="46">
        <v>2</v>
      </c>
      <c r="K182" s="46">
        <v>195754</v>
      </c>
      <c r="L182" s="46">
        <v>0</v>
      </c>
    </row>
    <row r="183" spans="1:12" ht="32">
      <c r="A183" s="46">
        <v>233921</v>
      </c>
      <c r="B183" s="46" t="s">
        <v>255</v>
      </c>
      <c r="C183" s="46" t="s">
        <v>285</v>
      </c>
      <c r="D183" s="46" t="s">
        <v>284</v>
      </c>
      <c r="E183" s="46">
        <v>1</v>
      </c>
      <c r="F183" s="46">
        <v>1</v>
      </c>
      <c r="G183" s="46">
        <v>175726</v>
      </c>
      <c r="H183" s="46">
        <v>0</v>
      </c>
      <c r="I183" s="46">
        <v>2</v>
      </c>
      <c r="J183" s="46">
        <v>2</v>
      </c>
      <c r="K183" s="46">
        <v>185547</v>
      </c>
      <c r="L183" s="46">
        <v>0</v>
      </c>
    </row>
    <row r="184" spans="1:12" ht="32">
      <c r="A184" s="46">
        <v>236948</v>
      </c>
      <c r="B184" s="46" t="s">
        <v>257</v>
      </c>
      <c r="C184" s="46" t="s">
        <v>285</v>
      </c>
      <c r="D184" s="46" t="s">
        <v>284</v>
      </c>
      <c r="E184" s="46">
        <v>1</v>
      </c>
      <c r="F184" s="46">
        <v>1</v>
      </c>
      <c r="G184" s="46">
        <v>319101</v>
      </c>
      <c r="H184" s="46">
        <v>0</v>
      </c>
      <c r="I184" s="46">
        <v>2</v>
      </c>
      <c r="J184" s="46">
        <v>2</v>
      </c>
      <c r="K184" s="46">
        <v>240932</v>
      </c>
      <c r="L184" s="46">
        <v>0</v>
      </c>
    </row>
    <row r="185" spans="1:12" ht="32">
      <c r="A185" s="46">
        <v>236939</v>
      </c>
      <c r="B185" s="46" t="s">
        <v>258</v>
      </c>
      <c r="C185" s="46" t="s">
        <v>285</v>
      </c>
      <c r="D185" s="46" t="s">
        <v>284</v>
      </c>
      <c r="E185" s="46">
        <v>1</v>
      </c>
      <c r="F185" s="46">
        <v>1</v>
      </c>
      <c r="G185" s="46">
        <v>207909</v>
      </c>
      <c r="H185" s="46">
        <v>0</v>
      </c>
      <c r="I185" s="46">
        <v>2</v>
      </c>
      <c r="J185" s="46">
        <v>2</v>
      </c>
      <c r="K185" s="46">
        <v>227605</v>
      </c>
      <c r="L185" s="46">
        <v>0</v>
      </c>
    </row>
    <row r="186" spans="1:12" ht="32">
      <c r="A186" s="46">
        <v>230782</v>
      </c>
      <c r="B186" s="46" t="s">
        <v>259</v>
      </c>
      <c r="C186" s="46" t="s">
        <v>285</v>
      </c>
      <c r="D186" s="46" t="s">
        <v>284</v>
      </c>
      <c r="E186" s="46">
        <v>1</v>
      </c>
      <c r="F186" s="46">
        <v>1</v>
      </c>
      <c r="G186" s="46">
        <v>103585</v>
      </c>
      <c r="H186" s="46">
        <v>0</v>
      </c>
      <c r="I186" s="46">
        <v>2</v>
      </c>
      <c r="J186" s="46">
        <v>2</v>
      </c>
      <c r="K186" s="46">
        <v>129528</v>
      </c>
      <c r="L186" s="46">
        <v>0</v>
      </c>
    </row>
    <row r="187" spans="1:12" ht="32">
      <c r="A187" s="46">
        <v>238032</v>
      </c>
      <c r="B187" s="46" t="s">
        <v>260</v>
      </c>
      <c r="C187" s="46" t="s">
        <v>285</v>
      </c>
      <c r="D187" s="46" t="s">
        <v>284</v>
      </c>
      <c r="E187" s="46">
        <v>1</v>
      </c>
      <c r="F187" s="46">
        <v>1</v>
      </c>
      <c r="G187" s="46">
        <v>135531</v>
      </c>
      <c r="H187" s="46">
        <v>0</v>
      </c>
      <c r="I187" s="46">
        <v>2</v>
      </c>
      <c r="J187" s="46">
        <v>2</v>
      </c>
      <c r="K187" s="46">
        <v>138646</v>
      </c>
      <c r="L187" s="46">
        <v>0</v>
      </c>
    </row>
    <row r="188" spans="1:12" ht="32">
      <c r="A188" s="46">
        <v>200004</v>
      </c>
      <c r="B188" s="46" t="s">
        <v>261</v>
      </c>
      <c r="C188" s="46" t="s">
        <v>285</v>
      </c>
      <c r="D188" s="46" t="s">
        <v>284</v>
      </c>
      <c r="E188" s="46">
        <v>1</v>
      </c>
      <c r="F188" s="46">
        <v>1</v>
      </c>
      <c r="G188" s="46">
        <v>71820</v>
      </c>
      <c r="H188" s="46">
        <v>0</v>
      </c>
      <c r="I188" s="46">
        <v>1</v>
      </c>
      <c r="J188" s="46">
        <v>1</v>
      </c>
      <c r="K188" s="46">
        <v>46320</v>
      </c>
      <c r="L188" s="46">
        <v>0</v>
      </c>
    </row>
    <row r="189" spans="1:12" ht="32">
      <c r="A189" s="46">
        <v>149772</v>
      </c>
      <c r="B189" s="46" t="s">
        <v>262</v>
      </c>
      <c r="C189" s="46" t="s">
        <v>285</v>
      </c>
      <c r="D189" s="46" t="s">
        <v>284</v>
      </c>
      <c r="E189" s="46">
        <v>1</v>
      </c>
      <c r="F189" s="46">
        <v>1</v>
      </c>
      <c r="G189" s="46">
        <v>96321</v>
      </c>
      <c r="H189" s="46">
        <v>0</v>
      </c>
      <c r="I189" s="46">
        <v>2</v>
      </c>
      <c r="J189" s="46">
        <v>1.67</v>
      </c>
      <c r="K189" s="46">
        <v>68731</v>
      </c>
      <c r="L189" s="46">
        <v>0</v>
      </c>
    </row>
    <row r="190" spans="1:12" ht="32">
      <c r="A190" s="46">
        <v>157951</v>
      </c>
      <c r="B190" s="46" t="s">
        <v>263</v>
      </c>
      <c r="C190" s="46" t="s">
        <v>285</v>
      </c>
      <c r="D190" s="46" t="s">
        <v>284</v>
      </c>
      <c r="E190" s="46">
        <v>1</v>
      </c>
      <c r="F190" s="46">
        <v>1</v>
      </c>
      <c r="G190" s="46">
        <v>138591</v>
      </c>
      <c r="H190" s="46">
        <v>6600</v>
      </c>
      <c r="I190" s="46">
        <v>2</v>
      </c>
      <c r="J190" s="46">
        <v>2</v>
      </c>
      <c r="K190" s="46">
        <v>135441</v>
      </c>
      <c r="L190" s="46">
        <v>0</v>
      </c>
    </row>
    <row r="191" spans="1:12" ht="32">
      <c r="A191" s="46">
        <v>172699</v>
      </c>
      <c r="B191" s="46" t="s">
        <v>264</v>
      </c>
      <c r="C191" s="46" t="s">
        <v>285</v>
      </c>
      <c r="D191" s="46" t="s">
        <v>284</v>
      </c>
      <c r="E191" s="46">
        <v>1</v>
      </c>
      <c r="F191" s="46">
        <v>1</v>
      </c>
      <c r="G191" s="46">
        <v>157198</v>
      </c>
      <c r="H191" s="46">
        <v>0</v>
      </c>
      <c r="I191" s="46">
        <v>3</v>
      </c>
      <c r="J191" s="46">
        <v>2</v>
      </c>
      <c r="K191" s="46">
        <v>172281</v>
      </c>
      <c r="L191" s="46">
        <v>0</v>
      </c>
    </row>
    <row r="192" spans="1:12" ht="32">
      <c r="A192" s="46">
        <v>156125</v>
      </c>
      <c r="B192" s="46" t="s">
        <v>265</v>
      </c>
      <c r="C192" s="46" t="s">
        <v>285</v>
      </c>
      <c r="D192" s="46" t="s">
        <v>284</v>
      </c>
      <c r="E192" s="46">
        <v>1</v>
      </c>
      <c r="F192" s="46">
        <v>1</v>
      </c>
      <c r="G192" s="46">
        <v>259709</v>
      </c>
      <c r="H192" s="46">
        <v>0</v>
      </c>
      <c r="I192" s="46">
        <v>2</v>
      </c>
      <c r="J192" s="46">
        <v>2</v>
      </c>
      <c r="K192" s="46">
        <v>127856</v>
      </c>
      <c r="L192" s="46">
        <v>0</v>
      </c>
    </row>
    <row r="193" spans="1:12" ht="32">
      <c r="A193" s="46">
        <v>231624</v>
      </c>
      <c r="B193" s="46" t="s">
        <v>266</v>
      </c>
      <c r="C193" s="46" t="s">
        <v>285</v>
      </c>
      <c r="D193" s="46" t="s">
        <v>284</v>
      </c>
      <c r="E193" s="46">
        <v>1</v>
      </c>
      <c r="F193" s="46">
        <v>1</v>
      </c>
      <c r="G193" s="46">
        <v>141956</v>
      </c>
      <c r="H193" s="46">
        <v>0</v>
      </c>
      <c r="I193" s="46">
        <v>2</v>
      </c>
      <c r="J193" s="46">
        <v>2</v>
      </c>
      <c r="K193" s="46">
        <v>128864</v>
      </c>
      <c r="L193" s="46">
        <v>0</v>
      </c>
    </row>
    <row r="194" spans="1:12" ht="32">
      <c r="A194" s="46">
        <v>218964</v>
      </c>
      <c r="B194" s="46" t="s">
        <v>267</v>
      </c>
      <c r="C194" s="46" t="s">
        <v>285</v>
      </c>
      <c r="D194" s="46" t="s">
        <v>284</v>
      </c>
      <c r="E194" s="46">
        <v>1</v>
      </c>
      <c r="F194" s="46">
        <v>1</v>
      </c>
      <c r="G194" s="46">
        <v>41877</v>
      </c>
      <c r="H194" s="46">
        <v>0</v>
      </c>
      <c r="I194" s="46">
        <v>3</v>
      </c>
      <c r="J194" s="46">
        <v>2.76</v>
      </c>
      <c r="K194" s="46">
        <v>149601</v>
      </c>
      <c r="L194" s="46">
        <v>0</v>
      </c>
    </row>
    <row r="195" spans="1:12" ht="32">
      <c r="A195" s="46">
        <v>240444</v>
      </c>
      <c r="B195" s="46" t="s">
        <v>268</v>
      </c>
      <c r="C195" s="46" t="s">
        <v>285</v>
      </c>
      <c r="D195" s="46" t="s">
        <v>284</v>
      </c>
      <c r="E195" s="46">
        <v>1</v>
      </c>
      <c r="F195" s="46">
        <v>1</v>
      </c>
      <c r="G195" s="46">
        <v>447305</v>
      </c>
      <c r="H195" s="46">
        <v>0</v>
      </c>
      <c r="I195" s="46">
        <v>2</v>
      </c>
      <c r="J195" s="46">
        <v>2</v>
      </c>
      <c r="K195" s="46">
        <v>315670</v>
      </c>
      <c r="L195" s="46">
        <v>0</v>
      </c>
    </row>
    <row r="196" spans="1:12" ht="32">
      <c r="A196" s="46">
        <v>240277</v>
      </c>
      <c r="B196" s="46" t="s">
        <v>269</v>
      </c>
      <c r="C196" s="46" t="s">
        <v>285</v>
      </c>
      <c r="D196" s="46" t="s">
        <v>284</v>
      </c>
      <c r="E196" s="46">
        <v>1</v>
      </c>
      <c r="F196" s="46">
        <v>1</v>
      </c>
      <c r="G196" s="46">
        <v>88890</v>
      </c>
      <c r="H196" s="46">
        <v>0</v>
      </c>
      <c r="I196" s="46">
        <v>2</v>
      </c>
      <c r="J196" s="46">
        <v>1.4</v>
      </c>
      <c r="K196" s="46">
        <v>57073</v>
      </c>
      <c r="L196" s="46">
        <v>0</v>
      </c>
    </row>
    <row r="197" spans="1:12" ht="33" thickBot="1">
      <c r="A197" s="46">
        <v>240453</v>
      </c>
      <c r="B197" s="46" t="s">
        <v>270</v>
      </c>
      <c r="C197" s="46" t="s">
        <v>285</v>
      </c>
      <c r="D197" s="52" t="s">
        <v>284</v>
      </c>
      <c r="E197" s="52">
        <v>1</v>
      </c>
      <c r="F197" s="52">
        <v>1</v>
      </c>
      <c r="G197" s="52">
        <v>104696</v>
      </c>
      <c r="H197" s="52">
        <v>0</v>
      </c>
      <c r="I197" s="52">
        <v>2</v>
      </c>
      <c r="J197" s="52">
        <v>1.8</v>
      </c>
      <c r="K197" s="52">
        <v>105490</v>
      </c>
      <c r="L197" s="46">
        <v>0</v>
      </c>
    </row>
    <row r="198" spans="1:12" ht="33" thickBot="1">
      <c r="A198" s="46">
        <v>206604</v>
      </c>
      <c r="B198" s="46" t="s">
        <v>271</v>
      </c>
      <c r="C198" s="46" t="s">
        <v>285</v>
      </c>
      <c r="D198" s="52" t="s">
        <v>284</v>
      </c>
      <c r="E198" s="52">
        <v>1</v>
      </c>
      <c r="F198" s="52">
        <v>1</v>
      </c>
      <c r="G198" s="52">
        <v>74728</v>
      </c>
      <c r="H198" s="52">
        <v>0</v>
      </c>
      <c r="I198" s="52">
        <v>1</v>
      </c>
      <c r="J198" s="52">
        <v>1</v>
      </c>
      <c r="K198" s="52">
        <v>39011</v>
      </c>
      <c r="L198" s="46">
        <v>0</v>
      </c>
    </row>
    <row r="199" spans="1:12" ht="33" thickBot="1">
      <c r="A199" s="46">
        <v>240727</v>
      </c>
      <c r="B199" s="46" t="s">
        <v>272</v>
      </c>
      <c r="C199" s="46" t="s">
        <v>285</v>
      </c>
      <c r="D199" s="52" t="s">
        <v>284</v>
      </c>
      <c r="E199" s="52">
        <v>1</v>
      </c>
      <c r="F199" s="52">
        <v>1</v>
      </c>
      <c r="G199" s="52">
        <v>179067</v>
      </c>
      <c r="H199" s="52">
        <v>0</v>
      </c>
      <c r="I199" s="52">
        <v>2</v>
      </c>
      <c r="J199" s="52">
        <v>2</v>
      </c>
      <c r="K199" s="52">
        <v>186865</v>
      </c>
      <c r="L199" s="52">
        <v>16000</v>
      </c>
    </row>
    <row r="200" spans="1:12" ht="33" thickBot="1">
      <c r="A200" s="46">
        <v>206695</v>
      </c>
      <c r="B200" s="46" t="s">
        <v>273</v>
      </c>
      <c r="C200" s="46" t="s">
        <v>285</v>
      </c>
      <c r="D200" s="46" t="s">
        <v>284</v>
      </c>
      <c r="E200" s="46">
        <v>1</v>
      </c>
      <c r="F200" s="46">
        <v>1</v>
      </c>
      <c r="G200" s="46">
        <v>100780</v>
      </c>
      <c r="H200" s="52">
        <v>0</v>
      </c>
      <c r="I200" s="46">
        <v>2</v>
      </c>
      <c r="J200" s="46">
        <v>1</v>
      </c>
      <c r="K200" s="46">
        <v>61890</v>
      </c>
      <c r="L200" s="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B237-7BD8-DE45-9327-A3FE5855BEE3}">
  <dimension ref="A1:L194"/>
  <sheetViews>
    <sheetView workbookViewId="0">
      <selection activeCell="K23" sqref="K23"/>
    </sheetView>
  </sheetViews>
  <sheetFormatPr baseColWidth="10" defaultColWidth="8.83203125" defaultRowHeight="15"/>
  <cols>
    <col min="1" max="1" width="6.83203125" bestFit="1" customWidth="1"/>
    <col min="2" max="2" width="24.33203125" bestFit="1" customWidth="1"/>
    <col min="3" max="3" width="6.83203125" bestFit="1" customWidth="1"/>
    <col min="4" max="4" width="8.5" bestFit="1" customWidth="1"/>
    <col min="5" max="5" width="17.1640625" bestFit="1" customWidth="1"/>
    <col min="6" max="6" width="4.83203125" bestFit="1" customWidth="1"/>
    <col min="7" max="7" width="15.33203125" bestFit="1" customWidth="1"/>
    <col min="8" max="8" width="18.83203125" bestFit="1" customWidth="1"/>
    <col min="9" max="9" width="17.1640625" bestFit="1" customWidth="1"/>
    <col min="10" max="10" width="4.83203125" bestFit="1" customWidth="1"/>
    <col min="11" max="11" width="15.33203125" bestFit="1" customWidth="1"/>
    <col min="12" max="12" width="18.83203125" bestFit="1" customWidth="1"/>
  </cols>
  <sheetData>
    <row r="1" spans="1:12">
      <c r="A1" t="s">
        <v>46</v>
      </c>
      <c r="B1" t="s">
        <v>0</v>
      </c>
      <c r="C1" t="s">
        <v>292</v>
      </c>
      <c r="D1" t="s">
        <v>291</v>
      </c>
      <c r="E1" t="s">
        <v>290</v>
      </c>
      <c r="F1" t="s">
        <v>289</v>
      </c>
      <c r="G1" t="s">
        <v>288</v>
      </c>
      <c r="H1" t="s">
        <v>287</v>
      </c>
      <c r="I1" t="s">
        <v>290</v>
      </c>
      <c r="J1" t="s">
        <v>289</v>
      </c>
      <c r="K1" t="s">
        <v>288</v>
      </c>
      <c r="L1" t="s">
        <v>287</v>
      </c>
    </row>
    <row r="2" spans="1:12">
      <c r="A2">
        <v>200800</v>
      </c>
      <c r="B2" t="s">
        <v>48</v>
      </c>
      <c r="C2" t="s">
        <v>285</v>
      </c>
      <c r="D2" t="s">
        <v>284</v>
      </c>
      <c r="E2">
        <v>1</v>
      </c>
      <c r="F2">
        <v>1</v>
      </c>
      <c r="G2">
        <v>131435</v>
      </c>
      <c r="H2">
        <v>0</v>
      </c>
      <c r="I2">
        <v>2</v>
      </c>
      <c r="J2">
        <v>2</v>
      </c>
      <c r="K2">
        <v>99715</v>
      </c>
      <c r="L2">
        <v>0</v>
      </c>
    </row>
    <row r="3" spans="1:12">
      <c r="A3">
        <v>100751</v>
      </c>
      <c r="B3" t="s">
        <v>49</v>
      </c>
      <c r="C3" t="s">
        <v>285</v>
      </c>
      <c r="D3" t="s">
        <v>284</v>
      </c>
      <c r="E3">
        <v>1</v>
      </c>
      <c r="F3">
        <v>1</v>
      </c>
      <c r="G3">
        <v>241839</v>
      </c>
      <c r="H3">
        <v>0</v>
      </c>
      <c r="I3">
        <v>2</v>
      </c>
      <c r="J3">
        <v>2</v>
      </c>
      <c r="K3">
        <v>219860</v>
      </c>
      <c r="L3">
        <v>0</v>
      </c>
    </row>
    <row r="4" spans="1:12">
      <c r="A4">
        <v>196060</v>
      </c>
      <c r="B4" t="s">
        <v>52</v>
      </c>
      <c r="C4" t="s">
        <v>285</v>
      </c>
      <c r="D4" t="s">
        <v>284</v>
      </c>
      <c r="E4">
        <v>1</v>
      </c>
      <c r="F4">
        <v>0.92</v>
      </c>
      <c r="G4">
        <v>104330</v>
      </c>
      <c r="H4">
        <v>0</v>
      </c>
      <c r="I4">
        <v>2</v>
      </c>
      <c r="J4">
        <v>1.5</v>
      </c>
      <c r="K4">
        <v>125056</v>
      </c>
      <c r="L4">
        <v>0</v>
      </c>
    </row>
    <row r="5" spans="1:12">
      <c r="A5">
        <v>197869</v>
      </c>
      <c r="B5" t="s">
        <v>54</v>
      </c>
      <c r="C5" t="s">
        <v>285</v>
      </c>
      <c r="D5" t="s">
        <v>284</v>
      </c>
      <c r="E5">
        <v>1</v>
      </c>
      <c r="F5">
        <v>1</v>
      </c>
      <c r="G5">
        <v>113798</v>
      </c>
      <c r="H5">
        <v>0</v>
      </c>
      <c r="I5">
        <v>2</v>
      </c>
      <c r="J5">
        <v>2</v>
      </c>
      <c r="K5">
        <v>121554</v>
      </c>
      <c r="L5">
        <v>0</v>
      </c>
    </row>
    <row r="6" spans="1:12">
      <c r="A6">
        <v>104179</v>
      </c>
      <c r="B6" t="s">
        <v>55</v>
      </c>
      <c r="C6" t="s">
        <v>285</v>
      </c>
      <c r="D6" t="s">
        <v>284</v>
      </c>
      <c r="E6">
        <v>1</v>
      </c>
      <c r="F6">
        <v>1</v>
      </c>
      <c r="G6">
        <v>200474</v>
      </c>
      <c r="H6">
        <v>26700</v>
      </c>
      <c r="I6">
        <v>2</v>
      </c>
      <c r="J6">
        <v>2</v>
      </c>
      <c r="K6">
        <v>201786</v>
      </c>
      <c r="L6">
        <v>0</v>
      </c>
    </row>
    <row r="7" spans="1:12">
      <c r="A7">
        <v>104151</v>
      </c>
      <c r="B7" t="s">
        <v>56</v>
      </c>
      <c r="C7" t="s">
        <v>285</v>
      </c>
      <c r="D7" t="s">
        <v>284</v>
      </c>
      <c r="E7">
        <v>1</v>
      </c>
      <c r="F7">
        <v>1</v>
      </c>
      <c r="G7">
        <v>170136</v>
      </c>
      <c r="H7">
        <v>0</v>
      </c>
      <c r="I7">
        <v>2</v>
      </c>
      <c r="J7">
        <v>2</v>
      </c>
      <c r="K7">
        <v>165590</v>
      </c>
      <c r="L7">
        <v>0</v>
      </c>
    </row>
    <row r="8" spans="1:12">
      <c r="A8">
        <v>106397</v>
      </c>
      <c r="B8" t="s">
        <v>57</v>
      </c>
      <c r="C8" t="s">
        <v>285</v>
      </c>
      <c r="D8" t="s">
        <v>284</v>
      </c>
      <c r="E8">
        <v>1</v>
      </c>
      <c r="F8">
        <v>1</v>
      </c>
      <c r="G8">
        <v>245671</v>
      </c>
      <c r="H8">
        <v>0</v>
      </c>
      <c r="I8">
        <v>2</v>
      </c>
      <c r="J8">
        <v>2</v>
      </c>
      <c r="K8">
        <v>166899</v>
      </c>
      <c r="L8">
        <v>0</v>
      </c>
    </row>
    <row r="9" spans="1:12">
      <c r="A9">
        <v>106245</v>
      </c>
      <c r="B9" t="s">
        <v>58</v>
      </c>
      <c r="C9" t="s">
        <v>285</v>
      </c>
      <c r="D9" t="s">
        <v>284</v>
      </c>
      <c r="E9">
        <v>1</v>
      </c>
      <c r="F9">
        <v>1</v>
      </c>
      <c r="G9">
        <v>83688</v>
      </c>
      <c r="H9">
        <v>8656</v>
      </c>
      <c r="I9">
        <v>2</v>
      </c>
      <c r="J9">
        <v>1.5</v>
      </c>
      <c r="K9">
        <v>74723</v>
      </c>
      <c r="L9">
        <v>1062</v>
      </c>
    </row>
    <row r="10" spans="1:12">
      <c r="A10">
        <v>106412</v>
      </c>
      <c r="B10" t="s">
        <v>59</v>
      </c>
      <c r="C10" t="s">
        <v>285</v>
      </c>
      <c r="D10" t="s">
        <v>284</v>
      </c>
      <c r="E10">
        <v>1</v>
      </c>
      <c r="F10">
        <v>1</v>
      </c>
      <c r="G10">
        <v>57713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106458</v>
      </c>
      <c r="B11" t="s">
        <v>60</v>
      </c>
      <c r="C11" t="s">
        <v>285</v>
      </c>
      <c r="D11" t="s">
        <v>284</v>
      </c>
      <c r="E11">
        <v>1</v>
      </c>
      <c r="F11">
        <v>1</v>
      </c>
      <c r="G11">
        <v>93305</v>
      </c>
      <c r="H11">
        <v>3083</v>
      </c>
      <c r="I11">
        <v>1</v>
      </c>
      <c r="J11">
        <v>1</v>
      </c>
      <c r="K11">
        <v>47697</v>
      </c>
      <c r="L11">
        <v>3750</v>
      </c>
    </row>
    <row r="12" spans="1:12">
      <c r="A12">
        <v>100858</v>
      </c>
      <c r="B12" t="s">
        <v>62</v>
      </c>
      <c r="C12" t="s">
        <v>285</v>
      </c>
      <c r="D12" t="s">
        <v>284</v>
      </c>
      <c r="E12">
        <v>1</v>
      </c>
      <c r="F12">
        <v>1</v>
      </c>
      <c r="G12">
        <v>179782</v>
      </c>
      <c r="H12">
        <v>0</v>
      </c>
      <c r="I12">
        <v>2</v>
      </c>
      <c r="J12">
        <v>2</v>
      </c>
      <c r="K12">
        <v>191080</v>
      </c>
      <c r="L12">
        <v>0</v>
      </c>
    </row>
    <row r="13" spans="1:12">
      <c r="A13">
        <v>219602</v>
      </c>
      <c r="B13" t="s">
        <v>63</v>
      </c>
      <c r="C13" t="s">
        <v>285</v>
      </c>
      <c r="D13" t="s">
        <v>284</v>
      </c>
      <c r="E13">
        <v>1</v>
      </c>
      <c r="F13">
        <v>0.75</v>
      </c>
      <c r="G13">
        <v>84718</v>
      </c>
      <c r="H13">
        <v>0</v>
      </c>
      <c r="I13">
        <v>2</v>
      </c>
      <c r="J13">
        <v>1.5</v>
      </c>
      <c r="K13">
        <v>60961</v>
      </c>
      <c r="L13">
        <v>0</v>
      </c>
    </row>
    <row r="14" spans="1:12">
      <c r="A14">
        <v>150136</v>
      </c>
      <c r="B14" t="s">
        <v>64</v>
      </c>
      <c r="C14" t="s">
        <v>285</v>
      </c>
      <c r="D14" t="s">
        <v>284</v>
      </c>
      <c r="E14">
        <v>1</v>
      </c>
      <c r="F14">
        <v>1</v>
      </c>
      <c r="G14">
        <v>115170</v>
      </c>
      <c r="H14">
        <v>0</v>
      </c>
      <c r="I14">
        <v>2</v>
      </c>
      <c r="J14">
        <v>2</v>
      </c>
      <c r="K14">
        <v>137232</v>
      </c>
      <c r="L14">
        <v>0</v>
      </c>
    </row>
    <row r="15" spans="1:12">
      <c r="A15">
        <v>196079</v>
      </c>
      <c r="B15" t="s">
        <v>65</v>
      </c>
      <c r="C15" t="s">
        <v>285</v>
      </c>
      <c r="D15" t="s">
        <v>284</v>
      </c>
      <c r="E15">
        <v>1</v>
      </c>
      <c r="F15">
        <v>1</v>
      </c>
      <c r="G15">
        <v>165151</v>
      </c>
      <c r="H15">
        <v>0</v>
      </c>
      <c r="I15">
        <v>1</v>
      </c>
      <c r="J15">
        <v>1</v>
      </c>
      <c r="K15">
        <v>71897</v>
      </c>
      <c r="L15">
        <v>0</v>
      </c>
    </row>
    <row r="16" spans="1:12">
      <c r="A16">
        <v>142115</v>
      </c>
      <c r="B16" t="s">
        <v>66</v>
      </c>
      <c r="C16" t="s">
        <v>285</v>
      </c>
      <c r="D16" t="s">
        <v>284</v>
      </c>
      <c r="E16">
        <v>1</v>
      </c>
      <c r="F16">
        <v>1</v>
      </c>
      <c r="G16">
        <v>175610</v>
      </c>
      <c r="H16">
        <v>0</v>
      </c>
      <c r="I16">
        <v>2</v>
      </c>
      <c r="J16">
        <v>1.5</v>
      </c>
      <c r="K16">
        <v>136294</v>
      </c>
      <c r="L16">
        <v>0</v>
      </c>
    </row>
    <row r="17" spans="1:12">
      <c r="A17">
        <v>201441</v>
      </c>
      <c r="B17" t="s">
        <v>67</v>
      </c>
      <c r="C17" t="s">
        <v>285</v>
      </c>
      <c r="D17" t="s">
        <v>284</v>
      </c>
      <c r="E17">
        <v>1</v>
      </c>
      <c r="F17">
        <v>1</v>
      </c>
      <c r="G17">
        <v>139781</v>
      </c>
      <c r="H17">
        <v>0</v>
      </c>
      <c r="I17">
        <v>2</v>
      </c>
      <c r="J17">
        <v>2</v>
      </c>
      <c r="K17">
        <v>118293</v>
      </c>
      <c r="L17">
        <v>0</v>
      </c>
    </row>
    <row r="18" spans="1:12">
      <c r="A18">
        <v>196088</v>
      </c>
      <c r="B18" t="s">
        <v>68</v>
      </c>
      <c r="C18" t="s">
        <v>285</v>
      </c>
      <c r="D18" t="s">
        <v>284</v>
      </c>
      <c r="E18">
        <v>1</v>
      </c>
      <c r="F18">
        <v>1</v>
      </c>
      <c r="G18">
        <v>141981</v>
      </c>
      <c r="H18">
        <v>0</v>
      </c>
      <c r="I18">
        <v>2</v>
      </c>
      <c r="J18">
        <v>2</v>
      </c>
      <c r="K18">
        <v>130080</v>
      </c>
      <c r="L18">
        <v>4817</v>
      </c>
    </row>
    <row r="19" spans="1:12">
      <c r="A19">
        <v>110422</v>
      </c>
      <c r="B19" t="s">
        <v>69</v>
      </c>
      <c r="C19" t="s">
        <v>285</v>
      </c>
      <c r="D19" t="s">
        <v>284</v>
      </c>
      <c r="E19">
        <v>1</v>
      </c>
      <c r="F19">
        <v>1</v>
      </c>
      <c r="G19">
        <v>254051</v>
      </c>
      <c r="H19">
        <v>0</v>
      </c>
      <c r="I19">
        <v>3</v>
      </c>
      <c r="J19">
        <v>1</v>
      </c>
      <c r="K19">
        <v>219553</v>
      </c>
      <c r="L19">
        <v>0</v>
      </c>
    </row>
    <row r="20" spans="1:12">
      <c r="A20">
        <v>110486</v>
      </c>
      <c r="B20" t="s">
        <v>70</v>
      </c>
      <c r="C20" t="s">
        <v>285</v>
      </c>
      <c r="D20" t="s">
        <v>284</v>
      </c>
      <c r="E20">
        <v>1</v>
      </c>
      <c r="F20">
        <v>1</v>
      </c>
      <c r="G20">
        <v>156653</v>
      </c>
      <c r="H20">
        <v>0</v>
      </c>
      <c r="I20">
        <v>2</v>
      </c>
      <c r="J20">
        <v>1.5</v>
      </c>
      <c r="K20">
        <v>135593</v>
      </c>
      <c r="L20">
        <v>0</v>
      </c>
    </row>
    <row r="21" spans="1:12">
      <c r="A21">
        <v>110565</v>
      </c>
      <c r="B21" t="s">
        <v>71</v>
      </c>
      <c r="C21" t="s">
        <v>285</v>
      </c>
      <c r="D21" t="s">
        <v>284</v>
      </c>
      <c r="E21">
        <v>1</v>
      </c>
      <c r="F21">
        <v>1</v>
      </c>
      <c r="G21">
        <v>152687</v>
      </c>
      <c r="H21">
        <v>0</v>
      </c>
      <c r="I21">
        <v>2</v>
      </c>
      <c r="J21">
        <v>2</v>
      </c>
      <c r="K21">
        <v>185835</v>
      </c>
      <c r="L21">
        <v>0</v>
      </c>
    </row>
    <row r="22" spans="1:12">
      <c r="A22">
        <v>110608</v>
      </c>
      <c r="B22" t="s">
        <v>72</v>
      </c>
      <c r="C22" t="s">
        <v>285</v>
      </c>
      <c r="D22" t="s">
        <v>284</v>
      </c>
      <c r="E22">
        <v>1</v>
      </c>
      <c r="F22">
        <v>1</v>
      </c>
      <c r="G22">
        <v>195626</v>
      </c>
      <c r="H22">
        <v>0</v>
      </c>
      <c r="I22">
        <v>2</v>
      </c>
      <c r="J22">
        <v>1.4</v>
      </c>
      <c r="K22">
        <v>146199</v>
      </c>
      <c r="L22">
        <v>0</v>
      </c>
    </row>
    <row r="23" spans="1:12">
      <c r="A23">
        <v>110635</v>
      </c>
      <c r="B23" t="s">
        <v>73</v>
      </c>
      <c r="C23" t="s">
        <v>285</v>
      </c>
      <c r="D23" t="s">
        <v>284</v>
      </c>
      <c r="E23">
        <v>1</v>
      </c>
      <c r="F23">
        <v>1</v>
      </c>
      <c r="G23">
        <v>267689</v>
      </c>
      <c r="H23">
        <v>0</v>
      </c>
      <c r="I23">
        <v>2</v>
      </c>
      <c r="J23">
        <v>2</v>
      </c>
      <c r="K23">
        <v>243823</v>
      </c>
      <c r="L23">
        <v>0</v>
      </c>
    </row>
    <row r="24" spans="1:12">
      <c r="A24">
        <v>106704</v>
      </c>
      <c r="B24" t="s">
        <v>74</v>
      </c>
      <c r="C24" t="s">
        <v>285</v>
      </c>
      <c r="D24" t="s">
        <v>284</v>
      </c>
      <c r="E24">
        <v>1</v>
      </c>
      <c r="F24">
        <v>0.81</v>
      </c>
      <c r="G24">
        <v>79396</v>
      </c>
      <c r="H24">
        <v>0</v>
      </c>
      <c r="I24">
        <v>2</v>
      </c>
      <c r="J24">
        <v>2</v>
      </c>
      <c r="K24">
        <v>102840</v>
      </c>
      <c r="L24">
        <v>20000</v>
      </c>
    </row>
    <row r="25" spans="1:12">
      <c r="A25">
        <v>128771</v>
      </c>
      <c r="B25" t="s">
        <v>75</v>
      </c>
      <c r="C25" t="s">
        <v>285</v>
      </c>
      <c r="D25" t="s">
        <v>284</v>
      </c>
      <c r="E25">
        <v>1</v>
      </c>
      <c r="F25">
        <v>1</v>
      </c>
      <c r="G25">
        <v>243972</v>
      </c>
      <c r="H25">
        <v>0</v>
      </c>
      <c r="I25">
        <v>2</v>
      </c>
      <c r="J25">
        <v>1</v>
      </c>
      <c r="K25">
        <v>86744</v>
      </c>
      <c r="L25">
        <v>0</v>
      </c>
    </row>
    <row r="26" spans="1:12">
      <c r="A26">
        <v>169248</v>
      </c>
      <c r="B26" t="s">
        <v>76</v>
      </c>
      <c r="C26" t="s">
        <v>285</v>
      </c>
      <c r="D26" t="s">
        <v>284</v>
      </c>
      <c r="E26">
        <v>1</v>
      </c>
      <c r="F26">
        <v>1</v>
      </c>
      <c r="G26">
        <v>138547</v>
      </c>
      <c r="H26">
        <v>0</v>
      </c>
      <c r="I26">
        <v>2</v>
      </c>
      <c r="J26">
        <v>2</v>
      </c>
      <c r="K26">
        <v>131713</v>
      </c>
      <c r="L26">
        <v>0</v>
      </c>
    </row>
    <row r="27" spans="1:12">
      <c r="A27">
        <v>199139</v>
      </c>
      <c r="B27" t="s">
        <v>77</v>
      </c>
      <c r="C27" t="s">
        <v>285</v>
      </c>
      <c r="D27" t="s">
        <v>284</v>
      </c>
      <c r="E27">
        <v>1</v>
      </c>
      <c r="F27">
        <v>1</v>
      </c>
      <c r="G27">
        <v>99536</v>
      </c>
      <c r="H27">
        <v>0</v>
      </c>
      <c r="I27">
        <v>2</v>
      </c>
      <c r="J27">
        <v>2</v>
      </c>
      <c r="K27">
        <v>119723</v>
      </c>
      <c r="L27">
        <v>0</v>
      </c>
    </row>
    <row r="28" spans="1:12">
      <c r="A28">
        <v>144005</v>
      </c>
      <c r="B28" t="s">
        <v>78</v>
      </c>
      <c r="C28" t="s">
        <v>285</v>
      </c>
      <c r="D28" t="s">
        <v>284</v>
      </c>
      <c r="E28">
        <v>1</v>
      </c>
      <c r="F28">
        <v>1</v>
      </c>
      <c r="G28">
        <v>68520</v>
      </c>
      <c r="H28">
        <v>0</v>
      </c>
      <c r="I28">
        <v>1</v>
      </c>
      <c r="J28">
        <v>1</v>
      </c>
      <c r="K28">
        <v>41615</v>
      </c>
      <c r="L28">
        <v>0</v>
      </c>
    </row>
    <row r="29" spans="1:12">
      <c r="A29">
        <v>201885</v>
      </c>
      <c r="B29" t="s">
        <v>79</v>
      </c>
      <c r="C29" t="s">
        <v>285</v>
      </c>
      <c r="D29" t="s">
        <v>284</v>
      </c>
      <c r="E29">
        <v>1</v>
      </c>
      <c r="F29">
        <v>1</v>
      </c>
      <c r="G29">
        <v>186960</v>
      </c>
      <c r="H29">
        <v>0</v>
      </c>
      <c r="I29">
        <v>2</v>
      </c>
      <c r="J29">
        <v>2</v>
      </c>
      <c r="K29">
        <v>178826</v>
      </c>
      <c r="L29">
        <v>0</v>
      </c>
    </row>
    <row r="30" spans="1:12">
      <c r="A30">
        <v>217882</v>
      </c>
      <c r="B30" t="s">
        <v>81</v>
      </c>
      <c r="C30" t="s">
        <v>285</v>
      </c>
      <c r="D30" t="s">
        <v>284</v>
      </c>
      <c r="E30">
        <v>1</v>
      </c>
      <c r="F30">
        <v>1</v>
      </c>
      <c r="G30">
        <v>208120</v>
      </c>
      <c r="H30">
        <v>0</v>
      </c>
      <c r="I30">
        <v>2</v>
      </c>
      <c r="J30">
        <v>2</v>
      </c>
      <c r="K30">
        <v>235420</v>
      </c>
      <c r="L30">
        <v>0</v>
      </c>
    </row>
    <row r="31" spans="1:12">
      <c r="A31">
        <v>202134</v>
      </c>
      <c r="B31" t="s">
        <v>82</v>
      </c>
      <c r="C31" t="s">
        <v>285</v>
      </c>
      <c r="D31" t="s">
        <v>284</v>
      </c>
      <c r="E31">
        <v>1</v>
      </c>
      <c r="F31">
        <v>1</v>
      </c>
      <c r="G31">
        <v>112551</v>
      </c>
      <c r="H31">
        <v>0</v>
      </c>
      <c r="I31">
        <v>2</v>
      </c>
      <c r="J31">
        <v>2</v>
      </c>
      <c r="K31">
        <v>86400</v>
      </c>
      <c r="L31">
        <v>0</v>
      </c>
    </row>
    <row r="32" spans="1:12">
      <c r="A32">
        <v>218724</v>
      </c>
      <c r="B32" t="s">
        <v>83</v>
      </c>
      <c r="C32" t="s">
        <v>285</v>
      </c>
      <c r="D32" t="s">
        <v>284</v>
      </c>
      <c r="E32">
        <v>1</v>
      </c>
      <c r="F32">
        <v>1</v>
      </c>
      <c r="G32">
        <v>121415</v>
      </c>
      <c r="H32">
        <v>0</v>
      </c>
      <c r="I32">
        <v>2</v>
      </c>
      <c r="J32">
        <v>1.67</v>
      </c>
      <c r="K32">
        <v>104513</v>
      </c>
      <c r="L32">
        <v>0</v>
      </c>
    </row>
    <row r="33" spans="1:12">
      <c r="A33">
        <v>217819</v>
      </c>
      <c r="B33" t="s">
        <v>84</v>
      </c>
      <c r="C33" t="s">
        <v>285</v>
      </c>
      <c r="D33" t="s">
        <v>284</v>
      </c>
      <c r="E33">
        <v>1</v>
      </c>
      <c r="F33">
        <v>0.62</v>
      </c>
      <c r="G33">
        <v>94990</v>
      </c>
      <c r="H33">
        <v>0</v>
      </c>
      <c r="I33">
        <v>2</v>
      </c>
      <c r="J33">
        <v>1.61</v>
      </c>
      <c r="K33">
        <v>86085</v>
      </c>
      <c r="L33">
        <v>0</v>
      </c>
    </row>
    <row r="34" spans="1:12">
      <c r="A34">
        <v>126614</v>
      </c>
      <c r="B34" t="s">
        <v>85</v>
      </c>
      <c r="C34" t="s">
        <v>285</v>
      </c>
      <c r="D34" t="s">
        <v>284</v>
      </c>
      <c r="E34">
        <v>1</v>
      </c>
      <c r="F34">
        <v>1</v>
      </c>
      <c r="G34">
        <v>270392</v>
      </c>
      <c r="H34">
        <v>0</v>
      </c>
      <c r="I34">
        <v>2</v>
      </c>
      <c r="J34">
        <v>2</v>
      </c>
      <c r="K34">
        <v>283817</v>
      </c>
      <c r="L34">
        <v>0</v>
      </c>
    </row>
    <row r="35" spans="1:12">
      <c r="A35">
        <v>126818</v>
      </c>
      <c r="B35" t="s">
        <v>86</v>
      </c>
      <c r="C35" t="s">
        <v>285</v>
      </c>
      <c r="D35" t="s">
        <v>284</v>
      </c>
      <c r="E35">
        <v>1</v>
      </c>
      <c r="F35">
        <v>1</v>
      </c>
      <c r="G35">
        <v>327190</v>
      </c>
      <c r="H35">
        <v>0</v>
      </c>
      <c r="I35">
        <v>2</v>
      </c>
      <c r="J35">
        <v>2</v>
      </c>
      <c r="K35">
        <v>213336</v>
      </c>
      <c r="L35">
        <v>0</v>
      </c>
    </row>
    <row r="36" spans="1:12">
      <c r="A36">
        <v>129020</v>
      </c>
      <c r="B36" t="s">
        <v>87</v>
      </c>
      <c r="C36" t="s">
        <v>285</v>
      </c>
      <c r="D36" t="s">
        <v>284</v>
      </c>
      <c r="E36">
        <v>1</v>
      </c>
      <c r="F36">
        <v>1</v>
      </c>
      <c r="G36">
        <v>87054</v>
      </c>
      <c r="H36">
        <v>0</v>
      </c>
      <c r="I36">
        <v>2</v>
      </c>
      <c r="J36">
        <v>2</v>
      </c>
      <c r="K36">
        <v>186229</v>
      </c>
      <c r="L36">
        <v>0</v>
      </c>
    </row>
    <row r="37" spans="1:12">
      <c r="A37">
        <v>162283</v>
      </c>
      <c r="B37" t="s">
        <v>88</v>
      </c>
      <c r="C37" t="s">
        <v>285</v>
      </c>
      <c r="D37" t="s">
        <v>284</v>
      </c>
      <c r="E37">
        <v>1</v>
      </c>
      <c r="F37">
        <v>1</v>
      </c>
      <c r="G37">
        <v>100229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198464</v>
      </c>
      <c r="B38" t="s">
        <v>89</v>
      </c>
      <c r="C38" t="s">
        <v>285</v>
      </c>
      <c r="D38" t="s">
        <v>284</v>
      </c>
      <c r="E38">
        <v>1</v>
      </c>
      <c r="F38">
        <v>1</v>
      </c>
      <c r="G38">
        <v>138686</v>
      </c>
      <c r="H38">
        <v>0</v>
      </c>
      <c r="I38">
        <v>2</v>
      </c>
      <c r="J38">
        <v>2</v>
      </c>
      <c r="K38">
        <v>110384</v>
      </c>
      <c r="L38">
        <v>0</v>
      </c>
    </row>
    <row r="39" spans="1:12">
      <c r="A39">
        <v>144892</v>
      </c>
      <c r="B39" t="s">
        <v>91</v>
      </c>
      <c r="C39" t="s">
        <v>285</v>
      </c>
      <c r="D39" t="s">
        <v>284</v>
      </c>
      <c r="E39">
        <v>1</v>
      </c>
      <c r="F39">
        <v>1</v>
      </c>
      <c r="G39">
        <v>88391</v>
      </c>
      <c r="H39">
        <v>0</v>
      </c>
      <c r="I39">
        <v>1</v>
      </c>
      <c r="J39">
        <v>1</v>
      </c>
      <c r="K39">
        <v>54465</v>
      </c>
      <c r="L39">
        <v>0</v>
      </c>
    </row>
    <row r="40" spans="1:12">
      <c r="A40">
        <v>156620</v>
      </c>
      <c r="B40" t="s">
        <v>92</v>
      </c>
      <c r="C40" t="s">
        <v>285</v>
      </c>
      <c r="D40" t="s">
        <v>284</v>
      </c>
      <c r="E40">
        <v>1</v>
      </c>
      <c r="F40">
        <v>0.92</v>
      </c>
      <c r="G40">
        <v>93343</v>
      </c>
      <c r="H40">
        <v>0</v>
      </c>
      <c r="I40">
        <v>2</v>
      </c>
      <c r="J40">
        <v>2</v>
      </c>
      <c r="K40">
        <v>67431</v>
      </c>
      <c r="L40">
        <v>0</v>
      </c>
    </row>
    <row r="41" spans="1:12">
      <c r="A41">
        <v>169798</v>
      </c>
      <c r="B41" t="s">
        <v>93</v>
      </c>
      <c r="C41" t="s">
        <v>285</v>
      </c>
      <c r="D41" t="s">
        <v>284</v>
      </c>
      <c r="E41">
        <v>1</v>
      </c>
      <c r="F41">
        <v>1</v>
      </c>
      <c r="G41">
        <v>108362</v>
      </c>
      <c r="H41">
        <v>0</v>
      </c>
      <c r="I41">
        <v>2</v>
      </c>
      <c r="J41">
        <v>2</v>
      </c>
      <c r="K41">
        <v>112734</v>
      </c>
      <c r="L41">
        <v>0</v>
      </c>
    </row>
    <row r="42" spans="1:12">
      <c r="A42">
        <v>235097</v>
      </c>
      <c r="B42" t="s">
        <v>94</v>
      </c>
      <c r="C42" t="s">
        <v>285</v>
      </c>
      <c r="D42" t="s">
        <v>284</v>
      </c>
      <c r="E42">
        <v>1</v>
      </c>
      <c r="F42">
        <v>1</v>
      </c>
      <c r="G42">
        <v>103886</v>
      </c>
      <c r="H42">
        <v>0</v>
      </c>
      <c r="I42">
        <v>2</v>
      </c>
      <c r="J42">
        <v>2</v>
      </c>
      <c r="K42">
        <v>81091</v>
      </c>
      <c r="L42">
        <v>0</v>
      </c>
    </row>
    <row r="43" spans="1:12">
      <c r="A43">
        <v>134130</v>
      </c>
      <c r="B43" t="s">
        <v>95</v>
      </c>
      <c r="C43" t="s">
        <v>285</v>
      </c>
      <c r="D43" t="s">
        <v>284</v>
      </c>
      <c r="E43">
        <v>1</v>
      </c>
      <c r="F43">
        <v>1</v>
      </c>
      <c r="G43">
        <v>451989</v>
      </c>
      <c r="H43">
        <v>0</v>
      </c>
      <c r="I43">
        <v>2</v>
      </c>
      <c r="J43">
        <v>2</v>
      </c>
      <c r="K43">
        <v>378136</v>
      </c>
      <c r="L43">
        <v>0</v>
      </c>
    </row>
    <row r="44" spans="1:12">
      <c r="A44">
        <v>133669</v>
      </c>
      <c r="B44" t="s">
        <v>96</v>
      </c>
      <c r="C44" t="s">
        <v>285</v>
      </c>
      <c r="D44" t="s">
        <v>284</v>
      </c>
      <c r="E44">
        <v>1</v>
      </c>
      <c r="F44">
        <v>1</v>
      </c>
      <c r="G44">
        <v>118802</v>
      </c>
      <c r="H44">
        <v>0</v>
      </c>
      <c r="I44">
        <v>2</v>
      </c>
      <c r="J44">
        <v>2</v>
      </c>
      <c r="K44">
        <v>114673</v>
      </c>
      <c r="L44">
        <v>0</v>
      </c>
    </row>
    <row r="45" spans="1:12">
      <c r="A45">
        <v>433660</v>
      </c>
      <c r="B45" t="s">
        <v>97</v>
      </c>
      <c r="C45" t="s">
        <v>285</v>
      </c>
      <c r="D45" t="s">
        <v>284</v>
      </c>
      <c r="E45">
        <v>1</v>
      </c>
      <c r="F45">
        <v>1</v>
      </c>
      <c r="G45">
        <v>137813</v>
      </c>
      <c r="H45">
        <v>0</v>
      </c>
      <c r="I45">
        <v>2</v>
      </c>
      <c r="J45">
        <v>2</v>
      </c>
      <c r="K45">
        <v>110248</v>
      </c>
      <c r="L45">
        <v>0</v>
      </c>
    </row>
    <row r="46" spans="1:12">
      <c r="A46">
        <v>133951</v>
      </c>
      <c r="B46" t="s">
        <v>98</v>
      </c>
      <c r="C46" t="s">
        <v>285</v>
      </c>
      <c r="D46" t="s">
        <v>284</v>
      </c>
      <c r="E46">
        <v>1</v>
      </c>
      <c r="F46">
        <v>0.5</v>
      </c>
      <c r="G46">
        <v>62912</v>
      </c>
      <c r="H46">
        <v>0</v>
      </c>
      <c r="I46">
        <v>1</v>
      </c>
      <c r="J46">
        <v>1</v>
      </c>
      <c r="K46">
        <v>94081</v>
      </c>
      <c r="L46">
        <v>0</v>
      </c>
    </row>
    <row r="47" spans="1:12">
      <c r="A47">
        <v>134097</v>
      </c>
      <c r="B47" t="s">
        <v>99</v>
      </c>
      <c r="C47" t="s">
        <v>285</v>
      </c>
      <c r="D47" t="s">
        <v>284</v>
      </c>
      <c r="E47">
        <v>1</v>
      </c>
      <c r="F47">
        <v>1</v>
      </c>
      <c r="G47">
        <v>240595</v>
      </c>
      <c r="H47">
        <v>0</v>
      </c>
      <c r="I47">
        <v>2</v>
      </c>
      <c r="J47">
        <v>2</v>
      </c>
      <c r="K47">
        <v>209657</v>
      </c>
      <c r="L47">
        <v>0</v>
      </c>
    </row>
    <row r="48" spans="1:12">
      <c r="A48">
        <v>110556</v>
      </c>
      <c r="B48" t="s">
        <v>100</v>
      </c>
      <c r="C48" t="s">
        <v>285</v>
      </c>
      <c r="D48" t="s">
        <v>284</v>
      </c>
      <c r="E48">
        <v>1</v>
      </c>
      <c r="F48">
        <v>1</v>
      </c>
      <c r="G48">
        <v>216022</v>
      </c>
      <c r="H48">
        <v>600</v>
      </c>
      <c r="I48">
        <v>2</v>
      </c>
      <c r="J48">
        <v>2</v>
      </c>
      <c r="K48">
        <v>182185</v>
      </c>
      <c r="L48">
        <v>245</v>
      </c>
    </row>
    <row r="49" spans="1:12">
      <c r="A49">
        <v>139959</v>
      </c>
      <c r="B49" t="s">
        <v>102</v>
      </c>
      <c r="C49" t="s">
        <v>285</v>
      </c>
      <c r="D49" t="s">
        <v>284</v>
      </c>
      <c r="E49">
        <v>1</v>
      </c>
      <c r="F49">
        <v>1</v>
      </c>
      <c r="G49">
        <v>252700</v>
      </c>
      <c r="H49">
        <v>0</v>
      </c>
      <c r="I49">
        <v>2</v>
      </c>
      <c r="J49">
        <v>2</v>
      </c>
      <c r="K49">
        <v>184599</v>
      </c>
      <c r="L49">
        <v>0</v>
      </c>
    </row>
    <row r="50" spans="1:12">
      <c r="A50">
        <v>139931</v>
      </c>
      <c r="B50" t="s">
        <v>103</v>
      </c>
      <c r="C50" t="s">
        <v>285</v>
      </c>
      <c r="D50" t="s">
        <v>284</v>
      </c>
      <c r="E50">
        <v>1</v>
      </c>
      <c r="F50">
        <v>1</v>
      </c>
      <c r="G50">
        <v>99909</v>
      </c>
      <c r="H50">
        <v>0</v>
      </c>
      <c r="I50">
        <v>2</v>
      </c>
      <c r="J50">
        <v>2</v>
      </c>
      <c r="K50">
        <v>92862</v>
      </c>
      <c r="L50">
        <v>0</v>
      </c>
    </row>
    <row r="51" spans="1:12">
      <c r="A51">
        <v>139940</v>
      </c>
      <c r="B51" t="s">
        <v>104</v>
      </c>
      <c r="C51" t="s">
        <v>285</v>
      </c>
      <c r="D51" t="s">
        <v>284</v>
      </c>
      <c r="E51">
        <v>1</v>
      </c>
      <c r="F51">
        <v>1</v>
      </c>
      <c r="G51">
        <v>128776</v>
      </c>
      <c r="H51">
        <v>0</v>
      </c>
      <c r="I51">
        <v>2</v>
      </c>
      <c r="J51">
        <v>2</v>
      </c>
      <c r="K51">
        <v>89786</v>
      </c>
      <c r="L51">
        <v>0</v>
      </c>
    </row>
    <row r="52" spans="1:12">
      <c r="A52">
        <v>139755</v>
      </c>
      <c r="B52" t="s">
        <v>105</v>
      </c>
      <c r="C52" t="s">
        <v>285</v>
      </c>
      <c r="D52" t="s">
        <v>284</v>
      </c>
      <c r="E52">
        <v>1</v>
      </c>
      <c r="F52">
        <v>1</v>
      </c>
      <c r="G52">
        <v>173313</v>
      </c>
      <c r="H52">
        <v>0</v>
      </c>
      <c r="I52">
        <v>2</v>
      </c>
      <c r="J52">
        <v>2</v>
      </c>
      <c r="K52">
        <v>177215</v>
      </c>
      <c r="L52">
        <v>0</v>
      </c>
    </row>
    <row r="53" spans="1:12">
      <c r="A53">
        <v>159009</v>
      </c>
      <c r="B53" t="s">
        <v>106</v>
      </c>
      <c r="C53" t="s">
        <v>285</v>
      </c>
      <c r="D53" t="s">
        <v>284</v>
      </c>
      <c r="E53">
        <v>1</v>
      </c>
      <c r="F53">
        <v>1</v>
      </c>
      <c r="G53">
        <v>65750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225511</v>
      </c>
      <c r="B54" t="s">
        <v>108</v>
      </c>
      <c r="C54" t="s">
        <v>285</v>
      </c>
      <c r="D54" t="s">
        <v>284</v>
      </c>
      <c r="E54">
        <v>1</v>
      </c>
      <c r="F54">
        <v>1</v>
      </c>
      <c r="G54">
        <v>116643</v>
      </c>
      <c r="H54">
        <v>0</v>
      </c>
      <c r="I54">
        <v>2</v>
      </c>
      <c r="J54">
        <v>2</v>
      </c>
      <c r="K54">
        <v>110900</v>
      </c>
      <c r="L54">
        <v>0</v>
      </c>
    </row>
    <row r="55" spans="1:12">
      <c r="A55">
        <v>142285</v>
      </c>
      <c r="B55" t="s">
        <v>109</v>
      </c>
      <c r="C55" t="s">
        <v>285</v>
      </c>
      <c r="D55" t="s">
        <v>284</v>
      </c>
      <c r="E55">
        <v>1</v>
      </c>
      <c r="F55">
        <v>1</v>
      </c>
      <c r="G55">
        <v>131273</v>
      </c>
      <c r="H55">
        <v>15000</v>
      </c>
      <c r="I55">
        <v>2</v>
      </c>
      <c r="J55">
        <v>1.58</v>
      </c>
      <c r="K55">
        <v>90987</v>
      </c>
      <c r="L55">
        <v>10000</v>
      </c>
    </row>
    <row r="56" spans="1:12">
      <c r="A56">
        <v>142276</v>
      </c>
      <c r="B56" t="s">
        <v>110</v>
      </c>
      <c r="C56" t="s">
        <v>285</v>
      </c>
      <c r="D56" t="s">
        <v>284</v>
      </c>
      <c r="E56">
        <v>1</v>
      </c>
      <c r="F56">
        <v>1</v>
      </c>
      <c r="G56">
        <v>76199</v>
      </c>
      <c r="H56">
        <v>0</v>
      </c>
      <c r="I56">
        <v>2</v>
      </c>
      <c r="J56">
        <v>1.25</v>
      </c>
      <c r="K56">
        <v>64918</v>
      </c>
      <c r="L56">
        <v>0</v>
      </c>
    </row>
    <row r="57" spans="1:12">
      <c r="A57">
        <v>145637</v>
      </c>
      <c r="B57" t="s">
        <v>111</v>
      </c>
      <c r="C57" t="s">
        <v>285</v>
      </c>
      <c r="D57" t="s">
        <v>284</v>
      </c>
      <c r="E57">
        <v>1</v>
      </c>
      <c r="F57">
        <v>1</v>
      </c>
      <c r="G57">
        <v>470981</v>
      </c>
      <c r="H57">
        <v>0</v>
      </c>
      <c r="I57">
        <v>2</v>
      </c>
      <c r="J57">
        <v>2</v>
      </c>
      <c r="K57">
        <v>308873</v>
      </c>
      <c r="L57">
        <v>0</v>
      </c>
    </row>
    <row r="58" spans="1:12">
      <c r="A58">
        <v>145600</v>
      </c>
      <c r="B58" t="s">
        <v>112</v>
      </c>
      <c r="C58" t="s">
        <v>285</v>
      </c>
      <c r="D58" t="s">
        <v>284</v>
      </c>
      <c r="E58">
        <v>1</v>
      </c>
      <c r="F58">
        <v>1</v>
      </c>
      <c r="G58">
        <v>131412</v>
      </c>
      <c r="H58">
        <v>0</v>
      </c>
      <c r="I58">
        <v>2</v>
      </c>
      <c r="J58">
        <v>2</v>
      </c>
      <c r="K58">
        <v>97154</v>
      </c>
      <c r="L58">
        <v>0</v>
      </c>
    </row>
    <row r="59" spans="1:12">
      <c r="A59">
        <v>145813</v>
      </c>
      <c r="B59" t="s">
        <v>113</v>
      </c>
      <c r="C59" t="s">
        <v>285</v>
      </c>
      <c r="D59" t="s">
        <v>284</v>
      </c>
      <c r="E59">
        <v>1</v>
      </c>
      <c r="F59">
        <v>1</v>
      </c>
      <c r="G59">
        <v>163999</v>
      </c>
      <c r="H59">
        <v>0</v>
      </c>
      <c r="I59">
        <v>2</v>
      </c>
      <c r="J59">
        <v>2</v>
      </c>
      <c r="K59">
        <v>128215</v>
      </c>
      <c r="L59">
        <v>0</v>
      </c>
    </row>
    <row r="60" spans="1:12">
      <c r="A60">
        <v>151351</v>
      </c>
      <c r="B60" t="s">
        <v>114</v>
      </c>
      <c r="C60" t="s">
        <v>285</v>
      </c>
      <c r="D60" t="s">
        <v>284</v>
      </c>
      <c r="E60">
        <v>1</v>
      </c>
      <c r="F60">
        <v>1</v>
      </c>
      <c r="G60">
        <v>324160</v>
      </c>
      <c r="H60">
        <v>0</v>
      </c>
      <c r="I60">
        <v>2</v>
      </c>
      <c r="J60">
        <v>2</v>
      </c>
      <c r="K60">
        <v>250384</v>
      </c>
      <c r="L60">
        <v>0</v>
      </c>
    </row>
    <row r="61" spans="1:12">
      <c r="A61">
        <v>151324</v>
      </c>
      <c r="B61" t="s">
        <v>115</v>
      </c>
      <c r="C61" t="s">
        <v>285</v>
      </c>
      <c r="D61" t="s">
        <v>284</v>
      </c>
      <c r="E61">
        <v>1</v>
      </c>
      <c r="F61">
        <v>1</v>
      </c>
      <c r="G61">
        <v>107849</v>
      </c>
      <c r="H61">
        <v>0</v>
      </c>
      <c r="I61">
        <v>2</v>
      </c>
      <c r="J61">
        <v>1.5</v>
      </c>
      <c r="K61">
        <v>71167</v>
      </c>
      <c r="L61">
        <v>0</v>
      </c>
    </row>
    <row r="62" spans="1:12">
      <c r="A62">
        <v>153658</v>
      </c>
      <c r="B62" t="s">
        <v>116</v>
      </c>
      <c r="C62" t="s">
        <v>285</v>
      </c>
      <c r="D62" t="s">
        <v>284</v>
      </c>
      <c r="E62">
        <v>1</v>
      </c>
      <c r="F62">
        <v>1</v>
      </c>
      <c r="G62">
        <v>315440</v>
      </c>
      <c r="H62">
        <v>0</v>
      </c>
      <c r="I62">
        <v>2</v>
      </c>
      <c r="J62">
        <v>2</v>
      </c>
      <c r="K62">
        <v>232497</v>
      </c>
      <c r="L62">
        <v>0</v>
      </c>
    </row>
    <row r="63" spans="1:12">
      <c r="A63">
        <v>153603</v>
      </c>
      <c r="B63" t="s">
        <v>117</v>
      </c>
      <c r="C63" t="s">
        <v>285</v>
      </c>
      <c r="D63" t="s">
        <v>284</v>
      </c>
      <c r="E63">
        <v>1</v>
      </c>
      <c r="F63">
        <v>1</v>
      </c>
      <c r="G63">
        <v>329525</v>
      </c>
      <c r="H63">
        <v>0</v>
      </c>
      <c r="I63">
        <v>2</v>
      </c>
      <c r="J63">
        <v>2</v>
      </c>
      <c r="K63">
        <v>209820</v>
      </c>
      <c r="L63">
        <v>0</v>
      </c>
    </row>
    <row r="64" spans="1:12">
      <c r="A64">
        <v>151111</v>
      </c>
      <c r="B64" t="s">
        <v>118</v>
      </c>
      <c r="C64" t="s">
        <v>285</v>
      </c>
      <c r="D64" t="s">
        <v>284</v>
      </c>
      <c r="E64">
        <v>1</v>
      </c>
      <c r="F64">
        <v>1</v>
      </c>
      <c r="G64">
        <v>64325</v>
      </c>
      <c r="H64">
        <v>0</v>
      </c>
      <c r="I64">
        <v>1</v>
      </c>
      <c r="J64">
        <v>1</v>
      </c>
      <c r="K64">
        <v>36367</v>
      </c>
      <c r="L64">
        <v>0</v>
      </c>
    </row>
    <row r="65" spans="1:12">
      <c r="A65">
        <v>232423</v>
      </c>
      <c r="B65" t="s">
        <v>121</v>
      </c>
      <c r="C65" t="s">
        <v>285</v>
      </c>
      <c r="D65" t="s">
        <v>284</v>
      </c>
      <c r="E65">
        <v>1</v>
      </c>
      <c r="F65">
        <v>1</v>
      </c>
      <c r="G65">
        <v>130608</v>
      </c>
      <c r="H65">
        <v>0</v>
      </c>
      <c r="I65">
        <v>2</v>
      </c>
      <c r="J65">
        <v>2</v>
      </c>
      <c r="K65">
        <v>108020</v>
      </c>
      <c r="L65">
        <v>0</v>
      </c>
    </row>
    <row r="66" spans="1:12">
      <c r="A66">
        <v>155317</v>
      </c>
      <c r="B66" t="s">
        <v>122</v>
      </c>
      <c r="C66" t="s">
        <v>285</v>
      </c>
      <c r="D66" t="s">
        <v>284</v>
      </c>
      <c r="E66">
        <v>1</v>
      </c>
      <c r="F66">
        <v>1</v>
      </c>
      <c r="G66">
        <v>229871</v>
      </c>
      <c r="H66">
        <v>0</v>
      </c>
      <c r="I66">
        <v>2</v>
      </c>
      <c r="J66">
        <v>2</v>
      </c>
      <c r="K66">
        <v>187592</v>
      </c>
      <c r="L66">
        <v>0</v>
      </c>
    </row>
    <row r="67" spans="1:12">
      <c r="A67">
        <v>155399</v>
      </c>
      <c r="B67" t="s">
        <v>123</v>
      </c>
      <c r="C67" t="s">
        <v>285</v>
      </c>
      <c r="D67" t="s">
        <v>284</v>
      </c>
      <c r="E67">
        <v>3</v>
      </c>
      <c r="F67">
        <v>3</v>
      </c>
      <c r="G67">
        <v>460995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203517</v>
      </c>
      <c r="B68" t="s">
        <v>125</v>
      </c>
      <c r="C68" t="s">
        <v>285</v>
      </c>
      <c r="D68" t="s">
        <v>284</v>
      </c>
      <c r="E68">
        <v>1</v>
      </c>
      <c r="F68">
        <v>1</v>
      </c>
      <c r="G68">
        <v>127663</v>
      </c>
      <c r="H68">
        <v>0</v>
      </c>
      <c r="I68">
        <v>2</v>
      </c>
      <c r="J68">
        <v>2</v>
      </c>
      <c r="K68">
        <v>96631</v>
      </c>
      <c r="L68">
        <v>0</v>
      </c>
    </row>
    <row r="69" spans="1:12">
      <c r="A69">
        <v>157085</v>
      </c>
      <c r="B69" t="s">
        <v>126</v>
      </c>
      <c r="C69" t="s">
        <v>285</v>
      </c>
      <c r="D69" t="s">
        <v>284</v>
      </c>
      <c r="E69">
        <v>1</v>
      </c>
      <c r="F69">
        <v>1</v>
      </c>
      <c r="G69">
        <v>458710</v>
      </c>
      <c r="H69">
        <v>0</v>
      </c>
      <c r="I69">
        <v>2</v>
      </c>
      <c r="J69">
        <v>2</v>
      </c>
      <c r="K69">
        <v>286162</v>
      </c>
      <c r="L69">
        <v>0</v>
      </c>
    </row>
    <row r="70" spans="1:12">
      <c r="A70">
        <v>226091</v>
      </c>
      <c r="B70" t="s">
        <v>127</v>
      </c>
      <c r="C70" t="s">
        <v>285</v>
      </c>
      <c r="D70" t="s">
        <v>284</v>
      </c>
      <c r="E70">
        <v>1</v>
      </c>
      <c r="F70">
        <v>1</v>
      </c>
      <c r="G70">
        <v>76162</v>
      </c>
      <c r="H70">
        <v>0</v>
      </c>
      <c r="I70">
        <v>1</v>
      </c>
      <c r="J70">
        <v>1</v>
      </c>
      <c r="K70">
        <v>48866</v>
      </c>
      <c r="L70">
        <v>0</v>
      </c>
    </row>
    <row r="71" spans="1:12">
      <c r="A71">
        <v>110583</v>
      </c>
      <c r="B71" t="s">
        <v>128</v>
      </c>
      <c r="C71" t="s">
        <v>285</v>
      </c>
      <c r="D71" t="s">
        <v>284</v>
      </c>
      <c r="E71">
        <v>1</v>
      </c>
      <c r="F71">
        <v>1</v>
      </c>
      <c r="G71">
        <v>268199</v>
      </c>
      <c r="H71">
        <v>0</v>
      </c>
      <c r="I71">
        <v>2</v>
      </c>
      <c r="J71">
        <v>2</v>
      </c>
      <c r="K71">
        <v>202899</v>
      </c>
      <c r="L71">
        <v>0</v>
      </c>
    </row>
    <row r="72" spans="1:12">
      <c r="A72">
        <v>160658</v>
      </c>
      <c r="B72" t="s">
        <v>130</v>
      </c>
      <c r="C72" t="s">
        <v>285</v>
      </c>
      <c r="D72" t="s">
        <v>284</v>
      </c>
      <c r="E72">
        <v>1</v>
      </c>
      <c r="F72">
        <v>1</v>
      </c>
      <c r="G72">
        <v>109959</v>
      </c>
      <c r="H72">
        <v>0</v>
      </c>
      <c r="I72">
        <v>2</v>
      </c>
      <c r="J72">
        <v>2</v>
      </c>
      <c r="K72">
        <v>78232</v>
      </c>
      <c r="L72">
        <v>0</v>
      </c>
    </row>
    <row r="73" spans="1:12">
      <c r="A73">
        <v>159647</v>
      </c>
      <c r="B73" t="s">
        <v>132</v>
      </c>
      <c r="C73" t="s">
        <v>285</v>
      </c>
      <c r="D73" t="s">
        <v>284</v>
      </c>
      <c r="E73">
        <v>1</v>
      </c>
      <c r="F73">
        <v>1</v>
      </c>
      <c r="G73">
        <v>100821</v>
      </c>
      <c r="H73">
        <v>0</v>
      </c>
      <c r="I73">
        <v>2</v>
      </c>
      <c r="J73">
        <v>2</v>
      </c>
      <c r="K73">
        <v>80769</v>
      </c>
      <c r="L73">
        <v>0</v>
      </c>
    </row>
    <row r="74" spans="1:12">
      <c r="A74">
        <v>157289</v>
      </c>
      <c r="B74" t="s">
        <v>133</v>
      </c>
      <c r="C74" t="s">
        <v>285</v>
      </c>
      <c r="D74" t="s">
        <v>284</v>
      </c>
      <c r="E74">
        <v>1</v>
      </c>
      <c r="F74">
        <v>1</v>
      </c>
      <c r="G74">
        <v>282522</v>
      </c>
      <c r="H74">
        <v>0</v>
      </c>
      <c r="I74">
        <v>2</v>
      </c>
      <c r="J74">
        <v>2</v>
      </c>
      <c r="K74">
        <v>275627</v>
      </c>
      <c r="L74">
        <v>0</v>
      </c>
    </row>
    <row r="75" spans="1:12">
      <c r="A75">
        <v>159391</v>
      </c>
      <c r="B75" t="s">
        <v>134</v>
      </c>
      <c r="C75" t="s">
        <v>285</v>
      </c>
      <c r="D75" t="s">
        <v>284</v>
      </c>
      <c r="E75">
        <v>1</v>
      </c>
      <c r="F75">
        <v>1</v>
      </c>
      <c r="G75">
        <v>267638</v>
      </c>
      <c r="H75">
        <v>0</v>
      </c>
      <c r="I75">
        <v>2</v>
      </c>
      <c r="J75">
        <v>2</v>
      </c>
      <c r="K75">
        <v>221500</v>
      </c>
      <c r="L75">
        <v>0</v>
      </c>
    </row>
    <row r="76" spans="1:12">
      <c r="A76">
        <v>237525</v>
      </c>
      <c r="B76" t="s">
        <v>136</v>
      </c>
      <c r="C76" t="s">
        <v>285</v>
      </c>
      <c r="D76" t="s">
        <v>284</v>
      </c>
      <c r="E76">
        <v>1</v>
      </c>
      <c r="F76">
        <v>1</v>
      </c>
      <c r="G76">
        <v>92990</v>
      </c>
      <c r="H76">
        <v>0</v>
      </c>
      <c r="I76">
        <v>2</v>
      </c>
      <c r="J76">
        <v>2</v>
      </c>
      <c r="K76">
        <v>82756</v>
      </c>
      <c r="L76">
        <v>0</v>
      </c>
    </row>
    <row r="77" spans="1:12">
      <c r="A77">
        <v>163286</v>
      </c>
      <c r="B77" t="s">
        <v>137</v>
      </c>
      <c r="C77" t="s">
        <v>285</v>
      </c>
      <c r="D77" t="s">
        <v>284</v>
      </c>
      <c r="E77">
        <v>1</v>
      </c>
      <c r="F77">
        <v>1</v>
      </c>
      <c r="G77">
        <v>202741</v>
      </c>
      <c r="H77">
        <v>0</v>
      </c>
      <c r="I77">
        <v>2</v>
      </c>
      <c r="J77">
        <v>2</v>
      </c>
      <c r="K77">
        <v>198918</v>
      </c>
      <c r="L77">
        <v>0</v>
      </c>
    </row>
    <row r="78" spans="1:12">
      <c r="A78">
        <v>163268</v>
      </c>
      <c r="B78" t="s">
        <v>138</v>
      </c>
      <c r="C78" t="s">
        <v>285</v>
      </c>
      <c r="D78" t="s">
        <v>284</v>
      </c>
      <c r="E78">
        <v>1</v>
      </c>
      <c r="F78">
        <v>1</v>
      </c>
      <c r="G78">
        <v>141877</v>
      </c>
      <c r="H78">
        <v>0</v>
      </c>
      <c r="I78">
        <v>2</v>
      </c>
      <c r="J78">
        <v>2</v>
      </c>
      <c r="K78">
        <v>70938</v>
      </c>
      <c r="L78">
        <v>0</v>
      </c>
    </row>
    <row r="79" spans="1:12">
      <c r="A79">
        <v>163338</v>
      </c>
      <c r="B79" t="s">
        <v>139</v>
      </c>
      <c r="C79" t="s">
        <v>285</v>
      </c>
      <c r="D79" t="s">
        <v>284</v>
      </c>
      <c r="E79">
        <v>1</v>
      </c>
      <c r="F79">
        <v>1</v>
      </c>
      <c r="G79">
        <v>60000</v>
      </c>
      <c r="H79">
        <v>0</v>
      </c>
      <c r="I79">
        <v>1</v>
      </c>
      <c r="J79">
        <v>1</v>
      </c>
      <c r="K79">
        <v>40000</v>
      </c>
      <c r="L79">
        <v>0</v>
      </c>
    </row>
    <row r="80" spans="1:12">
      <c r="A80">
        <v>166513</v>
      </c>
      <c r="B80" t="s">
        <v>141</v>
      </c>
      <c r="C80" t="s">
        <v>285</v>
      </c>
      <c r="D80" t="s">
        <v>284</v>
      </c>
      <c r="E80">
        <v>1</v>
      </c>
      <c r="F80">
        <v>1</v>
      </c>
      <c r="G80">
        <v>70395</v>
      </c>
      <c r="H80">
        <v>0</v>
      </c>
      <c r="I80">
        <v>2</v>
      </c>
      <c r="J80">
        <v>1.5</v>
      </c>
      <c r="K80">
        <v>43317</v>
      </c>
      <c r="L80">
        <v>0</v>
      </c>
    </row>
    <row r="81" spans="1:12">
      <c r="A81">
        <v>159717</v>
      </c>
      <c r="B81" t="s">
        <v>142</v>
      </c>
      <c r="C81" t="s">
        <v>285</v>
      </c>
      <c r="D81" t="s">
        <v>284</v>
      </c>
      <c r="E81">
        <v>1</v>
      </c>
      <c r="F81">
        <v>0.83</v>
      </c>
      <c r="G81">
        <v>58842</v>
      </c>
      <c r="H81">
        <v>0</v>
      </c>
      <c r="I81">
        <v>2</v>
      </c>
      <c r="J81">
        <v>1.66</v>
      </c>
      <c r="K81">
        <v>69233</v>
      </c>
      <c r="L81">
        <v>0</v>
      </c>
    </row>
    <row r="82" spans="1:12">
      <c r="A82">
        <v>204024</v>
      </c>
      <c r="B82" t="s">
        <v>144</v>
      </c>
      <c r="C82" t="s">
        <v>285</v>
      </c>
      <c r="D82" t="s">
        <v>284</v>
      </c>
      <c r="E82">
        <v>1</v>
      </c>
      <c r="F82">
        <v>1</v>
      </c>
      <c r="G82">
        <v>156949</v>
      </c>
      <c r="H82">
        <v>0</v>
      </c>
      <c r="I82">
        <v>2</v>
      </c>
      <c r="J82">
        <v>2</v>
      </c>
      <c r="K82">
        <v>130555</v>
      </c>
      <c r="L82">
        <v>0</v>
      </c>
    </row>
    <row r="83" spans="1:12">
      <c r="A83">
        <v>170976</v>
      </c>
      <c r="B83" t="s">
        <v>145</v>
      </c>
      <c r="C83" t="s">
        <v>285</v>
      </c>
      <c r="D83" t="s">
        <v>284</v>
      </c>
      <c r="E83">
        <v>1</v>
      </c>
      <c r="F83">
        <v>1</v>
      </c>
      <c r="G83">
        <v>269832</v>
      </c>
      <c r="H83">
        <v>0</v>
      </c>
      <c r="I83">
        <v>2</v>
      </c>
      <c r="J83">
        <v>2</v>
      </c>
      <c r="K83">
        <v>236893</v>
      </c>
      <c r="L83">
        <v>0</v>
      </c>
    </row>
    <row r="84" spans="1:12">
      <c r="A84">
        <v>171100</v>
      </c>
      <c r="B84" t="s">
        <v>146</v>
      </c>
      <c r="C84" t="s">
        <v>285</v>
      </c>
      <c r="D84" t="s">
        <v>284</v>
      </c>
      <c r="E84">
        <v>1</v>
      </c>
      <c r="F84">
        <v>1</v>
      </c>
      <c r="G84">
        <v>347612</v>
      </c>
      <c r="H84">
        <v>0</v>
      </c>
      <c r="I84">
        <v>3</v>
      </c>
      <c r="J84">
        <v>3</v>
      </c>
      <c r="K84">
        <v>280466</v>
      </c>
      <c r="L84">
        <v>0</v>
      </c>
    </row>
    <row r="85" spans="1:12" ht="32">
      <c r="A85">
        <v>220978</v>
      </c>
      <c r="B85" t="s">
        <v>147</v>
      </c>
      <c r="C85" t="s">
        <v>285</v>
      </c>
      <c r="D85" s="50" t="s">
        <v>284</v>
      </c>
      <c r="E85" s="50">
        <v>1</v>
      </c>
      <c r="F85" s="50">
        <v>0.81</v>
      </c>
      <c r="G85" s="50">
        <v>94784</v>
      </c>
      <c r="H85" s="57">
        <v>0</v>
      </c>
      <c r="I85" s="50">
        <v>2</v>
      </c>
      <c r="J85" s="50">
        <v>2</v>
      </c>
      <c r="K85" s="50">
        <v>112418</v>
      </c>
      <c r="L85" s="57">
        <v>0</v>
      </c>
    </row>
    <row r="86" spans="1:12">
      <c r="A86">
        <v>174066</v>
      </c>
      <c r="B86" t="s">
        <v>148</v>
      </c>
      <c r="C86" t="s">
        <v>285</v>
      </c>
      <c r="D86" t="s">
        <v>284</v>
      </c>
      <c r="E86">
        <v>1</v>
      </c>
      <c r="F86">
        <v>1</v>
      </c>
      <c r="G86">
        <v>687829</v>
      </c>
      <c r="H86">
        <v>0</v>
      </c>
      <c r="I86">
        <v>2</v>
      </c>
      <c r="J86">
        <v>2</v>
      </c>
      <c r="K86">
        <v>245831</v>
      </c>
      <c r="L86">
        <v>0</v>
      </c>
    </row>
    <row r="87" spans="1:12">
      <c r="A87">
        <v>176017</v>
      </c>
      <c r="B87" t="s">
        <v>149</v>
      </c>
      <c r="C87" t="s">
        <v>285</v>
      </c>
      <c r="D87" t="s">
        <v>284</v>
      </c>
      <c r="E87">
        <v>1</v>
      </c>
      <c r="F87">
        <v>1</v>
      </c>
      <c r="G87">
        <v>219577</v>
      </c>
      <c r="H87">
        <v>0</v>
      </c>
      <c r="I87">
        <v>2</v>
      </c>
      <c r="J87">
        <v>2</v>
      </c>
      <c r="K87">
        <v>198811</v>
      </c>
      <c r="L87">
        <v>0</v>
      </c>
    </row>
    <row r="88" spans="1:12">
      <c r="A88">
        <v>176080</v>
      </c>
      <c r="B88" t="s">
        <v>150</v>
      </c>
      <c r="C88" t="s">
        <v>285</v>
      </c>
      <c r="D88" t="s">
        <v>284</v>
      </c>
      <c r="E88">
        <v>1</v>
      </c>
      <c r="F88">
        <v>1</v>
      </c>
      <c r="G88">
        <v>177518</v>
      </c>
      <c r="H88">
        <v>0</v>
      </c>
      <c r="I88">
        <v>2</v>
      </c>
      <c r="J88">
        <v>2</v>
      </c>
      <c r="K88">
        <v>164662</v>
      </c>
      <c r="L88">
        <v>0</v>
      </c>
    </row>
    <row r="89" spans="1:12">
      <c r="A89">
        <v>178396</v>
      </c>
      <c r="B89" t="s">
        <v>152</v>
      </c>
      <c r="C89" t="s">
        <v>285</v>
      </c>
      <c r="D89" t="s">
        <v>284</v>
      </c>
      <c r="E89">
        <v>1</v>
      </c>
      <c r="F89">
        <v>1</v>
      </c>
      <c r="G89">
        <v>315766</v>
      </c>
      <c r="H89">
        <v>0</v>
      </c>
      <c r="I89">
        <v>2</v>
      </c>
      <c r="J89">
        <v>2</v>
      </c>
      <c r="K89">
        <v>200969</v>
      </c>
      <c r="L89">
        <v>0</v>
      </c>
    </row>
    <row r="90" spans="1:12">
      <c r="A90">
        <v>178402</v>
      </c>
      <c r="B90" t="s">
        <v>153</v>
      </c>
      <c r="C90" t="s">
        <v>285</v>
      </c>
      <c r="D90" t="s">
        <v>284</v>
      </c>
      <c r="E90">
        <v>1</v>
      </c>
      <c r="F90">
        <v>1</v>
      </c>
      <c r="G90">
        <v>111311</v>
      </c>
      <c r="H90">
        <v>0</v>
      </c>
      <c r="I90">
        <v>1</v>
      </c>
      <c r="J90">
        <v>1</v>
      </c>
      <c r="K90">
        <v>73813</v>
      </c>
      <c r="L90">
        <v>0</v>
      </c>
    </row>
    <row r="91" spans="1:12">
      <c r="A91">
        <v>179566</v>
      </c>
      <c r="B91" t="s">
        <v>154</v>
      </c>
      <c r="C91" t="s">
        <v>285</v>
      </c>
      <c r="D91" t="s">
        <v>284</v>
      </c>
      <c r="E91">
        <v>1</v>
      </c>
      <c r="F91">
        <v>1</v>
      </c>
      <c r="G91">
        <v>158238</v>
      </c>
      <c r="H91">
        <v>0</v>
      </c>
      <c r="I91">
        <v>2</v>
      </c>
      <c r="J91">
        <v>2</v>
      </c>
      <c r="K91">
        <v>104198</v>
      </c>
      <c r="L91">
        <v>0</v>
      </c>
    </row>
    <row r="92" spans="1:12">
      <c r="A92">
        <v>180489</v>
      </c>
      <c r="B92" t="s">
        <v>155</v>
      </c>
      <c r="C92" t="s">
        <v>285</v>
      </c>
      <c r="D92" t="s">
        <v>284</v>
      </c>
      <c r="E92">
        <v>1</v>
      </c>
      <c r="F92">
        <v>1</v>
      </c>
      <c r="G92">
        <v>88196</v>
      </c>
      <c r="H92">
        <v>6000</v>
      </c>
      <c r="I92">
        <v>2</v>
      </c>
      <c r="J92">
        <v>2</v>
      </c>
      <c r="K92">
        <v>97034</v>
      </c>
      <c r="L92">
        <v>8500</v>
      </c>
    </row>
    <row r="93" spans="1:12">
      <c r="A93">
        <v>180461</v>
      </c>
      <c r="B93" t="s">
        <v>156</v>
      </c>
      <c r="C93" t="s">
        <v>285</v>
      </c>
      <c r="D93" t="s">
        <v>284</v>
      </c>
      <c r="E93">
        <v>1</v>
      </c>
      <c r="F93">
        <v>1</v>
      </c>
      <c r="G93">
        <v>122170</v>
      </c>
      <c r="H93">
        <v>0</v>
      </c>
      <c r="I93">
        <v>2</v>
      </c>
      <c r="J93">
        <v>2</v>
      </c>
      <c r="K93">
        <v>147471</v>
      </c>
      <c r="L93">
        <v>0</v>
      </c>
    </row>
    <row r="94" spans="1:12">
      <c r="A94">
        <v>163453</v>
      </c>
      <c r="B94" t="s">
        <v>158</v>
      </c>
      <c r="C94" t="s">
        <v>285</v>
      </c>
      <c r="D94" t="s">
        <v>284</v>
      </c>
      <c r="E94">
        <v>1</v>
      </c>
      <c r="F94">
        <v>1</v>
      </c>
      <c r="G94">
        <v>82735</v>
      </c>
      <c r="H94">
        <v>0</v>
      </c>
      <c r="I94">
        <v>1</v>
      </c>
      <c r="J94">
        <v>1</v>
      </c>
      <c r="K94">
        <v>38820</v>
      </c>
      <c r="L94">
        <v>0</v>
      </c>
    </row>
    <row r="95" spans="1:12">
      <c r="A95">
        <v>181464</v>
      </c>
      <c r="B95" t="s">
        <v>161</v>
      </c>
      <c r="C95" t="s">
        <v>285</v>
      </c>
      <c r="D95" t="s">
        <v>284</v>
      </c>
      <c r="E95">
        <v>1</v>
      </c>
      <c r="F95">
        <v>1</v>
      </c>
      <c r="G95">
        <v>796364</v>
      </c>
      <c r="H95">
        <v>0</v>
      </c>
      <c r="I95">
        <v>2</v>
      </c>
      <c r="J95">
        <v>1.92</v>
      </c>
      <c r="K95">
        <v>217806</v>
      </c>
      <c r="L95">
        <v>0</v>
      </c>
    </row>
    <row r="96" spans="1:12">
      <c r="A96">
        <v>181394</v>
      </c>
      <c r="B96" t="s">
        <v>162</v>
      </c>
      <c r="C96" t="s">
        <v>285</v>
      </c>
      <c r="D96" t="s">
        <v>284</v>
      </c>
      <c r="E96">
        <v>1</v>
      </c>
      <c r="F96">
        <v>1</v>
      </c>
      <c r="G96">
        <v>105285</v>
      </c>
      <c r="H96">
        <v>0</v>
      </c>
      <c r="I96">
        <v>2</v>
      </c>
      <c r="J96">
        <v>2</v>
      </c>
      <c r="K96">
        <v>162821</v>
      </c>
      <c r="L96">
        <v>0</v>
      </c>
    </row>
    <row r="97" spans="1:12">
      <c r="A97">
        <v>182290</v>
      </c>
      <c r="B97" t="s">
        <v>163</v>
      </c>
      <c r="C97" t="s">
        <v>285</v>
      </c>
      <c r="D97" t="s">
        <v>284</v>
      </c>
      <c r="E97">
        <v>1</v>
      </c>
      <c r="F97">
        <v>1</v>
      </c>
      <c r="G97">
        <v>151680</v>
      </c>
      <c r="H97">
        <v>0</v>
      </c>
      <c r="I97">
        <v>2</v>
      </c>
      <c r="J97">
        <v>2</v>
      </c>
      <c r="K97">
        <v>140807</v>
      </c>
      <c r="L97">
        <v>0</v>
      </c>
    </row>
    <row r="98" spans="1:12">
      <c r="A98">
        <v>183044</v>
      </c>
      <c r="B98" t="s">
        <v>164</v>
      </c>
      <c r="C98" t="s">
        <v>285</v>
      </c>
      <c r="D98" t="s">
        <v>284</v>
      </c>
      <c r="E98">
        <v>1</v>
      </c>
      <c r="F98">
        <v>1</v>
      </c>
      <c r="G98">
        <v>177877</v>
      </c>
      <c r="H98">
        <v>0</v>
      </c>
      <c r="I98">
        <v>2</v>
      </c>
      <c r="J98">
        <v>1</v>
      </c>
      <c r="K98">
        <v>74404</v>
      </c>
      <c r="L98">
        <v>0</v>
      </c>
    </row>
    <row r="99" spans="1:12">
      <c r="A99">
        <v>187985</v>
      </c>
      <c r="B99" t="s">
        <v>165</v>
      </c>
      <c r="C99" t="s">
        <v>285</v>
      </c>
      <c r="D99" t="s">
        <v>284</v>
      </c>
      <c r="E99">
        <v>1</v>
      </c>
      <c r="F99">
        <v>0.5</v>
      </c>
      <c r="G99">
        <v>50013</v>
      </c>
      <c r="H99">
        <v>0</v>
      </c>
      <c r="I99">
        <v>2</v>
      </c>
      <c r="J99">
        <v>2</v>
      </c>
      <c r="K99">
        <v>110432</v>
      </c>
      <c r="L99">
        <v>0</v>
      </c>
    </row>
    <row r="100" spans="1:12">
      <c r="A100">
        <v>188030</v>
      </c>
      <c r="B100" t="s">
        <v>166</v>
      </c>
      <c r="C100" t="s">
        <v>285</v>
      </c>
      <c r="D100" t="s">
        <v>284</v>
      </c>
      <c r="E100">
        <v>1</v>
      </c>
      <c r="F100">
        <v>1</v>
      </c>
      <c r="G100">
        <v>149659</v>
      </c>
      <c r="H100">
        <v>0</v>
      </c>
      <c r="I100">
        <v>2</v>
      </c>
      <c r="J100">
        <v>2</v>
      </c>
      <c r="K100">
        <v>139880</v>
      </c>
      <c r="L100">
        <v>0</v>
      </c>
    </row>
    <row r="101" spans="1:12">
      <c r="A101">
        <v>159966</v>
      </c>
      <c r="B101" t="s">
        <v>168</v>
      </c>
      <c r="C101" t="s">
        <v>285</v>
      </c>
      <c r="D101" t="s">
        <v>284</v>
      </c>
      <c r="E101">
        <v>1</v>
      </c>
      <c r="F101">
        <v>0.5</v>
      </c>
      <c r="G101">
        <v>27741</v>
      </c>
      <c r="H101">
        <v>0</v>
      </c>
      <c r="I101">
        <v>1</v>
      </c>
      <c r="J101">
        <v>0.5</v>
      </c>
      <c r="K101">
        <v>16460</v>
      </c>
      <c r="L101">
        <v>0</v>
      </c>
    </row>
    <row r="102" spans="1:12">
      <c r="A102">
        <v>185828</v>
      </c>
      <c r="B102" t="s">
        <v>169</v>
      </c>
      <c r="C102" t="s">
        <v>285</v>
      </c>
      <c r="D102" t="s">
        <v>284</v>
      </c>
      <c r="E102">
        <v>1</v>
      </c>
      <c r="F102">
        <v>1</v>
      </c>
      <c r="G102">
        <v>74701</v>
      </c>
      <c r="H102">
        <v>0</v>
      </c>
      <c r="I102">
        <v>1</v>
      </c>
      <c r="J102">
        <v>0.75</v>
      </c>
      <c r="K102">
        <v>44217</v>
      </c>
      <c r="L102">
        <v>0</v>
      </c>
    </row>
    <row r="103" spans="1:12">
      <c r="A103">
        <v>199120</v>
      </c>
      <c r="B103" t="s">
        <v>172</v>
      </c>
      <c r="C103" t="s">
        <v>285</v>
      </c>
      <c r="D103" t="s">
        <v>284</v>
      </c>
      <c r="E103">
        <v>1</v>
      </c>
      <c r="F103">
        <v>1</v>
      </c>
      <c r="G103">
        <v>259195</v>
      </c>
      <c r="H103">
        <v>0</v>
      </c>
      <c r="I103">
        <v>2</v>
      </c>
      <c r="J103">
        <v>2</v>
      </c>
      <c r="K103">
        <v>213685</v>
      </c>
      <c r="L103">
        <v>0</v>
      </c>
    </row>
    <row r="104" spans="1:12">
      <c r="A104">
        <v>199102</v>
      </c>
      <c r="B104" t="s">
        <v>173</v>
      </c>
      <c r="C104" t="s">
        <v>285</v>
      </c>
      <c r="D104" t="s">
        <v>284</v>
      </c>
      <c r="E104">
        <v>1</v>
      </c>
      <c r="F104">
        <v>1</v>
      </c>
      <c r="G104">
        <v>76656</v>
      </c>
      <c r="H104">
        <v>0</v>
      </c>
      <c r="I104">
        <v>2</v>
      </c>
      <c r="J104">
        <v>2</v>
      </c>
      <c r="K104">
        <v>52568</v>
      </c>
      <c r="L104">
        <v>0</v>
      </c>
    </row>
    <row r="105" spans="1:12">
      <c r="A105">
        <v>199111</v>
      </c>
      <c r="B105" t="s">
        <v>275</v>
      </c>
      <c r="C105" t="s">
        <v>285</v>
      </c>
      <c r="D105" t="s">
        <v>284</v>
      </c>
      <c r="E105">
        <v>1</v>
      </c>
      <c r="F105">
        <v>1</v>
      </c>
      <c r="G105">
        <v>78009</v>
      </c>
      <c r="H105">
        <v>0</v>
      </c>
      <c r="I105">
        <v>1</v>
      </c>
      <c r="J105">
        <v>1</v>
      </c>
      <c r="K105">
        <v>46569</v>
      </c>
      <c r="L105">
        <v>0</v>
      </c>
    </row>
    <row r="106" spans="1:12">
      <c r="A106">
        <v>199157</v>
      </c>
      <c r="B106" t="s">
        <v>174</v>
      </c>
      <c r="C106" t="s">
        <v>285</v>
      </c>
      <c r="D106" t="s">
        <v>284</v>
      </c>
      <c r="E106">
        <v>1</v>
      </c>
      <c r="F106">
        <v>1</v>
      </c>
      <c r="G106">
        <v>81864</v>
      </c>
      <c r="H106">
        <v>0</v>
      </c>
      <c r="I106">
        <v>1</v>
      </c>
      <c r="J106">
        <v>1</v>
      </c>
      <c r="K106">
        <v>45198</v>
      </c>
      <c r="L106">
        <v>0</v>
      </c>
    </row>
    <row r="107" spans="1:12">
      <c r="A107">
        <v>199148</v>
      </c>
      <c r="B107" t="s">
        <v>276</v>
      </c>
      <c r="C107" t="s">
        <v>285</v>
      </c>
      <c r="D107" t="s">
        <v>284</v>
      </c>
      <c r="E107">
        <v>1</v>
      </c>
      <c r="F107">
        <v>1</v>
      </c>
      <c r="G107">
        <v>79356</v>
      </c>
      <c r="H107">
        <v>0</v>
      </c>
      <c r="I107">
        <v>2</v>
      </c>
      <c r="J107">
        <v>2</v>
      </c>
      <c r="K107">
        <v>71904</v>
      </c>
      <c r="L107">
        <v>0</v>
      </c>
    </row>
    <row r="108" spans="1:12">
      <c r="A108">
        <v>199193</v>
      </c>
      <c r="B108" t="s">
        <v>175</v>
      </c>
      <c r="C108" t="s">
        <v>285</v>
      </c>
      <c r="D108" t="s">
        <v>284</v>
      </c>
      <c r="E108">
        <v>1</v>
      </c>
      <c r="F108">
        <v>1</v>
      </c>
      <c r="G108">
        <v>182171</v>
      </c>
      <c r="H108">
        <v>0</v>
      </c>
      <c r="I108">
        <v>2</v>
      </c>
      <c r="J108">
        <v>2</v>
      </c>
      <c r="K108">
        <v>196565</v>
      </c>
      <c r="L108">
        <v>0</v>
      </c>
    </row>
    <row r="109" spans="1:12">
      <c r="A109">
        <v>199218</v>
      </c>
      <c r="B109" t="s">
        <v>176</v>
      </c>
      <c r="C109" t="s">
        <v>285</v>
      </c>
      <c r="D109" t="s">
        <v>284</v>
      </c>
      <c r="E109">
        <v>1</v>
      </c>
      <c r="F109">
        <v>0.6</v>
      </c>
      <c r="G109">
        <v>51679</v>
      </c>
      <c r="H109">
        <v>0</v>
      </c>
      <c r="I109">
        <v>2</v>
      </c>
      <c r="J109">
        <v>1.4</v>
      </c>
      <c r="K109">
        <v>78663</v>
      </c>
      <c r="L109">
        <v>0</v>
      </c>
    </row>
    <row r="110" spans="1:12">
      <c r="A110">
        <v>200280</v>
      </c>
      <c r="B110" t="s">
        <v>177</v>
      </c>
      <c r="C110" t="s">
        <v>285</v>
      </c>
      <c r="D110" t="s">
        <v>284</v>
      </c>
      <c r="E110">
        <v>1</v>
      </c>
      <c r="F110">
        <v>1</v>
      </c>
      <c r="G110">
        <v>178725</v>
      </c>
      <c r="H110">
        <v>0</v>
      </c>
      <c r="I110">
        <v>2</v>
      </c>
      <c r="J110">
        <v>2</v>
      </c>
      <c r="K110">
        <v>124302</v>
      </c>
      <c r="L110">
        <v>0</v>
      </c>
    </row>
    <row r="111" spans="1:12">
      <c r="A111">
        <v>200332</v>
      </c>
      <c r="B111" t="s">
        <v>178</v>
      </c>
      <c r="C111" t="s">
        <v>285</v>
      </c>
      <c r="D111" t="s">
        <v>284</v>
      </c>
      <c r="E111">
        <v>1</v>
      </c>
      <c r="F111">
        <v>1</v>
      </c>
      <c r="G111">
        <v>131986</v>
      </c>
      <c r="H111">
        <v>0</v>
      </c>
      <c r="I111">
        <v>2</v>
      </c>
      <c r="J111">
        <v>2</v>
      </c>
      <c r="K111">
        <v>171340</v>
      </c>
      <c r="L111">
        <v>0</v>
      </c>
    </row>
    <row r="112" spans="1:12">
      <c r="A112">
        <v>136172</v>
      </c>
      <c r="B112" t="s">
        <v>179</v>
      </c>
      <c r="C112" t="s">
        <v>285</v>
      </c>
      <c r="D112" t="s">
        <v>284</v>
      </c>
      <c r="E112">
        <v>1</v>
      </c>
      <c r="F112">
        <v>0.5</v>
      </c>
      <c r="G112">
        <v>61126</v>
      </c>
      <c r="H112">
        <v>0</v>
      </c>
      <c r="I112">
        <v>2</v>
      </c>
      <c r="J112">
        <v>2</v>
      </c>
      <c r="K112">
        <v>101378</v>
      </c>
      <c r="L112">
        <v>0</v>
      </c>
    </row>
    <row r="113" spans="1:12">
      <c r="A113">
        <v>227216</v>
      </c>
      <c r="B113" t="s">
        <v>180</v>
      </c>
      <c r="C113" t="s">
        <v>285</v>
      </c>
      <c r="D113" t="s">
        <v>284</v>
      </c>
      <c r="E113">
        <v>1</v>
      </c>
      <c r="F113">
        <v>1</v>
      </c>
      <c r="G113">
        <v>118221</v>
      </c>
      <c r="H113">
        <v>0</v>
      </c>
      <c r="I113">
        <v>2</v>
      </c>
      <c r="J113">
        <v>2</v>
      </c>
      <c r="K113">
        <v>105358</v>
      </c>
      <c r="L113">
        <v>0</v>
      </c>
    </row>
    <row r="114" spans="1:12">
      <c r="A114">
        <v>105330</v>
      </c>
      <c r="B114" t="s">
        <v>181</v>
      </c>
      <c r="C114" t="s">
        <v>285</v>
      </c>
      <c r="D114" t="s">
        <v>284</v>
      </c>
      <c r="E114">
        <v>1</v>
      </c>
      <c r="F114">
        <v>1</v>
      </c>
      <c r="G114">
        <v>128839</v>
      </c>
      <c r="H114">
        <v>0</v>
      </c>
      <c r="I114">
        <v>2</v>
      </c>
      <c r="J114">
        <v>2</v>
      </c>
      <c r="K114">
        <v>126060</v>
      </c>
      <c r="L114">
        <v>0</v>
      </c>
    </row>
    <row r="115" spans="1:12">
      <c r="A115">
        <v>127741</v>
      </c>
      <c r="B115" t="s">
        <v>182</v>
      </c>
      <c r="C115" t="s">
        <v>285</v>
      </c>
      <c r="D115" t="s">
        <v>284</v>
      </c>
      <c r="E115">
        <v>1</v>
      </c>
      <c r="F115">
        <v>1</v>
      </c>
      <c r="G115">
        <v>169933</v>
      </c>
      <c r="H115">
        <v>0</v>
      </c>
      <c r="I115">
        <v>3</v>
      </c>
      <c r="J115">
        <v>2.5</v>
      </c>
      <c r="K115">
        <v>109580</v>
      </c>
      <c r="L115">
        <v>0</v>
      </c>
    </row>
    <row r="116" spans="1:12">
      <c r="A116">
        <v>154095</v>
      </c>
      <c r="B116" t="s">
        <v>184</v>
      </c>
      <c r="C116" t="s">
        <v>285</v>
      </c>
      <c r="D116" t="s">
        <v>284</v>
      </c>
      <c r="E116">
        <v>1</v>
      </c>
      <c r="F116">
        <v>1</v>
      </c>
      <c r="G116">
        <v>219628</v>
      </c>
      <c r="H116">
        <v>0</v>
      </c>
      <c r="I116">
        <v>2</v>
      </c>
      <c r="J116">
        <v>2</v>
      </c>
      <c r="K116">
        <v>171461</v>
      </c>
      <c r="L116">
        <v>0</v>
      </c>
    </row>
    <row r="117" spans="1:12">
      <c r="A117">
        <v>160038</v>
      </c>
      <c r="B117" t="s">
        <v>185</v>
      </c>
      <c r="C117" t="s">
        <v>285</v>
      </c>
      <c r="D117" t="s">
        <v>284</v>
      </c>
      <c r="E117">
        <v>1</v>
      </c>
      <c r="F117">
        <v>0.8</v>
      </c>
      <c r="G117">
        <v>74882</v>
      </c>
      <c r="H117">
        <v>0</v>
      </c>
      <c r="I117">
        <v>2</v>
      </c>
      <c r="J117">
        <v>1.18</v>
      </c>
      <c r="K117">
        <v>56422</v>
      </c>
      <c r="L117">
        <v>0</v>
      </c>
    </row>
    <row r="118" spans="1:12">
      <c r="A118">
        <v>171571</v>
      </c>
      <c r="B118" t="s">
        <v>186</v>
      </c>
      <c r="C118" t="s">
        <v>285</v>
      </c>
      <c r="D118" t="s">
        <v>284</v>
      </c>
      <c r="E118">
        <v>1</v>
      </c>
      <c r="F118">
        <v>1</v>
      </c>
      <c r="G118">
        <v>106505</v>
      </c>
      <c r="H118">
        <v>0</v>
      </c>
      <c r="I118">
        <v>2</v>
      </c>
      <c r="J118">
        <v>1.32</v>
      </c>
      <c r="K118">
        <v>90431</v>
      </c>
      <c r="L118">
        <v>0</v>
      </c>
    </row>
    <row r="119" spans="1:12">
      <c r="A119">
        <v>204857</v>
      </c>
      <c r="B119" t="s">
        <v>187</v>
      </c>
      <c r="C119" t="s">
        <v>285</v>
      </c>
      <c r="D119" t="s">
        <v>284</v>
      </c>
      <c r="E119">
        <v>1</v>
      </c>
      <c r="F119">
        <v>1</v>
      </c>
      <c r="G119">
        <v>176990</v>
      </c>
      <c r="H119">
        <v>0</v>
      </c>
      <c r="I119">
        <v>2</v>
      </c>
      <c r="J119">
        <v>2</v>
      </c>
      <c r="K119">
        <v>152579</v>
      </c>
      <c r="L119">
        <v>0</v>
      </c>
    </row>
    <row r="120" spans="1:12">
      <c r="A120">
        <v>204796</v>
      </c>
      <c r="B120" t="s">
        <v>188</v>
      </c>
      <c r="C120" t="s">
        <v>285</v>
      </c>
      <c r="D120" t="s">
        <v>284</v>
      </c>
      <c r="E120">
        <v>1</v>
      </c>
      <c r="F120">
        <v>1</v>
      </c>
      <c r="G120">
        <v>373566</v>
      </c>
      <c r="H120">
        <v>0</v>
      </c>
      <c r="I120">
        <v>2</v>
      </c>
      <c r="J120">
        <v>2</v>
      </c>
      <c r="K120">
        <v>245608</v>
      </c>
      <c r="L120">
        <v>0</v>
      </c>
    </row>
    <row r="121" spans="1:12">
      <c r="A121">
        <v>207500</v>
      </c>
      <c r="B121" t="s">
        <v>189</v>
      </c>
      <c r="C121" t="s">
        <v>285</v>
      </c>
      <c r="D121" t="s">
        <v>284</v>
      </c>
      <c r="E121">
        <v>1</v>
      </c>
      <c r="F121">
        <v>1</v>
      </c>
      <c r="G121">
        <v>242981</v>
      </c>
      <c r="H121">
        <v>0</v>
      </c>
      <c r="I121">
        <v>2</v>
      </c>
      <c r="J121">
        <v>2</v>
      </c>
      <c r="K121">
        <v>197518</v>
      </c>
      <c r="L121">
        <v>0</v>
      </c>
    </row>
    <row r="122" spans="1:12">
      <c r="A122">
        <v>232982</v>
      </c>
      <c r="B122" t="s">
        <v>191</v>
      </c>
      <c r="C122" t="s">
        <v>285</v>
      </c>
      <c r="D122" t="s">
        <v>284</v>
      </c>
      <c r="E122">
        <v>1</v>
      </c>
      <c r="F122">
        <v>0.38</v>
      </c>
      <c r="G122">
        <v>51012</v>
      </c>
      <c r="H122">
        <v>0</v>
      </c>
      <c r="I122">
        <v>2</v>
      </c>
      <c r="J122">
        <v>0.62</v>
      </c>
      <c r="K122">
        <v>36662</v>
      </c>
      <c r="L122">
        <v>0</v>
      </c>
    </row>
    <row r="123" spans="1:12">
      <c r="A123">
        <v>209551</v>
      </c>
      <c r="B123" t="s">
        <v>192</v>
      </c>
      <c r="C123" t="s">
        <v>285</v>
      </c>
      <c r="D123" t="s">
        <v>284</v>
      </c>
      <c r="E123">
        <v>1</v>
      </c>
      <c r="F123">
        <v>0.75</v>
      </c>
      <c r="G123">
        <v>179617</v>
      </c>
      <c r="H123">
        <v>3000</v>
      </c>
      <c r="I123">
        <v>2</v>
      </c>
      <c r="J123">
        <v>2</v>
      </c>
      <c r="K123">
        <v>246833</v>
      </c>
      <c r="L123">
        <v>5500</v>
      </c>
    </row>
    <row r="124" spans="1:12">
      <c r="A124">
        <v>209542</v>
      </c>
      <c r="B124" t="s">
        <v>193</v>
      </c>
      <c r="C124" t="s">
        <v>285</v>
      </c>
      <c r="D124" t="s">
        <v>284</v>
      </c>
      <c r="E124">
        <v>1</v>
      </c>
      <c r="F124">
        <v>1</v>
      </c>
      <c r="G124">
        <v>257681</v>
      </c>
      <c r="H124">
        <v>0</v>
      </c>
      <c r="I124">
        <v>3</v>
      </c>
      <c r="J124">
        <v>2</v>
      </c>
      <c r="K124">
        <v>235687</v>
      </c>
      <c r="L124">
        <v>0</v>
      </c>
    </row>
    <row r="125" spans="1:12">
      <c r="A125">
        <v>209807</v>
      </c>
      <c r="B125" t="s">
        <v>195</v>
      </c>
      <c r="C125" t="s">
        <v>285</v>
      </c>
      <c r="D125" t="s">
        <v>284</v>
      </c>
      <c r="E125">
        <v>1</v>
      </c>
      <c r="F125">
        <v>1</v>
      </c>
      <c r="G125">
        <v>149082</v>
      </c>
      <c r="H125">
        <v>0</v>
      </c>
      <c r="I125">
        <v>2</v>
      </c>
      <c r="J125">
        <v>2</v>
      </c>
      <c r="K125">
        <v>97302</v>
      </c>
      <c r="L125">
        <v>0</v>
      </c>
    </row>
    <row r="126" spans="1:12">
      <c r="A126">
        <v>227526</v>
      </c>
      <c r="B126" t="s">
        <v>196</v>
      </c>
      <c r="C126" t="s">
        <v>285</v>
      </c>
      <c r="D126" t="s">
        <v>284</v>
      </c>
      <c r="E126">
        <v>1</v>
      </c>
      <c r="F126">
        <v>1</v>
      </c>
      <c r="G126">
        <v>65599</v>
      </c>
      <c r="H126">
        <v>0</v>
      </c>
      <c r="I126">
        <v>2</v>
      </c>
      <c r="J126">
        <v>1.5</v>
      </c>
      <c r="K126">
        <v>35351</v>
      </c>
      <c r="L126">
        <v>0</v>
      </c>
    </row>
    <row r="127" spans="1:12">
      <c r="A127">
        <v>243780</v>
      </c>
      <c r="B127" t="s">
        <v>197</v>
      </c>
      <c r="C127" t="s">
        <v>285</v>
      </c>
      <c r="D127" t="s">
        <v>284</v>
      </c>
      <c r="E127">
        <v>1</v>
      </c>
      <c r="F127">
        <v>1</v>
      </c>
      <c r="G127">
        <v>281691</v>
      </c>
      <c r="H127">
        <v>9445</v>
      </c>
      <c r="I127">
        <v>2</v>
      </c>
      <c r="J127">
        <v>2</v>
      </c>
      <c r="K127">
        <v>257573</v>
      </c>
      <c r="L127">
        <v>6053</v>
      </c>
    </row>
    <row r="128" spans="1:12">
      <c r="A128">
        <v>151102</v>
      </c>
      <c r="B128" t="s">
        <v>198</v>
      </c>
      <c r="C128" t="s">
        <v>285</v>
      </c>
      <c r="D128" t="s">
        <v>284</v>
      </c>
      <c r="E128">
        <v>1</v>
      </c>
      <c r="F128">
        <v>1</v>
      </c>
      <c r="G128">
        <v>87004</v>
      </c>
      <c r="H128">
        <v>0</v>
      </c>
      <c r="I128">
        <v>2</v>
      </c>
      <c r="J128">
        <v>1.5</v>
      </c>
      <c r="K128">
        <v>70129</v>
      </c>
      <c r="L128">
        <v>0</v>
      </c>
    </row>
    <row r="129" spans="1:12">
      <c r="A129">
        <v>233277</v>
      </c>
      <c r="B129" t="s">
        <v>199</v>
      </c>
      <c r="C129" t="s">
        <v>285</v>
      </c>
      <c r="D129" t="s">
        <v>284</v>
      </c>
      <c r="E129">
        <v>1</v>
      </c>
      <c r="F129">
        <v>1</v>
      </c>
      <c r="G129">
        <v>108082</v>
      </c>
      <c r="H129">
        <v>0</v>
      </c>
      <c r="I129">
        <v>1</v>
      </c>
      <c r="J129">
        <v>1</v>
      </c>
      <c r="K129">
        <v>56046</v>
      </c>
      <c r="L129">
        <v>0</v>
      </c>
    </row>
    <row r="130" spans="1:12">
      <c r="A130">
        <v>217484</v>
      </c>
      <c r="B130" t="s">
        <v>200</v>
      </c>
      <c r="C130" t="s">
        <v>285</v>
      </c>
      <c r="D130" t="s">
        <v>284</v>
      </c>
      <c r="E130">
        <v>1</v>
      </c>
      <c r="F130">
        <v>1</v>
      </c>
      <c r="G130">
        <v>93159</v>
      </c>
      <c r="H130">
        <v>0</v>
      </c>
      <c r="I130">
        <v>1</v>
      </c>
      <c r="J130">
        <v>1</v>
      </c>
      <c r="K130">
        <v>49708</v>
      </c>
      <c r="L130">
        <v>0</v>
      </c>
    </row>
    <row r="131" spans="1:12">
      <c r="A131">
        <v>186380</v>
      </c>
      <c r="B131" t="s">
        <v>201</v>
      </c>
      <c r="C131" t="s">
        <v>285</v>
      </c>
      <c r="D131" t="s">
        <v>284</v>
      </c>
      <c r="E131">
        <v>1</v>
      </c>
      <c r="F131">
        <v>1</v>
      </c>
      <c r="G131">
        <v>152150</v>
      </c>
      <c r="H131">
        <v>10000</v>
      </c>
      <c r="I131">
        <v>2</v>
      </c>
      <c r="J131">
        <v>2</v>
      </c>
      <c r="K131">
        <v>206770</v>
      </c>
      <c r="L131">
        <v>5000</v>
      </c>
    </row>
    <row r="132" spans="1:12">
      <c r="A132">
        <v>110617</v>
      </c>
      <c r="B132" t="s">
        <v>202</v>
      </c>
      <c r="C132" t="s">
        <v>285</v>
      </c>
      <c r="D132" t="s">
        <v>284</v>
      </c>
      <c r="E132">
        <v>1</v>
      </c>
      <c r="F132">
        <v>0.7</v>
      </c>
      <c r="G132">
        <v>99569</v>
      </c>
      <c r="H132">
        <v>0</v>
      </c>
      <c r="I132">
        <v>2</v>
      </c>
      <c r="J132">
        <v>2</v>
      </c>
      <c r="K132">
        <v>191637</v>
      </c>
      <c r="L132">
        <v>0</v>
      </c>
    </row>
    <row r="133" spans="1:12">
      <c r="A133">
        <v>227881</v>
      </c>
      <c r="B133" t="s">
        <v>203</v>
      </c>
      <c r="C133" t="s">
        <v>285</v>
      </c>
      <c r="D133" t="s">
        <v>284</v>
      </c>
      <c r="E133">
        <v>1</v>
      </c>
      <c r="F133">
        <v>1</v>
      </c>
      <c r="G133">
        <v>128056</v>
      </c>
      <c r="H133">
        <v>0</v>
      </c>
      <c r="I133">
        <v>1</v>
      </c>
      <c r="J133">
        <v>1</v>
      </c>
      <c r="K133">
        <v>56379</v>
      </c>
      <c r="L133">
        <v>0</v>
      </c>
    </row>
    <row r="134" spans="1:12">
      <c r="A134">
        <v>122409</v>
      </c>
      <c r="B134" t="s">
        <v>204</v>
      </c>
      <c r="C134" t="s">
        <v>285</v>
      </c>
      <c r="D134" t="s">
        <v>284</v>
      </c>
      <c r="E134">
        <v>1</v>
      </c>
      <c r="F134">
        <v>1</v>
      </c>
      <c r="G134">
        <v>229152</v>
      </c>
      <c r="H134">
        <v>0</v>
      </c>
      <c r="I134">
        <v>2</v>
      </c>
      <c r="J134">
        <v>2</v>
      </c>
      <c r="K134">
        <v>223447</v>
      </c>
      <c r="L134">
        <v>0</v>
      </c>
    </row>
    <row r="135" spans="1:12">
      <c r="A135">
        <v>122755</v>
      </c>
      <c r="B135" t="s">
        <v>205</v>
      </c>
      <c r="C135" t="s">
        <v>285</v>
      </c>
      <c r="D135" t="s">
        <v>284</v>
      </c>
      <c r="E135">
        <v>1</v>
      </c>
      <c r="F135">
        <v>1</v>
      </c>
      <c r="G135">
        <v>182992</v>
      </c>
      <c r="H135">
        <v>0</v>
      </c>
      <c r="I135">
        <v>2</v>
      </c>
      <c r="J135">
        <v>1.6</v>
      </c>
      <c r="K135">
        <v>127906</v>
      </c>
      <c r="L135">
        <v>0</v>
      </c>
    </row>
    <row r="136" spans="1:12">
      <c r="A136">
        <v>102094</v>
      </c>
      <c r="B136" t="s">
        <v>207</v>
      </c>
      <c r="C136" t="s">
        <v>285</v>
      </c>
      <c r="D136" s="48" t="s">
        <v>284</v>
      </c>
      <c r="E136" s="23">
        <v>1</v>
      </c>
      <c r="F136" s="23">
        <v>1</v>
      </c>
      <c r="G136" s="23">
        <v>127760</v>
      </c>
      <c r="H136" s="57">
        <v>0</v>
      </c>
      <c r="I136" s="23">
        <v>2</v>
      </c>
      <c r="J136" s="23">
        <v>2</v>
      </c>
      <c r="K136" s="23">
        <v>88986</v>
      </c>
      <c r="L136" s="57">
        <v>0</v>
      </c>
    </row>
    <row r="137" spans="1:12">
      <c r="A137">
        <v>218663</v>
      </c>
      <c r="B137" t="s">
        <v>208</v>
      </c>
      <c r="C137" t="s">
        <v>285</v>
      </c>
      <c r="D137" t="s">
        <v>284</v>
      </c>
      <c r="E137">
        <v>1</v>
      </c>
      <c r="F137">
        <v>1</v>
      </c>
      <c r="G137">
        <v>227887</v>
      </c>
      <c r="H137">
        <v>0</v>
      </c>
      <c r="I137">
        <v>2</v>
      </c>
      <c r="J137">
        <v>2</v>
      </c>
      <c r="K137">
        <v>199233</v>
      </c>
      <c r="L137">
        <v>0</v>
      </c>
    </row>
    <row r="138" spans="1:12">
      <c r="A138">
        <v>218742</v>
      </c>
      <c r="B138" t="s">
        <v>210</v>
      </c>
      <c r="C138" t="s">
        <v>285</v>
      </c>
      <c r="D138" t="s">
        <v>284</v>
      </c>
      <c r="E138">
        <v>1</v>
      </c>
      <c r="F138">
        <v>1</v>
      </c>
      <c r="G138">
        <v>96464</v>
      </c>
      <c r="H138">
        <v>0</v>
      </c>
      <c r="I138">
        <v>1</v>
      </c>
      <c r="J138">
        <v>1</v>
      </c>
      <c r="K138">
        <v>37871</v>
      </c>
      <c r="L138">
        <v>0</v>
      </c>
    </row>
    <row r="139" spans="1:12">
      <c r="A139">
        <v>219471</v>
      </c>
      <c r="B139" t="s">
        <v>211</v>
      </c>
      <c r="C139" t="s">
        <v>285</v>
      </c>
      <c r="D139" t="s">
        <v>284</v>
      </c>
      <c r="E139">
        <v>1</v>
      </c>
      <c r="F139">
        <v>1</v>
      </c>
      <c r="G139">
        <v>112010</v>
      </c>
      <c r="H139">
        <v>1164</v>
      </c>
      <c r="I139">
        <v>2</v>
      </c>
      <c r="J139">
        <v>2</v>
      </c>
      <c r="K139">
        <v>129521</v>
      </c>
      <c r="L139">
        <v>0</v>
      </c>
    </row>
    <row r="140" spans="1:12">
      <c r="A140">
        <v>219356</v>
      </c>
      <c r="B140" t="s">
        <v>212</v>
      </c>
      <c r="C140" t="s">
        <v>285</v>
      </c>
      <c r="D140" t="s">
        <v>284</v>
      </c>
      <c r="E140">
        <v>1</v>
      </c>
      <c r="F140">
        <v>1</v>
      </c>
      <c r="G140">
        <v>95003</v>
      </c>
      <c r="H140">
        <v>0</v>
      </c>
      <c r="I140">
        <v>1</v>
      </c>
      <c r="J140">
        <v>1</v>
      </c>
      <c r="K140">
        <v>53598</v>
      </c>
      <c r="L140">
        <v>0</v>
      </c>
    </row>
    <row r="141" spans="1:12">
      <c r="A141">
        <v>137351</v>
      </c>
      <c r="B141" t="s">
        <v>213</v>
      </c>
      <c r="C141" t="s">
        <v>285</v>
      </c>
      <c r="D141" t="s">
        <v>284</v>
      </c>
      <c r="E141">
        <v>1</v>
      </c>
      <c r="F141">
        <v>1</v>
      </c>
      <c r="G141">
        <v>139124</v>
      </c>
      <c r="H141">
        <v>0</v>
      </c>
      <c r="I141">
        <v>2</v>
      </c>
      <c r="J141">
        <v>2</v>
      </c>
      <c r="K141">
        <v>134642</v>
      </c>
      <c r="L141">
        <v>0</v>
      </c>
    </row>
    <row r="142" spans="1:12">
      <c r="A142">
        <v>179557</v>
      </c>
      <c r="B142" t="s">
        <v>214</v>
      </c>
      <c r="C142" t="s">
        <v>285</v>
      </c>
      <c r="D142" t="s">
        <v>284</v>
      </c>
      <c r="E142">
        <v>1</v>
      </c>
      <c r="F142">
        <v>1</v>
      </c>
      <c r="G142">
        <v>83057</v>
      </c>
      <c r="H142">
        <v>4350</v>
      </c>
      <c r="I142">
        <v>2</v>
      </c>
      <c r="J142">
        <v>2</v>
      </c>
      <c r="K142">
        <v>96879</v>
      </c>
      <c r="L142">
        <v>0</v>
      </c>
    </row>
    <row r="143" spans="1:12">
      <c r="A143">
        <v>160621</v>
      </c>
      <c r="B143" t="s">
        <v>216</v>
      </c>
      <c r="C143" t="s">
        <v>285</v>
      </c>
      <c r="D143" t="s">
        <v>284</v>
      </c>
      <c r="E143">
        <v>1</v>
      </c>
      <c r="F143">
        <v>1</v>
      </c>
      <c r="G143">
        <v>67565</v>
      </c>
      <c r="H143">
        <v>0</v>
      </c>
      <c r="I143">
        <v>1</v>
      </c>
      <c r="J143">
        <v>1</v>
      </c>
      <c r="K143">
        <v>18905</v>
      </c>
      <c r="L143">
        <v>0</v>
      </c>
    </row>
    <row r="144" spans="1:12">
      <c r="A144">
        <v>149231</v>
      </c>
      <c r="B144" t="s">
        <v>218</v>
      </c>
      <c r="C144" t="s">
        <v>285</v>
      </c>
      <c r="D144" t="s">
        <v>284</v>
      </c>
      <c r="E144">
        <v>1</v>
      </c>
      <c r="F144">
        <v>1</v>
      </c>
      <c r="G144">
        <v>62440</v>
      </c>
      <c r="H144">
        <v>0</v>
      </c>
      <c r="I144">
        <v>2</v>
      </c>
      <c r="J144">
        <v>1.5</v>
      </c>
      <c r="K144">
        <v>57765</v>
      </c>
      <c r="L144">
        <v>0</v>
      </c>
    </row>
    <row r="145" spans="1:12">
      <c r="A145">
        <v>176372</v>
      </c>
      <c r="B145" t="s">
        <v>219</v>
      </c>
      <c r="C145" t="s">
        <v>285</v>
      </c>
      <c r="D145" t="s">
        <v>284</v>
      </c>
      <c r="E145">
        <v>1</v>
      </c>
      <c r="F145">
        <v>0.5</v>
      </c>
      <c r="G145">
        <v>50964</v>
      </c>
      <c r="H145">
        <v>0</v>
      </c>
      <c r="I145">
        <v>2</v>
      </c>
      <c r="J145">
        <v>2</v>
      </c>
      <c r="K145">
        <v>107244</v>
      </c>
      <c r="L145">
        <v>0</v>
      </c>
    </row>
    <row r="146" spans="1:12">
      <c r="A146">
        <v>230603</v>
      </c>
      <c r="B146" t="s">
        <v>220</v>
      </c>
      <c r="C146" t="s">
        <v>285</v>
      </c>
      <c r="D146" t="s">
        <v>284</v>
      </c>
      <c r="E146">
        <v>1</v>
      </c>
      <c r="F146">
        <v>1</v>
      </c>
      <c r="G146">
        <v>82862</v>
      </c>
      <c r="H146">
        <v>0</v>
      </c>
      <c r="I146">
        <v>1</v>
      </c>
      <c r="J146">
        <v>1</v>
      </c>
      <c r="K146">
        <v>47089</v>
      </c>
      <c r="L146">
        <v>0</v>
      </c>
    </row>
    <row r="147" spans="1:12">
      <c r="A147">
        <v>228431</v>
      </c>
      <c r="B147" t="s">
        <v>221</v>
      </c>
      <c r="C147" t="s">
        <v>285</v>
      </c>
      <c r="D147" t="s">
        <v>284</v>
      </c>
      <c r="E147">
        <v>1</v>
      </c>
      <c r="F147">
        <v>1</v>
      </c>
      <c r="G147">
        <v>117906</v>
      </c>
      <c r="H147">
        <v>0</v>
      </c>
      <c r="I147">
        <v>2</v>
      </c>
      <c r="J147">
        <v>2</v>
      </c>
      <c r="K147">
        <v>108770</v>
      </c>
      <c r="L147">
        <v>0</v>
      </c>
    </row>
    <row r="148" spans="1:12">
      <c r="A148">
        <v>196097</v>
      </c>
      <c r="B148" t="s">
        <v>222</v>
      </c>
      <c r="C148" t="s">
        <v>285</v>
      </c>
      <c r="D148" t="s">
        <v>284</v>
      </c>
      <c r="E148">
        <v>1</v>
      </c>
      <c r="F148">
        <v>1</v>
      </c>
      <c r="G148">
        <v>182207</v>
      </c>
      <c r="H148">
        <v>0</v>
      </c>
      <c r="I148">
        <v>2</v>
      </c>
      <c r="J148">
        <v>1.65</v>
      </c>
      <c r="K148">
        <v>153264</v>
      </c>
      <c r="L148">
        <v>0</v>
      </c>
    </row>
    <row r="149" spans="1:12">
      <c r="A149">
        <v>221759</v>
      </c>
      <c r="B149" t="s">
        <v>223</v>
      </c>
      <c r="C149" t="s">
        <v>285</v>
      </c>
      <c r="D149" t="s">
        <v>284</v>
      </c>
      <c r="E149">
        <v>1</v>
      </c>
      <c r="F149">
        <v>1</v>
      </c>
      <c r="G149">
        <v>235554</v>
      </c>
      <c r="H149">
        <v>0</v>
      </c>
      <c r="I149">
        <v>2</v>
      </c>
      <c r="J149">
        <v>2</v>
      </c>
      <c r="K149">
        <v>269637</v>
      </c>
      <c r="L149">
        <v>0</v>
      </c>
    </row>
    <row r="150" spans="1:12">
      <c r="A150">
        <v>221740</v>
      </c>
      <c r="B150" t="s">
        <v>224</v>
      </c>
      <c r="C150" t="s">
        <v>285</v>
      </c>
      <c r="D150" t="s">
        <v>284</v>
      </c>
      <c r="E150">
        <v>1</v>
      </c>
      <c r="F150">
        <v>1</v>
      </c>
      <c r="G150">
        <v>119623</v>
      </c>
      <c r="H150">
        <v>0</v>
      </c>
      <c r="I150">
        <v>2</v>
      </c>
      <c r="J150">
        <v>2</v>
      </c>
      <c r="K150">
        <v>97906</v>
      </c>
      <c r="L150">
        <v>0</v>
      </c>
    </row>
    <row r="151" spans="1:12">
      <c r="A151">
        <v>221847</v>
      </c>
      <c r="B151" t="s">
        <v>227</v>
      </c>
      <c r="C151" t="s">
        <v>285</v>
      </c>
      <c r="D151" t="s">
        <v>284</v>
      </c>
      <c r="E151">
        <v>1</v>
      </c>
      <c r="F151">
        <v>0.7</v>
      </c>
      <c r="G151">
        <v>60114</v>
      </c>
      <c r="H151">
        <v>0</v>
      </c>
      <c r="I151">
        <v>2</v>
      </c>
      <c r="J151">
        <v>1.8</v>
      </c>
      <c r="K151">
        <v>86661</v>
      </c>
      <c r="L151">
        <v>0</v>
      </c>
    </row>
    <row r="152" spans="1:12">
      <c r="A152">
        <v>228778</v>
      </c>
      <c r="B152" t="s">
        <v>228</v>
      </c>
      <c r="C152" t="s">
        <v>285</v>
      </c>
      <c r="D152" t="s">
        <v>284</v>
      </c>
      <c r="E152">
        <v>1</v>
      </c>
      <c r="F152">
        <v>1</v>
      </c>
      <c r="G152">
        <v>837903</v>
      </c>
      <c r="H152">
        <v>0</v>
      </c>
      <c r="I152">
        <v>2</v>
      </c>
      <c r="J152">
        <v>2</v>
      </c>
      <c r="K152">
        <v>452896</v>
      </c>
      <c r="L152">
        <v>0</v>
      </c>
    </row>
    <row r="153" spans="1:12">
      <c r="A153">
        <v>228723</v>
      </c>
      <c r="B153" t="s">
        <v>229</v>
      </c>
      <c r="C153" t="s">
        <v>285</v>
      </c>
      <c r="D153" t="s">
        <v>284</v>
      </c>
      <c r="E153">
        <v>1</v>
      </c>
      <c r="F153">
        <v>1</v>
      </c>
      <c r="G153">
        <v>284722</v>
      </c>
      <c r="H153">
        <v>0</v>
      </c>
      <c r="I153">
        <v>2</v>
      </c>
      <c r="J153">
        <v>2</v>
      </c>
      <c r="K153">
        <v>315412</v>
      </c>
      <c r="L153">
        <v>0</v>
      </c>
    </row>
    <row r="154" spans="1:12">
      <c r="A154">
        <v>224147</v>
      </c>
      <c r="B154" t="s">
        <v>230</v>
      </c>
      <c r="C154" t="s">
        <v>285</v>
      </c>
      <c r="D154" t="s">
        <v>284</v>
      </c>
      <c r="E154">
        <v>1</v>
      </c>
      <c r="F154">
        <v>1</v>
      </c>
      <c r="G154">
        <v>114950</v>
      </c>
      <c r="H154">
        <v>0</v>
      </c>
      <c r="I154">
        <v>2</v>
      </c>
      <c r="J154">
        <v>2</v>
      </c>
      <c r="K154">
        <v>106206</v>
      </c>
      <c r="L154">
        <v>0</v>
      </c>
    </row>
    <row r="155" spans="1:12">
      <c r="A155">
        <v>228769</v>
      </c>
      <c r="B155" t="s">
        <v>231</v>
      </c>
      <c r="C155" t="s">
        <v>285</v>
      </c>
      <c r="D155" t="s">
        <v>284</v>
      </c>
      <c r="E155">
        <v>1</v>
      </c>
      <c r="F155">
        <v>1</v>
      </c>
      <c r="G155">
        <v>152560</v>
      </c>
      <c r="H155">
        <v>0</v>
      </c>
      <c r="I155">
        <v>2</v>
      </c>
      <c r="J155">
        <v>2</v>
      </c>
      <c r="K155">
        <v>114438</v>
      </c>
      <c r="L155">
        <v>0</v>
      </c>
    </row>
    <row r="156" spans="1:12">
      <c r="A156">
        <v>229063</v>
      </c>
      <c r="B156" t="s">
        <v>232</v>
      </c>
      <c r="C156" t="s">
        <v>285</v>
      </c>
      <c r="D156" t="s">
        <v>284</v>
      </c>
      <c r="E156">
        <v>1</v>
      </c>
      <c r="F156">
        <v>1</v>
      </c>
      <c r="G156">
        <v>109008</v>
      </c>
      <c r="H156">
        <v>0</v>
      </c>
      <c r="I156">
        <v>1</v>
      </c>
      <c r="J156">
        <v>1</v>
      </c>
      <c r="K156">
        <v>28000</v>
      </c>
      <c r="L156">
        <v>0</v>
      </c>
    </row>
    <row r="157" spans="1:12">
      <c r="A157">
        <v>228459</v>
      </c>
      <c r="B157" t="s">
        <v>233</v>
      </c>
      <c r="C157" t="s">
        <v>285</v>
      </c>
      <c r="D157" t="s">
        <v>284</v>
      </c>
      <c r="E157">
        <v>1</v>
      </c>
      <c r="F157">
        <v>1</v>
      </c>
      <c r="G157">
        <v>119917</v>
      </c>
      <c r="H157">
        <v>0</v>
      </c>
      <c r="I157">
        <v>2</v>
      </c>
      <c r="J157">
        <v>2</v>
      </c>
      <c r="K157">
        <v>139601</v>
      </c>
      <c r="L157">
        <v>0</v>
      </c>
    </row>
    <row r="158" spans="1:12">
      <c r="A158">
        <v>229115</v>
      </c>
      <c r="B158" t="s">
        <v>234</v>
      </c>
      <c r="C158" t="s">
        <v>285</v>
      </c>
      <c r="D158" t="s">
        <v>284</v>
      </c>
      <c r="E158">
        <v>1</v>
      </c>
      <c r="F158">
        <v>1</v>
      </c>
      <c r="G158">
        <v>192263</v>
      </c>
      <c r="H158">
        <v>0</v>
      </c>
      <c r="I158">
        <v>2</v>
      </c>
      <c r="J158">
        <v>2</v>
      </c>
      <c r="K158">
        <v>176405</v>
      </c>
      <c r="L158">
        <v>0</v>
      </c>
    </row>
    <row r="159" spans="1:12">
      <c r="A159">
        <v>206084</v>
      </c>
      <c r="B159" t="s">
        <v>235</v>
      </c>
      <c r="C159" t="s">
        <v>285</v>
      </c>
      <c r="D159" t="s">
        <v>284</v>
      </c>
      <c r="E159">
        <v>1</v>
      </c>
      <c r="F159">
        <v>1</v>
      </c>
      <c r="G159">
        <v>120845</v>
      </c>
      <c r="H159">
        <v>0</v>
      </c>
      <c r="I159">
        <v>2</v>
      </c>
      <c r="J159">
        <v>2</v>
      </c>
      <c r="K159">
        <v>130267</v>
      </c>
      <c r="L159">
        <v>0</v>
      </c>
    </row>
    <row r="160" spans="1:12">
      <c r="A160">
        <v>164076</v>
      </c>
      <c r="B160" t="s">
        <v>236</v>
      </c>
      <c r="C160" t="s">
        <v>285</v>
      </c>
      <c r="D160" t="s">
        <v>284</v>
      </c>
      <c r="E160">
        <v>1</v>
      </c>
      <c r="F160">
        <v>1</v>
      </c>
      <c r="G160">
        <v>115833</v>
      </c>
      <c r="H160">
        <v>0</v>
      </c>
      <c r="I160">
        <v>2</v>
      </c>
      <c r="J160">
        <v>2</v>
      </c>
      <c r="K160">
        <v>115364</v>
      </c>
      <c r="L160">
        <v>0</v>
      </c>
    </row>
    <row r="161" spans="1:12">
      <c r="A161">
        <v>100663</v>
      </c>
      <c r="B161" t="s">
        <v>238</v>
      </c>
      <c r="C161" t="s">
        <v>285</v>
      </c>
      <c r="D161" t="s">
        <v>284</v>
      </c>
      <c r="E161">
        <v>1</v>
      </c>
      <c r="F161">
        <v>1</v>
      </c>
      <c r="G161">
        <v>108260</v>
      </c>
      <c r="H161">
        <v>0</v>
      </c>
      <c r="I161">
        <v>2</v>
      </c>
      <c r="J161">
        <v>2</v>
      </c>
      <c r="K161">
        <v>115438</v>
      </c>
      <c r="L161">
        <v>0</v>
      </c>
    </row>
    <row r="162" spans="1:12">
      <c r="A162">
        <v>110644</v>
      </c>
      <c r="B162" t="s">
        <v>239</v>
      </c>
      <c r="C162" t="s">
        <v>285</v>
      </c>
      <c r="D162" t="s">
        <v>284</v>
      </c>
      <c r="E162">
        <v>1</v>
      </c>
      <c r="F162">
        <v>0.8</v>
      </c>
      <c r="G162">
        <v>133023</v>
      </c>
      <c r="H162">
        <v>0</v>
      </c>
      <c r="I162">
        <v>2</v>
      </c>
      <c r="J162">
        <v>1.72</v>
      </c>
      <c r="K162">
        <v>150213</v>
      </c>
      <c r="L162">
        <v>0</v>
      </c>
    </row>
    <row r="163" spans="1:12">
      <c r="A163">
        <v>110653</v>
      </c>
      <c r="B163" t="s">
        <v>240</v>
      </c>
      <c r="C163" t="s">
        <v>285</v>
      </c>
      <c r="D163" t="s">
        <v>284</v>
      </c>
      <c r="E163">
        <v>1</v>
      </c>
      <c r="F163">
        <v>1</v>
      </c>
      <c r="G163">
        <v>163726</v>
      </c>
      <c r="H163">
        <v>0</v>
      </c>
      <c r="I163">
        <v>2</v>
      </c>
      <c r="J163">
        <v>2</v>
      </c>
      <c r="K163">
        <v>137469</v>
      </c>
      <c r="L163">
        <v>0</v>
      </c>
    </row>
    <row r="164" spans="1:12">
      <c r="A164">
        <v>110705</v>
      </c>
      <c r="B164" t="s">
        <v>242</v>
      </c>
      <c r="C164" t="s">
        <v>285</v>
      </c>
      <c r="D164" t="s">
        <v>284</v>
      </c>
      <c r="E164">
        <v>1</v>
      </c>
      <c r="F164">
        <v>1</v>
      </c>
      <c r="G164">
        <v>177586</v>
      </c>
      <c r="H164">
        <v>0</v>
      </c>
      <c r="I164">
        <v>2</v>
      </c>
      <c r="J164">
        <v>2</v>
      </c>
      <c r="K164">
        <v>139344</v>
      </c>
      <c r="L164">
        <v>0</v>
      </c>
    </row>
    <row r="165" spans="1:12">
      <c r="A165">
        <v>132903</v>
      </c>
      <c r="B165" t="s">
        <v>243</v>
      </c>
      <c r="C165" t="s">
        <v>285</v>
      </c>
      <c r="D165" t="s">
        <v>284</v>
      </c>
      <c r="E165">
        <v>1</v>
      </c>
      <c r="F165">
        <v>1</v>
      </c>
      <c r="G165">
        <v>169301</v>
      </c>
      <c r="H165">
        <v>0</v>
      </c>
      <c r="I165">
        <v>2</v>
      </c>
      <c r="J165">
        <v>2</v>
      </c>
      <c r="K165">
        <v>196245</v>
      </c>
      <c r="L165">
        <v>0</v>
      </c>
    </row>
    <row r="166" spans="1:12">
      <c r="A166">
        <v>110662</v>
      </c>
      <c r="B166" t="s">
        <v>244</v>
      </c>
      <c r="C166" t="s">
        <v>285</v>
      </c>
      <c r="D166" t="s">
        <v>284</v>
      </c>
      <c r="E166">
        <v>1</v>
      </c>
      <c r="F166">
        <v>1</v>
      </c>
      <c r="G166">
        <v>223373</v>
      </c>
      <c r="H166">
        <v>0</v>
      </c>
      <c r="I166">
        <v>2</v>
      </c>
      <c r="J166">
        <v>2</v>
      </c>
      <c r="K166">
        <v>410685</v>
      </c>
      <c r="L166">
        <v>0</v>
      </c>
    </row>
    <row r="167" spans="1:12">
      <c r="A167">
        <v>182281</v>
      </c>
      <c r="B167" t="s">
        <v>245</v>
      </c>
      <c r="C167" t="s">
        <v>285</v>
      </c>
      <c r="D167" t="s">
        <v>284</v>
      </c>
      <c r="E167">
        <v>1</v>
      </c>
      <c r="F167">
        <v>1</v>
      </c>
      <c r="G167">
        <v>167377</v>
      </c>
      <c r="H167">
        <v>0</v>
      </c>
      <c r="I167">
        <v>2</v>
      </c>
      <c r="J167">
        <v>2</v>
      </c>
      <c r="K167">
        <v>145514</v>
      </c>
      <c r="L167">
        <v>0</v>
      </c>
    </row>
    <row r="168" spans="1:12">
      <c r="A168">
        <v>230764</v>
      </c>
      <c r="B168" t="s">
        <v>246</v>
      </c>
      <c r="C168" t="s">
        <v>285</v>
      </c>
      <c r="D168" t="s">
        <v>284</v>
      </c>
      <c r="E168">
        <v>1</v>
      </c>
      <c r="F168">
        <v>1</v>
      </c>
      <c r="G168">
        <v>248391</v>
      </c>
      <c r="H168">
        <v>0</v>
      </c>
      <c r="I168">
        <v>2</v>
      </c>
      <c r="J168">
        <v>2</v>
      </c>
      <c r="K168">
        <v>250157</v>
      </c>
      <c r="L168">
        <v>0</v>
      </c>
    </row>
    <row r="169" spans="1:12">
      <c r="A169">
        <v>230728</v>
      </c>
      <c r="B169" t="s">
        <v>247</v>
      </c>
      <c r="C169" t="s">
        <v>285</v>
      </c>
      <c r="D169" t="s">
        <v>284</v>
      </c>
      <c r="E169">
        <v>1</v>
      </c>
      <c r="F169">
        <v>1</v>
      </c>
      <c r="G169">
        <v>156619</v>
      </c>
      <c r="H169">
        <v>0</v>
      </c>
      <c r="I169">
        <v>2</v>
      </c>
      <c r="J169">
        <v>1.91</v>
      </c>
      <c r="K169">
        <v>123886</v>
      </c>
      <c r="L169">
        <v>0</v>
      </c>
    </row>
    <row r="170" spans="1:12">
      <c r="A170">
        <v>230737</v>
      </c>
      <c r="B170" t="s">
        <v>248</v>
      </c>
      <c r="C170" t="s">
        <v>285</v>
      </c>
      <c r="D170" t="s">
        <v>284</v>
      </c>
      <c r="E170">
        <v>1</v>
      </c>
      <c r="F170">
        <v>1</v>
      </c>
      <c r="G170">
        <v>113405</v>
      </c>
      <c r="H170">
        <v>0</v>
      </c>
      <c r="I170">
        <v>3</v>
      </c>
      <c r="J170">
        <v>2</v>
      </c>
      <c r="K170">
        <v>70352</v>
      </c>
      <c r="L170">
        <v>0</v>
      </c>
    </row>
    <row r="171" spans="1:12">
      <c r="A171">
        <v>228796</v>
      </c>
      <c r="B171" t="s">
        <v>249</v>
      </c>
      <c r="C171" t="s">
        <v>285</v>
      </c>
      <c r="D171" t="s">
        <v>284</v>
      </c>
      <c r="E171">
        <v>1</v>
      </c>
      <c r="F171">
        <v>1</v>
      </c>
      <c r="G171">
        <v>109735</v>
      </c>
      <c r="H171">
        <v>0</v>
      </c>
      <c r="I171">
        <v>2</v>
      </c>
      <c r="J171">
        <v>2</v>
      </c>
      <c r="K171">
        <v>115323</v>
      </c>
      <c r="L171">
        <v>0</v>
      </c>
    </row>
    <row r="172" spans="1:12">
      <c r="A172">
        <v>227368</v>
      </c>
      <c r="B172" t="s">
        <v>250</v>
      </c>
      <c r="C172" t="s">
        <v>285</v>
      </c>
      <c r="D172" t="s">
        <v>284</v>
      </c>
      <c r="E172">
        <v>1</v>
      </c>
      <c r="F172">
        <v>1</v>
      </c>
      <c r="G172">
        <v>132550</v>
      </c>
      <c r="H172">
        <v>0</v>
      </c>
      <c r="I172">
        <v>2</v>
      </c>
      <c r="J172">
        <v>2</v>
      </c>
      <c r="K172">
        <v>85939</v>
      </c>
      <c r="L172">
        <v>0</v>
      </c>
    </row>
    <row r="173" spans="1:12">
      <c r="A173">
        <v>229027</v>
      </c>
      <c r="B173" t="s">
        <v>251</v>
      </c>
      <c r="C173" t="s">
        <v>285</v>
      </c>
      <c r="D173" t="s">
        <v>284</v>
      </c>
      <c r="E173">
        <v>1</v>
      </c>
      <c r="F173">
        <v>1</v>
      </c>
      <c r="G173">
        <v>125348</v>
      </c>
      <c r="H173">
        <v>0</v>
      </c>
      <c r="I173">
        <v>2</v>
      </c>
      <c r="J173">
        <v>2</v>
      </c>
      <c r="K173">
        <v>134804</v>
      </c>
      <c r="L173">
        <v>0</v>
      </c>
    </row>
    <row r="174" spans="1:12">
      <c r="A174">
        <v>234030</v>
      </c>
      <c r="B174" t="s">
        <v>252</v>
      </c>
      <c r="C174" t="s">
        <v>285</v>
      </c>
      <c r="D174" t="s">
        <v>284</v>
      </c>
      <c r="E174">
        <v>1</v>
      </c>
      <c r="F174">
        <v>1</v>
      </c>
      <c r="G174">
        <v>161991</v>
      </c>
      <c r="H174">
        <v>0</v>
      </c>
      <c r="I174">
        <v>3</v>
      </c>
      <c r="J174">
        <v>2</v>
      </c>
      <c r="K174">
        <v>127107</v>
      </c>
      <c r="L174">
        <v>0</v>
      </c>
    </row>
    <row r="175" spans="1:12">
      <c r="A175">
        <v>234030</v>
      </c>
      <c r="B175" t="s">
        <v>252</v>
      </c>
      <c r="C175" t="s">
        <v>285</v>
      </c>
      <c r="D175" t="s">
        <v>284</v>
      </c>
      <c r="E175">
        <v>1</v>
      </c>
      <c r="F175">
        <v>1</v>
      </c>
      <c r="G175">
        <v>161991</v>
      </c>
      <c r="H175">
        <v>0</v>
      </c>
      <c r="I175">
        <v>3</v>
      </c>
      <c r="J175">
        <v>2</v>
      </c>
      <c r="K175">
        <v>127107</v>
      </c>
      <c r="L175">
        <v>0</v>
      </c>
    </row>
    <row r="176" spans="1:12">
      <c r="A176">
        <v>234076</v>
      </c>
      <c r="B176" t="s">
        <v>254</v>
      </c>
      <c r="C176" t="s">
        <v>285</v>
      </c>
      <c r="D176" t="s">
        <v>284</v>
      </c>
      <c r="E176">
        <v>1</v>
      </c>
      <c r="F176">
        <v>1</v>
      </c>
      <c r="G176">
        <v>198194</v>
      </c>
      <c r="H176">
        <v>0</v>
      </c>
      <c r="I176">
        <v>2</v>
      </c>
      <c r="J176">
        <v>2</v>
      </c>
      <c r="K176">
        <v>190806</v>
      </c>
      <c r="L176">
        <v>0</v>
      </c>
    </row>
    <row r="177" spans="1:12">
      <c r="A177">
        <v>233921</v>
      </c>
      <c r="B177" t="s">
        <v>255</v>
      </c>
      <c r="C177" t="s">
        <v>285</v>
      </c>
      <c r="D177" t="s">
        <v>284</v>
      </c>
      <c r="E177">
        <v>1</v>
      </c>
      <c r="F177">
        <v>1</v>
      </c>
      <c r="G177">
        <v>182038</v>
      </c>
      <c r="H177">
        <v>0</v>
      </c>
      <c r="I177">
        <v>2</v>
      </c>
      <c r="J177">
        <v>2</v>
      </c>
      <c r="K177">
        <v>186401</v>
      </c>
      <c r="L177">
        <v>0</v>
      </c>
    </row>
    <row r="178" spans="1:12">
      <c r="A178">
        <v>236948</v>
      </c>
      <c r="B178" t="s">
        <v>257</v>
      </c>
      <c r="C178" t="s">
        <v>285</v>
      </c>
      <c r="D178" t="s">
        <v>284</v>
      </c>
      <c r="E178">
        <v>1</v>
      </c>
      <c r="F178">
        <v>1</v>
      </c>
      <c r="G178">
        <v>342088</v>
      </c>
      <c r="H178">
        <v>0</v>
      </c>
      <c r="I178">
        <v>2</v>
      </c>
      <c r="J178">
        <v>2</v>
      </c>
      <c r="K178">
        <v>281458</v>
      </c>
      <c r="L178">
        <v>0</v>
      </c>
    </row>
    <row r="179" spans="1:12">
      <c r="A179">
        <v>236939</v>
      </c>
      <c r="B179" t="s">
        <v>258</v>
      </c>
      <c r="C179" t="s">
        <v>285</v>
      </c>
      <c r="D179" t="s">
        <v>284</v>
      </c>
      <c r="E179">
        <v>1</v>
      </c>
      <c r="F179">
        <v>1</v>
      </c>
      <c r="G179">
        <v>234894</v>
      </c>
      <c r="H179">
        <v>0</v>
      </c>
      <c r="I179">
        <v>2</v>
      </c>
      <c r="J179">
        <v>2</v>
      </c>
      <c r="K179">
        <v>223493</v>
      </c>
      <c r="L179">
        <v>0</v>
      </c>
    </row>
    <row r="180" spans="1:12">
      <c r="A180">
        <v>230782</v>
      </c>
      <c r="B180" t="s">
        <v>259</v>
      </c>
      <c r="C180" t="s">
        <v>285</v>
      </c>
      <c r="D180" t="s">
        <v>284</v>
      </c>
      <c r="E180">
        <v>1</v>
      </c>
      <c r="F180">
        <v>1</v>
      </c>
      <c r="G180">
        <v>110218</v>
      </c>
      <c r="H180">
        <v>0</v>
      </c>
      <c r="I180">
        <v>2</v>
      </c>
      <c r="J180">
        <v>2</v>
      </c>
      <c r="K180">
        <v>124733</v>
      </c>
      <c r="L180">
        <v>0</v>
      </c>
    </row>
    <row r="181" spans="1:12">
      <c r="A181">
        <v>238032</v>
      </c>
      <c r="B181" t="s">
        <v>260</v>
      </c>
      <c r="C181" t="s">
        <v>285</v>
      </c>
      <c r="D181" t="s">
        <v>284</v>
      </c>
      <c r="E181">
        <v>1</v>
      </c>
      <c r="F181">
        <v>1</v>
      </c>
      <c r="G181">
        <v>170087</v>
      </c>
      <c r="H181">
        <v>0</v>
      </c>
      <c r="I181">
        <v>2</v>
      </c>
      <c r="J181">
        <v>2</v>
      </c>
      <c r="K181">
        <v>160730</v>
      </c>
      <c r="L181">
        <v>0</v>
      </c>
    </row>
    <row r="182" spans="1:12">
      <c r="A182">
        <v>200004</v>
      </c>
      <c r="B182" t="s">
        <v>261</v>
      </c>
      <c r="C182" t="s">
        <v>285</v>
      </c>
      <c r="D182" t="s">
        <v>284</v>
      </c>
      <c r="E182">
        <v>1</v>
      </c>
      <c r="F182">
        <v>1</v>
      </c>
      <c r="G182">
        <v>69503</v>
      </c>
      <c r="H182">
        <v>0</v>
      </c>
      <c r="I182">
        <v>2</v>
      </c>
      <c r="J182">
        <v>2</v>
      </c>
      <c r="K182">
        <v>51278</v>
      </c>
      <c r="L182">
        <v>0</v>
      </c>
    </row>
    <row r="183" spans="1:12">
      <c r="A183">
        <v>149772</v>
      </c>
      <c r="B183" t="s">
        <v>262</v>
      </c>
      <c r="C183" t="s">
        <v>285</v>
      </c>
      <c r="D183" t="s">
        <v>284</v>
      </c>
      <c r="E183">
        <v>1</v>
      </c>
      <c r="F183">
        <v>1</v>
      </c>
      <c r="G183">
        <v>81710</v>
      </c>
      <c r="H183">
        <v>0</v>
      </c>
      <c r="I183">
        <v>2</v>
      </c>
      <c r="J183">
        <v>1.67</v>
      </c>
      <c r="K183">
        <v>45279</v>
      </c>
      <c r="L183">
        <v>0</v>
      </c>
    </row>
    <row r="184" spans="1:12">
      <c r="A184">
        <v>157951</v>
      </c>
      <c r="B184" t="s">
        <v>263</v>
      </c>
      <c r="C184" t="s">
        <v>285</v>
      </c>
      <c r="D184" t="s">
        <v>284</v>
      </c>
      <c r="E184">
        <v>1</v>
      </c>
      <c r="F184">
        <v>1</v>
      </c>
      <c r="G184">
        <v>120785</v>
      </c>
      <c r="H184">
        <v>2259</v>
      </c>
      <c r="I184">
        <v>2</v>
      </c>
      <c r="J184">
        <v>2</v>
      </c>
      <c r="K184">
        <v>126415</v>
      </c>
      <c r="L184">
        <v>0</v>
      </c>
    </row>
    <row r="185" spans="1:12">
      <c r="A185">
        <v>172699</v>
      </c>
      <c r="B185" t="s">
        <v>264</v>
      </c>
      <c r="C185" t="s">
        <v>285</v>
      </c>
      <c r="D185" t="s">
        <v>284</v>
      </c>
      <c r="E185">
        <v>1</v>
      </c>
      <c r="F185">
        <v>1</v>
      </c>
      <c r="G185">
        <v>160143</v>
      </c>
      <c r="H185">
        <v>0</v>
      </c>
      <c r="I185">
        <v>2</v>
      </c>
      <c r="J185">
        <v>2</v>
      </c>
      <c r="K185">
        <v>173768</v>
      </c>
      <c r="L185">
        <v>0</v>
      </c>
    </row>
    <row r="186" spans="1:12">
      <c r="A186">
        <v>156125</v>
      </c>
      <c r="B186" t="s">
        <v>265</v>
      </c>
      <c r="C186" t="s">
        <v>285</v>
      </c>
      <c r="D186" t="s">
        <v>284</v>
      </c>
      <c r="E186">
        <v>1</v>
      </c>
      <c r="F186">
        <v>1</v>
      </c>
      <c r="G186">
        <v>438076</v>
      </c>
      <c r="H186">
        <v>0</v>
      </c>
      <c r="I186">
        <v>2</v>
      </c>
      <c r="J186">
        <v>2</v>
      </c>
      <c r="K186">
        <v>128125</v>
      </c>
      <c r="L186">
        <v>0</v>
      </c>
    </row>
    <row r="187" spans="1:12">
      <c r="A187">
        <v>231624</v>
      </c>
      <c r="B187" t="s">
        <v>266</v>
      </c>
      <c r="C187" t="s">
        <v>285</v>
      </c>
      <c r="D187" t="s">
        <v>284</v>
      </c>
      <c r="E187">
        <v>1</v>
      </c>
      <c r="F187">
        <v>1</v>
      </c>
      <c r="G187">
        <v>105393</v>
      </c>
      <c r="H187">
        <v>0</v>
      </c>
      <c r="I187">
        <v>3</v>
      </c>
      <c r="J187">
        <v>2</v>
      </c>
      <c r="K187">
        <v>97574</v>
      </c>
      <c r="L187">
        <v>0</v>
      </c>
    </row>
    <row r="188" spans="1:12">
      <c r="A188">
        <v>218964</v>
      </c>
      <c r="B188" t="s">
        <v>267</v>
      </c>
      <c r="C188" t="s">
        <v>285</v>
      </c>
      <c r="D188" t="s">
        <v>284</v>
      </c>
      <c r="E188">
        <v>1</v>
      </c>
      <c r="F188">
        <v>1</v>
      </c>
      <c r="G188">
        <v>91449</v>
      </c>
      <c r="H188">
        <v>0</v>
      </c>
      <c r="I188">
        <v>3</v>
      </c>
      <c r="J188">
        <v>2.76</v>
      </c>
      <c r="K188">
        <v>94813</v>
      </c>
      <c r="L188">
        <v>0</v>
      </c>
    </row>
    <row r="189" spans="1:12">
      <c r="A189">
        <v>240444</v>
      </c>
      <c r="B189" t="s">
        <v>268</v>
      </c>
      <c r="C189" t="s">
        <v>285</v>
      </c>
      <c r="D189" t="s">
        <v>284</v>
      </c>
      <c r="E189">
        <v>1</v>
      </c>
      <c r="F189">
        <v>1</v>
      </c>
      <c r="G189">
        <v>444446</v>
      </c>
      <c r="H189">
        <v>0</v>
      </c>
      <c r="I189">
        <v>2</v>
      </c>
      <c r="J189">
        <v>2</v>
      </c>
      <c r="K189">
        <v>316325</v>
      </c>
      <c r="L189">
        <v>0</v>
      </c>
    </row>
    <row r="190" spans="1:12">
      <c r="A190">
        <v>240277</v>
      </c>
      <c r="B190" t="s">
        <v>269</v>
      </c>
      <c r="C190" t="s">
        <v>285</v>
      </c>
      <c r="D190" t="s">
        <v>284</v>
      </c>
      <c r="E190">
        <v>1</v>
      </c>
      <c r="F190">
        <v>1</v>
      </c>
      <c r="G190">
        <v>114120</v>
      </c>
      <c r="H190">
        <v>0</v>
      </c>
      <c r="I190">
        <v>1</v>
      </c>
      <c r="J190">
        <v>1</v>
      </c>
      <c r="K190">
        <v>56990</v>
      </c>
      <c r="L190">
        <v>0</v>
      </c>
    </row>
    <row r="191" spans="1:12">
      <c r="A191">
        <v>240453</v>
      </c>
      <c r="B191" t="s">
        <v>270</v>
      </c>
      <c r="C191" t="s">
        <v>285</v>
      </c>
      <c r="D191" t="s">
        <v>284</v>
      </c>
      <c r="E191">
        <v>1</v>
      </c>
      <c r="F191">
        <v>1</v>
      </c>
      <c r="G191">
        <v>109869</v>
      </c>
      <c r="H191">
        <v>0</v>
      </c>
      <c r="I191">
        <v>2</v>
      </c>
      <c r="J191">
        <v>1.8</v>
      </c>
      <c r="K191">
        <v>108306</v>
      </c>
      <c r="L191">
        <v>0</v>
      </c>
    </row>
    <row r="192" spans="1:12">
      <c r="A192">
        <v>206604</v>
      </c>
      <c r="B192" t="s">
        <v>271</v>
      </c>
      <c r="C192" t="s">
        <v>285</v>
      </c>
      <c r="D192" t="s">
        <v>284</v>
      </c>
      <c r="E192">
        <v>1</v>
      </c>
      <c r="F192">
        <v>1</v>
      </c>
      <c r="G192">
        <v>91715</v>
      </c>
      <c r="H192">
        <v>0</v>
      </c>
      <c r="I192">
        <v>1</v>
      </c>
      <c r="J192">
        <v>1</v>
      </c>
      <c r="K192">
        <v>50373</v>
      </c>
      <c r="L192">
        <v>0</v>
      </c>
    </row>
    <row r="193" spans="1:12" ht="16" thickBot="1">
      <c r="A193">
        <v>240727</v>
      </c>
      <c r="B193" t="s">
        <v>272</v>
      </c>
      <c r="C193" t="s">
        <v>285</v>
      </c>
      <c r="D193" s="7" t="s">
        <v>284</v>
      </c>
      <c r="E193" s="7">
        <v>1</v>
      </c>
      <c r="F193" s="7">
        <v>1</v>
      </c>
      <c r="G193" s="7">
        <v>182342</v>
      </c>
      <c r="H193">
        <v>0</v>
      </c>
      <c r="I193" s="7">
        <v>2</v>
      </c>
      <c r="J193" s="7">
        <v>2</v>
      </c>
      <c r="K193" s="7">
        <v>177631</v>
      </c>
      <c r="L193">
        <v>10000</v>
      </c>
    </row>
    <row r="194" spans="1:12" ht="16" thickBot="1">
      <c r="A194">
        <v>206695</v>
      </c>
      <c r="B194" t="s">
        <v>273</v>
      </c>
      <c r="C194" t="s">
        <v>285</v>
      </c>
      <c r="D194" s="7" t="s">
        <v>284</v>
      </c>
      <c r="E194" s="7">
        <v>1</v>
      </c>
      <c r="F194" s="7">
        <v>1</v>
      </c>
      <c r="G194" s="7">
        <v>95420</v>
      </c>
      <c r="H194">
        <v>0</v>
      </c>
      <c r="I194" s="7">
        <v>2</v>
      </c>
      <c r="J194" s="7">
        <v>1</v>
      </c>
      <c r="K194" s="7">
        <v>61207</v>
      </c>
      <c r="L19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0814-29F6-9B49-BAA1-E1E69A2C3FFC}">
  <dimension ref="A1:L193"/>
  <sheetViews>
    <sheetView topLeftCell="A8" workbookViewId="0">
      <selection activeCell="K23" sqref="K23"/>
    </sheetView>
  </sheetViews>
  <sheetFormatPr baseColWidth="10" defaultColWidth="8.6640625" defaultRowHeight="15"/>
  <cols>
    <col min="1" max="1" width="6.83203125" style="46" bestFit="1" customWidth="1"/>
    <col min="2" max="2" width="24.33203125" style="46" bestFit="1" customWidth="1"/>
    <col min="3" max="3" width="6.83203125" style="46" bestFit="1" customWidth="1"/>
    <col min="4" max="4" width="8.5" style="46" bestFit="1" customWidth="1"/>
    <col min="5" max="5" width="17.1640625" style="46" bestFit="1" customWidth="1"/>
    <col min="6" max="6" width="4.83203125" style="46" bestFit="1" customWidth="1"/>
    <col min="7" max="7" width="15.33203125" style="46" bestFit="1" customWidth="1"/>
    <col min="8" max="8" width="18.83203125" style="46" bestFit="1" customWidth="1"/>
    <col min="9" max="9" width="17.1640625" style="46" bestFit="1" customWidth="1"/>
    <col min="10" max="10" width="4.83203125" style="46" bestFit="1" customWidth="1"/>
    <col min="11" max="11" width="15.33203125" style="46" bestFit="1" customWidth="1"/>
    <col min="12" max="12" width="18.83203125" style="46" bestFit="1" customWidth="1"/>
    <col min="13" max="16384" width="8.6640625" style="46"/>
  </cols>
  <sheetData>
    <row r="1" spans="1:12" ht="16">
      <c r="A1" s="46" t="s">
        <v>46</v>
      </c>
      <c r="B1" s="46" t="s">
        <v>0</v>
      </c>
      <c r="C1" s="46" t="s">
        <v>292</v>
      </c>
      <c r="D1" s="46" t="s">
        <v>291</v>
      </c>
      <c r="E1" s="46" t="s">
        <v>290</v>
      </c>
      <c r="F1" s="46" t="s">
        <v>289</v>
      </c>
      <c r="G1" s="46" t="s">
        <v>288</v>
      </c>
      <c r="H1" s="46" t="s">
        <v>287</v>
      </c>
      <c r="I1" s="46" t="s">
        <v>290</v>
      </c>
      <c r="J1" s="46" t="s">
        <v>289</v>
      </c>
      <c r="K1" s="46" t="s">
        <v>288</v>
      </c>
      <c r="L1" s="46" t="s">
        <v>287</v>
      </c>
    </row>
    <row r="2" spans="1:12" ht="32">
      <c r="A2" s="46">
        <v>200800</v>
      </c>
      <c r="B2" s="46" t="s">
        <v>48</v>
      </c>
      <c r="C2" s="46" t="s">
        <v>285</v>
      </c>
      <c r="D2" s="46" t="s">
        <v>284</v>
      </c>
      <c r="E2" s="46">
        <v>1</v>
      </c>
      <c r="F2" s="46">
        <v>1</v>
      </c>
      <c r="G2" s="46">
        <v>133145</v>
      </c>
      <c r="H2" s="46">
        <v>0</v>
      </c>
      <c r="I2" s="46">
        <v>2</v>
      </c>
      <c r="J2" s="46">
        <v>2</v>
      </c>
      <c r="K2" s="46">
        <v>80082</v>
      </c>
      <c r="L2" s="46">
        <v>0</v>
      </c>
    </row>
    <row r="3" spans="1:12" ht="32">
      <c r="A3" s="46">
        <v>100751</v>
      </c>
      <c r="B3" s="46" t="s">
        <v>49</v>
      </c>
      <c r="C3" s="46" t="s">
        <v>285</v>
      </c>
      <c r="D3" s="46" t="s">
        <v>284</v>
      </c>
      <c r="E3" s="46">
        <v>1</v>
      </c>
      <c r="F3" s="46">
        <v>1</v>
      </c>
      <c r="G3" s="46">
        <v>263106</v>
      </c>
      <c r="H3" s="46">
        <v>0</v>
      </c>
      <c r="I3" s="46">
        <v>2</v>
      </c>
      <c r="J3" s="46">
        <v>2</v>
      </c>
      <c r="K3" s="46">
        <v>222807</v>
      </c>
      <c r="L3" s="46">
        <v>0</v>
      </c>
    </row>
    <row r="4" spans="1:12" ht="32">
      <c r="A4" s="46">
        <v>196060</v>
      </c>
      <c r="B4" s="46" t="s">
        <v>52</v>
      </c>
      <c r="C4" s="46" t="s">
        <v>285</v>
      </c>
      <c r="D4" s="46" t="s">
        <v>284</v>
      </c>
      <c r="E4" s="46">
        <v>1</v>
      </c>
      <c r="F4" s="46">
        <v>1</v>
      </c>
      <c r="G4" s="46">
        <v>118350</v>
      </c>
      <c r="H4" s="46">
        <v>0</v>
      </c>
      <c r="I4" s="46">
        <v>2</v>
      </c>
      <c r="J4" s="46">
        <v>2</v>
      </c>
      <c r="K4" s="46">
        <v>154805</v>
      </c>
      <c r="L4" s="46">
        <v>0</v>
      </c>
    </row>
    <row r="5" spans="1:12" ht="32">
      <c r="A5" s="46">
        <v>197869</v>
      </c>
      <c r="B5" s="46" t="s">
        <v>54</v>
      </c>
      <c r="C5" s="46" t="s">
        <v>285</v>
      </c>
      <c r="D5" s="46" t="s">
        <v>284</v>
      </c>
      <c r="E5" s="46">
        <v>1</v>
      </c>
      <c r="F5" s="46">
        <v>1</v>
      </c>
      <c r="G5" s="46">
        <v>115290</v>
      </c>
      <c r="H5" s="46">
        <v>0</v>
      </c>
      <c r="I5" s="46">
        <v>2</v>
      </c>
      <c r="J5" s="46">
        <v>2</v>
      </c>
      <c r="K5" s="46">
        <v>104298</v>
      </c>
      <c r="L5" s="46">
        <v>0</v>
      </c>
    </row>
    <row r="6" spans="1:12" ht="32">
      <c r="A6" s="46">
        <v>104179</v>
      </c>
      <c r="B6" s="46" t="s">
        <v>55</v>
      </c>
      <c r="C6" s="46" t="s">
        <v>285</v>
      </c>
      <c r="D6" s="46" t="s">
        <v>284</v>
      </c>
      <c r="E6" s="46">
        <v>1</v>
      </c>
      <c r="F6" s="46">
        <v>1</v>
      </c>
      <c r="G6" s="46">
        <v>237177</v>
      </c>
      <c r="H6" s="46">
        <v>19500</v>
      </c>
      <c r="I6" s="46">
        <v>2</v>
      </c>
      <c r="J6" s="46">
        <v>2</v>
      </c>
      <c r="K6" s="46">
        <v>191055</v>
      </c>
      <c r="L6" s="46">
        <v>0</v>
      </c>
    </row>
    <row r="7" spans="1:12" ht="32">
      <c r="A7" s="46">
        <v>104151</v>
      </c>
      <c r="B7" s="46" t="s">
        <v>56</v>
      </c>
      <c r="C7" s="46" t="s">
        <v>285</v>
      </c>
      <c r="D7" s="46" t="s">
        <v>284</v>
      </c>
      <c r="E7" s="46">
        <v>1</v>
      </c>
      <c r="F7" s="46">
        <v>1</v>
      </c>
      <c r="G7" s="46">
        <v>194724</v>
      </c>
      <c r="H7" s="46">
        <v>0</v>
      </c>
      <c r="I7" s="46">
        <v>2</v>
      </c>
      <c r="J7" s="46">
        <v>2</v>
      </c>
      <c r="K7" s="46">
        <v>185502</v>
      </c>
      <c r="L7" s="46">
        <v>0</v>
      </c>
    </row>
    <row r="8" spans="1:12" ht="32">
      <c r="A8" s="46">
        <v>106397</v>
      </c>
      <c r="B8" s="46" t="s">
        <v>57</v>
      </c>
      <c r="C8" s="46" t="s">
        <v>285</v>
      </c>
      <c r="D8" s="46" t="s">
        <v>284</v>
      </c>
      <c r="E8" s="46">
        <v>1</v>
      </c>
      <c r="F8" s="46">
        <v>1</v>
      </c>
      <c r="G8" s="46">
        <v>241719</v>
      </c>
      <c r="H8" s="46">
        <v>0</v>
      </c>
      <c r="I8" s="46">
        <v>2</v>
      </c>
      <c r="J8" s="46">
        <v>2</v>
      </c>
      <c r="K8" s="46">
        <v>186829</v>
      </c>
      <c r="L8" s="46">
        <v>0</v>
      </c>
    </row>
    <row r="9" spans="1:12" ht="32">
      <c r="A9" s="46">
        <v>106245</v>
      </c>
      <c r="B9" s="46" t="s">
        <v>58</v>
      </c>
      <c r="C9" s="46" t="s">
        <v>285</v>
      </c>
      <c r="D9" s="46" t="s">
        <v>284</v>
      </c>
      <c r="E9" s="46">
        <v>1</v>
      </c>
      <c r="F9" s="46">
        <v>1</v>
      </c>
      <c r="G9" s="46">
        <v>83833</v>
      </c>
      <c r="H9" s="46">
        <v>500</v>
      </c>
      <c r="I9" s="46">
        <v>2</v>
      </c>
      <c r="J9" s="46">
        <v>1.5</v>
      </c>
      <c r="K9" s="46">
        <v>55942</v>
      </c>
      <c r="L9" s="46">
        <v>0</v>
      </c>
    </row>
    <row r="10" spans="1:12" ht="32">
      <c r="A10" s="46">
        <v>106412</v>
      </c>
      <c r="B10" s="46" t="s">
        <v>59</v>
      </c>
      <c r="C10" s="46" t="s">
        <v>285</v>
      </c>
      <c r="D10" s="46" t="s">
        <v>284</v>
      </c>
      <c r="E10" s="46">
        <v>1</v>
      </c>
      <c r="F10" s="46">
        <v>1</v>
      </c>
      <c r="G10" s="46">
        <v>62835</v>
      </c>
      <c r="H10" s="46">
        <v>0</v>
      </c>
      <c r="I10" s="46">
        <v>0</v>
      </c>
      <c r="J10" s="46">
        <v>0</v>
      </c>
      <c r="K10" s="46">
        <v>0</v>
      </c>
      <c r="L10" s="46">
        <v>0</v>
      </c>
    </row>
    <row r="11" spans="1:12" ht="32">
      <c r="A11" s="46">
        <v>106458</v>
      </c>
      <c r="B11" s="46" t="s">
        <v>60</v>
      </c>
      <c r="C11" s="46" t="s">
        <v>285</v>
      </c>
      <c r="D11" s="46" t="s">
        <v>284</v>
      </c>
      <c r="E11" s="46">
        <v>1</v>
      </c>
      <c r="F11" s="46">
        <v>1</v>
      </c>
      <c r="G11" s="46">
        <v>94980</v>
      </c>
      <c r="H11" s="46">
        <v>13225</v>
      </c>
      <c r="I11" s="46">
        <v>1</v>
      </c>
      <c r="J11" s="46">
        <v>1</v>
      </c>
      <c r="K11" s="46">
        <v>48159</v>
      </c>
      <c r="L11" s="46">
        <v>3600</v>
      </c>
    </row>
    <row r="12" spans="1:12" ht="32">
      <c r="A12" s="46">
        <v>100858</v>
      </c>
      <c r="B12" s="46" t="s">
        <v>62</v>
      </c>
      <c r="C12" s="46" t="s">
        <v>285</v>
      </c>
      <c r="D12" s="46" t="s">
        <v>284</v>
      </c>
      <c r="E12" s="46">
        <v>1</v>
      </c>
      <c r="F12" s="46">
        <v>1</v>
      </c>
      <c r="G12" s="46">
        <v>233637</v>
      </c>
      <c r="H12" s="46">
        <v>0</v>
      </c>
      <c r="I12" s="46">
        <v>2</v>
      </c>
      <c r="J12" s="46">
        <v>2</v>
      </c>
      <c r="K12" s="46">
        <v>210325</v>
      </c>
      <c r="L12" s="46">
        <v>0</v>
      </c>
    </row>
    <row r="13" spans="1:12" ht="32">
      <c r="A13" s="46">
        <v>219602</v>
      </c>
      <c r="B13" s="46" t="s">
        <v>63</v>
      </c>
      <c r="C13" s="46" t="s">
        <v>285</v>
      </c>
      <c r="D13" s="46" t="s">
        <v>284</v>
      </c>
      <c r="E13" s="46">
        <v>1</v>
      </c>
      <c r="F13" s="46">
        <v>0.5</v>
      </c>
      <c r="G13" s="46">
        <v>56452</v>
      </c>
      <c r="H13" s="46">
        <v>0</v>
      </c>
      <c r="I13" s="46">
        <v>2</v>
      </c>
      <c r="J13" s="46">
        <v>1.5</v>
      </c>
      <c r="K13" s="46">
        <v>66588</v>
      </c>
      <c r="L13" s="46">
        <v>0</v>
      </c>
    </row>
    <row r="14" spans="1:12" ht="32">
      <c r="A14" s="46">
        <v>150136</v>
      </c>
      <c r="B14" s="46" t="s">
        <v>64</v>
      </c>
      <c r="C14" s="46" t="s">
        <v>285</v>
      </c>
      <c r="D14" s="46" t="s">
        <v>284</v>
      </c>
      <c r="E14" s="46">
        <v>1</v>
      </c>
      <c r="F14" s="46">
        <v>1</v>
      </c>
      <c r="G14" s="46">
        <v>123694</v>
      </c>
      <c r="H14" s="46">
        <v>0</v>
      </c>
      <c r="I14" s="46">
        <v>2</v>
      </c>
      <c r="J14" s="46">
        <v>2</v>
      </c>
      <c r="K14" s="46">
        <v>146384</v>
      </c>
      <c r="L14" s="46">
        <v>0</v>
      </c>
    </row>
    <row r="15" spans="1:12" ht="32">
      <c r="A15" s="46">
        <v>196079</v>
      </c>
      <c r="B15" s="46" t="s">
        <v>65</v>
      </c>
      <c r="C15" s="46" t="s">
        <v>285</v>
      </c>
      <c r="D15" s="46" t="s">
        <v>284</v>
      </c>
      <c r="E15" s="46">
        <v>1</v>
      </c>
      <c r="F15" s="46">
        <v>1</v>
      </c>
      <c r="G15" s="46">
        <v>168781</v>
      </c>
      <c r="H15" s="46">
        <v>0</v>
      </c>
      <c r="I15" s="46">
        <v>1</v>
      </c>
      <c r="J15" s="46">
        <v>1</v>
      </c>
      <c r="K15" s="46">
        <v>71972</v>
      </c>
      <c r="L15" s="46">
        <v>0</v>
      </c>
    </row>
    <row r="16" spans="1:12" ht="32">
      <c r="A16" s="46">
        <v>142115</v>
      </c>
      <c r="B16" s="46" t="s">
        <v>66</v>
      </c>
      <c r="C16" s="46" t="s">
        <v>285</v>
      </c>
      <c r="D16" s="46" t="s">
        <v>284</v>
      </c>
      <c r="E16" s="46">
        <v>1</v>
      </c>
      <c r="F16" s="46">
        <v>1</v>
      </c>
      <c r="G16" s="46">
        <v>187788</v>
      </c>
      <c r="H16" s="46">
        <v>0</v>
      </c>
      <c r="I16" s="46">
        <v>2</v>
      </c>
      <c r="J16" s="46">
        <v>2</v>
      </c>
      <c r="K16" s="46">
        <v>176391</v>
      </c>
      <c r="L16" s="46">
        <v>0</v>
      </c>
    </row>
    <row r="17" spans="1:12" ht="32">
      <c r="A17" s="46">
        <v>201441</v>
      </c>
      <c r="B17" s="46" t="s">
        <v>67</v>
      </c>
      <c r="C17" s="46" t="s">
        <v>285</v>
      </c>
      <c r="D17" s="46" t="s">
        <v>284</v>
      </c>
      <c r="E17" s="46">
        <v>1</v>
      </c>
      <c r="F17" s="46">
        <v>1</v>
      </c>
      <c r="G17" s="46">
        <v>137440</v>
      </c>
      <c r="H17" s="46">
        <v>0</v>
      </c>
      <c r="I17" s="46">
        <v>2</v>
      </c>
      <c r="J17" s="46">
        <v>2</v>
      </c>
      <c r="K17" s="46">
        <v>116482</v>
      </c>
      <c r="L17" s="46">
        <v>0</v>
      </c>
    </row>
    <row r="18" spans="1:12" ht="32">
      <c r="A18" s="46">
        <v>196088</v>
      </c>
      <c r="B18" s="46" t="s">
        <v>68</v>
      </c>
      <c r="C18" s="46" t="s">
        <v>285</v>
      </c>
      <c r="D18" s="46" t="s">
        <v>284</v>
      </c>
      <c r="E18" s="46">
        <v>1</v>
      </c>
      <c r="F18" s="46">
        <v>1</v>
      </c>
      <c r="G18" s="46">
        <v>125789</v>
      </c>
      <c r="H18" s="46">
        <v>3248</v>
      </c>
      <c r="I18" s="46">
        <v>2</v>
      </c>
      <c r="J18" s="46">
        <v>2</v>
      </c>
      <c r="K18" s="46">
        <v>122574</v>
      </c>
      <c r="L18" s="46">
        <v>10284</v>
      </c>
    </row>
    <row r="19" spans="1:12" ht="32">
      <c r="A19" s="46">
        <v>110422</v>
      </c>
      <c r="B19" s="46" t="s">
        <v>69</v>
      </c>
      <c r="C19" s="46" t="s">
        <v>285</v>
      </c>
      <c r="D19" s="46" t="s">
        <v>284</v>
      </c>
      <c r="E19" s="46">
        <v>1</v>
      </c>
      <c r="F19" s="46">
        <v>1</v>
      </c>
      <c r="G19" s="46">
        <v>201051</v>
      </c>
      <c r="H19" s="46">
        <v>0</v>
      </c>
      <c r="I19" s="46">
        <v>2</v>
      </c>
      <c r="J19" s="46">
        <v>2</v>
      </c>
      <c r="K19" s="46">
        <v>230263</v>
      </c>
      <c r="L19" s="46">
        <v>0</v>
      </c>
    </row>
    <row r="20" spans="1:12" ht="32">
      <c r="A20" s="46">
        <v>110486</v>
      </c>
      <c r="B20" s="46" t="s">
        <v>70</v>
      </c>
      <c r="C20" s="46" t="s">
        <v>285</v>
      </c>
      <c r="D20" s="46" t="s">
        <v>284</v>
      </c>
      <c r="E20" s="46">
        <v>1</v>
      </c>
      <c r="F20" s="46">
        <v>1</v>
      </c>
      <c r="G20" s="46">
        <v>156255</v>
      </c>
      <c r="H20" s="46">
        <v>0</v>
      </c>
      <c r="I20" s="46">
        <v>2</v>
      </c>
      <c r="J20" s="46">
        <v>2</v>
      </c>
      <c r="K20" s="46">
        <v>180259</v>
      </c>
      <c r="L20" s="46">
        <v>0</v>
      </c>
    </row>
    <row r="21" spans="1:12" ht="32">
      <c r="A21" s="46">
        <v>110565</v>
      </c>
      <c r="B21" s="46" t="s">
        <v>71</v>
      </c>
      <c r="C21" s="46" t="s">
        <v>285</v>
      </c>
      <c r="D21" s="46" t="s">
        <v>284</v>
      </c>
      <c r="E21" s="46">
        <v>1</v>
      </c>
      <c r="F21" s="46">
        <v>1</v>
      </c>
      <c r="G21" s="46">
        <v>158555</v>
      </c>
      <c r="H21" s="46">
        <v>0</v>
      </c>
      <c r="I21" s="46">
        <v>2</v>
      </c>
      <c r="J21" s="46">
        <v>2</v>
      </c>
      <c r="K21" s="46">
        <v>185843</v>
      </c>
      <c r="L21" s="46">
        <v>0</v>
      </c>
    </row>
    <row r="22" spans="1:12" ht="32">
      <c r="A22" s="46">
        <v>110608</v>
      </c>
      <c r="B22" s="46" t="s">
        <v>72</v>
      </c>
      <c r="C22" s="46" t="s">
        <v>285</v>
      </c>
      <c r="D22" s="46" t="s">
        <v>284</v>
      </c>
      <c r="E22" s="46">
        <v>1</v>
      </c>
      <c r="F22" s="46">
        <v>1</v>
      </c>
      <c r="G22" s="46">
        <v>202838</v>
      </c>
      <c r="H22" s="46">
        <v>0</v>
      </c>
      <c r="I22" s="46">
        <v>2</v>
      </c>
      <c r="J22" s="46">
        <v>0.4</v>
      </c>
      <c r="K22" s="46">
        <v>152749</v>
      </c>
      <c r="L22" s="46">
        <v>0</v>
      </c>
    </row>
    <row r="23" spans="1:12" ht="32">
      <c r="A23" s="46">
        <v>110635</v>
      </c>
      <c r="B23" s="46" t="s">
        <v>73</v>
      </c>
      <c r="C23" s="46" t="s">
        <v>285</v>
      </c>
      <c r="D23" s="46" t="s">
        <v>284</v>
      </c>
      <c r="E23" s="46">
        <v>1</v>
      </c>
      <c r="F23" s="46">
        <v>1</v>
      </c>
      <c r="G23" s="46">
        <v>268737</v>
      </c>
      <c r="H23" s="46">
        <v>0</v>
      </c>
      <c r="I23" s="46">
        <v>2</v>
      </c>
      <c r="J23" s="46">
        <v>2</v>
      </c>
      <c r="K23" s="46">
        <v>252969</v>
      </c>
      <c r="L23" s="46">
        <v>0</v>
      </c>
    </row>
    <row r="24" spans="1:12" ht="32">
      <c r="A24" s="46">
        <v>106704</v>
      </c>
      <c r="B24" s="46" t="s">
        <v>74</v>
      </c>
      <c r="C24" s="46" t="s">
        <v>285</v>
      </c>
      <c r="D24" s="46" t="s">
        <v>284</v>
      </c>
      <c r="E24" s="46">
        <v>1</v>
      </c>
      <c r="F24" s="46">
        <v>1</v>
      </c>
      <c r="G24" s="46">
        <v>98307</v>
      </c>
      <c r="H24" s="46">
        <v>0</v>
      </c>
      <c r="I24" s="46">
        <v>2</v>
      </c>
      <c r="J24" s="46">
        <v>2</v>
      </c>
      <c r="K24" s="46">
        <v>73150</v>
      </c>
      <c r="L24" s="46">
        <v>0</v>
      </c>
    </row>
    <row r="25" spans="1:12" ht="32">
      <c r="A25" s="46">
        <v>128771</v>
      </c>
      <c r="B25" s="46" t="s">
        <v>75</v>
      </c>
      <c r="C25" s="46" t="s">
        <v>285</v>
      </c>
      <c r="D25" s="46" t="s">
        <v>284</v>
      </c>
      <c r="E25" s="46">
        <v>1</v>
      </c>
      <c r="F25" s="46">
        <v>1</v>
      </c>
      <c r="G25" s="46">
        <v>250465</v>
      </c>
      <c r="H25" s="46">
        <v>0</v>
      </c>
      <c r="I25" s="46">
        <v>2</v>
      </c>
      <c r="J25" s="46">
        <v>1.1399999999999999</v>
      </c>
      <c r="K25" s="46">
        <v>107779</v>
      </c>
      <c r="L25" s="46">
        <v>0</v>
      </c>
    </row>
    <row r="26" spans="1:12" ht="32">
      <c r="A26" s="46">
        <v>169248</v>
      </c>
      <c r="B26" s="46" t="s">
        <v>76</v>
      </c>
      <c r="C26" s="46" t="s">
        <v>285</v>
      </c>
      <c r="D26" s="46" t="s">
        <v>284</v>
      </c>
      <c r="E26" s="46">
        <v>1</v>
      </c>
      <c r="F26" s="46">
        <v>1</v>
      </c>
      <c r="G26" s="46">
        <v>155196</v>
      </c>
      <c r="H26" s="46">
        <v>2000</v>
      </c>
      <c r="I26" s="46">
        <v>2</v>
      </c>
      <c r="J26" s="46">
        <v>2</v>
      </c>
      <c r="K26" s="46">
        <v>155059</v>
      </c>
      <c r="L26" s="46">
        <v>360</v>
      </c>
    </row>
    <row r="27" spans="1:12" ht="32">
      <c r="A27" s="46">
        <v>199139</v>
      </c>
      <c r="B27" s="46" t="s">
        <v>77</v>
      </c>
      <c r="C27" s="46" t="s">
        <v>285</v>
      </c>
      <c r="D27" s="46" t="s">
        <v>284</v>
      </c>
      <c r="E27" s="46">
        <v>1</v>
      </c>
      <c r="F27" s="46">
        <v>1</v>
      </c>
      <c r="G27" s="46">
        <v>103107</v>
      </c>
      <c r="H27" s="46">
        <v>0</v>
      </c>
      <c r="I27" s="46">
        <v>2</v>
      </c>
      <c r="J27" s="46">
        <v>2</v>
      </c>
      <c r="K27" s="46">
        <v>117392</v>
      </c>
      <c r="L27" s="46">
        <v>0</v>
      </c>
    </row>
    <row r="28" spans="1:12" ht="32">
      <c r="A28" s="46">
        <v>144005</v>
      </c>
      <c r="B28" s="46" t="s">
        <v>78</v>
      </c>
      <c r="C28" s="46" t="s">
        <v>285</v>
      </c>
      <c r="D28" s="46" t="s">
        <v>284</v>
      </c>
      <c r="E28" s="46">
        <v>1</v>
      </c>
      <c r="F28" s="46">
        <v>1</v>
      </c>
      <c r="G28" s="46">
        <v>57287</v>
      </c>
      <c r="H28" s="46">
        <v>2155</v>
      </c>
      <c r="I28" s="46">
        <v>1</v>
      </c>
      <c r="J28" s="46">
        <v>1</v>
      </c>
      <c r="K28" s="46">
        <v>49298</v>
      </c>
      <c r="L28" s="46">
        <v>1000</v>
      </c>
    </row>
    <row r="29" spans="1:12" ht="32">
      <c r="A29" s="46">
        <v>201885</v>
      </c>
      <c r="B29" s="46" t="s">
        <v>79</v>
      </c>
      <c r="C29" s="46" t="s">
        <v>285</v>
      </c>
      <c r="D29" s="46" t="s">
        <v>284</v>
      </c>
      <c r="E29" s="46">
        <v>1</v>
      </c>
      <c r="F29" s="46">
        <v>1</v>
      </c>
      <c r="G29" s="46">
        <v>200079</v>
      </c>
      <c r="H29" s="46">
        <v>0</v>
      </c>
      <c r="I29" s="46">
        <v>2</v>
      </c>
      <c r="J29" s="46">
        <v>2</v>
      </c>
      <c r="K29" s="46">
        <v>207793</v>
      </c>
      <c r="L29" s="46">
        <v>0</v>
      </c>
    </row>
    <row r="30" spans="1:12" ht="32">
      <c r="A30" s="46">
        <v>217882</v>
      </c>
      <c r="B30" s="46" t="s">
        <v>81</v>
      </c>
      <c r="C30" s="46" t="s">
        <v>285</v>
      </c>
      <c r="D30" s="46" t="s">
        <v>284</v>
      </c>
      <c r="E30" s="46">
        <v>1</v>
      </c>
      <c r="F30" s="46">
        <v>1</v>
      </c>
      <c r="G30" s="46">
        <v>201174</v>
      </c>
      <c r="H30" s="46">
        <v>0</v>
      </c>
      <c r="I30" s="46">
        <v>2</v>
      </c>
      <c r="J30" s="46">
        <v>2</v>
      </c>
      <c r="K30" s="46">
        <v>245365</v>
      </c>
      <c r="L30" s="46">
        <v>0</v>
      </c>
    </row>
    <row r="31" spans="1:12" ht="32">
      <c r="A31" s="46">
        <v>202134</v>
      </c>
      <c r="B31" s="46" t="s">
        <v>82</v>
      </c>
      <c r="C31" s="46" t="s">
        <v>285</v>
      </c>
      <c r="D31" s="46" t="s">
        <v>284</v>
      </c>
      <c r="E31" s="46">
        <v>1</v>
      </c>
      <c r="F31" s="46">
        <v>1</v>
      </c>
      <c r="G31" s="46">
        <v>115364</v>
      </c>
      <c r="H31" s="46">
        <v>0</v>
      </c>
      <c r="I31" s="46">
        <v>2</v>
      </c>
      <c r="J31" s="46">
        <v>2</v>
      </c>
      <c r="K31" s="46">
        <v>85154</v>
      </c>
      <c r="L31" s="46">
        <v>0</v>
      </c>
    </row>
    <row r="32" spans="1:12" ht="32">
      <c r="A32" s="46">
        <v>218724</v>
      </c>
      <c r="B32" s="46" t="s">
        <v>83</v>
      </c>
      <c r="C32" s="46" t="s">
        <v>285</v>
      </c>
      <c r="D32" s="46" t="s">
        <v>284</v>
      </c>
      <c r="E32" s="46">
        <v>1</v>
      </c>
      <c r="F32" s="46">
        <v>1</v>
      </c>
      <c r="G32" s="46">
        <v>132556</v>
      </c>
      <c r="H32" s="46">
        <v>0</v>
      </c>
      <c r="I32" s="46">
        <v>2</v>
      </c>
      <c r="J32" s="46">
        <v>1.54</v>
      </c>
      <c r="K32" s="46">
        <v>112224</v>
      </c>
      <c r="L32" s="46">
        <v>0</v>
      </c>
    </row>
    <row r="33" spans="1:12" ht="32">
      <c r="A33" s="46">
        <v>217819</v>
      </c>
      <c r="B33" s="46" t="s">
        <v>84</v>
      </c>
      <c r="C33" s="46" t="s">
        <v>285</v>
      </c>
      <c r="D33" s="46" t="s">
        <v>284</v>
      </c>
      <c r="E33" s="46">
        <v>1</v>
      </c>
      <c r="F33" s="46">
        <v>0.62</v>
      </c>
      <c r="G33" s="46">
        <v>104663</v>
      </c>
      <c r="H33" s="46">
        <v>0</v>
      </c>
      <c r="I33" s="46">
        <v>2</v>
      </c>
      <c r="J33" s="46">
        <v>1.75</v>
      </c>
      <c r="K33" s="46">
        <v>6895</v>
      </c>
      <c r="L33" s="46">
        <v>0</v>
      </c>
    </row>
    <row r="34" spans="1:12" ht="32">
      <c r="A34" s="46">
        <v>126614</v>
      </c>
      <c r="B34" s="46" t="s">
        <v>85</v>
      </c>
      <c r="C34" s="46" t="s">
        <v>285</v>
      </c>
      <c r="D34" s="46" t="s">
        <v>284</v>
      </c>
      <c r="E34" s="46">
        <v>1</v>
      </c>
      <c r="F34" s="46">
        <v>1</v>
      </c>
      <c r="G34" s="46">
        <v>230216</v>
      </c>
      <c r="H34" s="46">
        <v>0</v>
      </c>
      <c r="I34" s="46">
        <v>2</v>
      </c>
      <c r="J34" s="46">
        <v>2</v>
      </c>
      <c r="K34" s="46">
        <v>237215</v>
      </c>
      <c r="L34" s="46">
        <v>0</v>
      </c>
    </row>
    <row r="35" spans="1:12" ht="32">
      <c r="A35" s="46">
        <v>126818</v>
      </c>
      <c r="B35" s="46" t="s">
        <v>86</v>
      </c>
      <c r="C35" s="46" t="s">
        <v>285</v>
      </c>
      <c r="D35" s="46" t="s">
        <v>284</v>
      </c>
      <c r="E35" s="46">
        <v>1</v>
      </c>
      <c r="F35" s="46">
        <v>1</v>
      </c>
      <c r="G35" s="46">
        <v>340956</v>
      </c>
      <c r="H35" s="46">
        <v>0</v>
      </c>
      <c r="I35" s="46">
        <v>2</v>
      </c>
      <c r="J35" s="46">
        <v>2</v>
      </c>
      <c r="K35" s="46">
        <v>227610</v>
      </c>
      <c r="L35" s="46">
        <v>0</v>
      </c>
    </row>
    <row r="36" spans="1:12" ht="32">
      <c r="A36" s="46">
        <v>129020</v>
      </c>
      <c r="B36" s="46" t="s">
        <v>87</v>
      </c>
      <c r="C36" s="46" t="s">
        <v>285</v>
      </c>
      <c r="D36" s="46" t="s">
        <v>284</v>
      </c>
      <c r="E36" s="46">
        <v>1</v>
      </c>
      <c r="F36" s="46">
        <v>1</v>
      </c>
      <c r="G36" s="46">
        <v>97541</v>
      </c>
      <c r="H36" s="46">
        <v>0</v>
      </c>
      <c r="I36" s="46">
        <v>2</v>
      </c>
      <c r="J36" s="46">
        <v>2</v>
      </c>
      <c r="K36" s="46">
        <v>166968</v>
      </c>
      <c r="L36" s="46">
        <v>0</v>
      </c>
    </row>
    <row r="37" spans="1:12" ht="32">
      <c r="A37" s="46">
        <v>162283</v>
      </c>
      <c r="B37" s="46" t="s">
        <v>88</v>
      </c>
      <c r="C37" s="46" t="s">
        <v>285</v>
      </c>
      <c r="D37" s="46" t="s">
        <v>284</v>
      </c>
      <c r="E37" s="46">
        <v>1</v>
      </c>
      <c r="F37" s="46">
        <v>1</v>
      </c>
      <c r="G37" s="46">
        <v>102592</v>
      </c>
      <c r="H37" s="46">
        <v>0</v>
      </c>
      <c r="I37" s="46">
        <v>0</v>
      </c>
      <c r="J37" s="46">
        <v>0</v>
      </c>
      <c r="K37" s="46">
        <v>0</v>
      </c>
      <c r="L37" s="46">
        <v>0</v>
      </c>
    </row>
    <row r="38" spans="1:12" ht="32">
      <c r="A38" s="46">
        <v>198464</v>
      </c>
      <c r="B38" s="46" t="s">
        <v>89</v>
      </c>
      <c r="C38" s="46" t="s">
        <v>285</v>
      </c>
      <c r="D38" s="46" t="s">
        <v>284</v>
      </c>
      <c r="E38" s="46">
        <v>1</v>
      </c>
      <c r="F38" s="46">
        <v>1</v>
      </c>
      <c r="G38" s="46">
        <v>125221</v>
      </c>
      <c r="H38" s="46">
        <v>0</v>
      </c>
      <c r="I38" s="46">
        <v>2</v>
      </c>
      <c r="J38" s="46">
        <v>2</v>
      </c>
      <c r="K38" s="46">
        <v>118803</v>
      </c>
      <c r="L38" s="46">
        <v>0</v>
      </c>
    </row>
    <row r="39" spans="1:12" ht="32">
      <c r="A39" s="46">
        <v>144892</v>
      </c>
      <c r="B39" s="46" t="s">
        <v>91</v>
      </c>
      <c r="C39" s="46" t="s">
        <v>285</v>
      </c>
      <c r="D39" s="46" t="s">
        <v>284</v>
      </c>
      <c r="E39" s="46">
        <v>1</v>
      </c>
      <c r="F39" s="46">
        <v>1</v>
      </c>
      <c r="G39" s="46">
        <v>88674</v>
      </c>
      <c r="H39" s="46">
        <v>0</v>
      </c>
      <c r="I39" s="46">
        <v>2</v>
      </c>
      <c r="J39" s="46">
        <v>1.33</v>
      </c>
      <c r="K39" s="46">
        <v>68426</v>
      </c>
      <c r="L39" s="46">
        <v>0</v>
      </c>
    </row>
    <row r="40" spans="1:12" ht="32">
      <c r="A40" s="46">
        <v>156620</v>
      </c>
      <c r="B40" s="46" t="s">
        <v>92</v>
      </c>
      <c r="C40" s="46" t="s">
        <v>285</v>
      </c>
      <c r="D40" s="46" t="s">
        <v>284</v>
      </c>
      <c r="E40" s="46">
        <v>1</v>
      </c>
      <c r="F40" s="46">
        <v>0.92</v>
      </c>
      <c r="G40" s="46">
        <v>75495</v>
      </c>
      <c r="H40" s="46">
        <v>0</v>
      </c>
      <c r="I40" s="46">
        <v>2</v>
      </c>
      <c r="J40" s="46">
        <v>2</v>
      </c>
      <c r="K40" s="46">
        <v>93240</v>
      </c>
      <c r="L40" s="46">
        <v>0</v>
      </c>
    </row>
    <row r="41" spans="1:12" ht="32">
      <c r="A41" s="46">
        <v>169798</v>
      </c>
      <c r="B41" s="46" t="s">
        <v>93</v>
      </c>
      <c r="C41" s="46" t="s">
        <v>285</v>
      </c>
      <c r="D41" s="46" t="s">
        <v>284</v>
      </c>
      <c r="E41" s="46">
        <v>1</v>
      </c>
      <c r="F41" s="46">
        <v>1</v>
      </c>
      <c r="G41" s="46">
        <v>106252</v>
      </c>
      <c r="H41" s="46">
        <v>0</v>
      </c>
      <c r="I41" s="46">
        <v>2</v>
      </c>
      <c r="J41" s="46">
        <v>2</v>
      </c>
      <c r="K41" s="46">
        <v>99080</v>
      </c>
      <c r="L41" s="46">
        <v>0</v>
      </c>
    </row>
    <row r="42" spans="1:12" ht="32">
      <c r="A42" s="46">
        <v>235097</v>
      </c>
      <c r="B42" s="46" t="s">
        <v>94</v>
      </c>
      <c r="C42" s="46" t="s">
        <v>285</v>
      </c>
      <c r="D42" s="46" t="s">
        <v>284</v>
      </c>
      <c r="E42" s="46">
        <v>1</v>
      </c>
      <c r="F42" s="46">
        <v>1</v>
      </c>
      <c r="G42" s="46">
        <v>113037</v>
      </c>
      <c r="H42" s="46">
        <v>0</v>
      </c>
      <c r="I42" s="46">
        <v>2</v>
      </c>
      <c r="J42" s="46">
        <v>2</v>
      </c>
      <c r="K42" s="46">
        <v>123877</v>
      </c>
      <c r="L42" s="46">
        <v>0</v>
      </c>
    </row>
    <row r="43" spans="1:12" ht="32">
      <c r="A43" s="46">
        <v>134130</v>
      </c>
      <c r="B43" s="46" t="s">
        <v>95</v>
      </c>
      <c r="C43" s="46" t="s">
        <v>285</v>
      </c>
      <c r="D43" s="46" t="s">
        <v>284</v>
      </c>
      <c r="E43" s="46">
        <v>1</v>
      </c>
      <c r="F43" s="46">
        <v>1</v>
      </c>
      <c r="G43" s="46">
        <v>504209</v>
      </c>
      <c r="H43" s="46">
        <v>0</v>
      </c>
      <c r="I43" s="46">
        <v>2</v>
      </c>
      <c r="J43" s="46">
        <v>2</v>
      </c>
      <c r="K43" s="46">
        <v>425384</v>
      </c>
      <c r="L43" s="46">
        <v>0</v>
      </c>
    </row>
    <row r="44" spans="1:12" ht="32">
      <c r="A44" s="46">
        <v>133669</v>
      </c>
      <c r="B44" s="46" t="s">
        <v>96</v>
      </c>
      <c r="C44" s="46" t="s">
        <v>285</v>
      </c>
      <c r="D44" s="46" t="s">
        <v>284</v>
      </c>
      <c r="E44" s="46">
        <v>1</v>
      </c>
      <c r="F44" s="46">
        <v>1</v>
      </c>
      <c r="G44" s="46">
        <v>126319</v>
      </c>
      <c r="H44" s="46">
        <v>1500</v>
      </c>
      <c r="I44" s="46">
        <v>2</v>
      </c>
      <c r="J44" s="46">
        <v>2</v>
      </c>
      <c r="K44" s="46">
        <v>127033</v>
      </c>
      <c r="L44" s="46">
        <v>1500</v>
      </c>
    </row>
    <row r="45" spans="1:12" ht="32">
      <c r="A45" s="46">
        <v>433660</v>
      </c>
      <c r="B45" s="46" t="s">
        <v>97</v>
      </c>
      <c r="C45" s="46" t="s">
        <v>285</v>
      </c>
      <c r="D45" s="46" t="s">
        <v>284</v>
      </c>
      <c r="E45" s="46">
        <v>1</v>
      </c>
      <c r="F45" s="46">
        <v>1</v>
      </c>
      <c r="G45" s="46">
        <v>140514</v>
      </c>
      <c r="H45" s="46">
        <v>0</v>
      </c>
      <c r="I45" s="46">
        <v>2</v>
      </c>
      <c r="J45" s="46">
        <v>2</v>
      </c>
      <c r="K45" s="46">
        <v>123413</v>
      </c>
      <c r="L45" s="46">
        <v>0</v>
      </c>
    </row>
    <row r="46" spans="1:12" ht="32">
      <c r="A46" s="46">
        <v>133951</v>
      </c>
      <c r="B46" s="46" t="s">
        <v>98</v>
      </c>
      <c r="C46" s="46" t="s">
        <v>285</v>
      </c>
      <c r="D46" s="46" t="s">
        <v>284</v>
      </c>
      <c r="E46" s="46">
        <v>1</v>
      </c>
      <c r="F46" s="46">
        <v>0.5</v>
      </c>
      <c r="G46" s="46">
        <v>62693</v>
      </c>
      <c r="H46" s="46">
        <v>0</v>
      </c>
      <c r="I46" s="46">
        <v>2</v>
      </c>
      <c r="J46" s="46">
        <v>2</v>
      </c>
      <c r="K46" s="46">
        <v>104332</v>
      </c>
      <c r="L46" s="46">
        <v>0</v>
      </c>
    </row>
    <row r="47" spans="1:12" ht="32">
      <c r="A47" s="46">
        <v>134097</v>
      </c>
      <c r="B47" s="46" t="s">
        <v>99</v>
      </c>
      <c r="C47" s="46" t="s">
        <v>285</v>
      </c>
      <c r="D47" s="46" t="s">
        <v>284</v>
      </c>
      <c r="E47" s="46">
        <v>1</v>
      </c>
      <c r="F47" s="46">
        <v>1</v>
      </c>
      <c r="G47" s="46">
        <v>246912</v>
      </c>
      <c r="H47" s="46">
        <v>0</v>
      </c>
      <c r="I47" s="46">
        <v>2</v>
      </c>
      <c r="J47" s="46">
        <v>2</v>
      </c>
      <c r="K47" s="46">
        <v>209765</v>
      </c>
      <c r="L47" s="46">
        <v>0</v>
      </c>
    </row>
    <row r="48" spans="1:12" ht="32">
      <c r="A48" s="46">
        <v>110556</v>
      </c>
      <c r="B48" s="46" t="s">
        <v>100</v>
      </c>
      <c r="C48" s="46" t="s">
        <v>285</v>
      </c>
      <c r="D48" s="46" t="s">
        <v>284</v>
      </c>
      <c r="E48" s="46">
        <v>1</v>
      </c>
      <c r="F48" s="46">
        <v>1</v>
      </c>
      <c r="G48" s="46">
        <v>215591</v>
      </c>
      <c r="H48" s="46">
        <v>600</v>
      </c>
      <c r="I48" s="46">
        <v>2</v>
      </c>
      <c r="J48" s="46">
        <v>2</v>
      </c>
      <c r="K48" s="46">
        <v>193770</v>
      </c>
      <c r="L48" s="46">
        <v>250</v>
      </c>
    </row>
    <row r="49" spans="1:12" ht="32">
      <c r="A49" s="46">
        <v>139959</v>
      </c>
      <c r="B49" s="46" t="s">
        <v>102</v>
      </c>
      <c r="C49" s="46" t="s">
        <v>285</v>
      </c>
      <c r="D49" s="46" t="s">
        <v>284</v>
      </c>
      <c r="E49" s="46">
        <v>1</v>
      </c>
      <c r="F49" s="46">
        <v>1</v>
      </c>
      <c r="G49" s="46">
        <v>327121</v>
      </c>
      <c r="H49" s="46">
        <v>0</v>
      </c>
      <c r="I49" s="46">
        <v>2</v>
      </c>
      <c r="J49" s="46">
        <v>2</v>
      </c>
      <c r="K49" s="46">
        <v>220279</v>
      </c>
      <c r="L49" s="46">
        <v>0</v>
      </c>
    </row>
    <row r="50" spans="1:12" ht="32">
      <c r="A50" s="46">
        <v>139931</v>
      </c>
      <c r="B50" s="46" t="s">
        <v>103</v>
      </c>
      <c r="C50" s="46" t="s">
        <v>285</v>
      </c>
      <c r="D50" s="46" t="s">
        <v>284</v>
      </c>
      <c r="E50" s="46">
        <v>1</v>
      </c>
      <c r="F50" s="46">
        <v>1</v>
      </c>
      <c r="G50" s="46">
        <v>106160</v>
      </c>
      <c r="H50" s="46">
        <v>0</v>
      </c>
      <c r="I50" s="46">
        <v>4</v>
      </c>
      <c r="J50" s="46">
        <v>2</v>
      </c>
      <c r="K50" s="46">
        <v>101991</v>
      </c>
      <c r="L50" s="46">
        <v>0</v>
      </c>
    </row>
    <row r="51" spans="1:12" ht="32">
      <c r="A51" s="46">
        <v>139940</v>
      </c>
      <c r="B51" s="46" t="s">
        <v>104</v>
      </c>
      <c r="C51" s="46" t="s">
        <v>285</v>
      </c>
      <c r="D51" s="46" t="s">
        <v>284</v>
      </c>
      <c r="E51" s="46">
        <v>1</v>
      </c>
      <c r="F51" s="46">
        <v>1</v>
      </c>
      <c r="G51" s="46">
        <v>122837</v>
      </c>
      <c r="H51" s="46">
        <v>0</v>
      </c>
      <c r="I51" s="46">
        <v>2</v>
      </c>
      <c r="J51" s="46">
        <v>2</v>
      </c>
      <c r="K51" s="46">
        <v>132187</v>
      </c>
      <c r="L51" s="46">
        <v>0</v>
      </c>
    </row>
    <row r="52" spans="1:12" ht="32">
      <c r="A52" s="46">
        <v>139755</v>
      </c>
      <c r="B52" s="46" t="s">
        <v>105</v>
      </c>
      <c r="C52" s="46" t="s">
        <v>285</v>
      </c>
      <c r="D52" s="46" t="s">
        <v>284</v>
      </c>
      <c r="E52" s="46">
        <v>1</v>
      </c>
      <c r="F52" s="46">
        <v>1</v>
      </c>
      <c r="G52" s="46">
        <v>211210</v>
      </c>
      <c r="H52" s="46">
        <v>0</v>
      </c>
      <c r="I52" s="46">
        <v>3</v>
      </c>
      <c r="J52" s="46">
        <v>2</v>
      </c>
      <c r="K52" s="46">
        <v>202335</v>
      </c>
      <c r="L52" s="46">
        <v>0</v>
      </c>
    </row>
    <row r="53" spans="1:12" ht="32">
      <c r="A53" s="46">
        <v>159009</v>
      </c>
      <c r="B53" s="46" t="s">
        <v>106</v>
      </c>
      <c r="C53" s="46" t="s">
        <v>285</v>
      </c>
      <c r="D53" s="46" t="s">
        <v>284</v>
      </c>
      <c r="E53" s="46">
        <v>1</v>
      </c>
      <c r="F53" s="46">
        <v>1</v>
      </c>
      <c r="G53" s="46">
        <v>65309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 ht="32">
      <c r="A54" s="46">
        <v>225511</v>
      </c>
      <c r="B54" s="46" t="s">
        <v>108</v>
      </c>
      <c r="C54" s="46" t="s">
        <v>285</v>
      </c>
      <c r="D54" s="46" t="s">
        <v>284</v>
      </c>
      <c r="E54" s="46">
        <v>1</v>
      </c>
      <c r="F54" s="46">
        <v>1</v>
      </c>
      <c r="G54" s="46">
        <v>139555</v>
      </c>
      <c r="H54" s="46">
        <v>0</v>
      </c>
      <c r="I54" s="46">
        <v>2</v>
      </c>
      <c r="J54" s="46">
        <v>2</v>
      </c>
      <c r="K54" s="46">
        <v>135850</v>
      </c>
      <c r="L54" s="46">
        <v>0</v>
      </c>
    </row>
    <row r="55" spans="1:12" ht="32">
      <c r="A55" s="46">
        <v>142285</v>
      </c>
      <c r="B55" s="46" t="s">
        <v>109</v>
      </c>
      <c r="C55" s="46" t="s">
        <v>285</v>
      </c>
      <c r="D55" s="46" t="s">
        <v>284</v>
      </c>
      <c r="E55" s="46">
        <v>1</v>
      </c>
      <c r="F55" s="46">
        <v>1</v>
      </c>
      <c r="G55" s="46">
        <v>139286</v>
      </c>
      <c r="H55" s="46">
        <v>15000</v>
      </c>
      <c r="I55" s="46">
        <v>2</v>
      </c>
      <c r="J55" s="46">
        <v>2</v>
      </c>
      <c r="K55" s="46">
        <v>109423</v>
      </c>
      <c r="L55" s="46">
        <v>7000</v>
      </c>
    </row>
    <row r="56" spans="1:12" ht="32">
      <c r="A56" s="46">
        <v>142276</v>
      </c>
      <c r="B56" s="46" t="s">
        <v>110</v>
      </c>
      <c r="C56" s="46" t="s">
        <v>285</v>
      </c>
      <c r="D56" s="46" t="s">
        <v>284</v>
      </c>
      <c r="E56" s="46">
        <v>1</v>
      </c>
      <c r="F56" s="46">
        <v>1</v>
      </c>
      <c r="G56" s="46">
        <v>92675</v>
      </c>
      <c r="H56" s="46">
        <v>0</v>
      </c>
      <c r="I56" s="46">
        <v>2</v>
      </c>
      <c r="J56" s="46">
        <v>1.5</v>
      </c>
      <c r="K56" s="46">
        <v>89381</v>
      </c>
      <c r="L56" s="46">
        <v>0</v>
      </c>
    </row>
    <row r="57" spans="1:12" ht="32">
      <c r="A57" s="46">
        <v>145637</v>
      </c>
      <c r="B57" s="46" t="s">
        <v>111</v>
      </c>
      <c r="C57" s="46" t="s">
        <v>285</v>
      </c>
      <c r="D57" s="46" t="s">
        <v>284</v>
      </c>
      <c r="E57" s="46">
        <v>1</v>
      </c>
      <c r="F57" s="46">
        <v>1</v>
      </c>
      <c r="G57" s="46">
        <v>507624</v>
      </c>
      <c r="H57" s="46">
        <v>0</v>
      </c>
      <c r="I57" s="46">
        <v>2</v>
      </c>
      <c r="J57" s="46">
        <v>2</v>
      </c>
      <c r="K57" s="46">
        <v>317977</v>
      </c>
      <c r="L57" s="46">
        <v>0</v>
      </c>
    </row>
    <row r="58" spans="1:12" ht="32">
      <c r="A58" s="46">
        <v>145600</v>
      </c>
      <c r="B58" s="46" t="s">
        <v>112</v>
      </c>
      <c r="C58" s="46" t="s">
        <v>285</v>
      </c>
      <c r="D58" s="46" t="s">
        <v>284</v>
      </c>
      <c r="E58" s="46">
        <v>1</v>
      </c>
      <c r="F58" s="46">
        <v>1</v>
      </c>
      <c r="G58" s="46">
        <v>133623</v>
      </c>
      <c r="H58" s="46">
        <v>0</v>
      </c>
      <c r="I58" s="46">
        <v>2</v>
      </c>
      <c r="J58" s="46">
        <v>2</v>
      </c>
      <c r="K58" s="46">
        <v>108963</v>
      </c>
      <c r="L58" s="46">
        <v>0</v>
      </c>
    </row>
    <row r="59" spans="1:12" ht="32">
      <c r="A59" s="46">
        <v>145813</v>
      </c>
      <c r="B59" s="46" t="s">
        <v>113</v>
      </c>
      <c r="C59" s="46" t="s">
        <v>285</v>
      </c>
      <c r="D59" s="46" t="s">
        <v>284</v>
      </c>
      <c r="E59" s="46">
        <v>1</v>
      </c>
      <c r="F59" s="46">
        <v>1</v>
      </c>
      <c r="G59" s="46">
        <v>173198</v>
      </c>
      <c r="H59" s="46">
        <v>0</v>
      </c>
      <c r="I59" s="46">
        <v>2</v>
      </c>
      <c r="J59" s="46">
        <v>2</v>
      </c>
      <c r="K59" s="46">
        <v>141762</v>
      </c>
      <c r="L59" s="46">
        <v>0</v>
      </c>
    </row>
    <row r="60" spans="1:12" ht="32">
      <c r="A60" s="46">
        <v>151351</v>
      </c>
      <c r="B60" s="46" t="s">
        <v>114</v>
      </c>
      <c r="C60" s="46" t="s">
        <v>285</v>
      </c>
      <c r="D60" s="46" t="s">
        <v>284</v>
      </c>
      <c r="E60" s="46">
        <v>1</v>
      </c>
      <c r="F60" s="46">
        <v>1</v>
      </c>
      <c r="G60" s="46">
        <v>333980</v>
      </c>
      <c r="H60" s="46">
        <v>0</v>
      </c>
      <c r="I60" s="46">
        <v>2</v>
      </c>
      <c r="J60" s="46">
        <v>2</v>
      </c>
      <c r="K60" s="46">
        <v>267267</v>
      </c>
      <c r="L60" s="46">
        <v>0</v>
      </c>
    </row>
    <row r="61" spans="1:12" ht="32">
      <c r="A61" s="46">
        <v>151324</v>
      </c>
      <c r="B61" s="46" t="s">
        <v>115</v>
      </c>
      <c r="C61" s="46" t="s">
        <v>285</v>
      </c>
      <c r="D61" s="46" t="s">
        <v>284</v>
      </c>
      <c r="E61" s="46">
        <v>1</v>
      </c>
      <c r="F61" s="46">
        <v>1</v>
      </c>
      <c r="G61" s="46">
        <v>108640</v>
      </c>
      <c r="H61" s="46">
        <v>0</v>
      </c>
      <c r="I61" s="46">
        <v>1</v>
      </c>
      <c r="J61" s="46">
        <v>1</v>
      </c>
      <c r="K61" s="46">
        <v>47529</v>
      </c>
      <c r="L61" s="46">
        <v>0</v>
      </c>
    </row>
    <row r="62" spans="1:12" ht="32">
      <c r="A62" s="46">
        <v>153658</v>
      </c>
      <c r="B62" s="46" t="s">
        <v>116</v>
      </c>
      <c r="C62" s="46" t="s">
        <v>285</v>
      </c>
      <c r="D62" s="46" t="s">
        <v>284</v>
      </c>
      <c r="E62" s="46">
        <v>1</v>
      </c>
      <c r="F62" s="46">
        <v>1</v>
      </c>
      <c r="G62" s="46">
        <v>278654</v>
      </c>
      <c r="H62" s="46">
        <v>0</v>
      </c>
      <c r="I62" s="46">
        <v>2</v>
      </c>
      <c r="J62" s="46">
        <v>2</v>
      </c>
      <c r="K62" s="46">
        <v>217921</v>
      </c>
      <c r="L62" s="46">
        <v>0</v>
      </c>
    </row>
    <row r="63" spans="1:12" ht="32">
      <c r="A63" s="46">
        <v>153603</v>
      </c>
      <c r="B63" s="46" t="s">
        <v>117</v>
      </c>
      <c r="C63" s="46" t="s">
        <v>285</v>
      </c>
      <c r="D63" s="46" t="s">
        <v>284</v>
      </c>
      <c r="E63" s="46">
        <v>1</v>
      </c>
      <c r="F63" s="46">
        <v>1</v>
      </c>
      <c r="G63" s="46">
        <v>424170</v>
      </c>
      <c r="H63" s="46">
        <v>0</v>
      </c>
      <c r="I63" s="46">
        <v>2</v>
      </c>
      <c r="J63" s="46">
        <v>2</v>
      </c>
      <c r="K63" s="46">
        <v>220641</v>
      </c>
      <c r="L63" s="46">
        <v>0</v>
      </c>
    </row>
    <row r="64" spans="1:12" ht="32">
      <c r="A64" s="46">
        <v>151111</v>
      </c>
      <c r="B64" s="46" t="s">
        <v>118</v>
      </c>
      <c r="C64" s="46" t="s">
        <v>285</v>
      </c>
      <c r="D64" s="46" t="s">
        <v>284</v>
      </c>
      <c r="E64" s="46">
        <v>1</v>
      </c>
      <c r="F64" s="46">
        <v>1</v>
      </c>
      <c r="G64" s="46">
        <v>80419</v>
      </c>
      <c r="H64" s="46">
        <v>0</v>
      </c>
      <c r="I64" s="46">
        <v>1</v>
      </c>
      <c r="J64" s="46">
        <v>1</v>
      </c>
      <c r="K64" s="46">
        <v>34350</v>
      </c>
      <c r="L64" s="46">
        <v>0</v>
      </c>
    </row>
    <row r="65" spans="1:12" ht="32">
      <c r="A65" s="46">
        <v>232423</v>
      </c>
      <c r="B65" s="46" t="s">
        <v>121</v>
      </c>
      <c r="C65" s="46" t="s">
        <v>285</v>
      </c>
      <c r="D65" s="46" t="s">
        <v>284</v>
      </c>
      <c r="E65" s="46">
        <v>1</v>
      </c>
      <c r="F65" s="46">
        <v>1</v>
      </c>
      <c r="G65" s="46">
        <v>144517</v>
      </c>
      <c r="H65" s="46">
        <v>0</v>
      </c>
      <c r="I65" s="46">
        <v>2</v>
      </c>
      <c r="J65" s="46">
        <v>2</v>
      </c>
      <c r="K65" s="46">
        <v>118981</v>
      </c>
      <c r="L65" s="46">
        <v>0</v>
      </c>
    </row>
    <row r="66" spans="1:12" ht="32">
      <c r="A66" s="46">
        <v>155317</v>
      </c>
      <c r="B66" s="46" t="s">
        <v>122</v>
      </c>
      <c r="C66" s="46" t="s">
        <v>285</v>
      </c>
      <c r="D66" s="46" t="s">
        <v>284</v>
      </c>
      <c r="E66" s="46">
        <v>1</v>
      </c>
      <c r="F66" s="46">
        <v>1</v>
      </c>
      <c r="G66" s="46">
        <v>232055</v>
      </c>
      <c r="H66" s="46">
        <v>0</v>
      </c>
      <c r="I66" s="46">
        <v>2</v>
      </c>
      <c r="J66" s="46">
        <v>2</v>
      </c>
      <c r="K66" s="46">
        <v>233680</v>
      </c>
      <c r="L66" s="46">
        <v>0</v>
      </c>
    </row>
    <row r="67" spans="1:12" ht="32">
      <c r="A67" s="46">
        <v>155399</v>
      </c>
      <c r="B67" s="46" t="s">
        <v>123</v>
      </c>
      <c r="C67" s="46" t="s">
        <v>285</v>
      </c>
      <c r="D67" s="46" t="s">
        <v>284</v>
      </c>
      <c r="E67" s="46">
        <v>1</v>
      </c>
      <c r="F67" s="46">
        <v>1</v>
      </c>
      <c r="G67" s="46">
        <v>225968</v>
      </c>
      <c r="H67" s="46">
        <v>0</v>
      </c>
      <c r="I67" s="46">
        <v>2</v>
      </c>
      <c r="J67" s="46">
        <v>2</v>
      </c>
      <c r="K67" s="46">
        <v>247009</v>
      </c>
      <c r="L67" s="46">
        <v>0</v>
      </c>
    </row>
    <row r="68" spans="1:12" ht="32">
      <c r="A68" s="46">
        <v>203517</v>
      </c>
      <c r="B68" s="46" t="s">
        <v>125</v>
      </c>
      <c r="C68" s="46" t="s">
        <v>285</v>
      </c>
      <c r="D68" s="46" t="s">
        <v>284</v>
      </c>
      <c r="E68" s="46">
        <v>1</v>
      </c>
      <c r="F68" s="46">
        <v>1</v>
      </c>
      <c r="G68" s="46">
        <v>129477</v>
      </c>
      <c r="H68" s="46">
        <v>0</v>
      </c>
      <c r="I68" s="46">
        <v>2</v>
      </c>
      <c r="J68" s="46">
        <v>2</v>
      </c>
      <c r="K68" s="46">
        <v>104593</v>
      </c>
      <c r="L68" s="46">
        <v>0</v>
      </c>
    </row>
    <row r="69" spans="1:12" ht="32">
      <c r="A69" s="46">
        <v>157085</v>
      </c>
      <c r="B69" s="46" t="s">
        <v>126</v>
      </c>
      <c r="C69" s="46" t="s">
        <v>285</v>
      </c>
      <c r="D69" s="46" t="s">
        <v>284</v>
      </c>
      <c r="E69" s="46">
        <v>1</v>
      </c>
      <c r="F69" s="46">
        <v>1</v>
      </c>
      <c r="G69" s="46">
        <v>484119</v>
      </c>
      <c r="H69" s="46">
        <v>0</v>
      </c>
      <c r="I69" s="46">
        <v>2</v>
      </c>
      <c r="J69" s="46">
        <v>2</v>
      </c>
      <c r="K69" s="46">
        <v>290504</v>
      </c>
      <c r="L69" s="46">
        <v>0</v>
      </c>
    </row>
    <row r="70" spans="1:12" ht="32">
      <c r="A70" s="46">
        <v>226091</v>
      </c>
      <c r="B70" s="46" t="s">
        <v>127</v>
      </c>
      <c r="C70" s="46" t="s">
        <v>285</v>
      </c>
      <c r="D70" s="46" t="s">
        <v>284</v>
      </c>
      <c r="E70" s="46">
        <v>1</v>
      </c>
      <c r="F70" s="46">
        <v>1</v>
      </c>
      <c r="G70" s="46">
        <v>85926</v>
      </c>
      <c r="H70" s="46">
        <v>0</v>
      </c>
      <c r="I70" s="46">
        <v>1</v>
      </c>
      <c r="J70" s="46">
        <v>1</v>
      </c>
      <c r="K70" s="46">
        <v>46865</v>
      </c>
      <c r="L70" s="46">
        <v>0</v>
      </c>
    </row>
    <row r="71" spans="1:12" ht="32">
      <c r="A71" s="46">
        <v>110583</v>
      </c>
      <c r="B71" s="46" t="s">
        <v>128</v>
      </c>
      <c r="C71" s="46" t="s">
        <v>285</v>
      </c>
      <c r="D71" s="46" t="s">
        <v>284</v>
      </c>
      <c r="E71" s="46">
        <v>1</v>
      </c>
      <c r="F71" s="46">
        <v>1</v>
      </c>
      <c r="G71" s="46">
        <v>283436</v>
      </c>
      <c r="H71" s="46">
        <v>0</v>
      </c>
      <c r="I71" s="46">
        <v>2</v>
      </c>
      <c r="J71" s="46">
        <v>2</v>
      </c>
      <c r="K71" s="46">
        <v>212314</v>
      </c>
      <c r="L71" s="46">
        <v>0</v>
      </c>
    </row>
    <row r="72" spans="1:12" ht="32">
      <c r="A72" s="46">
        <v>160658</v>
      </c>
      <c r="B72" s="46" t="s">
        <v>130</v>
      </c>
      <c r="C72" s="46" t="s">
        <v>285</v>
      </c>
      <c r="D72" s="46" t="s">
        <v>284</v>
      </c>
      <c r="E72" s="46">
        <v>1</v>
      </c>
      <c r="F72" s="46">
        <v>1</v>
      </c>
      <c r="G72" s="46">
        <v>120917</v>
      </c>
      <c r="H72" s="46">
        <v>0</v>
      </c>
      <c r="I72" s="46">
        <v>2</v>
      </c>
      <c r="J72" s="46">
        <v>2</v>
      </c>
      <c r="K72" s="46">
        <v>69130</v>
      </c>
      <c r="L72" s="46">
        <v>0</v>
      </c>
    </row>
    <row r="73" spans="1:12" ht="32">
      <c r="A73" s="46">
        <v>159647</v>
      </c>
      <c r="B73" s="46" t="s">
        <v>132</v>
      </c>
      <c r="C73" s="46" t="s">
        <v>285</v>
      </c>
      <c r="D73" s="46" t="s">
        <v>284</v>
      </c>
      <c r="E73" s="46">
        <v>1</v>
      </c>
      <c r="F73" s="46">
        <v>1</v>
      </c>
      <c r="G73" s="46">
        <v>99684</v>
      </c>
      <c r="H73" s="46">
        <v>0</v>
      </c>
      <c r="I73" s="46">
        <v>2</v>
      </c>
      <c r="J73" s="46">
        <v>2</v>
      </c>
      <c r="K73" s="46">
        <v>87712</v>
      </c>
      <c r="L73" s="46">
        <v>0</v>
      </c>
    </row>
    <row r="74" spans="1:12" ht="32">
      <c r="A74" s="46">
        <v>157289</v>
      </c>
      <c r="B74" s="46" t="s">
        <v>133</v>
      </c>
      <c r="C74" s="46" t="s">
        <v>285</v>
      </c>
      <c r="D74" s="46" t="s">
        <v>284</v>
      </c>
      <c r="E74" s="46">
        <v>1</v>
      </c>
      <c r="F74" s="46">
        <v>1</v>
      </c>
      <c r="G74" s="46">
        <v>277956</v>
      </c>
      <c r="H74" s="46">
        <v>0</v>
      </c>
      <c r="I74" s="46">
        <v>2</v>
      </c>
      <c r="J74" s="46">
        <v>2</v>
      </c>
      <c r="K74" s="46">
        <v>286788</v>
      </c>
      <c r="L74" s="46">
        <v>0</v>
      </c>
    </row>
    <row r="75" spans="1:12" ht="32">
      <c r="A75" s="46">
        <v>159391</v>
      </c>
      <c r="B75" s="46" t="s">
        <v>134</v>
      </c>
      <c r="C75" s="46" t="s">
        <v>285</v>
      </c>
      <c r="D75" s="46" t="s">
        <v>284</v>
      </c>
      <c r="E75" s="46">
        <v>1</v>
      </c>
      <c r="F75" s="46">
        <v>1</v>
      </c>
      <c r="G75" s="46">
        <v>269338</v>
      </c>
      <c r="H75" s="46">
        <v>0</v>
      </c>
      <c r="I75" s="46">
        <v>2</v>
      </c>
      <c r="J75" s="46">
        <v>2</v>
      </c>
      <c r="K75" s="46">
        <v>222900</v>
      </c>
      <c r="L75" s="46">
        <v>0</v>
      </c>
    </row>
    <row r="76" spans="1:12" ht="32">
      <c r="A76" s="46">
        <v>237525</v>
      </c>
      <c r="B76" s="46" t="s">
        <v>136</v>
      </c>
      <c r="C76" s="46" t="s">
        <v>285</v>
      </c>
      <c r="D76" s="46" t="s">
        <v>284</v>
      </c>
      <c r="E76" s="46">
        <v>1</v>
      </c>
      <c r="F76" s="46">
        <v>1</v>
      </c>
      <c r="G76" s="46">
        <v>131090</v>
      </c>
      <c r="H76" s="46">
        <v>0</v>
      </c>
      <c r="I76" s="46">
        <v>2</v>
      </c>
      <c r="J76" s="46">
        <v>2</v>
      </c>
      <c r="K76" s="46">
        <v>118290</v>
      </c>
      <c r="L76" s="46">
        <v>0</v>
      </c>
    </row>
    <row r="77" spans="1:12" ht="32">
      <c r="A77" s="46">
        <v>163286</v>
      </c>
      <c r="B77" s="46" t="s">
        <v>137</v>
      </c>
      <c r="C77" s="46" t="s">
        <v>285</v>
      </c>
      <c r="D77" s="46" t="s">
        <v>284</v>
      </c>
      <c r="E77" s="46">
        <v>1</v>
      </c>
      <c r="F77" s="46">
        <v>1</v>
      </c>
      <c r="G77" s="46">
        <v>213756</v>
      </c>
      <c r="H77" s="46">
        <v>0</v>
      </c>
      <c r="I77" s="46">
        <v>2</v>
      </c>
      <c r="J77" s="46">
        <v>2</v>
      </c>
      <c r="K77" s="46">
        <v>183808</v>
      </c>
      <c r="L77" s="46">
        <v>0</v>
      </c>
    </row>
    <row r="78" spans="1:12" ht="32">
      <c r="A78" s="46">
        <v>163268</v>
      </c>
      <c r="B78" s="46" t="s">
        <v>138</v>
      </c>
      <c r="C78" s="46" t="s">
        <v>285</v>
      </c>
      <c r="D78" s="46" t="s">
        <v>284</v>
      </c>
      <c r="E78" s="46">
        <v>1</v>
      </c>
      <c r="F78" s="46">
        <v>1</v>
      </c>
      <c r="G78" s="46">
        <v>118188</v>
      </c>
      <c r="H78" s="46">
        <v>0</v>
      </c>
      <c r="I78" s="46">
        <v>2</v>
      </c>
      <c r="J78" s="46">
        <v>1.5</v>
      </c>
      <c r="K78" s="46">
        <v>36520</v>
      </c>
      <c r="L78" s="46">
        <v>0</v>
      </c>
    </row>
    <row r="79" spans="1:12" ht="32">
      <c r="A79" s="46">
        <v>163338</v>
      </c>
      <c r="B79" s="46" t="s">
        <v>139</v>
      </c>
      <c r="C79" s="46" t="s">
        <v>285</v>
      </c>
      <c r="D79" s="46" t="s">
        <v>284</v>
      </c>
      <c r="E79" s="46">
        <v>1</v>
      </c>
      <c r="F79" s="46">
        <v>1</v>
      </c>
      <c r="G79" s="46">
        <v>60000</v>
      </c>
      <c r="H79" s="46">
        <v>0</v>
      </c>
      <c r="I79" s="46">
        <v>1</v>
      </c>
      <c r="J79" s="46">
        <v>1</v>
      </c>
      <c r="K79" s="46">
        <v>40000</v>
      </c>
      <c r="L79" s="46">
        <v>0</v>
      </c>
    </row>
    <row r="80" spans="1:12" ht="32">
      <c r="A80" s="46">
        <v>159717</v>
      </c>
      <c r="B80" s="46" t="s">
        <v>142</v>
      </c>
      <c r="C80" s="46" t="s">
        <v>285</v>
      </c>
      <c r="D80" s="46" t="s">
        <v>284</v>
      </c>
      <c r="E80" s="46">
        <v>1</v>
      </c>
      <c r="F80" s="46">
        <v>0.83</v>
      </c>
      <c r="G80" s="46">
        <v>33313</v>
      </c>
      <c r="H80" s="46">
        <v>0</v>
      </c>
      <c r="I80" s="46">
        <v>2</v>
      </c>
      <c r="J80" s="46">
        <v>1.66</v>
      </c>
      <c r="K80" s="46">
        <v>67154</v>
      </c>
      <c r="L80" s="46">
        <v>0</v>
      </c>
    </row>
    <row r="81" spans="1:12" ht="32">
      <c r="A81" s="46">
        <v>204024</v>
      </c>
      <c r="B81" s="46" t="s">
        <v>144</v>
      </c>
      <c r="C81" s="46" t="s">
        <v>285</v>
      </c>
      <c r="D81" s="46" t="s">
        <v>284</v>
      </c>
      <c r="E81" s="46">
        <v>1</v>
      </c>
      <c r="F81" s="46">
        <v>1</v>
      </c>
      <c r="G81" s="46">
        <v>164077</v>
      </c>
      <c r="H81" s="46">
        <v>0</v>
      </c>
      <c r="I81" s="46">
        <v>2</v>
      </c>
      <c r="J81" s="46">
        <v>2</v>
      </c>
      <c r="K81" s="46">
        <v>142112</v>
      </c>
      <c r="L81" s="46">
        <v>0</v>
      </c>
    </row>
    <row r="82" spans="1:12" ht="32">
      <c r="A82" s="46">
        <v>170976</v>
      </c>
      <c r="B82" s="46" t="s">
        <v>145</v>
      </c>
      <c r="C82" s="46" t="s">
        <v>285</v>
      </c>
      <c r="D82" s="46" t="s">
        <v>284</v>
      </c>
      <c r="E82" s="46">
        <v>1</v>
      </c>
      <c r="F82" s="46">
        <v>1</v>
      </c>
      <c r="G82" s="46">
        <v>258529</v>
      </c>
      <c r="H82" s="46">
        <v>0</v>
      </c>
      <c r="I82" s="46">
        <v>2</v>
      </c>
      <c r="J82" s="46">
        <v>2</v>
      </c>
      <c r="K82" s="46">
        <v>229946</v>
      </c>
      <c r="L82" s="46">
        <v>0</v>
      </c>
    </row>
    <row r="83" spans="1:12" ht="32">
      <c r="A83" s="46">
        <v>171100</v>
      </c>
      <c r="B83" s="46" t="s">
        <v>146</v>
      </c>
      <c r="C83" s="46" t="s">
        <v>285</v>
      </c>
      <c r="D83" s="46" t="s">
        <v>284</v>
      </c>
      <c r="E83" s="46">
        <v>1</v>
      </c>
      <c r="F83" s="46">
        <v>1</v>
      </c>
      <c r="G83" s="46">
        <v>359307</v>
      </c>
      <c r="H83" s="46">
        <v>0</v>
      </c>
      <c r="I83" s="46">
        <v>2</v>
      </c>
      <c r="J83" s="46">
        <v>2</v>
      </c>
      <c r="K83" s="46">
        <v>301875</v>
      </c>
      <c r="L83" s="46">
        <v>0</v>
      </c>
    </row>
    <row r="84" spans="1:12" ht="32">
      <c r="A84" s="46">
        <v>220978</v>
      </c>
      <c r="B84" s="46" t="s">
        <v>147</v>
      </c>
      <c r="C84" s="46" t="s">
        <v>285</v>
      </c>
      <c r="D84" s="50" t="s">
        <v>284</v>
      </c>
      <c r="E84" s="22">
        <v>1</v>
      </c>
      <c r="F84" s="22">
        <v>0.81</v>
      </c>
      <c r="G84" s="22">
        <v>96798</v>
      </c>
      <c r="H84" s="22">
        <v>0</v>
      </c>
      <c r="I84" s="22">
        <v>2</v>
      </c>
      <c r="J84" s="22">
        <v>2</v>
      </c>
      <c r="K84" s="22">
        <v>92044</v>
      </c>
      <c r="L84" s="53">
        <v>0</v>
      </c>
    </row>
    <row r="85" spans="1:12" ht="32">
      <c r="A85" s="46">
        <v>174066</v>
      </c>
      <c r="B85" s="46" t="s">
        <v>148</v>
      </c>
      <c r="C85" s="46" t="s">
        <v>285</v>
      </c>
      <c r="D85" s="46" t="s">
        <v>284</v>
      </c>
      <c r="E85" s="46">
        <v>1</v>
      </c>
      <c r="F85" s="46">
        <v>1</v>
      </c>
      <c r="G85" s="46">
        <v>705499</v>
      </c>
      <c r="H85" s="46">
        <v>0</v>
      </c>
      <c r="I85" s="46">
        <v>2</v>
      </c>
      <c r="J85" s="46">
        <v>2</v>
      </c>
      <c r="K85" s="46">
        <v>282971</v>
      </c>
      <c r="L85" s="46">
        <v>0</v>
      </c>
    </row>
    <row r="86" spans="1:12" ht="32">
      <c r="A86" s="46">
        <v>176017</v>
      </c>
      <c r="B86" s="46" t="s">
        <v>149</v>
      </c>
      <c r="C86" s="46" t="s">
        <v>285</v>
      </c>
      <c r="D86" s="46" t="s">
        <v>284</v>
      </c>
      <c r="E86" s="46">
        <v>1</v>
      </c>
      <c r="F86" s="46">
        <v>1</v>
      </c>
      <c r="G86" s="46">
        <v>262052</v>
      </c>
      <c r="H86" s="46">
        <v>0</v>
      </c>
      <c r="I86" s="46">
        <v>2</v>
      </c>
      <c r="J86" s="46">
        <v>2</v>
      </c>
      <c r="K86" s="46">
        <v>251233</v>
      </c>
      <c r="L86" s="46">
        <v>0</v>
      </c>
    </row>
    <row r="87" spans="1:12" ht="32">
      <c r="A87" s="46">
        <v>176080</v>
      </c>
      <c r="B87" s="46" t="s">
        <v>150</v>
      </c>
      <c r="C87" s="46" t="s">
        <v>285</v>
      </c>
      <c r="D87" s="46" t="s">
        <v>284</v>
      </c>
      <c r="E87" s="46">
        <v>1</v>
      </c>
      <c r="F87" s="46">
        <v>1</v>
      </c>
      <c r="G87" s="46">
        <v>177308</v>
      </c>
      <c r="H87" s="46">
        <v>0</v>
      </c>
      <c r="I87" s="46">
        <v>2</v>
      </c>
      <c r="J87" s="46">
        <v>2</v>
      </c>
      <c r="K87" s="46">
        <v>159617</v>
      </c>
      <c r="L87" s="46">
        <v>0</v>
      </c>
    </row>
    <row r="88" spans="1:12" ht="32">
      <c r="A88" s="46">
        <v>178396</v>
      </c>
      <c r="B88" s="46" t="s">
        <v>152</v>
      </c>
      <c r="C88" s="46" t="s">
        <v>285</v>
      </c>
      <c r="D88" s="46" t="s">
        <v>284</v>
      </c>
      <c r="E88" s="46">
        <v>1</v>
      </c>
      <c r="F88" s="46">
        <v>1</v>
      </c>
      <c r="G88" s="46">
        <v>398714</v>
      </c>
      <c r="H88" s="46">
        <v>0</v>
      </c>
      <c r="I88" s="46">
        <v>3</v>
      </c>
      <c r="J88" s="46">
        <v>3</v>
      </c>
      <c r="K88" s="46">
        <v>215167</v>
      </c>
      <c r="L88" s="46">
        <v>0</v>
      </c>
    </row>
    <row r="89" spans="1:12" ht="32">
      <c r="A89" s="46">
        <v>178402</v>
      </c>
      <c r="B89" s="46" t="s">
        <v>153</v>
      </c>
      <c r="C89" s="46" t="s">
        <v>285</v>
      </c>
      <c r="D89" s="46" t="s">
        <v>284</v>
      </c>
      <c r="E89" s="46">
        <v>1</v>
      </c>
      <c r="F89" s="46">
        <v>1</v>
      </c>
      <c r="G89" s="46">
        <v>114157</v>
      </c>
      <c r="H89" s="46">
        <v>0</v>
      </c>
      <c r="I89" s="46">
        <v>1</v>
      </c>
      <c r="J89" s="46">
        <v>1</v>
      </c>
      <c r="K89" s="46">
        <v>80185</v>
      </c>
      <c r="L89" s="46">
        <v>0</v>
      </c>
    </row>
    <row r="90" spans="1:12" ht="32">
      <c r="A90" s="46">
        <v>179566</v>
      </c>
      <c r="B90" s="46" t="s">
        <v>154</v>
      </c>
      <c r="C90" s="46" t="s">
        <v>285</v>
      </c>
      <c r="D90" s="46" t="s">
        <v>284</v>
      </c>
      <c r="E90" s="46">
        <v>1</v>
      </c>
      <c r="F90" s="46">
        <v>1</v>
      </c>
      <c r="G90" s="46">
        <v>155056</v>
      </c>
      <c r="H90" s="46">
        <v>0</v>
      </c>
      <c r="I90" s="46">
        <v>2</v>
      </c>
      <c r="J90" s="46">
        <v>2</v>
      </c>
      <c r="K90" s="46">
        <v>83028</v>
      </c>
      <c r="L90" s="46">
        <v>0</v>
      </c>
    </row>
    <row r="91" spans="1:12" ht="32">
      <c r="A91" s="46">
        <v>180489</v>
      </c>
      <c r="B91" s="46" t="s">
        <v>155</v>
      </c>
      <c r="C91" s="46" t="s">
        <v>285</v>
      </c>
      <c r="D91" s="46" t="s">
        <v>284</v>
      </c>
      <c r="E91" s="46">
        <v>1</v>
      </c>
      <c r="F91" s="46">
        <v>1</v>
      </c>
      <c r="G91" s="46">
        <v>89837</v>
      </c>
      <c r="H91" s="46">
        <v>1000</v>
      </c>
      <c r="I91" s="46">
        <v>2</v>
      </c>
      <c r="J91" s="46">
        <v>2</v>
      </c>
      <c r="K91" s="46">
        <v>109819</v>
      </c>
      <c r="L91" s="46">
        <v>0</v>
      </c>
    </row>
    <row r="92" spans="1:12" ht="32">
      <c r="A92" s="46">
        <v>180461</v>
      </c>
      <c r="B92" s="46" t="s">
        <v>156</v>
      </c>
      <c r="C92" s="46" t="s">
        <v>285</v>
      </c>
      <c r="D92" s="46" t="s">
        <v>284</v>
      </c>
      <c r="E92" s="46">
        <v>1</v>
      </c>
      <c r="F92" s="46">
        <v>1</v>
      </c>
      <c r="G92" s="46">
        <v>131408</v>
      </c>
      <c r="H92" s="46">
        <v>0</v>
      </c>
      <c r="I92" s="46">
        <v>2</v>
      </c>
      <c r="J92" s="46">
        <v>2</v>
      </c>
      <c r="K92" s="46">
        <v>151335</v>
      </c>
      <c r="L92" s="46">
        <v>0</v>
      </c>
    </row>
    <row r="93" spans="1:12" ht="32">
      <c r="A93" s="46">
        <v>163453</v>
      </c>
      <c r="B93" s="46" t="s">
        <v>158</v>
      </c>
      <c r="C93" s="46" t="s">
        <v>285</v>
      </c>
      <c r="D93" s="46" t="s">
        <v>284</v>
      </c>
      <c r="E93" s="46">
        <v>1</v>
      </c>
      <c r="F93" s="46">
        <v>1</v>
      </c>
      <c r="G93" s="46">
        <v>86813</v>
      </c>
      <c r="H93" s="46">
        <v>0</v>
      </c>
      <c r="I93" s="46">
        <v>1</v>
      </c>
      <c r="J93" s="46">
        <v>1</v>
      </c>
      <c r="K93" s="46">
        <v>41502</v>
      </c>
      <c r="L93" s="46">
        <v>0</v>
      </c>
    </row>
    <row r="94" spans="1:12" ht="32">
      <c r="A94" s="46">
        <v>181464</v>
      </c>
      <c r="B94" s="46" t="s">
        <v>161</v>
      </c>
      <c r="C94" s="46" t="s">
        <v>285</v>
      </c>
      <c r="D94" s="46" t="s">
        <v>284</v>
      </c>
      <c r="E94" s="46">
        <v>1</v>
      </c>
      <c r="F94" s="46">
        <v>0.92</v>
      </c>
      <c r="G94" s="46">
        <v>761969</v>
      </c>
      <c r="H94" s="46">
        <v>0</v>
      </c>
      <c r="I94" s="46">
        <v>2</v>
      </c>
      <c r="J94" s="46">
        <v>1.92</v>
      </c>
      <c r="K94" s="46">
        <v>223468</v>
      </c>
      <c r="L94" s="46">
        <v>0</v>
      </c>
    </row>
    <row r="95" spans="1:12" ht="32">
      <c r="A95" s="46">
        <v>181394</v>
      </c>
      <c r="B95" s="46" t="s">
        <v>162</v>
      </c>
      <c r="C95" s="46" t="s">
        <v>285</v>
      </c>
      <c r="D95" s="46" t="s">
        <v>284</v>
      </c>
      <c r="E95" s="46">
        <v>1</v>
      </c>
      <c r="F95" s="46">
        <v>1</v>
      </c>
      <c r="G95" s="46">
        <v>126353</v>
      </c>
      <c r="H95" s="46">
        <v>0</v>
      </c>
      <c r="I95" s="46">
        <v>2</v>
      </c>
      <c r="J95" s="46">
        <v>2</v>
      </c>
      <c r="K95" s="46">
        <v>120492</v>
      </c>
      <c r="L95" s="46">
        <v>0</v>
      </c>
    </row>
    <row r="96" spans="1:12" ht="32">
      <c r="A96" s="46">
        <v>182290</v>
      </c>
      <c r="B96" s="46" t="s">
        <v>163</v>
      </c>
      <c r="C96" s="46" t="s">
        <v>285</v>
      </c>
      <c r="D96" s="46" t="s">
        <v>284</v>
      </c>
      <c r="E96" s="46">
        <v>1</v>
      </c>
      <c r="F96" s="46">
        <v>1</v>
      </c>
      <c r="G96" s="46">
        <v>166434</v>
      </c>
      <c r="H96" s="46">
        <v>0</v>
      </c>
      <c r="I96" s="46">
        <v>2</v>
      </c>
      <c r="J96" s="46">
        <v>2</v>
      </c>
      <c r="K96" s="46">
        <v>154573</v>
      </c>
      <c r="L96" s="46">
        <v>0</v>
      </c>
    </row>
    <row r="97" spans="1:12" ht="32">
      <c r="A97" s="46">
        <v>183044</v>
      </c>
      <c r="B97" s="46" t="s">
        <v>164</v>
      </c>
      <c r="C97" s="46" t="s">
        <v>285</v>
      </c>
      <c r="D97" s="46" t="s">
        <v>284</v>
      </c>
      <c r="E97" s="46">
        <v>1</v>
      </c>
      <c r="F97" s="46">
        <v>1</v>
      </c>
      <c r="G97" s="46">
        <v>152258</v>
      </c>
      <c r="H97" s="46">
        <v>0</v>
      </c>
      <c r="I97" s="46">
        <v>2</v>
      </c>
      <c r="J97" s="46">
        <v>1.58</v>
      </c>
      <c r="K97" s="46">
        <v>69724</v>
      </c>
      <c r="L97" s="46">
        <v>0</v>
      </c>
    </row>
    <row r="98" spans="1:12" ht="32">
      <c r="A98" s="46">
        <v>187985</v>
      </c>
      <c r="B98" s="46" t="s">
        <v>165</v>
      </c>
      <c r="C98" s="46" t="s">
        <v>285</v>
      </c>
      <c r="D98" s="46" t="s">
        <v>284</v>
      </c>
      <c r="E98" s="46">
        <v>1</v>
      </c>
      <c r="F98" s="46">
        <v>1</v>
      </c>
      <c r="G98" s="46">
        <v>165603</v>
      </c>
      <c r="H98" s="46">
        <v>0</v>
      </c>
      <c r="I98" s="46">
        <v>2</v>
      </c>
      <c r="J98" s="46">
        <v>2</v>
      </c>
      <c r="K98" s="46">
        <v>141627</v>
      </c>
      <c r="L98" s="46">
        <v>0</v>
      </c>
    </row>
    <row r="99" spans="1:12" ht="32">
      <c r="A99" s="46">
        <v>188030</v>
      </c>
      <c r="B99" s="46" t="s">
        <v>166</v>
      </c>
      <c r="C99" s="46" t="s">
        <v>285</v>
      </c>
      <c r="D99" s="46" t="s">
        <v>284</v>
      </c>
      <c r="E99" s="46">
        <v>1</v>
      </c>
      <c r="F99" s="46">
        <v>1</v>
      </c>
      <c r="G99" s="46">
        <v>150755</v>
      </c>
      <c r="H99" s="46">
        <v>0</v>
      </c>
      <c r="I99" s="46">
        <v>3</v>
      </c>
      <c r="J99" s="46">
        <v>2.25</v>
      </c>
      <c r="K99" s="46">
        <v>155962</v>
      </c>
      <c r="L99" s="46">
        <v>0</v>
      </c>
    </row>
    <row r="100" spans="1:12" ht="32">
      <c r="A100" s="46">
        <v>159966</v>
      </c>
      <c r="B100" s="46" t="s">
        <v>168</v>
      </c>
      <c r="C100" s="46" t="s">
        <v>285</v>
      </c>
      <c r="D100" s="46" t="s">
        <v>284</v>
      </c>
      <c r="E100" s="46">
        <v>1</v>
      </c>
      <c r="F100" s="46">
        <v>0.5</v>
      </c>
      <c r="G100" s="46">
        <v>34087</v>
      </c>
      <c r="H100" s="46">
        <v>0</v>
      </c>
      <c r="I100" s="46">
        <v>1</v>
      </c>
      <c r="J100" s="46">
        <v>0.5</v>
      </c>
      <c r="K100" s="46">
        <v>22471</v>
      </c>
      <c r="L100" s="46">
        <v>0</v>
      </c>
    </row>
    <row r="101" spans="1:12" ht="32">
      <c r="A101" s="46">
        <v>185828</v>
      </c>
      <c r="B101" s="46" t="s">
        <v>169</v>
      </c>
      <c r="C101" s="46" t="s">
        <v>285</v>
      </c>
      <c r="D101" s="46" t="s">
        <v>284</v>
      </c>
      <c r="E101" s="46">
        <v>1</v>
      </c>
      <c r="F101" s="46">
        <v>1</v>
      </c>
      <c r="G101" s="46">
        <v>124858</v>
      </c>
      <c r="H101" s="46">
        <v>0</v>
      </c>
      <c r="I101" s="46">
        <v>1</v>
      </c>
      <c r="J101" s="46">
        <v>0.75</v>
      </c>
      <c r="K101" s="46">
        <v>50777</v>
      </c>
      <c r="L101" s="46">
        <v>0</v>
      </c>
    </row>
    <row r="102" spans="1:12" ht="32">
      <c r="A102" s="46">
        <v>199120</v>
      </c>
      <c r="B102" s="46" t="s">
        <v>172</v>
      </c>
      <c r="C102" s="46" t="s">
        <v>285</v>
      </c>
      <c r="D102" s="46" t="s">
        <v>284</v>
      </c>
      <c r="E102" s="46">
        <v>1</v>
      </c>
      <c r="F102" s="46">
        <v>1</v>
      </c>
      <c r="G102" s="46">
        <v>266007</v>
      </c>
      <c r="H102" s="46">
        <v>0</v>
      </c>
      <c r="I102" s="46">
        <v>2</v>
      </c>
      <c r="J102" s="46">
        <v>2</v>
      </c>
      <c r="K102" s="46">
        <v>206319</v>
      </c>
      <c r="L102" s="46">
        <v>0</v>
      </c>
    </row>
    <row r="103" spans="1:12" ht="32">
      <c r="A103" s="46">
        <v>199102</v>
      </c>
      <c r="B103" s="46" t="s">
        <v>173</v>
      </c>
      <c r="C103" s="46" t="s">
        <v>285</v>
      </c>
      <c r="D103" s="46" t="s">
        <v>284</v>
      </c>
      <c r="E103" s="46">
        <v>1</v>
      </c>
      <c r="F103" s="46">
        <v>1</v>
      </c>
      <c r="G103" s="46">
        <v>76591</v>
      </c>
      <c r="H103" s="46">
        <v>0</v>
      </c>
      <c r="I103" s="46">
        <v>2</v>
      </c>
      <c r="J103" s="46">
        <v>2</v>
      </c>
      <c r="K103" s="46">
        <v>56662</v>
      </c>
      <c r="L103" s="46">
        <v>0</v>
      </c>
    </row>
    <row r="104" spans="1:12" ht="32">
      <c r="A104" s="46">
        <v>199111</v>
      </c>
      <c r="B104" s="46" t="s">
        <v>275</v>
      </c>
      <c r="C104" s="46" t="s">
        <v>285</v>
      </c>
      <c r="D104" s="46" t="s">
        <v>284</v>
      </c>
      <c r="E104" s="46">
        <v>1</v>
      </c>
      <c r="F104" s="46">
        <v>1</v>
      </c>
      <c r="G104" s="46">
        <v>75791</v>
      </c>
      <c r="H104" s="46">
        <v>0</v>
      </c>
      <c r="I104" s="46">
        <v>1</v>
      </c>
      <c r="J104" s="46">
        <v>1</v>
      </c>
      <c r="K104" s="46">
        <v>49683</v>
      </c>
      <c r="L104" s="46">
        <v>0</v>
      </c>
    </row>
    <row r="105" spans="1:12" ht="32">
      <c r="A105" s="46">
        <v>199157</v>
      </c>
      <c r="B105" s="46" t="s">
        <v>174</v>
      </c>
      <c r="C105" s="46" t="s">
        <v>285</v>
      </c>
      <c r="D105" s="46" t="s">
        <v>284</v>
      </c>
      <c r="E105" s="46">
        <v>1</v>
      </c>
      <c r="F105" s="46">
        <v>1</v>
      </c>
      <c r="G105" s="46">
        <v>81210</v>
      </c>
      <c r="H105" s="46">
        <v>0</v>
      </c>
      <c r="I105" s="46">
        <v>2</v>
      </c>
      <c r="J105" s="46">
        <v>1.5</v>
      </c>
      <c r="K105" s="46">
        <v>39334</v>
      </c>
      <c r="L105" s="46">
        <v>0</v>
      </c>
    </row>
    <row r="106" spans="1:12" ht="32">
      <c r="A106" s="46">
        <v>199148</v>
      </c>
      <c r="B106" s="46" t="s">
        <v>276</v>
      </c>
      <c r="C106" s="46" t="s">
        <v>285</v>
      </c>
      <c r="D106" s="46" t="s">
        <v>284</v>
      </c>
      <c r="E106" s="46">
        <v>1</v>
      </c>
      <c r="F106" s="46">
        <v>1</v>
      </c>
      <c r="G106" s="46">
        <v>79966</v>
      </c>
      <c r="H106" s="46">
        <v>0</v>
      </c>
      <c r="I106" s="46">
        <v>2</v>
      </c>
      <c r="J106" s="46">
        <v>2</v>
      </c>
      <c r="K106" s="46">
        <v>65697</v>
      </c>
      <c r="L106" s="46">
        <v>0</v>
      </c>
    </row>
    <row r="107" spans="1:12" ht="32">
      <c r="A107" s="46">
        <v>199193</v>
      </c>
      <c r="B107" s="46" t="s">
        <v>175</v>
      </c>
      <c r="C107" s="46" t="s">
        <v>285</v>
      </c>
      <c r="D107" s="46" t="s">
        <v>284</v>
      </c>
      <c r="E107" s="46">
        <v>1</v>
      </c>
      <c r="F107" s="46">
        <v>1</v>
      </c>
      <c r="G107" s="46">
        <v>186004</v>
      </c>
      <c r="H107" s="46">
        <v>0</v>
      </c>
      <c r="I107" s="46">
        <v>2</v>
      </c>
      <c r="J107" s="46">
        <v>2</v>
      </c>
      <c r="K107" s="46">
        <v>236898</v>
      </c>
      <c r="L107" s="46">
        <v>0</v>
      </c>
    </row>
    <row r="108" spans="1:12" ht="32">
      <c r="A108" s="46">
        <v>199218</v>
      </c>
      <c r="B108" s="46" t="s">
        <v>176</v>
      </c>
      <c r="C108" s="46" t="s">
        <v>285</v>
      </c>
      <c r="D108" s="46" t="s">
        <v>284</v>
      </c>
      <c r="E108" s="46">
        <v>1</v>
      </c>
      <c r="F108" s="46">
        <v>0.6</v>
      </c>
      <c r="G108" s="46">
        <v>40967</v>
      </c>
      <c r="H108" s="46">
        <v>0</v>
      </c>
      <c r="I108" s="46">
        <v>2</v>
      </c>
      <c r="J108" s="46">
        <v>1.75</v>
      </c>
      <c r="K108" s="46">
        <v>72078</v>
      </c>
      <c r="L108" s="46">
        <v>0</v>
      </c>
    </row>
    <row r="109" spans="1:12" ht="32">
      <c r="A109" s="46">
        <v>200280</v>
      </c>
      <c r="B109" s="46" t="s">
        <v>177</v>
      </c>
      <c r="C109" s="46" t="s">
        <v>285</v>
      </c>
      <c r="D109" s="46" t="s">
        <v>284</v>
      </c>
      <c r="E109" s="46">
        <v>1</v>
      </c>
      <c r="F109" s="46">
        <v>1</v>
      </c>
      <c r="G109" s="46">
        <v>136684</v>
      </c>
      <c r="H109" s="46">
        <v>0</v>
      </c>
      <c r="I109" s="46">
        <v>2</v>
      </c>
      <c r="J109" s="46">
        <v>2</v>
      </c>
      <c r="K109" s="46">
        <v>137561</v>
      </c>
      <c r="L109" s="46">
        <v>0</v>
      </c>
    </row>
    <row r="110" spans="1:12" ht="32">
      <c r="A110" s="46">
        <v>200332</v>
      </c>
      <c r="B110" s="46" t="s">
        <v>178</v>
      </c>
      <c r="C110" s="46" t="s">
        <v>285</v>
      </c>
      <c r="D110" s="46" t="s">
        <v>284</v>
      </c>
      <c r="E110" s="46">
        <v>1</v>
      </c>
      <c r="F110" s="46">
        <v>1</v>
      </c>
      <c r="G110" s="46">
        <v>140077</v>
      </c>
      <c r="H110" s="46">
        <v>0</v>
      </c>
      <c r="I110" s="46">
        <v>2</v>
      </c>
      <c r="J110" s="46">
        <v>2</v>
      </c>
      <c r="K110" s="46">
        <v>190355</v>
      </c>
      <c r="L110" s="46">
        <v>0</v>
      </c>
    </row>
    <row r="111" spans="1:12" ht="32">
      <c r="A111" s="46">
        <v>136172</v>
      </c>
      <c r="B111" s="46" t="s">
        <v>179</v>
      </c>
      <c r="C111" s="46" t="s">
        <v>285</v>
      </c>
      <c r="D111" s="46" t="s">
        <v>284</v>
      </c>
      <c r="E111" s="46">
        <v>1</v>
      </c>
      <c r="F111" s="46">
        <v>0.5</v>
      </c>
      <c r="G111" s="46">
        <v>65510</v>
      </c>
      <c r="H111" s="46">
        <v>0</v>
      </c>
      <c r="I111" s="46">
        <v>2</v>
      </c>
      <c r="J111" s="46">
        <v>2</v>
      </c>
      <c r="K111" s="46">
        <v>99349</v>
      </c>
      <c r="L111" s="46">
        <v>0</v>
      </c>
    </row>
    <row r="112" spans="1:12" ht="32">
      <c r="A112" s="46">
        <v>227216</v>
      </c>
      <c r="B112" s="46" t="s">
        <v>180</v>
      </c>
      <c r="C112" s="46" t="s">
        <v>285</v>
      </c>
      <c r="D112" s="46" t="s">
        <v>284</v>
      </c>
      <c r="E112" s="46">
        <v>1</v>
      </c>
      <c r="F112" s="46">
        <v>1</v>
      </c>
      <c r="G112" s="46">
        <v>124857</v>
      </c>
      <c r="H112" s="46">
        <v>0</v>
      </c>
      <c r="I112" s="46">
        <v>2</v>
      </c>
      <c r="J112" s="46">
        <v>2</v>
      </c>
      <c r="K112" s="46">
        <v>85607</v>
      </c>
      <c r="L112" s="46">
        <v>0</v>
      </c>
    </row>
    <row r="113" spans="1:12" ht="32">
      <c r="A113" s="46">
        <v>105330</v>
      </c>
      <c r="B113" s="46" t="s">
        <v>181</v>
      </c>
      <c r="C113" s="46" t="s">
        <v>285</v>
      </c>
      <c r="D113" s="46" t="s">
        <v>284</v>
      </c>
      <c r="E113" s="46">
        <v>1</v>
      </c>
      <c r="F113" s="46">
        <v>1</v>
      </c>
      <c r="G113" s="46">
        <v>174407</v>
      </c>
      <c r="H113" s="46">
        <v>0</v>
      </c>
      <c r="I113" s="46">
        <v>2</v>
      </c>
      <c r="J113" s="46">
        <v>2</v>
      </c>
      <c r="K113" s="46">
        <v>133974</v>
      </c>
      <c r="L113" s="46">
        <v>0</v>
      </c>
    </row>
    <row r="114" spans="1:12" ht="32">
      <c r="A114" s="46">
        <v>127741</v>
      </c>
      <c r="B114" s="46" t="s">
        <v>182</v>
      </c>
      <c r="C114" s="46" t="s">
        <v>285</v>
      </c>
      <c r="D114" s="46" t="s">
        <v>284</v>
      </c>
      <c r="E114" s="46">
        <v>1</v>
      </c>
      <c r="F114" s="46">
        <v>1</v>
      </c>
      <c r="G114" s="46">
        <v>224258</v>
      </c>
      <c r="H114" s="46">
        <v>0</v>
      </c>
      <c r="I114" s="46">
        <v>3</v>
      </c>
      <c r="J114" s="46">
        <v>2</v>
      </c>
      <c r="K114" s="46">
        <v>150970</v>
      </c>
      <c r="L114" s="46">
        <v>0</v>
      </c>
    </row>
    <row r="115" spans="1:12" ht="32">
      <c r="A115" s="46">
        <v>154095</v>
      </c>
      <c r="B115" s="46" t="s">
        <v>184</v>
      </c>
      <c r="C115" s="46" t="s">
        <v>285</v>
      </c>
      <c r="D115" s="46" t="s">
        <v>284</v>
      </c>
      <c r="E115" s="46">
        <v>1</v>
      </c>
      <c r="F115" s="46">
        <v>1</v>
      </c>
      <c r="G115" s="46">
        <v>220868</v>
      </c>
      <c r="H115" s="46">
        <v>0</v>
      </c>
      <c r="I115" s="46">
        <v>2</v>
      </c>
      <c r="J115" s="46">
        <v>2</v>
      </c>
      <c r="K115" s="46">
        <v>185247</v>
      </c>
      <c r="L115" s="46">
        <v>0</v>
      </c>
    </row>
    <row r="116" spans="1:12" ht="32">
      <c r="A116" s="46">
        <v>160038</v>
      </c>
      <c r="B116" s="46" t="s">
        <v>185</v>
      </c>
      <c r="C116" s="46" t="s">
        <v>285</v>
      </c>
      <c r="D116" s="46" t="s">
        <v>284</v>
      </c>
      <c r="E116" s="46">
        <v>1</v>
      </c>
      <c r="F116" s="46">
        <v>0.8</v>
      </c>
      <c r="G116" s="46">
        <v>80616</v>
      </c>
      <c r="H116" s="46">
        <v>0</v>
      </c>
      <c r="I116" s="46">
        <v>2</v>
      </c>
      <c r="J116" s="46">
        <v>1.18</v>
      </c>
      <c r="K116" s="46">
        <v>62892</v>
      </c>
      <c r="L116" s="46">
        <v>0</v>
      </c>
    </row>
    <row r="117" spans="1:12" ht="32">
      <c r="A117" s="46">
        <v>171571</v>
      </c>
      <c r="B117" s="46" t="s">
        <v>186</v>
      </c>
      <c r="C117" s="46" t="s">
        <v>285</v>
      </c>
      <c r="D117" s="46" t="s">
        <v>284</v>
      </c>
      <c r="E117" s="46">
        <v>1</v>
      </c>
      <c r="F117" s="46">
        <v>1</v>
      </c>
      <c r="G117" s="46">
        <v>106086</v>
      </c>
      <c r="H117" s="46">
        <v>0</v>
      </c>
      <c r="I117" s="46">
        <v>1</v>
      </c>
      <c r="J117" s="46">
        <v>1</v>
      </c>
      <c r="K117" s="46">
        <v>71327</v>
      </c>
      <c r="L117" s="46">
        <v>0</v>
      </c>
    </row>
    <row r="118" spans="1:12" ht="32">
      <c r="A118" s="46">
        <v>204857</v>
      </c>
      <c r="B118" s="46" t="s">
        <v>187</v>
      </c>
      <c r="C118" s="46" t="s">
        <v>285</v>
      </c>
      <c r="D118" s="46" t="s">
        <v>284</v>
      </c>
      <c r="E118" s="46">
        <v>1</v>
      </c>
      <c r="F118" s="46">
        <v>1</v>
      </c>
      <c r="G118" s="46">
        <v>185895</v>
      </c>
      <c r="H118" s="46">
        <v>0</v>
      </c>
      <c r="I118" s="46">
        <v>2</v>
      </c>
      <c r="J118" s="46">
        <v>2</v>
      </c>
      <c r="K118" s="46">
        <v>150596</v>
      </c>
      <c r="L118" s="46">
        <v>0</v>
      </c>
    </row>
    <row r="119" spans="1:12" ht="32">
      <c r="A119" s="46">
        <v>204796</v>
      </c>
      <c r="B119" s="46" t="s">
        <v>188</v>
      </c>
      <c r="C119" s="46" t="s">
        <v>285</v>
      </c>
      <c r="D119" s="46" t="s">
        <v>284</v>
      </c>
      <c r="E119" s="46">
        <v>1</v>
      </c>
      <c r="F119" s="46">
        <v>1</v>
      </c>
      <c r="G119" s="46">
        <v>761240</v>
      </c>
      <c r="H119" s="46">
        <v>0</v>
      </c>
      <c r="I119" s="46">
        <v>2</v>
      </c>
      <c r="J119" s="46">
        <v>2</v>
      </c>
      <c r="K119" s="46">
        <v>304565</v>
      </c>
      <c r="L119" s="46">
        <v>0</v>
      </c>
    </row>
    <row r="120" spans="1:12" ht="32">
      <c r="A120" s="46">
        <v>207500</v>
      </c>
      <c r="B120" s="46" t="s">
        <v>189</v>
      </c>
      <c r="C120" s="46" t="s">
        <v>285</v>
      </c>
      <c r="D120" s="46" t="s">
        <v>284</v>
      </c>
      <c r="E120" s="46">
        <v>1</v>
      </c>
      <c r="F120" s="46">
        <v>1</v>
      </c>
      <c r="G120" s="46">
        <v>258895</v>
      </c>
      <c r="H120" s="46">
        <v>0</v>
      </c>
      <c r="I120" s="46">
        <v>2</v>
      </c>
      <c r="J120" s="46">
        <v>2</v>
      </c>
      <c r="K120" s="46">
        <v>211122</v>
      </c>
      <c r="L120" s="46">
        <v>0</v>
      </c>
    </row>
    <row r="121" spans="1:12" ht="32">
      <c r="A121" s="46">
        <v>232982</v>
      </c>
      <c r="B121" s="46" t="s">
        <v>191</v>
      </c>
      <c r="C121" s="46" t="s">
        <v>285</v>
      </c>
      <c r="D121" s="46" t="s">
        <v>284</v>
      </c>
      <c r="E121" s="46">
        <v>1</v>
      </c>
      <c r="F121" s="46">
        <v>1</v>
      </c>
      <c r="G121" s="46">
        <v>143961</v>
      </c>
      <c r="H121" s="46">
        <v>0</v>
      </c>
      <c r="I121" s="46">
        <v>2</v>
      </c>
      <c r="J121" s="46">
        <v>2</v>
      </c>
      <c r="K121" s="46">
        <v>122624</v>
      </c>
      <c r="L121" s="46">
        <v>0</v>
      </c>
    </row>
    <row r="122" spans="1:12" ht="32">
      <c r="A122" s="46">
        <v>209551</v>
      </c>
      <c r="B122" s="46" t="s">
        <v>192</v>
      </c>
      <c r="C122" s="46" t="s">
        <v>285</v>
      </c>
      <c r="D122" s="46" t="s">
        <v>284</v>
      </c>
      <c r="E122" s="46">
        <v>1</v>
      </c>
      <c r="F122" s="46">
        <v>1</v>
      </c>
      <c r="G122" s="46">
        <v>242455</v>
      </c>
      <c r="H122" s="46">
        <v>3000</v>
      </c>
      <c r="I122" s="46">
        <v>2</v>
      </c>
      <c r="J122" s="46">
        <v>1.75</v>
      </c>
      <c r="K122" s="46">
        <v>215463</v>
      </c>
      <c r="L122" s="46">
        <v>4750</v>
      </c>
    </row>
    <row r="123" spans="1:12" ht="32">
      <c r="A123" s="46">
        <v>209542</v>
      </c>
      <c r="B123" s="46" t="s">
        <v>193</v>
      </c>
      <c r="C123" s="46" t="s">
        <v>285</v>
      </c>
      <c r="D123" s="46" t="s">
        <v>284</v>
      </c>
      <c r="E123" s="46">
        <v>1</v>
      </c>
      <c r="F123" s="46">
        <v>1</v>
      </c>
      <c r="G123" s="46">
        <v>267364</v>
      </c>
      <c r="H123" s="46">
        <v>0</v>
      </c>
      <c r="I123" s="46">
        <v>2</v>
      </c>
      <c r="J123" s="46">
        <v>2</v>
      </c>
      <c r="K123" s="46">
        <v>170460</v>
      </c>
      <c r="L123" s="46">
        <v>0</v>
      </c>
    </row>
    <row r="124" spans="1:12" ht="32">
      <c r="A124" s="46">
        <v>209807</v>
      </c>
      <c r="B124" s="46" t="s">
        <v>195</v>
      </c>
      <c r="C124" s="46" t="s">
        <v>285</v>
      </c>
      <c r="D124" s="46" t="s">
        <v>284</v>
      </c>
      <c r="E124" s="46">
        <v>1</v>
      </c>
      <c r="F124" s="46">
        <v>1</v>
      </c>
      <c r="G124" s="46">
        <v>155886</v>
      </c>
      <c r="H124" s="46">
        <v>0</v>
      </c>
      <c r="I124" s="46">
        <v>2</v>
      </c>
      <c r="J124" s="46">
        <v>2</v>
      </c>
      <c r="K124" s="46">
        <v>104624</v>
      </c>
      <c r="L124" s="46">
        <v>0</v>
      </c>
    </row>
    <row r="125" spans="1:12" ht="32">
      <c r="A125" s="46">
        <v>227526</v>
      </c>
      <c r="B125" s="46" t="s">
        <v>196</v>
      </c>
      <c r="C125" s="46" t="s">
        <v>285</v>
      </c>
      <c r="D125" s="46" t="s">
        <v>284</v>
      </c>
      <c r="E125" s="46">
        <v>1</v>
      </c>
      <c r="F125" s="46">
        <v>1</v>
      </c>
      <c r="G125" s="46">
        <v>66058</v>
      </c>
      <c r="H125" s="46">
        <v>0</v>
      </c>
      <c r="I125" s="46">
        <v>2</v>
      </c>
      <c r="J125" s="46">
        <v>1.5</v>
      </c>
      <c r="K125" s="46">
        <v>52852</v>
      </c>
      <c r="L125" s="46">
        <v>0</v>
      </c>
    </row>
    <row r="126" spans="1:12" ht="32">
      <c r="A126" s="46">
        <v>243780</v>
      </c>
      <c r="B126" s="46" t="s">
        <v>197</v>
      </c>
      <c r="C126" s="46" t="s">
        <v>285</v>
      </c>
      <c r="D126" s="46" t="s">
        <v>284</v>
      </c>
      <c r="E126" s="46">
        <v>1</v>
      </c>
      <c r="F126" s="46">
        <v>1</v>
      </c>
      <c r="G126" s="46">
        <v>295538</v>
      </c>
      <c r="H126" s="46">
        <v>8148</v>
      </c>
      <c r="I126" s="46">
        <v>3</v>
      </c>
      <c r="J126" s="46">
        <v>2.5</v>
      </c>
      <c r="K126" s="46">
        <v>253641</v>
      </c>
      <c r="L126" s="46">
        <v>5782</v>
      </c>
    </row>
    <row r="127" spans="1:12" ht="32">
      <c r="A127" s="46">
        <v>151102</v>
      </c>
      <c r="B127" s="46" t="s">
        <v>198</v>
      </c>
      <c r="C127" s="46" t="s">
        <v>285</v>
      </c>
      <c r="D127" s="46" t="s">
        <v>284</v>
      </c>
      <c r="E127" s="46">
        <v>1</v>
      </c>
      <c r="F127" s="46">
        <v>1</v>
      </c>
      <c r="G127" s="46">
        <v>87787</v>
      </c>
      <c r="H127" s="46">
        <v>0</v>
      </c>
      <c r="I127" s="46">
        <v>2</v>
      </c>
      <c r="J127" s="46">
        <v>1.5</v>
      </c>
      <c r="K127" s="46">
        <v>69839</v>
      </c>
      <c r="L127" s="46">
        <v>0</v>
      </c>
    </row>
    <row r="128" spans="1:12" ht="32">
      <c r="A128" s="46">
        <v>233277</v>
      </c>
      <c r="B128" s="46" t="s">
        <v>199</v>
      </c>
      <c r="C128" s="46" t="s">
        <v>285</v>
      </c>
      <c r="D128" s="50" t="s">
        <v>284</v>
      </c>
      <c r="E128" s="22">
        <v>1</v>
      </c>
      <c r="F128" s="22">
        <v>1</v>
      </c>
      <c r="G128" s="22">
        <v>96218</v>
      </c>
      <c r="H128" s="50">
        <v>0</v>
      </c>
      <c r="I128" s="22">
        <v>1</v>
      </c>
      <c r="J128" s="22">
        <v>1</v>
      </c>
      <c r="K128" s="22">
        <v>33059</v>
      </c>
      <c r="L128" s="50">
        <v>0</v>
      </c>
    </row>
    <row r="129" spans="1:12" ht="32">
      <c r="A129" s="46">
        <v>217484</v>
      </c>
      <c r="B129" s="46" t="s">
        <v>200</v>
      </c>
      <c r="C129" s="46" t="s">
        <v>285</v>
      </c>
      <c r="D129" s="46" t="s">
        <v>284</v>
      </c>
      <c r="E129" s="46">
        <v>1</v>
      </c>
      <c r="F129" s="46">
        <v>1</v>
      </c>
      <c r="G129" s="46">
        <v>95778</v>
      </c>
      <c r="H129" s="46">
        <v>0</v>
      </c>
      <c r="I129" s="46">
        <v>1</v>
      </c>
      <c r="J129" s="46">
        <v>1</v>
      </c>
      <c r="K129" s="46">
        <v>51914</v>
      </c>
      <c r="L129" s="46">
        <v>0</v>
      </c>
    </row>
    <row r="130" spans="1:12" ht="32">
      <c r="A130" s="46">
        <v>186380</v>
      </c>
      <c r="B130" s="46" t="s">
        <v>201</v>
      </c>
      <c r="C130" s="46" t="s">
        <v>285</v>
      </c>
      <c r="D130" s="46" t="s">
        <v>284</v>
      </c>
      <c r="E130" s="46">
        <v>1</v>
      </c>
      <c r="F130" s="46">
        <v>1</v>
      </c>
      <c r="G130" s="46">
        <v>175518</v>
      </c>
      <c r="H130" s="46">
        <v>0</v>
      </c>
      <c r="I130" s="46">
        <v>2</v>
      </c>
      <c r="J130" s="46">
        <v>2</v>
      </c>
      <c r="K130" s="46">
        <v>174584</v>
      </c>
      <c r="L130" s="46">
        <v>15000</v>
      </c>
    </row>
    <row r="131" spans="1:12" ht="32">
      <c r="A131" s="46">
        <v>110617</v>
      </c>
      <c r="B131" s="46" t="s">
        <v>202</v>
      </c>
      <c r="C131" s="46" t="s">
        <v>285</v>
      </c>
      <c r="D131" s="46" t="s">
        <v>284</v>
      </c>
      <c r="E131" s="46">
        <v>1</v>
      </c>
      <c r="F131" s="46">
        <v>0.7</v>
      </c>
      <c r="G131" s="46">
        <v>108693</v>
      </c>
      <c r="H131" s="46">
        <v>0</v>
      </c>
      <c r="I131" s="46">
        <v>2</v>
      </c>
      <c r="J131" s="46">
        <v>2</v>
      </c>
      <c r="K131" s="46">
        <v>214013</v>
      </c>
      <c r="L131" s="46">
        <v>0</v>
      </c>
    </row>
    <row r="132" spans="1:12" ht="32">
      <c r="A132" s="46">
        <v>227881</v>
      </c>
      <c r="B132" s="46" t="s">
        <v>203</v>
      </c>
      <c r="C132" s="46" t="s">
        <v>285</v>
      </c>
      <c r="D132" s="46" t="s">
        <v>284</v>
      </c>
      <c r="E132" s="46">
        <v>1</v>
      </c>
      <c r="F132" s="46">
        <v>1</v>
      </c>
      <c r="G132" s="46">
        <v>140360</v>
      </c>
      <c r="H132" s="46">
        <v>0</v>
      </c>
      <c r="I132" s="46">
        <v>1</v>
      </c>
      <c r="J132" s="46">
        <v>1</v>
      </c>
      <c r="K132" s="46">
        <v>8126</v>
      </c>
      <c r="L132" s="46">
        <v>0</v>
      </c>
    </row>
    <row r="133" spans="1:12" ht="32">
      <c r="A133" s="46">
        <v>122409</v>
      </c>
      <c r="B133" s="46" t="s">
        <v>204</v>
      </c>
      <c r="C133" s="46" t="s">
        <v>285</v>
      </c>
      <c r="D133" s="46" t="s">
        <v>284</v>
      </c>
      <c r="E133" s="46">
        <v>1</v>
      </c>
      <c r="F133" s="46">
        <v>1</v>
      </c>
      <c r="G133" s="46">
        <v>270382</v>
      </c>
      <c r="H133" s="46">
        <v>0</v>
      </c>
      <c r="I133" s="46">
        <v>2</v>
      </c>
      <c r="J133" s="46">
        <v>2</v>
      </c>
      <c r="K133" s="46">
        <v>253684</v>
      </c>
      <c r="L133" s="46">
        <v>0</v>
      </c>
    </row>
    <row r="134" spans="1:12" ht="32">
      <c r="A134" s="46">
        <v>122755</v>
      </c>
      <c r="B134" s="46" t="s">
        <v>205</v>
      </c>
      <c r="C134" s="46" t="s">
        <v>285</v>
      </c>
      <c r="D134" s="46" t="s">
        <v>284</v>
      </c>
      <c r="E134" s="46">
        <v>1</v>
      </c>
      <c r="F134" s="46">
        <v>1</v>
      </c>
      <c r="G134" s="46">
        <v>205780</v>
      </c>
      <c r="H134" s="46">
        <v>0</v>
      </c>
      <c r="I134" s="46">
        <v>1</v>
      </c>
      <c r="J134" s="46">
        <v>1</v>
      </c>
      <c r="K134" s="46">
        <v>206920</v>
      </c>
      <c r="L134" s="46">
        <v>0</v>
      </c>
    </row>
    <row r="135" spans="1:12" ht="32">
      <c r="A135" s="46">
        <v>102094</v>
      </c>
      <c r="B135" s="46" t="s">
        <v>207</v>
      </c>
      <c r="C135" s="46" t="s">
        <v>285</v>
      </c>
      <c r="D135" s="50" t="s">
        <v>284</v>
      </c>
      <c r="E135" s="22">
        <v>1</v>
      </c>
      <c r="F135" s="22">
        <v>1</v>
      </c>
      <c r="G135" s="22">
        <v>104525</v>
      </c>
      <c r="H135" s="22">
        <v>0</v>
      </c>
      <c r="I135" s="22">
        <v>2</v>
      </c>
      <c r="J135" s="22">
        <v>2</v>
      </c>
      <c r="K135" s="22">
        <v>101622</v>
      </c>
      <c r="L135" s="53">
        <v>0</v>
      </c>
    </row>
    <row r="136" spans="1:12" ht="32">
      <c r="A136" s="46">
        <v>218663</v>
      </c>
      <c r="B136" s="46" t="s">
        <v>208</v>
      </c>
      <c r="C136" s="46" t="s">
        <v>285</v>
      </c>
      <c r="D136" s="46" t="s">
        <v>284</v>
      </c>
      <c r="E136" s="46">
        <v>1</v>
      </c>
      <c r="F136" s="46">
        <v>1</v>
      </c>
      <c r="G136" s="46">
        <v>249171</v>
      </c>
      <c r="H136" s="46">
        <v>0</v>
      </c>
      <c r="I136" s="46">
        <v>2</v>
      </c>
      <c r="J136" s="46">
        <v>2</v>
      </c>
      <c r="K136" s="46">
        <v>211510</v>
      </c>
      <c r="L136" s="46">
        <v>0</v>
      </c>
    </row>
    <row r="137" spans="1:12" ht="32">
      <c r="A137" s="46">
        <v>218742</v>
      </c>
      <c r="B137" s="46" t="s">
        <v>210</v>
      </c>
      <c r="C137" s="46" t="s">
        <v>285</v>
      </c>
      <c r="D137" s="46" t="s">
        <v>284</v>
      </c>
      <c r="E137" s="46">
        <v>1</v>
      </c>
      <c r="F137" s="46">
        <v>1</v>
      </c>
      <c r="G137" s="46">
        <v>95355</v>
      </c>
      <c r="H137" s="46">
        <v>0</v>
      </c>
      <c r="I137" s="46">
        <v>1</v>
      </c>
      <c r="J137" s="46">
        <v>1</v>
      </c>
      <c r="K137" s="46">
        <v>55458</v>
      </c>
      <c r="L137" s="46">
        <v>0</v>
      </c>
    </row>
    <row r="138" spans="1:12" ht="32">
      <c r="A138" s="46">
        <v>219471</v>
      </c>
      <c r="B138" s="46" t="s">
        <v>211</v>
      </c>
      <c r="C138" s="46" t="s">
        <v>285</v>
      </c>
      <c r="D138" s="46" t="s">
        <v>284</v>
      </c>
      <c r="E138" s="46">
        <v>1</v>
      </c>
      <c r="F138" s="46">
        <v>1</v>
      </c>
      <c r="G138" s="46">
        <v>131266</v>
      </c>
      <c r="H138" s="46">
        <v>1164</v>
      </c>
      <c r="I138" s="46">
        <v>2</v>
      </c>
      <c r="J138" s="46">
        <v>2</v>
      </c>
      <c r="K138" s="46">
        <v>157331</v>
      </c>
      <c r="L138" s="46">
        <v>0</v>
      </c>
    </row>
    <row r="139" spans="1:12" ht="32">
      <c r="A139" s="46">
        <v>219356</v>
      </c>
      <c r="B139" s="46" t="s">
        <v>212</v>
      </c>
      <c r="C139" s="46" t="s">
        <v>285</v>
      </c>
      <c r="D139" s="46" t="s">
        <v>284</v>
      </c>
      <c r="E139" s="46">
        <v>1</v>
      </c>
      <c r="F139" s="46">
        <v>1</v>
      </c>
      <c r="G139" s="46">
        <v>115466</v>
      </c>
      <c r="H139" s="46">
        <v>0</v>
      </c>
      <c r="I139" s="46">
        <v>1</v>
      </c>
      <c r="J139" s="46">
        <v>1</v>
      </c>
      <c r="K139" s="46">
        <v>55742</v>
      </c>
      <c r="L139" s="46">
        <v>0</v>
      </c>
    </row>
    <row r="140" spans="1:12" ht="32">
      <c r="A140" s="46">
        <v>137351</v>
      </c>
      <c r="B140" s="46" t="s">
        <v>213</v>
      </c>
      <c r="C140" s="46" t="s">
        <v>285</v>
      </c>
      <c r="D140" s="46" t="s">
        <v>284</v>
      </c>
      <c r="E140" s="46">
        <v>1</v>
      </c>
      <c r="F140" s="46">
        <v>1</v>
      </c>
      <c r="G140" s="46">
        <v>191635</v>
      </c>
      <c r="H140" s="46">
        <v>0</v>
      </c>
      <c r="I140" s="46">
        <v>2</v>
      </c>
      <c r="J140" s="46">
        <v>2</v>
      </c>
      <c r="K140" s="46">
        <v>72888</v>
      </c>
      <c r="L140" s="46">
        <v>0</v>
      </c>
    </row>
    <row r="141" spans="1:12" ht="32">
      <c r="A141" s="46">
        <v>179557</v>
      </c>
      <c r="B141" s="46" t="s">
        <v>214</v>
      </c>
      <c r="C141" s="46" t="s">
        <v>285</v>
      </c>
      <c r="D141" s="46" t="s">
        <v>284</v>
      </c>
      <c r="E141" s="46">
        <v>1</v>
      </c>
      <c r="F141" s="46">
        <v>1</v>
      </c>
      <c r="G141" s="46">
        <v>83764</v>
      </c>
      <c r="H141" s="46">
        <v>4850</v>
      </c>
      <c r="I141" s="46">
        <v>2</v>
      </c>
      <c r="J141" s="46">
        <v>2</v>
      </c>
      <c r="K141" s="46">
        <v>63499</v>
      </c>
      <c r="L141" s="46">
        <v>0</v>
      </c>
    </row>
    <row r="142" spans="1:12" ht="32">
      <c r="A142" s="46">
        <v>160621</v>
      </c>
      <c r="B142" s="46" t="s">
        <v>216</v>
      </c>
      <c r="C142" s="46" t="s">
        <v>285</v>
      </c>
      <c r="D142" s="46" t="s">
        <v>284</v>
      </c>
      <c r="E142" s="46">
        <v>1</v>
      </c>
      <c r="F142" s="46">
        <v>1</v>
      </c>
      <c r="G142" s="46">
        <v>72540</v>
      </c>
      <c r="H142" s="46">
        <v>0</v>
      </c>
      <c r="I142" s="46">
        <v>1</v>
      </c>
      <c r="J142" s="46">
        <v>1</v>
      </c>
      <c r="K142" s="46">
        <v>20304</v>
      </c>
      <c r="L142" s="46">
        <v>0</v>
      </c>
    </row>
    <row r="143" spans="1:12" ht="32">
      <c r="A143" s="46">
        <v>149231</v>
      </c>
      <c r="B143" s="46" t="s">
        <v>218</v>
      </c>
      <c r="C143" s="46" t="s">
        <v>285</v>
      </c>
      <c r="D143" s="46" t="s">
        <v>284</v>
      </c>
      <c r="E143" s="46">
        <v>1</v>
      </c>
      <c r="F143" s="46">
        <v>1</v>
      </c>
      <c r="G143" s="46">
        <v>69508</v>
      </c>
      <c r="H143" s="46">
        <v>0</v>
      </c>
      <c r="I143" s="46">
        <v>2</v>
      </c>
      <c r="J143" s="46">
        <v>1.5</v>
      </c>
      <c r="K143" s="46">
        <v>55723</v>
      </c>
      <c r="L143" s="46">
        <v>0</v>
      </c>
    </row>
    <row r="144" spans="1:12" ht="32">
      <c r="A144" s="46">
        <v>176372</v>
      </c>
      <c r="B144" s="46" t="s">
        <v>219</v>
      </c>
      <c r="C144" s="46" t="s">
        <v>285</v>
      </c>
      <c r="D144" s="46" t="s">
        <v>284</v>
      </c>
      <c r="E144" s="46">
        <v>1</v>
      </c>
      <c r="F144" s="46">
        <v>1</v>
      </c>
      <c r="G144" s="46">
        <v>103733</v>
      </c>
      <c r="H144" s="46">
        <v>0</v>
      </c>
      <c r="I144" s="46">
        <v>2</v>
      </c>
      <c r="J144" s="46">
        <v>2</v>
      </c>
      <c r="K144" s="46">
        <v>103880</v>
      </c>
      <c r="L144" s="46">
        <v>0</v>
      </c>
    </row>
    <row r="145" spans="1:12" ht="32">
      <c r="A145" s="46">
        <v>230603</v>
      </c>
      <c r="B145" s="46" t="s">
        <v>220</v>
      </c>
      <c r="C145" s="46" t="s">
        <v>285</v>
      </c>
      <c r="D145" s="46" t="s">
        <v>284</v>
      </c>
      <c r="E145" s="46">
        <v>1</v>
      </c>
      <c r="F145" s="46">
        <v>1</v>
      </c>
      <c r="G145" s="46">
        <v>85135</v>
      </c>
      <c r="H145" s="46">
        <v>0</v>
      </c>
      <c r="I145" s="46">
        <v>1</v>
      </c>
      <c r="J145" s="46">
        <v>1</v>
      </c>
      <c r="K145" s="46">
        <v>42781</v>
      </c>
      <c r="L145" s="46">
        <v>0</v>
      </c>
    </row>
    <row r="146" spans="1:12" ht="32">
      <c r="A146" s="46">
        <v>228431</v>
      </c>
      <c r="B146" s="46" t="s">
        <v>221</v>
      </c>
      <c r="C146" s="46" t="s">
        <v>285</v>
      </c>
      <c r="D146" s="46" t="s">
        <v>284</v>
      </c>
      <c r="E146" s="46">
        <v>1</v>
      </c>
      <c r="F146" s="46">
        <v>1</v>
      </c>
      <c r="G146" s="46">
        <v>122989</v>
      </c>
      <c r="H146" s="46">
        <v>0</v>
      </c>
      <c r="I146" s="46">
        <v>2</v>
      </c>
      <c r="J146" s="46">
        <v>2</v>
      </c>
      <c r="K146" s="46">
        <v>113146</v>
      </c>
      <c r="L146" s="46">
        <v>0</v>
      </c>
    </row>
    <row r="147" spans="1:12" ht="32">
      <c r="A147" s="46">
        <v>196097</v>
      </c>
      <c r="B147" s="46" t="s">
        <v>222</v>
      </c>
      <c r="C147" s="46" t="s">
        <v>285</v>
      </c>
      <c r="D147" s="46" t="s">
        <v>284</v>
      </c>
      <c r="E147" s="46">
        <v>1</v>
      </c>
      <c r="F147" s="46">
        <v>1</v>
      </c>
      <c r="G147" s="46">
        <v>200990</v>
      </c>
      <c r="H147" s="46">
        <v>0</v>
      </c>
      <c r="I147" s="46">
        <v>2</v>
      </c>
      <c r="J147" s="46">
        <v>1.86</v>
      </c>
      <c r="K147" s="46">
        <v>165803</v>
      </c>
      <c r="L147" s="46">
        <v>0</v>
      </c>
    </row>
    <row r="148" spans="1:12" ht="32">
      <c r="A148" s="46">
        <v>221759</v>
      </c>
      <c r="B148" s="46" t="s">
        <v>223</v>
      </c>
      <c r="C148" s="46" t="s">
        <v>285</v>
      </c>
      <c r="D148" s="46" t="s">
        <v>284</v>
      </c>
      <c r="E148" s="46">
        <v>1</v>
      </c>
      <c r="F148" s="46">
        <v>1</v>
      </c>
      <c r="G148" s="46">
        <v>257207</v>
      </c>
      <c r="H148" s="46">
        <v>0</v>
      </c>
      <c r="I148" s="46">
        <v>2</v>
      </c>
      <c r="J148" s="46">
        <v>2</v>
      </c>
      <c r="K148" s="46">
        <v>215492</v>
      </c>
      <c r="L148" s="46">
        <v>0</v>
      </c>
    </row>
    <row r="149" spans="1:12" ht="32">
      <c r="A149" s="46">
        <v>221740</v>
      </c>
      <c r="B149" s="46" t="s">
        <v>224</v>
      </c>
      <c r="C149" s="46" t="s">
        <v>285</v>
      </c>
      <c r="D149" s="46" t="s">
        <v>284</v>
      </c>
      <c r="E149" s="46">
        <v>1</v>
      </c>
      <c r="F149" s="46">
        <v>1</v>
      </c>
      <c r="G149" s="46">
        <v>124202</v>
      </c>
      <c r="H149" s="46">
        <v>0</v>
      </c>
      <c r="I149" s="46">
        <v>2</v>
      </c>
      <c r="J149" s="46">
        <v>1.5</v>
      </c>
      <c r="K149" s="46">
        <v>97197</v>
      </c>
      <c r="L149" s="46">
        <v>0</v>
      </c>
    </row>
    <row r="150" spans="1:12" ht="32">
      <c r="A150" s="46">
        <v>221847</v>
      </c>
      <c r="B150" s="46" t="s">
        <v>227</v>
      </c>
      <c r="C150" s="46" t="s">
        <v>285</v>
      </c>
      <c r="D150" s="46" t="s">
        <v>284</v>
      </c>
      <c r="E150" s="46">
        <v>1</v>
      </c>
      <c r="F150" s="46">
        <v>0.7</v>
      </c>
      <c r="G150" s="46">
        <v>60120</v>
      </c>
      <c r="H150" s="46">
        <v>0</v>
      </c>
      <c r="I150" s="46">
        <v>2</v>
      </c>
      <c r="J150" s="46">
        <v>1.8</v>
      </c>
      <c r="K150" s="46">
        <v>97252</v>
      </c>
      <c r="L150" s="46">
        <v>0</v>
      </c>
    </row>
    <row r="151" spans="1:12" ht="32">
      <c r="A151" s="46">
        <v>228778</v>
      </c>
      <c r="B151" s="46" t="s">
        <v>228</v>
      </c>
      <c r="C151" s="46" t="s">
        <v>285</v>
      </c>
      <c r="D151" s="46" t="s">
        <v>284</v>
      </c>
      <c r="E151" s="46">
        <v>1</v>
      </c>
      <c r="F151" s="46">
        <v>1</v>
      </c>
      <c r="G151" s="46">
        <v>688580</v>
      </c>
      <c r="H151" s="46">
        <v>0</v>
      </c>
      <c r="I151" s="46">
        <v>2</v>
      </c>
      <c r="J151" s="46">
        <v>2</v>
      </c>
      <c r="K151" s="46">
        <v>347555</v>
      </c>
      <c r="L151" s="46">
        <v>0</v>
      </c>
    </row>
    <row r="152" spans="1:12" ht="32">
      <c r="A152" s="46">
        <v>228723</v>
      </c>
      <c r="B152" s="46" t="s">
        <v>229</v>
      </c>
      <c r="C152" s="46" t="s">
        <v>285</v>
      </c>
      <c r="D152" s="58" t="s">
        <v>284</v>
      </c>
      <c r="E152" s="58">
        <v>1</v>
      </c>
      <c r="F152" s="58">
        <v>1</v>
      </c>
      <c r="G152" s="58">
        <v>349192</v>
      </c>
      <c r="H152" s="58">
        <v>0</v>
      </c>
      <c r="I152" s="58">
        <v>2</v>
      </c>
      <c r="J152" s="58">
        <v>2</v>
      </c>
      <c r="K152" s="58">
        <v>401411</v>
      </c>
      <c r="L152" s="53">
        <v>0</v>
      </c>
    </row>
    <row r="153" spans="1:12" ht="32">
      <c r="A153" s="46">
        <v>224147</v>
      </c>
      <c r="B153" s="46" t="s">
        <v>230</v>
      </c>
      <c r="C153" s="46" t="s">
        <v>285</v>
      </c>
      <c r="D153" s="46" t="s">
        <v>284</v>
      </c>
      <c r="E153" s="46">
        <v>1</v>
      </c>
      <c r="F153" s="46">
        <v>1</v>
      </c>
      <c r="G153" s="46">
        <v>116144</v>
      </c>
      <c r="H153" s="46">
        <v>0</v>
      </c>
      <c r="I153" s="46">
        <v>2</v>
      </c>
      <c r="J153" s="46">
        <v>2</v>
      </c>
      <c r="K153" s="46">
        <v>106850</v>
      </c>
      <c r="L153" s="46">
        <v>0</v>
      </c>
    </row>
    <row r="154" spans="1:12" ht="32">
      <c r="A154" s="46">
        <v>228769</v>
      </c>
      <c r="B154" s="46" t="s">
        <v>231</v>
      </c>
      <c r="C154" s="46" t="s">
        <v>285</v>
      </c>
      <c r="D154" s="46" t="s">
        <v>284</v>
      </c>
      <c r="E154" s="46">
        <v>1</v>
      </c>
      <c r="F154" s="46">
        <v>1</v>
      </c>
      <c r="G154" s="46">
        <v>153569</v>
      </c>
      <c r="H154" s="46">
        <v>0</v>
      </c>
      <c r="I154" s="46">
        <v>2</v>
      </c>
      <c r="J154" s="46">
        <v>2</v>
      </c>
      <c r="K154" s="46">
        <v>108186</v>
      </c>
      <c r="L154" s="46">
        <v>0</v>
      </c>
    </row>
    <row r="155" spans="1:12" ht="32">
      <c r="A155" s="46">
        <v>229063</v>
      </c>
      <c r="B155" s="46" t="s">
        <v>232</v>
      </c>
      <c r="C155" s="46" t="s">
        <v>285</v>
      </c>
      <c r="D155" s="46" t="s">
        <v>284</v>
      </c>
      <c r="E155" s="46">
        <v>2</v>
      </c>
      <c r="F155" s="46">
        <v>2</v>
      </c>
      <c r="G155" s="46">
        <v>104349</v>
      </c>
      <c r="H155" s="46">
        <v>0</v>
      </c>
      <c r="I155" s="46">
        <v>1</v>
      </c>
      <c r="J155" s="46">
        <v>1</v>
      </c>
      <c r="K155" s="46">
        <v>15167</v>
      </c>
      <c r="L155" s="46">
        <v>0</v>
      </c>
    </row>
    <row r="156" spans="1:12" ht="32">
      <c r="A156" s="46">
        <v>228459</v>
      </c>
      <c r="B156" s="46" t="s">
        <v>233</v>
      </c>
      <c r="C156" s="46" t="s">
        <v>285</v>
      </c>
      <c r="D156" s="46" t="s">
        <v>284</v>
      </c>
      <c r="E156" s="46">
        <v>1</v>
      </c>
      <c r="F156" s="46">
        <v>1</v>
      </c>
      <c r="G156" s="46">
        <v>167082</v>
      </c>
      <c r="H156" s="46">
        <v>0</v>
      </c>
      <c r="I156" s="46">
        <v>2</v>
      </c>
      <c r="J156" s="46">
        <v>2</v>
      </c>
      <c r="K156" s="46">
        <v>159964</v>
      </c>
      <c r="L156" s="46">
        <v>0</v>
      </c>
    </row>
    <row r="157" spans="1:12" ht="32">
      <c r="A157" s="46">
        <v>229115</v>
      </c>
      <c r="B157" s="46" t="s">
        <v>234</v>
      </c>
      <c r="C157" s="46" t="s">
        <v>285</v>
      </c>
      <c r="D157" s="46" t="s">
        <v>284</v>
      </c>
      <c r="E157" s="46">
        <v>1</v>
      </c>
      <c r="F157" s="46">
        <v>1</v>
      </c>
      <c r="G157" s="46">
        <v>209903</v>
      </c>
      <c r="H157" s="46">
        <v>0</v>
      </c>
      <c r="I157" s="46">
        <v>2</v>
      </c>
      <c r="J157" s="46">
        <v>2</v>
      </c>
      <c r="K157" s="46">
        <v>190259</v>
      </c>
      <c r="L157" s="46">
        <v>0</v>
      </c>
    </row>
    <row r="158" spans="1:12" ht="32">
      <c r="A158" s="46">
        <v>206084</v>
      </c>
      <c r="B158" s="46" t="s">
        <v>235</v>
      </c>
      <c r="C158" s="46" t="s">
        <v>285</v>
      </c>
      <c r="D158" s="46" t="s">
        <v>284</v>
      </c>
      <c r="E158" s="46">
        <v>1</v>
      </c>
      <c r="F158" s="46">
        <v>1</v>
      </c>
      <c r="G158" s="46">
        <v>123485</v>
      </c>
      <c r="H158" s="46">
        <v>0</v>
      </c>
      <c r="I158" s="46">
        <v>2</v>
      </c>
      <c r="J158" s="46">
        <v>2</v>
      </c>
      <c r="K158" s="46">
        <v>147539</v>
      </c>
      <c r="L158" s="46">
        <v>0</v>
      </c>
    </row>
    <row r="159" spans="1:12" ht="32">
      <c r="A159" s="46">
        <v>164076</v>
      </c>
      <c r="B159" s="46" t="s">
        <v>236</v>
      </c>
      <c r="C159" s="46" t="s">
        <v>285</v>
      </c>
      <c r="D159" s="46" t="s">
        <v>284</v>
      </c>
      <c r="E159" s="46">
        <v>1</v>
      </c>
      <c r="F159" s="46">
        <v>1</v>
      </c>
      <c r="G159" s="46">
        <v>132247</v>
      </c>
      <c r="H159" s="46">
        <v>0</v>
      </c>
      <c r="I159" s="46">
        <v>2</v>
      </c>
      <c r="J159" s="46">
        <v>2</v>
      </c>
      <c r="K159" s="46">
        <v>122175</v>
      </c>
      <c r="L159" s="46">
        <v>0</v>
      </c>
    </row>
    <row r="160" spans="1:12" ht="32">
      <c r="A160" s="46">
        <v>100663</v>
      </c>
      <c r="B160" s="46" t="s">
        <v>238</v>
      </c>
      <c r="C160" s="46" t="s">
        <v>285</v>
      </c>
      <c r="D160" s="46" t="s">
        <v>284</v>
      </c>
      <c r="E160" s="46">
        <v>1</v>
      </c>
      <c r="F160" s="46">
        <v>1</v>
      </c>
      <c r="G160" s="46">
        <v>106740</v>
      </c>
      <c r="H160" s="46">
        <v>0</v>
      </c>
      <c r="I160" s="46">
        <v>2</v>
      </c>
      <c r="J160" s="46">
        <v>2</v>
      </c>
      <c r="K160" s="46">
        <v>110319</v>
      </c>
      <c r="L160" s="46">
        <v>0</v>
      </c>
    </row>
    <row r="161" spans="1:12" ht="32">
      <c r="A161" s="46">
        <v>110644</v>
      </c>
      <c r="B161" s="46" t="s">
        <v>239</v>
      </c>
      <c r="C161" s="46" t="s">
        <v>285</v>
      </c>
      <c r="D161" s="46" t="s">
        <v>284</v>
      </c>
      <c r="E161" s="46">
        <v>1</v>
      </c>
      <c r="F161" s="46">
        <v>0.8</v>
      </c>
      <c r="G161" s="46">
        <v>132610</v>
      </c>
      <c r="H161" s="46">
        <v>0</v>
      </c>
      <c r="I161" s="46">
        <v>2</v>
      </c>
      <c r="J161" s="46">
        <v>2</v>
      </c>
      <c r="K161" s="46">
        <v>153490</v>
      </c>
      <c r="L161" s="46">
        <v>0</v>
      </c>
    </row>
    <row r="162" spans="1:12" ht="32">
      <c r="A162" s="46">
        <v>110653</v>
      </c>
      <c r="B162" s="46" t="s">
        <v>240</v>
      </c>
      <c r="C162" s="46" t="s">
        <v>285</v>
      </c>
      <c r="D162" s="46" t="s">
        <v>284</v>
      </c>
      <c r="E162" s="46">
        <v>1</v>
      </c>
      <c r="F162" s="46">
        <v>1</v>
      </c>
      <c r="G162" s="46">
        <v>168249</v>
      </c>
      <c r="H162" s="46">
        <v>0</v>
      </c>
      <c r="I162" s="46">
        <v>3</v>
      </c>
      <c r="J162" s="46">
        <v>2</v>
      </c>
      <c r="K162" s="46">
        <v>171831</v>
      </c>
      <c r="L162" s="46">
        <v>0</v>
      </c>
    </row>
    <row r="163" spans="1:12" ht="32">
      <c r="A163" s="46">
        <v>110671</v>
      </c>
      <c r="B163" s="46" t="s">
        <v>241</v>
      </c>
      <c r="C163" s="46" t="s">
        <v>285</v>
      </c>
      <c r="D163" s="46" t="s">
        <v>284</v>
      </c>
      <c r="E163" s="46">
        <v>1</v>
      </c>
      <c r="F163" s="46">
        <v>1</v>
      </c>
      <c r="G163" s="46">
        <v>148063</v>
      </c>
      <c r="H163" s="46">
        <v>0</v>
      </c>
      <c r="I163" s="46">
        <v>2</v>
      </c>
      <c r="J163" s="46">
        <v>2</v>
      </c>
      <c r="K163" s="46">
        <v>142169</v>
      </c>
      <c r="L163" s="46">
        <v>0</v>
      </c>
    </row>
    <row r="164" spans="1:12" ht="32">
      <c r="A164" s="46">
        <v>110705</v>
      </c>
      <c r="B164" s="46" t="s">
        <v>242</v>
      </c>
      <c r="C164" s="46" t="s">
        <v>285</v>
      </c>
      <c r="D164" s="46" t="s">
        <v>284</v>
      </c>
      <c r="E164" s="46">
        <v>1</v>
      </c>
      <c r="F164" s="46">
        <v>1</v>
      </c>
      <c r="G164" s="46">
        <v>197455</v>
      </c>
      <c r="H164" s="46">
        <v>0</v>
      </c>
      <c r="I164" s="46">
        <v>2</v>
      </c>
      <c r="J164" s="46">
        <v>2</v>
      </c>
      <c r="K164" s="46">
        <v>146142</v>
      </c>
      <c r="L164" s="46">
        <v>0</v>
      </c>
    </row>
    <row r="165" spans="1:12" ht="32">
      <c r="A165" s="46">
        <v>132903</v>
      </c>
      <c r="B165" s="46" t="s">
        <v>243</v>
      </c>
      <c r="C165" s="46" t="s">
        <v>285</v>
      </c>
      <c r="D165" s="46" t="s">
        <v>284</v>
      </c>
      <c r="E165" s="46">
        <v>1</v>
      </c>
      <c r="F165" s="46">
        <v>1</v>
      </c>
      <c r="G165" s="46">
        <v>185372</v>
      </c>
      <c r="H165" s="46">
        <v>0</v>
      </c>
      <c r="I165" s="46">
        <v>2</v>
      </c>
      <c r="J165" s="46">
        <v>2</v>
      </c>
      <c r="K165" s="46">
        <v>216114</v>
      </c>
      <c r="L165" s="46">
        <v>0</v>
      </c>
    </row>
    <row r="166" spans="1:12" ht="32">
      <c r="A166" s="46">
        <v>110662</v>
      </c>
      <c r="B166" s="46" t="s">
        <v>244</v>
      </c>
      <c r="C166" s="46" t="s">
        <v>285</v>
      </c>
      <c r="D166" s="46" t="s">
        <v>284</v>
      </c>
      <c r="E166" s="46">
        <v>1</v>
      </c>
      <c r="F166" s="46">
        <v>1</v>
      </c>
      <c r="G166" s="46">
        <v>306877</v>
      </c>
      <c r="H166" s="46">
        <v>0</v>
      </c>
      <c r="I166" s="46">
        <v>2</v>
      </c>
      <c r="J166" s="46">
        <v>2</v>
      </c>
      <c r="K166" s="46">
        <v>257120</v>
      </c>
      <c r="L166" s="46">
        <v>0</v>
      </c>
    </row>
    <row r="167" spans="1:12" ht="32">
      <c r="A167" s="46">
        <v>182281</v>
      </c>
      <c r="B167" s="46" t="s">
        <v>245</v>
      </c>
      <c r="C167" s="46" t="s">
        <v>285</v>
      </c>
      <c r="D167" s="46" t="s">
        <v>284</v>
      </c>
      <c r="E167" s="46">
        <v>1</v>
      </c>
      <c r="F167" s="46">
        <v>1</v>
      </c>
      <c r="G167" s="46">
        <v>172057</v>
      </c>
      <c r="H167" s="46">
        <v>0</v>
      </c>
      <c r="I167" s="46">
        <v>2</v>
      </c>
      <c r="J167" s="46">
        <v>2</v>
      </c>
      <c r="K167" s="46">
        <v>142586</v>
      </c>
      <c r="L167" s="46">
        <v>0</v>
      </c>
    </row>
    <row r="168" spans="1:12" ht="32">
      <c r="A168" s="46">
        <v>230764</v>
      </c>
      <c r="B168" s="46" t="s">
        <v>246</v>
      </c>
      <c r="C168" s="46" t="s">
        <v>285</v>
      </c>
      <c r="D168" s="46" t="s">
        <v>284</v>
      </c>
      <c r="E168" s="46">
        <v>1</v>
      </c>
      <c r="F168" s="46">
        <v>1</v>
      </c>
      <c r="G168" s="46">
        <v>343853</v>
      </c>
      <c r="H168" s="46">
        <v>0</v>
      </c>
      <c r="I168" s="46">
        <v>2</v>
      </c>
      <c r="J168" s="46">
        <v>2</v>
      </c>
      <c r="K168" s="46">
        <v>285783</v>
      </c>
      <c r="L168" s="46">
        <v>0</v>
      </c>
    </row>
    <row r="169" spans="1:12" ht="32">
      <c r="A169" s="46">
        <v>230728</v>
      </c>
      <c r="B169" s="46" t="s">
        <v>247</v>
      </c>
      <c r="C169" s="46" t="s">
        <v>285</v>
      </c>
      <c r="D169" s="46" t="s">
        <v>284</v>
      </c>
      <c r="E169" s="46">
        <v>1</v>
      </c>
      <c r="F169" s="46">
        <v>1</v>
      </c>
      <c r="G169" s="46">
        <v>163385</v>
      </c>
      <c r="H169" s="46">
        <v>0</v>
      </c>
      <c r="I169" s="46">
        <v>2</v>
      </c>
      <c r="J169" s="46">
        <v>2</v>
      </c>
      <c r="K169" s="46">
        <v>127969</v>
      </c>
      <c r="L169" s="46">
        <v>0</v>
      </c>
    </row>
    <row r="170" spans="1:12" ht="32">
      <c r="A170" s="46">
        <v>230737</v>
      </c>
      <c r="B170" s="46" t="s">
        <v>248</v>
      </c>
      <c r="C170" s="46" t="s">
        <v>285</v>
      </c>
      <c r="D170" s="46" t="s">
        <v>284</v>
      </c>
      <c r="E170" s="46">
        <v>1</v>
      </c>
      <c r="F170" s="46">
        <v>1</v>
      </c>
      <c r="G170" s="46">
        <v>130822</v>
      </c>
      <c r="H170" s="46">
        <v>0</v>
      </c>
      <c r="I170" s="46">
        <v>2</v>
      </c>
      <c r="J170" s="46">
        <v>1.5</v>
      </c>
      <c r="K170" s="46">
        <v>85853</v>
      </c>
      <c r="L170" s="46">
        <v>0</v>
      </c>
    </row>
    <row r="171" spans="1:12" ht="32">
      <c r="A171" s="46">
        <v>228796</v>
      </c>
      <c r="B171" s="46" t="s">
        <v>249</v>
      </c>
      <c r="C171" s="46" t="s">
        <v>285</v>
      </c>
      <c r="D171" s="46" t="s">
        <v>284</v>
      </c>
      <c r="E171" s="46">
        <v>1</v>
      </c>
      <c r="F171" s="46">
        <v>1</v>
      </c>
      <c r="G171" s="46">
        <v>146491</v>
      </c>
      <c r="H171" s="46">
        <v>6200</v>
      </c>
      <c r="I171" s="46">
        <v>2</v>
      </c>
      <c r="J171" s="46">
        <v>2</v>
      </c>
      <c r="K171" s="46">
        <v>140617</v>
      </c>
      <c r="L171" s="46">
        <v>0</v>
      </c>
    </row>
    <row r="172" spans="1:12" ht="32">
      <c r="A172" s="46">
        <v>227368</v>
      </c>
      <c r="B172" s="46" t="s">
        <v>250</v>
      </c>
      <c r="C172" s="46" t="s">
        <v>285</v>
      </c>
      <c r="D172" s="46" t="s">
        <v>284</v>
      </c>
      <c r="E172" s="46">
        <v>1</v>
      </c>
      <c r="F172" s="46">
        <v>1</v>
      </c>
      <c r="G172" s="46">
        <v>150336</v>
      </c>
      <c r="H172" s="46">
        <v>0</v>
      </c>
      <c r="I172" s="46">
        <v>2</v>
      </c>
      <c r="J172" s="46">
        <v>2</v>
      </c>
      <c r="K172" s="46">
        <v>117346</v>
      </c>
      <c r="L172" s="46">
        <v>0</v>
      </c>
    </row>
    <row r="173" spans="1:12" ht="32">
      <c r="A173" s="46">
        <v>229027</v>
      </c>
      <c r="B173" s="46" t="s">
        <v>251</v>
      </c>
      <c r="C173" s="46" t="s">
        <v>285</v>
      </c>
      <c r="D173" s="46" t="s">
        <v>284</v>
      </c>
      <c r="E173" s="46">
        <v>1</v>
      </c>
      <c r="F173" s="46">
        <v>1</v>
      </c>
      <c r="G173" s="46">
        <v>158245</v>
      </c>
      <c r="H173" s="46">
        <v>0</v>
      </c>
      <c r="I173" s="46">
        <v>2</v>
      </c>
      <c r="J173" s="46">
        <v>2</v>
      </c>
      <c r="K173" s="46">
        <v>139853</v>
      </c>
      <c r="L173" s="46">
        <v>0</v>
      </c>
    </row>
    <row r="174" spans="1:12" ht="32">
      <c r="A174" s="46">
        <v>234030</v>
      </c>
      <c r="B174" s="46" t="s">
        <v>252</v>
      </c>
      <c r="C174" s="46" t="s">
        <v>285</v>
      </c>
      <c r="D174" s="46" t="s">
        <v>284</v>
      </c>
      <c r="E174" s="46">
        <v>1</v>
      </c>
      <c r="F174" s="46">
        <v>1</v>
      </c>
      <c r="G174" s="46">
        <v>153732</v>
      </c>
      <c r="H174" s="46">
        <v>0</v>
      </c>
      <c r="I174" s="46">
        <v>3</v>
      </c>
      <c r="J174" s="46">
        <v>2</v>
      </c>
      <c r="K174" s="46">
        <v>132937</v>
      </c>
      <c r="L174" s="46">
        <v>0</v>
      </c>
    </row>
    <row r="175" spans="1:12" ht="32">
      <c r="A175" s="46">
        <v>234076</v>
      </c>
      <c r="B175" s="46" t="s">
        <v>254</v>
      </c>
      <c r="C175" s="46" t="s">
        <v>285</v>
      </c>
      <c r="D175" s="46" t="s">
        <v>284</v>
      </c>
      <c r="E175" s="46">
        <v>1</v>
      </c>
      <c r="F175" s="46">
        <v>1</v>
      </c>
      <c r="G175" s="46">
        <v>206485</v>
      </c>
      <c r="H175" s="46">
        <v>0</v>
      </c>
      <c r="I175" s="46">
        <v>2</v>
      </c>
      <c r="J175" s="46">
        <v>2</v>
      </c>
      <c r="K175" s="46">
        <v>174585</v>
      </c>
      <c r="L175" s="46">
        <v>0</v>
      </c>
    </row>
    <row r="176" spans="1:12" ht="32">
      <c r="A176" s="46">
        <v>233921</v>
      </c>
      <c r="B176" s="46" t="s">
        <v>255</v>
      </c>
      <c r="C176" s="46" t="s">
        <v>285</v>
      </c>
      <c r="D176" s="46" t="s">
        <v>284</v>
      </c>
      <c r="E176" s="46">
        <v>1</v>
      </c>
      <c r="F176" s="46">
        <v>1</v>
      </c>
      <c r="G176" s="46">
        <v>167118</v>
      </c>
      <c r="H176" s="46">
        <v>0</v>
      </c>
      <c r="I176" s="46">
        <v>2</v>
      </c>
      <c r="J176" s="46">
        <v>2</v>
      </c>
      <c r="K176" s="46">
        <v>166469</v>
      </c>
      <c r="L176" s="46">
        <v>0</v>
      </c>
    </row>
    <row r="177" spans="1:12" ht="32">
      <c r="A177" s="46">
        <v>236948</v>
      </c>
      <c r="B177" s="46" t="s">
        <v>257</v>
      </c>
      <c r="C177" s="46" t="s">
        <v>285</v>
      </c>
      <c r="D177" s="46" t="s">
        <v>284</v>
      </c>
      <c r="E177" s="46">
        <v>1</v>
      </c>
      <c r="F177" s="46">
        <v>1</v>
      </c>
      <c r="G177" s="46">
        <v>350314</v>
      </c>
      <c r="H177" s="46">
        <v>0</v>
      </c>
      <c r="I177" s="46">
        <v>2</v>
      </c>
      <c r="J177" s="46">
        <v>2</v>
      </c>
      <c r="K177" s="46">
        <v>302332</v>
      </c>
      <c r="L177" s="46">
        <v>0</v>
      </c>
    </row>
    <row r="178" spans="1:12" ht="32">
      <c r="A178" s="46">
        <v>236939</v>
      </c>
      <c r="B178" s="46" t="s">
        <v>258</v>
      </c>
      <c r="C178" s="46" t="s">
        <v>285</v>
      </c>
      <c r="D178" s="46" t="s">
        <v>284</v>
      </c>
      <c r="E178" s="46">
        <v>1</v>
      </c>
      <c r="F178" s="46">
        <v>1</v>
      </c>
      <c r="G178" s="46">
        <v>245073</v>
      </c>
      <c r="H178" s="46">
        <v>0</v>
      </c>
      <c r="I178" s="46">
        <v>2</v>
      </c>
      <c r="J178" s="46">
        <v>2</v>
      </c>
      <c r="K178" s="46">
        <v>243418</v>
      </c>
      <c r="L178" s="46">
        <v>0</v>
      </c>
    </row>
    <row r="179" spans="1:12" ht="32">
      <c r="A179" s="46">
        <v>230782</v>
      </c>
      <c r="B179" s="46" t="s">
        <v>259</v>
      </c>
      <c r="C179" s="46" t="s">
        <v>285</v>
      </c>
      <c r="D179" s="46" t="s">
        <v>284</v>
      </c>
      <c r="E179" s="46">
        <v>1</v>
      </c>
      <c r="F179" s="46">
        <v>1</v>
      </c>
      <c r="G179" s="46">
        <v>167854</v>
      </c>
      <c r="H179" s="46">
        <v>0</v>
      </c>
      <c r="I179" s="46">
        <v>2</v>
      </c>
      <c r="J179" s="46">
        <v>2</v>
      </c>
      <c r="K179" s="46">
        <v>125497</v>
      </c>
      <c r="L179" s="46">
        <v>0</v>
      </c>
    </row>
    <row r="180" spans="1:12" ht="32">
      <c r="A180" s="46">
        <v>238032</v>
      </c>
      <c r="B180" s="46" t="s">
        <v>260</v>
      </c>
      <c r="C180" s="46" t="s">
        <v>285</v>
      </c>
      <c r="D180" s="46" t="s">
        <v>284</v>
      </c>
      <c r="E180" s="46">
        <v>1</v>
      </c>
      <c r="F180" s="46">
        <v>1</v>
      </c>
      <c r="G180" s="46">
        <v>177794</v>
      </c>
      <c r="H180" s="46">
        <v>0</v>
      </c>
      <c r="I180" s="46">
        <v>2</v>
      </c>
      <c r="J180" s="46">
        <v>2</v>
      </c>
      <c r="K180" s="46">
        <v>141306</v>
      </c>
      <c r="L180" s="46">
        <v>0</v>
      </c>
    </row>
    <row r="181" spans="1:12" ht="32">
      <c r="A181" s="46">
        <v>200004</v>
      </c>
      <c r="B181" s="46" t="s">
        <v>261</v>
      </c>
      <c r="C181" s="46" t="s">
        <v>285</v>
      </c>
      <c r="D181" s="46" t="s">
        <v>284</v>
      </c>
      <c r="E181" s="46">
        <v>1</v>
      </c>
      <c r="F181" s="46">
        <v>1</v>
      </c>
      <c r="G181" s="46">
        <v>79631</v>
      </c>
      <c r="H181" s="46">
        <v>0</v>
      </c>
      <c r="I181" s="46">
        <v>1</v>
      </c>
      <c r="J181" s="46">
        <v>1</v>
      </c>
      <c r="K181" s="46">
        <v>50911</v>
      </c>
      <c r="L181" s="46">
        <v>0</v>
      </c>
    </row>
    <row r="182" spans="1:12" ht="32">
      <c r="A182" s="46">
        <v>149772</v>
      </c>
      <c r="B182" s="46" t="s">
        <v>262</v>
      </c>
      <c r="C182" s="46" t="s">
        <v>285</v>
      </c>
      <c r="D182" s="46" t="s">
        <v>284</v>
      </c>
      <c r="E182" s="46">
        <v>1</v>
      </c>
      <c r="F182" s="46">
        <v>1</v>
      </c>
      <c r="G182" s="46">
        <v>94904</v>
      </c>
      <c r="H182" s="46">
        <v>0</v>
      </c>
      <c r="I182" s="46">
        <v>2</v>
      </c>
      <c r="J182" s="46">
        <v>1.68</v>
      </c>
      <c r="K182" s="46">
        <v>51304</v>
      </c>
      <c r="L182" s="46">
        <v>0</v>
      </c>
    </row>
    <row r="183" spans="1:12" ht="32">
      <c r="A183" s="46">
        <v>157951</v>
      </c>
      <c r="B183" s="46" t="s">
        <v>263</v>
      </c>
      <c r="C183" s="46" t="s">
        <v>285</v>
      </c>
      <c r="D183" s="46" t="s">
        <v>284</v>
      </c>
      <c r="E183" s="46">
        <v>1</v>
      </c>
      <c r="F183" s="46">
        <v>1</v>
      </c>
      <c r="G183" s="46">
        <v>175506</v>
      </c>
      <c r="H183" s="46">
        <v>3135</v>
      </c>
      <c r="I183" s="46">
        <v>2</v>
      </c>
      <c r="J183" s="46">
        <v>2</v>
      </c>
      <c r="K183" s="46">
        <v>127242</v>
      </c>
      <c r="L183" s="46">
        <v>0</v>
      </c>
    </row>
    <row r="184" spans="1:12" ht="32">
      <c r="A184" s="46">
        <v>172699</v>
      </c>
      <c r="B184" s="46" t="s">
        <v>264</v>
      </c>
      <c r="C184" s="46" t="s">
        <v>285</v>
      </c>
      <c r="D184" s="46" t="s">
        <v>284</v>
      </c>
      <c r="E184" s="46">
        <v>1</v>
      </c>
      <c r="F184" s="46">
        <v>1</v>
      </c>
      <c r="G184" s="46">
        <v>164766</v>
      </c>
      <c r="H184" s="46">
        <v>0</v>
      </c>
      <c r="I184" s="46">
        <v>2</v>
      </c>
      <c r="J184" s="46">
        <v>2</v>
      </c>
      <c r="K184" s="46">
        <v>175409</v>
      </c>
      <c r="L184" s="46">
        <v>0</v>
      </c>
    </row>
    <row r="185" spans="1:12" ht="32">
      <c r="A185" s="46">
        <v>156125</v>
      </c>
      <c r="B185" s="46" t="s">
        <v>265</v>
      </c>
      <c r="C185" s="46" t="s">
        <v>285</v>
      </c>
      <c r="D185" s="46" t="s">
        <v>284</v>
      </c>
      <c r="E185" s="46">
        <v>1</v>
      </c>
      <c r="F185" s="46">
        <v>1</v>
      </c>
      <c r="G185" s="46">
        <v>259105</v>
      </c>
      <c r="H185" s="46">
        <v>0</v>
      </c>
      <c r="I185" s="46">
        <v>2</v>
      </c>
      <c r="J185" s="46">
        <v>2</v>
      </c>
      <c r="K185" s="46">
        <v>123952</v>
      </c>
      <c r="L185" s="46">
        <v>0</v>
      </c>
    </row>
    <row r="186" spans="1:12" ht="32">
      <c r="A186" s="46">
        <v>231624</v>
      </c>
      <c r="B186" s="46" t="s">
        <v>266</v>
      </c>
      <c r="C186" s="46" t="s">
        <v>285</v>
      </c>
      <c r="D186" s="46" t="s">
        <v>284</v>
      </c>
      <c r="E186" s="46">
        <v>1</v>
      </c>
      <c r="F186" s="46">
        <v>1</v>
      </c>
      <c r="G186" s="46">
        <v>101136</v>
      </c>
      <c r="H186" s="46">
        <v>0</v>
      </c>
      <c r="I186" s="46">
        <v>2</v>
      </c>
      <c r="J186" s="46">
        <v>2</v>
      </c>
      <c r="K186" s="46">
        <v>109945</v>
      </c>
      <c r="L186" s="46">
        <v>0</v>
      </c>
    </row>
    <row r="187" spans="1:12" ht="32">
      <c r="A187" s="46">
        <v>218964</v>
      </c>
      <c r="B187" s="46" t="s">
        <v>267</v>
      </c>
      <c r="C187" s="46" t="s">
        <v>285</v>
      </c>
      <c r="D187" s="46" t="s">
        <v>284</v>
      </c>
      <c r="E187" s="46">
        <v>1</v>
      </c>
      <c r="F187" s="46">
        <v>1</v>
      </c>
      <c r="G187" s="46">
        <v>101162</v>
      </c>
      <c r="H187" s="46">
        <v>0</v>
      </c>
      <c r="I187" s="46">
        <v>3</v>
      </c>
      <c r="J187" s="46">
        <v>2.76</v>
      </c>
      <c r="K187" s="46">
        <v>83936</v>
      </c>
      <c r="L187" s="46">
        <v>0</v>
      </c>
    </row>
    <row r="188" spans="1:12" ht="32">
      <c r="A188" s="46">
        <v>240444</v>
      </c>
      <c r="B188" s="46" t="s">
        <v>268</v>
      </c>
      <c r="C188" s="46" t="s">
        <v>285</v>
      </c>
      <c r="D188" s="46" t="s">
        <v>284</v>
      </c>
      <c r="E188" s="46">
        <v>1</v>
      </c>
      <c r="F188" s="46">
        <v>1</v>
      </c>
      <c r="G188" s="46">
        <v>530577</v>
      </c>
      <c r="H188" s="46">
        <v>0</v>
      </c>
      <c r="I188" s="46">
        <v>2</v>
      </c>
      <c r="J188" s="46">
        <v>2</v>
      </c>
      <c r="K188" s="46">
        <v>357292</v>
      </c>
      <c r="L188" s="46">
        <v>0</v>
      </c>
    </row>
    <row r="189" spans="1:12" ht="32">
      <c r="A189" s="46">
        <v>240277</v>
      </c>
      <c r="B189" s="46" t="s">
        <v>269</v>
      </c>
      <c r="C189" s="46" t="s">
        <v>285</v>
      </c>
      <c r="D189" s="46" t="s">
        <v>284</v>
      </c>
      <c r="E189" s="46">
        <v>1</v>
      </c>
      <c r="F189" s="46">
        <v>1</v>
      </c>
      <c r="G189" s="46">
        <v>101190</v>
      </c>
      <c r="H189" s="46">
        <v>0</v>
      </c>
      <c r="I189" s="46">
        <v>2</v>
      </c>
      <c r="J189" s="46">
        <v>1.1000000000000001</v>
      </c>
      <c r="K189" s="46">
        <v>48315</v>
      </c>
      <c r="L189" s="46">
        <v>0</v>
      </c>
    </row>
    <row r="190" spans="1:12" ht="32">
      <c r="A190" s="46">
        <v>240453</v>
      </c>
      <c r="B190" s="46" t="s">
        <v>270</v>
      </c>
      <c r="C190" s="46" t="s">
        <v>285</v>
      </c>
      <c r="D190" s="46" t="s">
        <v>284</v>
      </c>
      <c r="E190" s="46">
        <v>1</v>
      </c>
      <c r="F190" s="46">
        <v>1</v>
      </c>
      <c r="G190" s="46">
        <v>109881</v>
      </c>
      <c r="H190" s="46">
        <v>0</v>
      </c>
      <c r="I190" s="46">
        <v>2</v>
      </c>
      <c r="J190" s="46">
        <v>2</v>
      </c>
      <c r="K190" s="46">
        <v>100480</v>
      </c>
      <c r="L190" s="46">
        <v>0</v>
      </c>
    </row>
    <row r="191" spans="1:12" ht="32">
      <c r="A191" s="46">
        <v>206604</v>
      </c>
      <c r="B191" s="46" t="s">
        <v>271</v>
      </c>
      <c r="C191" s="46" t="s">
        <v>285</v>
      </c>
      <c r="D191" s="46" t="s">
        <v>284</v>
      </c>
      <c r="E191" s="46">
        <v>1</v>
      </c>
      <c r="F191" s="46">
        <v>1</v>
      </c>
      <c r="G191" s="46">
        <v>103969</v>
      </c>
      <c r="H191" s="46">
        <v>0</v>
      </c>
      <c r="I191" s="46">
        <v>1</v>
      </c>
      <c r="J191" s="46">
        <v>1</v>
      </c>
      <c r="K191" s="46">
        <v>58431</v>
      </c>
      <c r="L191" s="46">
        <v>0</v>
      </c>
    </row>
    <row r="192" spans="1:12" ht="32">
      <c r="A192" s="46">
        <v>240727</v>
      </c>
      <c r="B192" s="46" t="s">
        <v>272</v>
      </c>
      <c r="C192" s="46" t="s">
        <v>285</v>
      </c>
      <c r="D192" s="46" t="s">
        <v>284</v>
      </c>
      <c r="E192" s="46">
        <v>1</v>
      </c>
      <c r="F192" s="46">
        <v>1</v>
      </c>
      <c r="G192" s="46">
        <v>192649</v>
      </c>
      <c r="H192" s="46">
        <v>10000</v>
      </c>
      <c r="I192" s="46">
        <v>2</v>
      </c>
      <c r="J192" s="46">
        <v>2</v>
      </c>
      <c r="K192" s="46">
        <v>171622</v>
      </c>
      <c r="L192" s="46">
        <v>18288</v>
      </c>
    </row>
    <row r="193" spans="1:12" ht="32">
      <c r="A193" s="46">
        <v>206695</v>
      </c>
      <c r="B193" s="46" t="s">
        <v>273</v>
      </c>
      <c r="C193" s="46" t="s">
        <v>285</v>
      </c>
      <c r="D193" s="46" t="s">
        <v>284</v>
      </c>
      <c r="E193" s="46">
        <v>1</v>
      </c>
      <c r="F193" s="46">
        <v>1</v>
      </c>
      <c r="G193" s="46">
        <v>101827</v>
      </c>
      <c r="H193" s="46">
        <v>0</v>
      </c>
      <c r="I193" s="46">
        <v>2</v>
      </c>
      <c r="J193" s="46">
        <v>1</v>
      </c>
      <c r="K193" s="46">
        <v>95401</v>
      </c>
      <c r="L193" s="4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7A6E-F171-AF44-8C55-0EDF0E0FCFFD}">
  <dimension ref="A1:L192"/>
  <sheetViews>
    <sheetView workbookViewId="0">
      <selection activeCell="K23" sqref="K23"/>
    </sheetView>
  </sheetViews>
  <sheetFormatPr baseColWidth="10" defaultColWidth="8.83203125" defaultRowHeight="15"/>
  <cols>
    <col min="1" max="1" width="6.83203125" bestFit="1" customWidth="1"/>
    <col min="2" max="2" width="24.33203125" bestFit="1" customWidth="1"/>
    <col min="3" max="3" width="6.83203125" bestFit="1" customWidth="1"/>
    <col min="4" max="4" width="8.5" bestFit="1" customWidth="1"/>
    <col min="5" max="5" width="17.1640625" style="30" bestFit="1" customWidth="1"/>
    <col min="6" max="6" width="4.83203125" style="30" bestFit="1" customWidth="1"/>
    <col min="7" max="7" width="15.33203125" style="30" bestFit="1" customWidth="1"/>
    <col min="8" max="8" width="18.83203125" style="30" bestFit="1" customWidth="1"/>
    <col min="9" max="9" width="17.1640625" style="30" bestFit="1" customWidth="1"/>
    <col min="10" max="10" width="4.83203125" style="30" bestFit="1" customWidth="1"/>
    <col min="11" max="11" width="15.33203125" style="30" bestFit="1" customWidth="1"/>
    <col min="12" max="12" width="18.83203125" style="30" bestFit="1" customWidth="1"/>
  </cols>
  <sheetData>
    <row r="1" spans="1:12">
      <c r="A1" t="s">
        <v>46</v>
      </c>
      <c r="B1" t="s">
        <v>0</v>
      </c>
      <c r="C1" t="s">
        <v>292</v>
      </c>
      <c r="D1" t="s">
        <v>291</v>
      </c>
      <c r="E1" s="30" t="s">
        <v>290</v>
      </c>
      <c r="F1" s="30" t="s">
        <v>289</v>
      </c>
      <c r="G1" s="30" t="s">
        <v>288</v>
      </c>
      <c r="H1" s="30" t="s">
        <v>287</v>
      </c>
      <c r="I1" s="30" t="s">
        <v>290</v>
      </c>
      <c r="J1" s="30" t="s">
        <v>289</v>
      </c>
      <c r="K1" s="30" t="s">
        <v>288</v>
      </c>
      <c r="L1" s="30" t="s">
        <v>287</v>
      </c>
    </row>
    <row r="2" spans="1:12">
      <c r="A2">
        <v>200800</v>
      </c>
      <c r="B2" t="s">
        <v>48</v>
      </c>
      <c r="C2" t="s">
        <v>285</v>
      </c>
      <c r="D2" t="s">
        <v>284</v>
      </c>
      <c r="E2" s="30">
        <v>1</v>
      </c>
      <c r="F2" s="30">
        <v>1</v>
      </c>
      <c r="G2" s="30">
        <v>112894</v>
      </c>
      <c r="H2" s="30">
        <v>0</v>
      </c>
      <c r="I2" s="30">
        <v>1</v>
      </c>
      <c r="J2" s="30">
        <v>1</v>
      </c>
      <c r="K2" s="30">
        <v>39270</v>
      </c>
      <c r="L2" s="30">
        <v>0</v>
      </c>
    </row>
    <row r="3" spans="1:12">
      <c r="A3">
        <v>100751</v>
      </c>
      <c r="B3" t="s">
        <v>49</v>
      </c>
      <c r="C3" t="s">
        <v>285</v>
      </c>
      <c r="D3" t="s">
        <v>284</v>
      </c>
      <c r="E3" s="30">
        <v>1</v>
      </c>
      <c r="F3" s="30">
        <v>1</v>
      </c>
      <c r="G3" s="30">
        <v>236368</v>
      </c>
      <c r="H3" s="30">
        <v>0</v>
      </c>
      <c r="I3" s="30">
        <v>2</v>
      </c>
      <c r="J3" s="30">
        <v>2</v>
      </c>
      <c r="K3" s="30">
        <v>203052</v>
      </c>
      <c r="L3" s="30">
        <v>0</v>
      </c>
    </row>
    <row r="4" spans="1:12">
      <c r="A4">
        <v>196060</v>
      </c>
      <c r="B4" t="s">
        <v>52</v>
      </c>
      <c r="C4" t="s">
        <v>285</v>
      </c>
      <c r="D4" t="s">
        <v>284</v>
      </c>
      <c r="E4" s="30">
        <v>1</v>
      </c>
      <c r="F4" s="30">
        <v>1</v>
      </c>
      <c r="G4" s="30">
        <v>116213</v>
      </c>
      <c r="H4" s="30">
        <v>0</v>
      </c>
      <c r="I4" s="30">
        <v>2</v>
      </c>
      <c r="J4" s="30">
        <v>2</v>
      </c>
      <c r="K4" s="30">
        <v>107163</v>
      </c>
      <c r="L4" s="30">
        <v>0</v>
      </c>
    </row>
    <row r="5" spans="1:12">
      <c r="A5">
        <v>197869</v>
      </c>
      <c r="B5" t="s">
        <v>54</v>
      </c>
      <c r="C5" t="s">
        <v>285</v>
      </c>
      <c r="D5" t="s">
        <v>284</v>
      </c>
      <c r="E5" s="30">
        <v>1</v>
      </c>
      <c r="F5" s="30">
        <v>1</v>
      </c>
      <c r="G5" s="30">
        <v>114925</v>
      </c>
      <c r="H5" s="30">
        <v>0</v>
      </c>
      <c r="I5" s="30">
        <v>2</v>
      </c>
      <c r="J5" s="30">
        <v>2</v>
      </c>
      <c r="K5" s="30">
        <v>103489</v>
      </c>
      <c r="L5" s="30">
        <v>0</v>
      </c>
    </row>
    <row r="6" spans="1:12">
      <c r="A6">
        <v>104179</v>
      </c>
      <c r="B6" t="s">
        <v>55</v>
      </c>
      <c r="C6" t="s">
        <v>285</v>
      </c>
      <c r="D6" t="s">
        <v>284</v>
      </c>
      <c r="E6" s="30">
        <v>1</v>
      </c>
      <c r="F6" s="30">
        <v>1</v>
      </c>
      <c r="G6" s="30">
        <v>214998</v>
      </c>
      <c r="H6" s="30">
        <v>22200</v>
      </c>
      <c r="I6" s="30">
        <v>2</v>
      </c>
      <c r="J6" s="30">
        <v>2</v>
      </c>
      <c r="K6" s="30">
        <v>170898</v>
      </c>
      <c r="L6" s="30">
        <v>0</v>
      </c>
    </row>
    <row r="7" spans="1:12">
      <c r="A7">
        <v>104151</v>
      </c>
      <c r="B7" t="s">
        <v>56</v>
      </c>
      <c r="C7" t="s">
        <v>285</v>
      </c>
      <c r="D7" t="s">
        <v>284</v>
      </c>
      <c r="E7" s="30">
        <v>1</v>
      </c>
      <c r="F7" s="30">
        <v>1</v>
      </c>
      <c r="G7" s="30">
        <v>217395</v>
      </c>
      <c r="H7" s="30">
        <v>0</v>
      </c>
      <c r="I7" s="30">
        <v>2</v>
      </c>
      <c r="J7" s="30">
        <v>2</v>
      </c>
      <c r="K7" s="30">
        <v>217291</v>
      </c>
      <c r="L7" s="30">
        <v>0</v>
      </c>
    </row>
    <row r="8" spans="1:12">
      <c r="A8">
        <v>106397</v>
      </c>
      <c r="B8" t="s">
        <v>57</v>
      </c>
      <c r="C8" t="s">
        <v>285</v>
      </c>
      <c r="D8" t="s">
        <v>284</v>
      </c>
      <c r="E8" s="30">
        <v>1</v>
      </c>
      <c r="F8" s="30">
        <v>1</v>
      </c>
      <c r="G8" s="30">
        <v>231769</v>
      </c>
      <c r="H8" s="30">
        <v>0</v>
      </c>
      <c r="I8" s="30">
        <v>2</v>
      </c>
      <c r="J8" s="30">
        <v>2</v>
      </c>
      <c r="K8" s="30">
        <v>180856</v>
      </c>
      <c r="L8" s="30">
        <v>0</v>
      </c>
    </row>
    <row r="9" spans="1:12">
      <c r="A9">
        <v>106245</v>
      </c>
      <c r="B9" t="s">
        <v>58</v>
      </c>
      <c r="C9" t="s">
        <v>285</v>
      </c>
      <c r="D9" s="48" t="s">
        <v>284</v>
      </c>
      <c r="E9" s="23">
        <v>1</v>
      </c>
      <c r="F9" s="23">
        <v>1</v>
      </c>
      <c r="G9" s="23">
        <v>86476</v>
      </c>
      <c r="H9" s="23">
        <v>9600</v>
      </c>
      <c r="I9" s="23">
        <v>2</v>
      </c>
      <c r="J9" s="23">
        <v>1.5</v>
      </c>
      <c r="K9" s="23">
        <v>76866</v>
      </c>
      <c r="L9" s="23">
        <v>0</v>
      </c>
    </row>
    <row r="10" spans="1:12">
      <c r="A10">
        <v>106412</v>
      </c>
      <c r="B10" t="s">
        <v>59</v>
      </c>
      <c r="C10" t="s">
        <v>285</v>
      </c>
      <c r="D10" t="s">
        <v>284</v>
      </c>
      <c r="E10" s="30">
        <v>1</v>
      </c>
      <c r="F10" s="30">
        <v>1</v>
      </c>
      <c r="G10" s="30">
        <v>64487</v>
      </c>
      <c r="H10" s="30">
        <v>0</v>
      </c>
      <c r="I10" s="30">
        <v>1</v>
      </c>
      <c r="J10" s="30">
        <v>1</v>
      </c>
      <c r="K10" s="30">
        <v>35603</v>
      </c>
      <c r="L10" s="30">
        <v>0</v>
      </c>
    </row>
    <row r="11" spans="1:12">
      <c r="A11">
        <v>106458</v>
      </c>
      <c r="B11" t="s">
        <v>60</v>
      </c>
      <c r="C11" t="s">
        <v>285</v>
      </c>
      <c r="D11" t="s">
        <v>284</v>
      </c>
      <c r="E11" s="30">
        <v>1</v>
      </c>
      <c r="F11" s="30">
        <v>1</v>
      </c>
      <c r="G11" s="30">
        <v>98648</v>
      </c>
      <c r="H11" s="30">
        <v>11567</v>
      </c>
      <c r="I11" s="30">
        <v>1</v>
      </c>
      <c r="J11" s="30">
        <v>1</v>
      </c>
      <c r="K11" s="30">
        <v>49011</v>
      </c>
      <c r="L11" s="30">
        <v>3600</v>
      </c>
    </row>
    <row r="12" spans="1:12">
      <c r="A12">
        <v>100858</v>
      </c>
      <c r="B12" t="s">
        <v>62</v>
      </c>
      <c r="C12" t="s">
        <v>285</v>
      </c>
      <c r="D12" t="s">
        <v>284</v>
      </c>
      <c r="E12" s="30">
        <v>1</v>
      </c>
      <c r="F12" s="30">
        <v>1</v>
      </c>
      <c r="G12" s="30">
        <v>285080</v>
      </c>
      <c r="H12" s="30">
        <v>0</v>
      </c>
      <c r="I12" s="30">
        <v>2</v>
      </c>
      <c r="J12" s="30">
        <v>2</v>
      </c>
      <c r="K12" s="30">
        <v>211482</v>
      </c>
      <c r="L12" s="30">
        <v>0</v>
      </c>
    </row>
    <row r="13" spans="1:12">
      <c r="A13">
        <v>219602</v>
      </c>
      <c r="B13" t="s">
        <v>63</v>
      </c>
      <c r="C13" t="s">
        <v>285</v>
      </c>
      <c r="D13" t="s">
        <v>284</v>
      </c>
      <c r="E13" s="30">
        <v>1</v>
      </c>
      <c r="F13" s="30">
        <v>0.5</v>
      </c>
      <c r="G13" s="30">
        <v>59957</v>
      </c>
      <c r="H13" s="30">
        <v>0</v>
      </c>
      <c r="I13" s="30">
        <v>2</v>
      </c>
      <c r="J13" s="30">
        <v>1.5</v>
      </c>
      <c r="K13" s="30">
        <v>54142</v>
      </c>
      <c r="L13" s="30">
        <v>0</v>
      </c>
    </row>
    <row r="14" spans="1:12">
      <c r="A14">
        <v>150136</v>
      </c>
      <c r="B14" t="s">
        <v>64</v>
      </c>
      <c r="C14" t="s">
        <v>285</v>
      </c>
      <c r="D14" t="s">
        <v>284</v>
      </c>
      <c r="E14" s="30">
        <v>1</v>
      </c>
      <c r="F14" s="30">
        <v>1</v>
      </c>
      <c r="G14" s="30">
        <v>117666</v>
      </c>
      <c r="H14" s="30">
        <v>0</v>
      </c>
      <c r="I14" s="30">
        <v>2</v>
      </c>
      <c r="J14" s="30">
        <v>2</v>
      </c>
      <c r="K14" s="30">
        <v>134098</v>
      </c>
      <c r="L14" s="30">
        <v>0</v>
      </c>
    </row>
    <row r="15" spans="1:12">
      <c r="A15">
        <v>196079</v>
      </c>
      <c r="B15" t="s">
        <v>65</v>
      </c>
      <c r="C15" t="s">
        <v>285</v>
      </c>
      <c r="D15" t="s">
        <v>284</v>
      </c>
      <c r="E15" s="30">
        <v>1</v>
      </c>
      <c r="F15" s="30">
        <v>1</v>
      </c>
      <c r="G15" s="30">
        <v>162246</v>
      </c>
      <c r="H15" s="30">
        <v>0</v>
      </c>
      <c r="I15" s="30">
        <v>1</v>
      </c>
      <c r="J15" s="30">
        <v>1</v>
      </c>
      <c r="K15" s="30">
        <v>73565</v>
      </c>
      <c r="L15" s="30">
        <v>0</v>
      </c>
    </row>
    <row r="16" spans="1:12">
      <c r="A16">
        <v>142115</v>
      </c>
      <c r="B16" t="s">
        <v>66</v>
      </c>
      <c r="C16" t="s">
        <v>285</v>
      </c>
      <c r="D16" t="s">
        <v>284</v>
      </c>
      <c r="E16" s="30">
        <v>1</v>
      </c>
      <c r="F16" s="30">
        <v>1</v>
      </c>
      <c r="G16" s="30">
        <v>158326</v>
      </c>
      <c r="H16" s="30">
        <v>0</v>
      </c>
      <c r="I16" s="30">
        <v>1</v>
      </c>
      <c r="J16" s="30">
        <v>1</v>
      </c>
      <c r="K16" s="30">
        <v>155482</v>
      </c>
      <c r="L16" s="30">
        <v>0</v>
      </c>
    </row>
    <row r="17" spans="1:12">
      <c r="A17">
        <v>201441</v>
      </c>
      <c r="B17" t="s">
        <v>67</v>
      </c>
      <c r="C17" t="s">
        <v>285</v>
      </c>
      <c r="D17" t="s">
        <v>284</v>
      </c>
      <c r="E17" s="30">
        <v>1</v>
      </c>
      <c r="F17" s="30">
        <v>1</v>
      </c>
      <c r="G17" s="30">
        <v>142222</v>
      </c>
      <c r="H17" s="30">
        <v>0</v>
      </c>
      <c r="I17" s="30">
        <v>2</v>
      </c>
      <c r="J17" s="30">
        <v>2</v>
      </c>
      <c r="K17" s="30">
        <v>117091</v>
      </c>
      <c r="L17" s="30">
        <v>0</v>
      </c>
    </row>
    <row r="18" spans="1:12">
      <c r="A18">
        <v>196088</v>
      </c>
      <c r="B18" t="s">
        <v>68</v>
      </c>
      <c r="C18" t="s">
        <v>285</v>
      </c>
      <c r="D18" t="s">
        <v>284</v>
      </c>
      <c r="E18" s="30">
        <v>1</v>
      </c>
      <c r="F18" s="30">
        <v>1</v>
      </c>
      <c r="G18" s="30">
        <v>129056</v>
      </c>
      <c r="H18" s="30">
        <v>0</v>
      </c>
      <c r="I18" s="30">
        <v>2</v>
      </c>
      <c r="J18" s="30">
        <v>2</v>
      </c>
      <c r="K18" s="30">
        <v>148401</v>
      </c>
      <c r="L18" s="30">
        <v>0</v>
      </c>
    </row>
    <row r="19" spans="1:12">
      <c r="A19">
        <v>110422</v>
      </c>
      <c r="B19" t="s">
        <v>69</v>
      </c>
      <c r="C19" t="s">
        <v>285</v>
      </c>
      <c r="D19" t="s">
        <v>284</v>
      </c>
      <c r="E19" s="30">
        <v>1</v>
      </c>
      <c r="F19" s="30">
        <v>1</v>
      </c>
      <c r="G19" s="30">
        <v>209793</v>
      </c>
      <c r="H19" s="30">
        <v>0</v>
      </c>
      <c r="I19" s="30">
        <v>2</v>
      </c>
      <c r="J19" s="30">
        <v>2</v>
      </c>
      <c r="K19" s="30">
        <v>154382</v>
      </c>
      <c r="L19" s="30">
        <v>0</v>
      </c>
    </row>
    <row r="20" spans="1:12">
      <c r="A20">
        <v>110486</v>
      </c>
      <c r="B20" t="s">
        <v>70</v>
      </c>
      <c r="C20" t="s">
        <v>285</v>
      </c>
      <c r="D20" t="s">
        <v>284</v>
      </c>
      <c r="E20" s="30">
        <v>1</v>
      </c>
      <c r="F20" s="30">
        <v>1</v>
      </c>
      <c r="G20" s="30">
        <v>166085</v>
      </c>
      <c r="H20" s="30">
        <v>0</v>
      </c>
      <c r="I20" s="30">
        <v>2</v>
      </c>
      <c r="J20" s="30">
        <v>1</v>
      </c>
      <c r="K20" s="30">
        <v>121665</v>
      </c>
      <c r="L20" s="30">
        <v>0</v>
      </c>
    </row>
    <row r="21" spans="1:12">
      <c r="A21">
        <v>110565</v>
      </c>
      <c r="B21" t="s">
        <v>71</v>
      </c>
      <c r="C21" t="s">
        <v>285</v>
      </c>
      <c r="D21" t="s">
        <v>284</v>
      </c>
      <c r="E21" s="30">
        <v>1</v>
      </c>
      <c r="F21" s="30">
        <v>1</v>
      </c>
      <c r="G21" s="30">
        <v>158361</v>
      </c>
      <c r="H21" s="30">
        <v>0</v>
      </c>
      <c r="I21" s="30">
        <v>2</v>
      </c>
      <c r="J21" s="30">
        <v>2</v>
      </c>
      <c r="K21" s="30">
        <v>180619</v>
      </c>
      <c r="L21" s="30">
        <v>0</v>
      </c>
    </row>
    <row r="22" spans="1:12">
      <c r="A22">
        <v>110608</v>
      </c>
      <c r="B22" t="s">
        <v>72</v>
      </c>
      <c r="C22" t="s">
        <v>285</v>
      </c>
      <c r="D22" t="s">
        <v>284</v>
      </c>
      <c r="E22" s="30">
        <v>1</v>
      </c>
      <c r="F22" s="30">
        <v>1</v>
      </c>
      <c r="G22" s="30">
        <v>330062</v>
      </c>
      <c r="H22" s="30">
        <v>0</v>
      </c>
      <c r="I22" s="30">
        <v>2</v>
      </c>
      <c r="J22" s="30">
        <v>1.4</v>
      </c>
      <c r="K22" s="30">
        <v>113625</v>
      </c>
      <c r="L22" s="30">
        <v>0</v>
      </c>
    </row>
    <row r="23" spans="1:12">
      <c r="A23">
        <v>110635</v>
      </c>
      <c r="B23" t="s">
        <v>73</v>
      </c>
      <c r="C23" t="s">
        <v>285</v>
      </c>
      <c r="D23" t="s">
        <v>284</v>
      </c>
      <c r="E23" s="30">
        <v>1</v>
      </c>
      <c r="F23" s="30">
        <v>1</v>
      </c>
      <c r="G23" s="30">
        <v>261096</v>
      </c>
      <c r="H23" s="30">
        <v>0</v>
      </c>
      <c r="I23" s="30">
        <v>2</v>
      </c>
      <c r="J23" s="30">
        <v>2</v>
      </c>
      <c r="K23" s="30">
        <v>254159</v>
      </c>
      <c r="L23" s="30">
        <v>0</v>
      </c>
    </row>
    <row r="24" spans="1:12">
      <c r="A24">
        <v>106704</v>
      </c>
      <c r="B24" t="s">
        <v>74</v>
      </c>
      <c r="C24" t="s">
        <v>285</v>
      </c>
      <c r="D24" t="s">
        <v>284</v>
      </c>
      <c r="E24" s="30">
        <v>1</v>
      </c>
      <c r="F24" s="30">
        <v>1</v>
      </c>
      <c r="G24" s="30">
        <v>77901</v>
      </c>
      <c r="H24" s="30">
        <v>3800</v>
      </c>
      <c r="I24" s="30">
        <v>2</v>
      </c>
      <c r="J24" s="30">
        <v>2</v>
      </c>
      <c r="K24" s="30">
        <v>101723</v>
      </c>
      <c r="L24" s="30">
        <v>7600</v>
      </c>
    </row>
    <row r="25" spans="1:12">
      <c r="A25">
        <v>128771</v>
      </c>
      <c r="B25" t="s">
        <v>75</v>
      </c>
      <c r="C25" t="s">
        <v>285</v>
      </c>
      <c r="D25" t="s">
        <v>284</v>
      </c>
      <c r="E25" s="30">
        <v>1</v>
      </c>
      <c r="F25" s="30">
        <v>1</v>
      </c>
      <c r="G25" s="30">
        <v>270921</v>
      </c>
      <c r="H25" s="30">
        <v>0</v>
      </c>
      <c r="I25" s="30">
        <v>2</v>
      </c>
      <c r="J25" s="30">
        <v>1.1299999999999999</v>
      </c>
      <c r="K25" s="30">
        <v>52829</v>
      </c>
      <c r="L25" s="30">
        <v>0</v>
      </c>
    </row>
    <row r="26" spans="1:12">
      <c r="A26">
        <v>169248</v>
      </c>
      <c r="B26" t="s">
        <v>76</v>
      </c>
      <c r="C26" t="s">
        <v>285</v>
      </c>
      <c r="D26" t="s">
        <v>284</v>
      </c>
      <c r="E26" s="30">
        <v>1</v>
      </c>
      <c r="F26" s="30">
        <v>1</v>
      </c>
      <c r="G26" s="30">
        <v>161840</v>
      </c>
      <c r="H26" s="30">
        <v>1000</v>
      </c>
      <c r="I26" s="30">
        <v>2</v>
      </c>
      <c r="J26" s="30">
        <v>2</v>
      </c>
      <c r="K26" s="30">
        <v>143708</v>
      </c>
      <c r="L26" s="30">
        <v>600</v>
      </c>
    </row>
    <row r="27" spans="1:12">
      <c r="A27">
        <v>199139</v>
      </c>
      <c r="B27" t="s">
        <v>77</v>
      </c>
      <c r="C27" t="s">
        <v>285</v>
      </c>
      <c r="D27" t="s">
        <v>284</v>
      </c>
      <c r="E27" s="30">
        <v>1</v>
      </c>
      <c r="F27" s="30">
        <v>1</v>
      </c>
      <c r="G27" s="30">
        <v>100940</v>
      </c>
      <c r="H27" s="30">
        <v>0</v>
      </c>
      <c r="I27" s="30">
        <v>2</v>
      </c>
      <c r="J27" s="30">
        <v>2</v>
      </c>
      <c r="K27" s="30">
        <v>122928</v>
      </c>
      <c r="L27" s="30">
        <v>0</v>
      </c>
    </row>
    <row r="28" spans="1:12">
      <c r="A28">
        <v>144005</v>
      </c>
      <c r="B28" t="s">
        <v>78</v>
      </c>
      <c r="C28" t="s">
        <v>285</v>
      </c>
      <c r="D28" t="s">
        <v>284</v>
      </c>
      <c r="E28" s="30">
        <v>1</v>
      </c>
      <c r="F28" s="30">
        <v>1</v>
      </c>
      <c r="G28" s="30">
        <v>69000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</row>
    <row r="29" spans="1:12">
      <c r="A29">
        <v>201885</v>
      </c>
      <c r="B29" t="s">
        <v>79</v>
      </c>
      <c r="C29" t="s">
        <v>285</v>
      </c>
      <c r="D29" t="s">
        <v>284</v>
      </c>
      <c r="E29" s="30">
        <v>1</v>
      </c>
      <c r="F29" s="30">
        <v>1</v>
      </c>
      <c r="G29" s="30">
        <v>165703</v>
      </c>
      <c r="H29" s="30">
        <v>0</v>
      </c>
      <c r="I29" s="30">
        <v>2</v>
      </c>
      <c r="J29" s="30">
        <v>2</v>
      </c>
      <c r="K29" s="30">
        <v>175856</v>
      </c>
      <c r="L29" s="30">
        <v>0</v>
      </c>
    </row>
    <row r="30" spans="1:12">
      <c r="A30">
        <v>217882</v>
      </c>
      <c r="B30" t="s">
        <v>81</v>
      </c>
      <c r="C30" t="s">
        <v>285</v>
      </c>
      <c r="D30" t="s">
        <v>284</v>
      </c>
      <c r="E30" s="30">
        <v>1</v>
      </c>
      <c r="F30" s="30">
        <v>1</v>
      </c>
      <c r="G30" s="30">
        <v>118591</v>
      </c>
      <c r="H30" s="30">
        <v>0</v>
      </c>
      <c r="I30" s="30">
        <v>2</v>
      </c>
      <c r="J30" s="30">
        <v>2</v>
      </c>
      <c r="K30" s="30">
        <v>269957</v>
      </c>
      <c r="L30" s="30">
        <v>0</v>
      </c>
    </row>
    <row r="31" spans="1:12">
      <c r="A31">
        <v>202134</v>
      </c>
      <c r="B31" t="s">
        <v>82</v>
      </c>
      <c r="C31" t="s">
        <v>285</v>
      </c>
      <c r="D31" t="s">
        <v>284</v>
      </c>
      <c r="E31" s="30">
        <v>1</v>
      </c>
      <c r="F31" s="30">
        <v>1</v>
      </c>
      <c r="G31" s="30">
        <v>79539</v>
      </c>
      <c r="H31" s="30">
        <v>0</v>
      </c>
      <c r="I31" s="30">
        <v>2</v>
      </c>
      <c r="J31" s="30">
        <v>2</v>
      </c>
      <c r="K31" s="30">
        <v>63114</v>
      </c>
      <c r="L31" s="30">
        <v>0</v>
      </c>
    </row>
    <row r="32" spans="1:12">
      <c r="A32">
        <v>218724</v>
      </c>
      <c r="B32" t="s">
        <v>83</v>
      </c>
      <c r="C32" t="s">
        <v>285</v>
      </c>
      <c r="D32" s="60" t="s">
        <v>284</v>
      </c>
      <c r="E32" s="23">
        <v>1</v>
      </c>
      <c r="F32" s="23">
        <v>1</v>
      </c>
      <c r="G32" s="23">
        <v>135353</v>
      </c>
      <c r="H32" s="59">
        <v>0</v>
      </c>
      <c r="I32" s="23">
        <v>2</v>
      </c>
      <c r="J32" s="23">
        <v>1.1000000000000001</v>
      </c>
      <c r="K32" s="23">
        <v>85133</v>
      </c>
      <c r="L32" s="23">
        <v>0</v>
      </c>
    </row>
    <row r="33" spans="1:12">
      <c r="A33">
        <v>217819</v>
      </c>
      <c r="B33" t="s">
        <v>84</v>
      </c>
      <c r="C33" t="s">
        <v>285</v>
      </c>
      <c r="D33" t="s">
        <v>284</v>
      </c>
      <c r="E33" s="30">
        <v>1</v>
      </c>
      <c r="F33" s="30">
        <v>0.62</v>
      </c>
      <c r="G33" s="30">
        <v>142311</v>
      </c>
      <c r="H33" s="30">
        <v>0</v>
      </c>
      <c r="I33" s="30">
        <v>2</v>
      </c>
      <c r="J33" s="30">
        <v>1.75</v>
      </c>
      <c r="K33" s="30">
        <v>93058</v>
      </c>
      <c r="L33" s="30">
        <v>0</v>
      </c>
    </row>
    <row r="34" spans="1:12">
      <c r="A34">
        <v>126614</v>
      </c>
      <c r="B34" t="s">
        <v>85</v>
      </c>
      <c r="C34" t="s">
        <v>285</v>
      </c>
      <c r="D34" t="s">
        <v>284</v>
      </c>
      <c r="E34" s="30">
        <v>1</v>
      </c>
      <c r="F34" s="30">
        <v>1</v>
      </c>
      <c r="G34" s="30">
        <v>212461</v>
      </c>
      <c r="H34" s="30">
        <v>0</v>
      </c>
      <c r="I34" s="30">
        <v>2</v>
      </c>
      <c r="J34" s="30">
        <v>2</v>
      </c>
      <c r="K34" s="30">
        <v>190144</v>
      </c>
      <c r="L34" s="30">
        <v>0</v>
      </c>
    </row>
    <row r="35" spans="1:12">
      <c r="A35">
        <v>126818</v>
      </c>
      <c r="B35" t="s">
        <v>86</v>
      </c>
      <c r="C35" t="s">
        <v>285</v>
      </c>
      <c r="D35" t="s">
        <v>284</v>
      </c>
      <c r="E35" s="30">
        <v>1</v>
      </c>
      <c r="F35" s="30">
        <v>1</v>
      </c>
      <c r="G35" s="30">
        <v>295202</v>
      </c>
      <c r="H35" s="30">
        <v>0</v>
      </c>
      <c r="I35" s="30">
        <v>2</v>
      </c>
      <c r="J35" s="30">
        <v>2</v>
      </c>
      <c r="K35" s="30">
        <v>182419</v>
      </c>
      <c r="L35" s="30">
        <v>0</v>
      </c>
    </row>
    <row r="36" spans="1:12">
      <c r="A36">
        <v>129020</v>
      </c>
      <c r="B36" t="s">
        <v>87</v>
      </c>
      <c r="C36" t="s">
        <v>285</v>
      </c>
      <c r="D36" t="s">
        <v>284</v>
      </c>
      <c r="E36" s="30">
        <v>1</v>
      </c>
      <c r="F36" s="30">
        <v>1</v>
      </c>
      <c r="G36" s="30">
        <v>102680</v>
      </c>
      <c r="H36" s="30">
        <v>0</v>
      </c>
      <c r="I36" s="30">
        <v>2</v>
      </c>
      <c r="J36" s="30">
        <v>2</v>
      </c>
      <c r="K36" s="30">
        <v>173590</v>
      </c>
      <c r="L36" s="30">
        <v>0</v>
      </c>
    </row>
    <row r="37" spans="1:12">
      <c r="A37">
        <v>162283</v>
      </c>
      <c r="B37" t="s">
        <v>88</v>
      </c>
      <c r="C37" t="s">
        <v>285</v>
      </c>
      <c r="D37" t="s">
        <v>284</v>
      </c>
      <c r="E37" s="30">
        <v>1</v>
      </c>
      <c r="F37" s="30">
        <v>1</v>
      </c>
      <c r="G37" s="30">
        <v>106915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</row>
    <row r="38" spans="1:12">
      <c r="A38">
        <v>198464</v>
      </c>
      <c r="B38" t="s">
        <v>89</v>
      </c>
      <c r="C38" t="s">
        <v>285</v>
      </c>
      <c r="D38" t="s">
        <v>284</v>
      </c>
      <c r="E38" s="30">
        <v>1</v>
      </c>
      <c r="F38" s="30">
        <v>1</v>
      </c>
      <c r="G38" s="30">
        <v>124224</v>
      </c>
      <c r="H38" s="30">
        <v>0</v>
      </c>
      <c r="I38" s="30">
        <v>2</v>
      </c>
      <c r="J38" s="30">
        <v>2</v>
      </c>
      <c r="K38" s="30">
        <v>86585</v>
      </c>
      <c r="L38" s="30">
        <v>0</v>
      </c>
    </row>
    <row r="39" spans="1:12">
      <c r="A39">
        <v>144892</v>
      </c>
      <c r="B39" t="s">
        <v>91</v>
      </c>
      <c r="C39" t="s">
        <v>285</v>
      </c>
      <c r="D39" t="s">
        <v>284</v>
      </c>
      <c r="E39" s="30">
        <v>1</v>
      </c>
      <c r="F39" s="30">
        <v>1</v>
      </c>
      <c r="G39" s="30">
        <v>97681</v>
      </c>
      <c r="H39" s="30">
        <v>0</v>
      </c>
      <c r="I39" s="30">
        <v>2</v>
      </c>
      <c r="J39" s="30">
        <v>1.33</v>
      </c>
      <c r="K39" s="30">
        <v>67984</v>
      </c>
      <c r="L39" s="30">
        <v>0</v>
      </c>
    </row>
    <row r="40" spans="1:12">
      <c r="A40">
        <v>156620</v>
      </c>
      <c r="B40" t="s">
        <v>92</v>
      </c>
      <c r="C40" t="s">
        <v>285</v>
      </c>
      <c r="D40" t="s">
        <v>284</v>
      </c>
      <c r="E40" s="30">
        <v>1</v>
      </c>
      <c r="F40" s="30">
        <v>0.5</v>
      </c>
      <c r="G40" s="30">
        <v>75495</v>
      </c>
      <c r="H40" s="30">
        <v>0</v>
      </c>
      <c r="I40" s="30">
        <v>2</v>
      </c>
      <c r="J40" s="30">
        <v>1.5</v>
      </c>
      <c r="K40" s="30">
        <v>90506</v>
      </c>
      <c r="L40" s="30">
        <v>2200</v>
      </c>
    </row>
    <row r="41" spans="1:12">
      <c r="A41">
        <v>169798</v>
      </c>
      <c r="B41" t="s">
        <v>93</v>
      </c>
      <c r="C41" t="s">
        <v>285</v>
      </c>
      <c r="D41" t="s">
        <v>284</v>
      </c>
      <c r="E41" s="30">
        <v>1</v>
      </c>
      <c r="F41" s="30">
        <v>1</v>
      </c>
      <c r="G41" s="30">
        <v>113251</v>
      </c>
      <c r="H41" s="30">
        <v>0</v>
      </c>
      <c r="I41" s="30">
        <v>2</v>
      </c>
      <c r="J41" s="30">
        <v>2</v>
      </c>
      <c r="K41" s="30">
        <v>114009</v>
      </c>
      <c r="L41" s="30">
        <v>0</v>
      </c>
    </row>
    <row r="42" spans="1:12">
      <c r="A42">
        <v>235097</v>
      </c>
      <c r="B42" t="s">
        <v>94</v>
      </c>
      <c r="C42" t="s">
        <v>285</v>
      </c>
      <c r="D42" t="s">
        <v>284</v>
      </c>
      <c r="E42" s="30">
        <v>1</v>
      </c>
      <c r="F42" s="30">
        <v>1</v>
      </c>
      <c r="G42" s="30">
        <v>105616</v>
      </c>
      <c r="H42" s="30">
        <v>0</v>
      </c>
      <c r="I42" s="30">
        <v>2</v>
      </c>
      <c r="J42" s="30">
        <v>2</v>
      </c>
      <c r="K42" s="30">
        <v>116456</v>
      </c>
      <c r="L42" s="30">
        <v>0</v>
      </c>
    </row>
    <row r="43" spans="1:12">
      <c r="A43">
        <v>134130</v>
      </c>
      <c r="B43" t="s">
        <v>95</v>
      </c>
      <c r="C43" t="s">
        <v>285</v>
      </c>
      <c r="D43" t="s">
        <v>284</v>
      </c>
      <c r="E43" s="30">
        <v>1</v>
      </c>
      <c r="F43" s="30">
        <v>1</v>
      </c>
      <c r="G43" s="30">
        <v>396012</v>
      </c>
      <c r="H43" s="30">
        <v>0</v>
      </c>
      <c r="I43" s="30">
        <v>2</v>
      </c>
      <c r="J43" s="30">
        <v>2</v>
      </c>
      <c r="K43" s="30">
        <v>279240</v>
      </c>
      <c r="L43" s="30">
        <v>0</v>
      </c>
    </row>
    <row r="44" spans="1:12">
      <c r="A44">
        <v>133669</v>
      </c>
      <c r="B44" t="s">
        <v>96</v>
      </c>
      <c r="C44" t="s">
        <v>285</v>
      </c>
      <c r="D44" t="s">
        <v>284</v>
      </c>
      <c r="E44" s="30">
        <v>1</v>
      </c>
      <c r="F44" s="30">
        <v>1</v>
      </c>
      <c r="G44" s="30">
        <v>128997</v>
      </c>
      <c r="H44" s="30">
        <v>0</v>
      </c>
      <c r="I44" s="30">
        <v>2</v>
      </c>
      <c r="J44" s="30">
        <v>2</v>
      </c>
      <c r="K44" s="30">
        <v>127017</v>
      </c>
      <c r="L44" s="30">
        <v>0</v>
      </c>
    </row>
    <row r="45" spans="1:12">
      <c r="A45">
        <v>433660</v>
      </c>
      <c r="B45" t="s">
        <v>97</v>
      </c>
      <c r="C45" t="s">
        <v>285</v>
      </c>
      <c r="D45" t="s">
        <v>284</v>
      </c>
      <c r="E45" s="30">
        <v>1</v>
      </c>
      <c r="F45" s="30">
        <v>1</v>
      </c>
      <c r="G45" s="30">
        <v>130600</v>
      </c>
      <c r="H45" s="30">
        <v>0</v>
      </c>
      <c r="I45" s="30">
        <v>2</v>
      </c>
      <c r="J45" s="30">
        <v>2</v>
      </c>
      <c r="K45" s="30">
        <v>81756</v>
      </c>
      <c r="L45" s="30">
        <v>0</v>
      </c>
    </row>
    <row r="46" spans="1:12">
      <c r="A46">
        <v>133951</v>
      </c>
      <c r="B46" t="s">
        <v>98</v>
      </c>
      <c r="C46" t="s">
        <v>285</v>
      </c>
      <c r="D46" t="s">
        <v>284</v>
      </c>
      <c r="E46" s="30">
        <v>1</v>
      </c>
      <c r="F46" s="30">
        <v>1</v>
      </c>
      <c r="G46" s="30">
        <v>57391</v>
      </c>
      <c r="H46" s="30">
        <v>0</v>
      </c>
      <c r="I46" s="30">
        <v>2</v>
      </c>
      <c r="J46" s="30">
        <v>2</v>
      </c>
      <c r="K46" s="30">
        <v>92868</v>
      </c>
      <c r="L46" s="30">
        <v>0</v>
      </c>
    </row>
    <row r="47" spans="1:12">
      <c r="A47">
        <v>134097</v>
      </c>
      <c r="B47" t="s">
        <v>99</v>
      </c>
      <c r="C47" t="s">
        <v>285</v>
      </c>
      <c r="D47" t="s">
        <v>284</v>
      </c>
      <c r="E47" s="30">
        <v>1</v>
      </c>
      <c r="F47" s="30">
        <v>1</v>
      </c>
      <c r="G47" s="30">
        <v>253525</v>
      </c>
      <c r="H47" s="30">
        <v>0</v>
      </c>
      <c r="I47" s="30">
        <v>2</v>
      </c>
      <c r="J47" s="30">
        <v>2</v>
      </c>
      <c r="K47" s="30">
        <v>189436</v>
      </c>
      <c r="L47" s="30">
        <v>0</v>
      </c>
    </row>
    <row r="48" spans="1:12">
      <c r="A48">
        <v>110556</v>
      </c>
      <c r="B48" t="s">
        <v>100</v>
      </c>
      <c r="C48" t="s">
        <v>285</v>
      </c>
      <c r="D48" t="s">
        <v>284</v>
      </c>
      <c r="E48" s="30">
        <v>1</v>
      </c>
      <c r="F48" s="30">
        <v>1</v>
      </c>
      <c r="G48" s="30">
        <v>225244</v>
      </c>
      <c r="H48" s="30">
        <v>0</v>
      </c>
      <c r="I48" s="30">
        <v>2</v>
      </c>
      <c r="J48" s="30">
        <v>2</v>
      </c>
      <c r="K48" s="30">
        <v>191519</v>
      </c>
      <c r="L48" s="30">
        <v>0</v>
      </c>
    </row>
    <row r="49" spans="1:12">
      <c r="A49">
        <v>139959</v>
      </c>
      <c r="B49" t="s">
        <v>102</v>
      </c>
      <c r="C49" t="s">
        <v>285</v>
      </c>
      <c r="D49" t="s">
        <v>284</v>
      </c>
      <c r="E49" s="30">
        <v>1</v>
      </c>
      <c r="F49" s="30">
        <v>1</v>
      </c>
      <c r="G49" s="30">
        <v>279019</v>
      </c>
      <c r="H49" s="30">
        <v>0</v>
      </c>
      <c r="I49" s="30">
        <v>2</v>
      </c>
      <c r="J49" s="30">
        <v>2</v>
      </c>
      <c r="K49" s="30">
        <v>228524</v>
      </c>
      <c r="L49" s="30">
        <v>0</v>
      </c>
    </row>
    <row r="50" spans="1:12">
      <c r="A50">
        <v>139931</v>
      </c>
      <c r="B50" t="s">
        <v>103</v>
      </c>
      <c r="C50" t="s">
        <v>285</v>
      </c>
      <c r="D50" t="s">
        <v>284</v>
      </c>
      <c r="E50" s="30">
        <v>1</v>
      </c>
      <c r="F50" s="30">
        <v>1</v>
      </c>
      <c r="G50" s="30">
        <v>113420</v>
      </c>
      <c r="H50" s="30">
        <v>0</v>
      </c>
      <c r="I50" s="30">
        <v>2</v>
      </c>
      <c r="J50" s="30">
        <v>2</v>
      </c>
      <c r="K50" s="30">
        <v>100546</v>
      </c>
      <c r="L50" s="30">
        <v>0</v>
      </c>
    </row>
    <row r="51" spans="1:12">
      <c r="A51">
        <v>139940</v>
      </c>
      <c r="B51" t="s">
        <v>104</v>
      </c>
      <c r="C51" t="s">
        <v>285</v>
      </c>
      <c r="D51" t="s">
        <v>284</v>
      </c>
      <c r="E51" s="30">
        <v>1</v>
      </c>
      <c r="F51" s="30">
        <v>1</v>
      </c>
      <c r="G51" s="30">
        <v>122838</v>
      </c>
      <c r="H51" s="30">
        <v>0</v>
      </c>
      <c r="I51" s="30">
        <v>2</v>
      </c>
      <c r="J51" s="30">
        <v>2</v>
      </c>
      <c r="K51" s="30">
        <v>128137</v>
      </c>
      <c r="L51" s="30">
        <v>0</v>
      </c>
    </row>
    <row r="52" spans="1:12">
      <c r="A52">
        <v>139755</v>
      </c>
      <c r="B52" t="s">
        <v>105</v>
      </c>
      <c r="C52" t="s">
        <v>285</v>
      </c>
      <c r="D52" t="s">
        <v>284</v>
      </c>
      <c r="E52" s="30">
        <v>1</v>
      </c>
      <c r="F52" s="30">
        <v>1</v>
      </c>
      <c r="G52" s="30">
        <v>201620</v>
      </c>
      <c r="H52" s="30">
        <v>0</v>
      </c>
      <c r="I52" s="30">
        <v>2</v>
      </c>
      <c r="J52" s="30">
        <v>2</v>
      </c>
      <c r="K52" s="30">
        <v>188466</v>
      </c>
      <c r="L52" s="30">
        <v>0</v>
      </c>
    </row>
    <row r="53" spans="1:12">
      <c r="A53">
        <v>159009</v>
      </c>
      <c r="B53" t="s">
        <v>106</v>
      </c>
      <c r="C53" t="s">
        <v>285</v>
      </c>
      <c r="D53" t="s">
        <v>284</v>
      </c>
      <c r="E53" s="30">
        <v>1</v>
      </c>
      <c r="F53" s="30">
        <v>1</v>
      </c>
      <c r="G53" s="30">
        <v>65549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</row>
    <row r="54" spans="1:12">
      <c r="A54">
        <v>225511</v>
      </c>
      <c r="B54" t="s">
        <v>108</v>
      </c>
      <c r="C54" t="s">
        <v>285</v>
      </c>
      <c r="D54" t="s">
        <v>284</v>
      </c>
      <c r="E54" s="30">
        <v>1</v>
      </c>
      <c r="F54" s="30">
        <v>1</v>
      </c>
      <c r="G54" s="30">
        <v>148835</v>
      </c>
      <c r="H54" s="30">
        <v>0</v>
      </c>
      <c r="I54" s="30">
        <v>2</v>
      </c>
      <c r="J54" s="30">
        <v>2</v>
      </c>
      <c r="K54" s="30">
        <v>140049</v>
      </c>
      <c r="L54" s="30">
        <v>0</v>
      </c>
    </row>
    <row r="55" spans="1:12">
      <c r="A55">
        <v>142285</v>
      </c>
      <c r="B55" t="s">
        <v>109</v>
      </c>
      <c r="C55" t="s">
        <v>285</v>
      </c>
      <c r="D55" t="s">
        <v>284</v>
      </c>
      <c r="E55" s="30">
        <v>1</v>
      </c>
      <c r="F55" s="30">
        <v>1</v>
      </c>
      <c r="G55" s="30">
        <v>140584</v>
      </c>
      <c r="H55" s="30">
        <v>7500</v>
      </c>
      <c r="I55" s="30">
        <v>2</v>
      </c>
      <c r="J55" s="30">
        <v>2</v>
      </c>
      <c r="K55" s="30">
        <v>112315</v>
      </c>
      <c r="L55" s="30">
        <v>0</v>
      </c>
    </row>
    <row r="56" spans="1:12">
      <c r="A56">
        <v>142276</v>
      </c>
      <c r="B56" t="s">
        <v>110</v>
      </c>
      <c r="C56" t="s">
        <v>285</v>
      </c>
      <c r="D56" t="s">
        <v>284</v>
      </c>
      <c r="E56" s="30">
        <v>1</v>
      </c>
      <c r="F56" s="30">
        <v>1</v>
      </c>
      <c r="G56" s="30">
        <v>87371</v>
      </c>
      <c r="H56" s="30">
        <v>0</v>
      </c>
      <c r="I56" s="30">
        <v>2</v>
      </c>
      <c r="J56" s="30">
        <v>1.5</v>
      </c>
      <c r="K56" s="30">
        <v>58718</v>
      </c>
      <c r="L56" s="30">
        <v>0</v>
      </c>
    </row>
    <row r="57" spans="1:12">
      <c r="A57">
        <v>145637</v>
      </c>
      <c r="B57" t="s">
        <v>111</v>
      </c>
      <c r="C57" t="s">
        <v>285</v>
      </c>
      <c r="D57" t="s">
        <v>284</v>
      </c>
      <c r="E57" s="30">
        <v>1</v>
      </c>
      <c r="F57" s="30">
        <v>1</v>
      </c>
      <c r="G57" s="30">
        <v>483089</v>
      </c>
      <c r="H57" s="30">
        <v>0</v>
      </c>
      <c r="I57" s="30">
        <v>2</v>
      </c>
      <c r="J57" s="30">
        <v>2</v>
      </c>
      <c r="K57" s="30">
        <v>256106</v>
      </c>
      <c r="L57" s="30">
        <v>0</v>
      </c>
    </row>
    <row r="58" spans="1:12">
      <c r="A58">
        <v>145600</v>
      </c>
      <c r="B58" t="s">
        <v>112</v>
      </c>
      <c r="C58" t="s">
        <v>285</v>
      </c>
      <c r="D58" t="s">
        <v>284</v>
      </c>
      <c r="E58" s="30">
        <v>1</v>
      </c>
      <c r="F58" s="30">
        <v>1</v>
      </c>
      <c r="G58" s="30">
        <v>135469</v>
      </c>
      <c r="H58" s="30">
        <v>0</v>
      </c>
      <c r="I58" s="30">
        <v>2</v>
      </c>
      <c r="J58" s="30">
        <v>2</v>
      </c>
      <c r="K58" s="30">
        <v>95490</v>
      </c>
      <c r="L58" s="30">
        <v>0</v>
      </c>
    </row>
    <row r="59" spans="1:12">
      <c r="A59">
        <v>145813</v>
      </c>
      <c r="B59" t="s">
        <v>113</v>
      </c>
      <c r="C59" t="s">
        <v>285</v>
      </c>
      <c r="D59" t="s">
        <v>284</v>
      </c>
      <c r="E59" s="30">
        <v>1</v>
      </c>
      <c r="F59" s="30">
        <v>1</v>
      </c>
      <c r="G59" s="30">
        <v>190015</v>
      </c>
      <c r="H59" s="30">
        <v>0</v>
      </c>
      <c r="I59" s="30">
        <v>2</v>
      </c>
      <c r="J59" s="30">
        <v>2</v>
      </c>
      <c r="K59" s="30">
        <v>144614</v>
      </c>
      <c r="L59" s="30">
        <v>0</v>
      </c>
    </row>
    <row r="60" spans="1:12">
      <c r="A60">
        <v>151351</v>
      </c>
      <c r="B60" t="s">
        <v>114</v>
      </c>
      <c r="C60" t="s">
        <v>285</v>
      </c>
      <c r="D60" t="s">
        <v>284</v>
      </c>
      <c r="E60" s="30">
        <v>1</v>
      </c>
      <c r="F60" s="30">
        <v>1</v>
      </c>
      <c r="G60" s="30">
        <v>324171</v>
      </c>
      <c r="H60" s="30">
        <v>0</v>
      </c>
      <c r="I60" s="30">
        <v>2</v>
      </c>
      <c r="J60" s="30">
        <v>2</v>
      </c>
      <c r="K60" s="30">
        <v>267047</v>
      </c>
      <c r="L60" s="30">
        <v>0</v>
      </c>
    </row>
    <row r="61" spans="1:12">
      <c r="A61">
        <v>151324</v>
      </c>
      <c r="B61" t="s">
        <v>115</v>
      </c>
      <c r="C61" t="s">
        <v>285</v>
      </c>
      <c r="D61" t="s">
        <v>284</v>
      </c>
      <c r="E61" s="30">
        <v>1</v>
      </c>
      <c r="F61" s="30">
        <v>1</v>
      </c>
      <c r="G61" s="30">
        <v>110171</v>
      </c>
      <c r="H61" s="30">
        <v>0</v>
      </c>
      <c r="I61" s="30">
        <v>2</v>
      </c>
      <c r="J61" s="30">
        <v>1.5</v>
      </c>
      <c r="K61" s="30">
        <v>57737</v>
      </c>
      <c r="L61" s="30">
        <v>0</v>
      </c>
    </row>
    <row r="62" spans="1:12">
      <c r="A62">
        <v>153658</v>
      </c>
      <c r="B62" t="s">
        <v>116</v>
      </c>
      <c r="C62" t="s">
        <v>285</v>
      </c>
      <c r="D62" t="s">
        <v>284</v>
      </c>
      <c r="E62" s="30">
        <v>1</v>
      </c>
      <c r="F62" s="30">
        <v>1</v>
      </c>
      <c r="G62" s="30">
        <v>269315</v>
      </c>
      <c r="H62" s="30">
        <v>0</v>
      </c>
      <c r="I62" s="30">
        <v>2</v>
      </c>
      <c r="J62" s="30">
        <v>2</v>
      </c>
      <c r="K62" s="30">
        <v>214489</v>
      </c>
      <c r="L62" s="30">
        <v>0</v>
      </c>
    </row>
    <row r="63" spans="1:12">
      <c r="A63">
        <v>153603</v>
      </c>
      <c r="B63" t="s">
        <v>117</v>
      </c>
      <c r="C63" t="s">
        <v>285</v>
      </c>
      <c r="D63" t="s">
        <v>284</v>
      </c>
      <c r="E63" s="30">
        <v>1</v>
      </c>
      <c r="F63" s="30">
        <v>1</v>
      </c>
      <c r="G63" s="30">
        <v>295547</v>
      </c>
      <c r="H63" s="30">
        <v>0</v>
      </c>
      <c r="I63" s="30">
        <v>2</v>
      </c>
      <c r="J63" s="30">
        <v>2</v>
      </c>
      <c r="K63" s="30">
        <v>200197</v>
      </c>
      <c r="L63" s="30">
        <v>0</v>
      </c>
    </row>
    <row r="64" spans="1:12">
      <c r="A64">
        <v>151111</v>
      </c>
      <c r="B64" t="s">
        <v>118</v>
      </c>
      <c r="C64" t="s">
        <v>285</v>
      </c>
      <c r="D64" t="s">
        <v>284</v>
      </c>
      <c r="E64" s="30">
        <v>1</v>
      </c>
      <c r="F64" s="30">
        <v>1</v>
      </c>
      <c r="G64" s="30">
        <v>80278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</row>
    <row r="65" spans="1:12">
      <c r="A65">
        <v>232423</v>
      </c>
      <c r="B65" t="s">
        <v>121</v>
      </c>
      <c r="C65" t="s">
        <v>285</v>
      </c>
      <c r="D65" t="s">
        <v>284</v>
      </c>
      <c r="E65" s="30">
        <v>1</v>
      </c>
      <c r="F65" s="30">
        <v>1</v>
      </c>
      <c r="G65" s="30">
        <v>138954</v>
      </c>
      <c r="H65" s="30">
        <v>0</v>
      </c>
      <c r="I65" s="30">
        <v>2</v>
      </c>
      <c r="J65" s="30">
        <v>2</v>
      </c>
      <c r="K65" s="30">
        <v>133625</v>
      </c>
      <c r="L65" s="30">
        <v>0</v>
      </c>
    </row>
    <row r="66" spans="1:12">
      <c r="A66">
        <v>155317</v>
      </c>
      <c r="B66" t="s">
        <v>122</v>
      </c>
      <c r="C66" t="s">
        <v>285</v>
      </c>
      <c r="D66" t="s">
        <v>284</v>
      </c>
      <c r="E66" s="30">
        <v>1</v>
      </c>
      <c r="F66" s="30">
        <v>1</v>
      </c>
      <c r="G66" s="30">
        <v>211759</v>
      </c>
      <c r="H66" s="30">
        <v>0</v>
      </c>
      <c r="I66" s="30">
        <v>2</v>
      </c>
      <c r="J66" s="30">
        <v>2</v>
      </c>
      <c r="K66" s="30">
        <v>213309</v>
      </c>
      <c r="L66" s="30">
        <v>0</v>
      </c>
    </row>
    <row r="67" spans="1:12">
      <c r="A67">
        <v>155399</v>
      </c>
      <c r="B67" t="s">
        <v>123</v>
      </c>
      <c r="C67" t="s">
        <v>285</v>
      </c>
      <c r="D67" t="s">
        <v>284</v>
      </c>
      <c r="E67" s="30">
        <v>1</v>
      </c>
      <c r="F67" s="30">
        <v>1</v>
      </c>
      <c r="G67" s="30">
        <v>227680</v>
      </c>
      <c r="H67" s="30">
        <v>0</v>
      </c>
      <c r="I67" s="30">
        <v>2</v>
      </c>
      <c r="J67" s="30">
        <v>2</v>
      </c>
      <c r="K67" s="30">
        <v>261640</v>
      </c>
      <c r="L67" s="30">
        <v>0</v>
      </c>
    </row>
    <row r="68" spans="1:12">
      <c r="A68">
        <v>157085</v>
      </c>
      <c r="B68" t="s">
        <v>126</v>
      </c>
      <c r="C68" t="s">
        <v>285</v>
      </c>
      <c r="D68" t="s">
        <v>284</v>
      </c>
      <c r="E68" s="30">
        <v>1</v>
      </c>
      <c r="F68" s="30">
        <v>1</v>
      </c>
      <c r="G68" s="30">
        <v>427107</v>
      </c>
      <c r="H68" s="30">
        <v>0</v>
      </c>
      <c r="I68" s="30">
        <v>2</v>
      </c>
      <c r="J68" s="30">
        <v>2</v>
      </c>
      <c r="K68" s="30">
        <v>292547</v>
      </c>
      <c r="L68" s="30">
        <v>0</v>
      </c>
    </row>
    <row r="69" spans="1:12">
      <c r="A69">
        <v>226091</v>
      </c>
      <c r="B69" t="s">
        <v>127</v>
      </c>
      <c r="C69" t="s">
        <v>285</v>
      </c>
      <c r="D69" t="s">
        <v>284</v>
      </c>
      <c r="E69" s="30">
        <v>1</v>
      </c>
      <c r="F69" s="30">
        <v>1</v>
      </c>
      <c r="G69" s="30">
        <v>79695</v>
      </c>
      <c r="H69" s="30">
        <v>0</v>
      </c>
      <c r="I69" s="30">
        <v>1</v>
      </c>
      <c r="J69" s="30">
        <v>1</v>
      </c>
      <c r="K69" s="30">
        <v>48891</v>
      </c>
      <c r="L69" s="30">
        <v>0</v>
      </c>
    </row>
    <row r="70" spans="1:12">
      <c r="A70">
        <v>110583</v>
      </c>
      <c r="B70" t="s">
        <v>128</v>
      </c>
      <c r="C70" t="s">
        <v>285</v>
      </c>
      <c r="D70" t="s">
        <v>284</v>
      </c>
      <c r="E70" s="30">
        <v>1</v>
      </c>
      <c r="F70" s="30">
        <v>1</v>
      </c>
      <c r="G70" s="30">
        <v>296619</v>
      </c>
      <c r="H70" s="30">
        <v>0</v>
      </c>
      <c r="I70" s="30">
        <v>2</v>
      </c>
      <c r="J70" s="30">
        <v>2</v>
      </c>
      <c r="K70" s="30">
        <v>200516</v>
      </c>
      <c r="L70" s="30">
        <v>0</v>
      </c>
    </row>
    <row r="71" spans="1:12">
      <c r="A71">
        <v>160658</v>
      </c>
      <c r="B71" t="s">
        <v>130</v>
      </c>
      <c r="C71" t="s">
        <v>285</v>
      </c>
      <c r="D71" t="s">
        <v>284</v>
      </c>
      <c r="E71" s="30">
        <v>1</v>
      </c>
      <c r="F71" s="30">
        <v>1</v>
      </c>
      <c r="G71" s="30">
        <v>124364</v>
      </c>
      <c r="H71" s="30">
        <v>0</v>
      </c>
      <c r="I71" s="30">
        <v>2</v>
      </c>
      <c r="J71" s="30">
        <v>2</v>
      </c>
      <c r="K71" s="30">
        <v>56190</v>
      </c>
      <c r="L71" s="30">
        <v>0</v>
      </c>
    </row>
    <row r="72" spans="1:12">
      <c r="A72">
        <v>159647</v>
      </c>
      <c r="B72" t="s">
        <v>132</v>
      </c>
      <c r="C72" t="s">
        <v>285</v>
      </c>
      <c r="D72" t="s">
        <v>284</v>
      </c>
      <c r="E72" s="30">
        <v>1</v>
      </c>
      <c r="F72" s="30">
        <v>1</v>
      </c>
      <c r="G72" s="30">
        <v>100081</v>
      </c>
      <c r="H72" s="30">
        <v>0</v>
      </c>
      <c r="I72" s="30">
        <v>2</v>
      </c>
      <c r="J72" s="30">
        <v>2</v>
      </c>
      <c r="K72" s="30">
        <v>86609</v>
      </c>
      <c r="L72" s="30">
        <v>0</v>
      </c>
    </row>
    <row r="73" spans="1:12">
      <c r="A73">
        <v>157289</v>
      </c>
      <c r="B73" t="s">
        <v>133</v>
      </c>
      <c r="C73" t="s">
        <v>285</v>
      </c>
      <c r="D73" t="s">
        <v>284</v>
      </c>
      <c r="E73" s="30">
        <v>1</v>
      </c>
      <c r="F73" s="30">
        <v>1</v>
      </c>
      <c r="G73" s="30">
        <v>307468</v>
      </c>
      <c r="H73" s="30">
        <v>0</v>
      </c>
      <c r="I73" s="30">
        <v>2</v>
      </c>
      <c r="J73" s="30">
        <v>2</v>
      </c>
      <c r="K73" s="30">
        <v>299665</v>
      </c>
      <c r="L73" s="30">
        <v>0</v>
      </c>
    </row>
    <row r="74" spans="1:12">
      <c r="A74">
        <v>159391</v>
      </c>
      <c r="B74" t="s">
        <v>134</v>
      </c>
      <c r="C74" t="s">
        <v>285</v>
      </c>
      <c r="D74" t="s">
        <v>284</v>
      </c>
      <c r="E74" s="30">
        <v>1</v>
      </c>
      <c r="F74" s="30">
        <v>1</v>
      </c>
      <c r="G74" s="30">
        <v>266689</v>
      </c>
      <c r="H74" s="30">
        <v>0</v>
      </c>
      <c r="I74" s="30">
        <v>2</v>
      </c>
      <c r="J74" s="30">
        <v>2</v>
      </c>
      <c r="K74" s="30">
        <v>230055</v>
      </c>
      <c r="L74" s="30">
        <v>0</v>
      </c>
    </row>
    <row r="75" spans="1:12">
      <c r="A75">
        <v>237525</v>
      </c>
      <c r="B75" t="s">
        <v>136</v>
      </c>
      <c r="C75" t="s">
        <v>285</v>
      </c>
      <c r="D75" t="s">
        <v>284</v>
      </c>
      <c r="E75" s="30">
        <v>1</v>
      </c>
      <c r="F75" s="30">
        <v>1</v>
      </c>
      <c r="G75" s="30">
        <v>119495</v>
      </c>
      <c r="H75" s="30">
        <v>0</v>
      </c>
      <c r="I75" s="30">
        <v>2</v>
      </c>
      <c r="J75" s="30">
        <v>2</v>
      </c>
      <c r="K75" s="30">
        <v>82045</v>
      </c>
      <c r="L75" s="30">
        <v>0</v>
      </c>
    </row>
    <row r="76" spans="1:12">
      <c r="A76">
        <v>163286</v>
      </c>
      <c r="B76" t="s">
        <v>137</v>
      </c>
      <c r="C76" t="s">
        <v>285</v>
      </c>
      <c r="D76" t="s">
        <v>284</v>
      </c>
      <c r="E76" s="30">
        <v>1</v>
      </c>
      <c r="F76" s="30">
        <v>1</v>
      </c>
      <c r="G76" s="30">
        <v>217145</v>
      </c>
      <c r="H76" s="30">
        <v>0</v>
      </c>
      <c r="I76" s="30">
        <v>2</v>
      </c>
      <c r="J76" s="30">
        <v>2</v>
      </c>
      <c r="K76" s="30">
        <v>189175</v>
      </c>
      <c r="L76" s="30">
        <v>0</v>
      </c>
    </row>
    <row r="77" spans="1:12">
      <c r="A77">
        <v>163268</v>
      </c>
      <c r="B77" t="s">
        <v>138</v>
      </c>
      <c r="C77" t="s">
        <v>285</v>
      </c>
      <c r="D77" t="s">
        <v>284</v>
      </c>
      <c r="E77" s="30">
        <v>1</v>
      </c>
      <c r="F77" s="30">
        <v>1</v>
      </c>
      <c r="G77" s="30">
        <v>149123</v>
      </c>
      <c r="H77" s="30">
        <v>0</v>
      </c>
      <c r="I77" s="30">
        <v>1</v>
      </c>
      <c r="J77" s="30">
        <v>0.5</v>
      </c>
      <c r="K77" s="30">
        <v>21789</v>
      </c>
      <c r="L77" s="30">
        <v>0</v>
      </c>
    </row>
    <row r="78" spans="1:12">
      <c r="A78">
        <v>163338</v>
      </c>
      <c r="B78" t="s">
        <v>139</v>
      </c>
      <c r="C78" t="s">
        <v>285</v>
      </c>
      <c r="D78" t="s">
        <v>284</v>
      </c>
      <c r="E78" s="30">
        <v>1</v>
      </c>
      <c r="F78" s="30">
        <v>1</v>
      </c>
      <c r="G78" s="30">
        <v>60000</v>
      </c>
      <c r="H78" s="30">
        <v>0</v>
      </c>
      <c r="I78" s="30">
        <v>1</v>
      </c>
      <c r="J78" s="30">
        <v>1</v>
      </c>
      <c r="K78" s="30">
        <v>40000</v>
      </c>
      <c r="L78" s="30">
        <v>0</v>
      </c>
    </row>
    <row r="79" spans="1:12">
      <c r="A79">
        <v>159717</v>
      </c>
      <c r="B79" t="s">
        <v>142</v>
      </c>
      <c r="C79" t="s">
        <v>285</v>
      </c>
      <c r="D79" t="s">
        <v>284</v>
      </c>
      <c r="E79" s="30">
        <v>1</v>
      </c>
      <c r="F79" s="30">
        <v>0.83</v>
      </c>
      <c r="G79" s="30">
        <v>61631</v>
      </c>
      <c r="H79" s="30">
        <v>0</v>
      </c>
      <c r="I79" s="30">
        <v>2</v>
      </c>
      <c r="J79" s="30">
        <v>1.66</v>
      </c>
      <c r="K79" s="30">
        <v>53151</v>
      </c>
      <c r="L79" s="30">
        <v>0</v>
      </c>
    </row>
    <row r="80" spans="1:12">
      <c r="A80">
        <v>204024</v>
      </c>
      <c r="B80" t="s">
        <v>144</v>
      </c>
      <c r="C80" t="s">
        <v>285</v>
      </c>
      <c r="D80" t="s">
        <v>284</v>
      </c>
      <c r="E80" s="30">
        <v>1</v>
      </c>
      <c r="F80" s="30">
        <v>1</v>
      </c>
      <c r="G80" s="30">
        <v>129627</v>
      </c>
      <c r="H80" s="30">
        <v>0</v>
      </c>
      <c r="I80" s="30">
        <v>2</v>
      </c>
      <c r="J80" s="30">
        <v>2</v>
      </c>
      <c r="K80" s="30">
        <v>109023</v>
      </c>
      <c r="L80" s="30">
        <v>0</v>
      </c>
    </row>
    <row r="81" spans="1:12">
      <c r="A81">
        <v>170976</v>
      </c>
      <c r="B81" t="s">
        <v>145</v>
      </c>
      <c r="C81" t="s">
        <v>285</v>
      </c>
      <c r="D81" t="s">
        <v>284</v>
      </c>
      <c r="E81" s="30">
        <v>1</v>
      </c>
      <c r="F81" s="30">
        <v>1</v>
      </c>
      <c r="G81" s="30">
        <v>223569</v>
      </c>
      <c r="H81" s="30">
        <v>0</v>
      </c>
      <c r="I81" s="30">
        <v>2</v>
      </c>
      <c r="J81" s="30">
        <v>2</v>
      </c>
      <c r="K81" s="30">
        <v>213424</v>
      </c>
      <c r="L81" s="30">
        <v>0</v>
      </c>
    </row>
    <row r="82" spans="1:12">
      <c r="A82">
        <v>171100</v>
      </c>
      <c r="B82" t="s">
        <v>146</v>
      </c>
      <c r="C82" t="s">
        <v>285</v>
      </c>
      <c r="D82" t="s">
        <v>284</v>
      </c>
      <c r="E82" s="30">
        <v>1</v>
      </c>
      <c r="F82" s="30">
        <v>1</v>
      </c>
      <c r="G82" s="30">
        <v>318234</v>
      </c>
      <c r="H82" s="30">
        <v>0</v>
      </c>
      <c r="I82" s="30">
        <v>2</v>
      </c>
      <c r="J82" s="30">
        <v>2</v>
      </c>
      <c r="K82" s="30">
        <v>249302</v>
      </c>
      <c r="L82" s="30">
        <v>0</v>
      </c>
    </row>
    <row r="83" spans="1:12">
      <c r="A83">
        <v>220978</v>
      </c>
      <c r="B83" t="s">
        <v>147</v>
      </c>
      <c r="C83" t="s">
        <v>285</v>
      </c>
      <c r="D83" t="s">
        <v>284</v>
      </c>
      <c r="E83" s="30">
        <v>1</v>
      </c>
      <c r="F83" s="30">
        <v>0.81</v>
      </c>
      <c r="G83" s="30">
        <v>98082</v>
      </c>
      <c r="H83" s="30">
        <v>0</v>
      </c>
      <c r="I83" s="30">
        <v>2</v>
      </c>
      <c r="J83" s="30">
        <v>2</v>
      </c>
      <c r="K83" s="30">
        <v>101855</v>
      </c>
      <c r="L83" s="30">
        <v>0</v>
      </c>
    </row>
    <row r="84" spans="1:12">
      <c r="A84">
        <v>174066</v>
      </c>
      <c r="B84" t="s">
        <v>148</v>
      </c>
      <c r="C84" t="s">
        <v>285</v>
      </c>
      <c r="D84" t="s">
        <v>284</v>
      </c>
      <c r="E84" s="30">
        <v>1</v>
      </c>
      <c r="F84" s="30">
        <v>1</v>
      </c>
      <c r="G84" s="30">
        <v>677400</v>
      </c>
      <c r="H84" s="30">
        <v>0</v>
      </c>
      <c r="I84" s="30">
        <v>2</v>
      </c>
      <c r="J84" s="30">
        <v>2</v>
      </c>
      <c r="K84" s="30">
        <v>228257</v>
      </c>
      <c r="L84" s="30">
        <v>0</v>
      </c>
    </row>
    <row r="85" spans="1:12">
      <c r="A85">
        <v>176017</v>
      </c>
      <c r="B85" t="s">
        <v>149</v>
      </c>
      <c r="C85" t="s">
        <v>285</v>
      </c>
      <c r="D85" t="s">
        <v>284</v>
      </c>
      <c r="E85" s="30">
        <v>1</v>
      </c>
      <c r="F85" s="30">
        <v>1</v>
      </c>
      <c r="G85" s="30">
        <v>245004</v>
      </c>
      <c r="H85" s="30">
        <v>0</v>
      </c>
      <c r="I85" s="30">
        <v>2</v>
      </c>
      <c r="J85" s="30">
        <v>2</v>
      </c>
      <c r="K85" s="30">
        <v>208342</v>
      </c>
      <c r="L85" s="30">
        <v>0</v>
      </c>
    </row>
    <row r="86" spans="1:12">
      <c r="A86">
        <v>176080</v>
      </c>
      <c r="B86" t="s">
        <v>150</v>
      </c>
      <c r="C86" t="s">
        <v>285</v>
      </c>
      <c r="D86" t="s">
        <v>284</v>
      </c>
      <c r="E86" s="30">
        <v>1</v>
      </c>
      <c r="F86" s="30">
        <v>1</v>
      </c>
      <c r="G86" s="30">
        <v>176228</v>
      </c>
      <c r="H86" s="30">
        <v>0</v>
      </c>
      <c r="I86" s="30">
        <v>2</v>
      </c>
      <c r="J86" s="30">
        <v>2</v>
      </c>
      <c r="K86" s="30">
        <v>155816</v>
      </c>
      <c r="L86" s="30">
        <v>0</v>
      </c>
    </row>
    <row r="87" spans="1:12">
      <c r="A87">
        <v>178396</v>
      </c>
      <c r="B87" t="s">
        <v>152</v>
      </c>
      <c r="C87" t="s">
        <v>285</v>
      </c>
      <c r="D87" t="s">
        <v>284</v>
      </c>
      <c r="E87" s="30">
        <v>1</v>
      </c>
      <c r="F87" s="30">
        <v>1</v>
      </c>
      <c r="G87" s="30">
        <v>191785</v>
      </c>
      <c r="H87" s="30">
        <v>0</v>
      </c>
      <c r="I87" s="30">
        <v>2</v>
      </c>
      <c r="J87" s="30">
        <v>2</v>
      </c>
      <c r="K87" s="30">
        <v>189784</v>
      </c>
      <c r="L87" s="30">
        <v>0</v>
      </c>
    </row>
    <row r="88" spans="1:12">
      <c r="A88">
        <v>178402</v>
      </c>
      <c r="B88" t="s">
        <v>153</v>
      </c>
      <c r="C88" t="s">
        <v>285</v>
      </c>
      <c r="D88" t="s">
        <v>284</v>
      </c>
      <c r="E88" s="30">
        <v>1</v>
      </c>
      <c r="F88" s="30">
        <v>1</v>
      </c>
      <c r="G88" s="30">
        <v>109409</v>
      </c>
      <c r="H88" s="30">
        <v>0</v>
      </c>
      <c r="I88" s="30">
        <v>1</v>
      </c>
      <c r="J88" s="30">
        <v>1</v>
      </c>
      <c r="K88" s="30">
        <v>57420</v>
      </c>
      <c r="L88" s="30">
        <v>0</v>
      </c>
    </row>
    <row r="89" spans="1:12">
      <c r="A89">
        <v>179566</v>
      </c>
      <c r="B89" t="s">
        <v>154</v>
      </c>
      <c r="C89" t="s">
        <v>285</v>
      </c>
      <c r="D89" t="s">
        <v>284</v>
      </c>
      <c r="E89" s="30">
        <v>1</v>
      </c>
      <c r="F89" s="30">
        <v>1</v>
      </c>
      <c r="G89" s="30">
        <v>158622</v>
      </c>
      <c r="H89" s="30">
        <v>0</v>
      </c>
      <c r="I89" s="30">
        <v>2</v>
      </c>
      <c r="J89" s="30">
        <v>2</v>
      </c>
      <c r="K89" s="30">
        <v>132884</v>
      </c>
      <c r="L89" s="30">
        <v>0</v>
      </c>
    </row>
    <row r="90" spans="1:12">
      <c r="A90">
        <v>180489</v>
      </c>
      <c r="B90" t="s">
        <v>155</v>
      </c>
      <c r="C90" t="s">
        <v>285</v>
      </c>
      <c r="D90" t="s">
        <v>284</v>
      </c>
      <c r="E90" s="30">
        <v>1</v>
      </c>
      <c r="F90" s="30">
        <v>1</v>
      </c>
      <c r="G90" s="30">
        <v>89594</v>
      </c>
      <c r="H90" s="30">
        <v>6300</v>
      </c>
      <c r="I90" s="30">
        <v>2</v>
      </c>
      <c r="J90" s="30">
        <v>2</v>
      </c>
      <c r="K90" s="30">
        <v>79821</v>
      </c>
      <c r="L90" s="30">
        <v>9350</v>
      </c>
    </row>
    <row r="91" spans="1:12">
      <c r="A91">
        <v>180461</v>
      </c>
      <c r="B91" t="s">
        <v>156</v>
      </c>
      <c r="C91" t="s">
        <v>285</v>
      </c>
      <c r="D91" t="s">
        <v>284</v>
      </c>
      <c r="E91" s="30">
        <v>1</v>
      </c>
      <c r="F91" s="30">
        <v>1</v>
      </c>
      <c r="G91" s="30">
        <v>162741</v>
      </c>
      <c r="H91" s="30">
        <v>0</v>
      </c>
      <c r="I91" s="30">
        <v>2</v>
      </c>
      <c r="J91" s="30">
        <v>2</v>
      </c>
      <c r="K91" s="30">
        <v>162806</v>
      </c>
      <c r="L91" s="30">
        <v>0</v>
      </c>
    </row>
    <row r="92" spans="1:12">
      <c r="A92">
        <v>163453</v>
      </c>
      <c r="B92" t="s">
        <v>158</v>
      </c>
      <c r="C92" t="s">
        <v>285</v>
      </c>
      <c r="D92" t="s">
        <v>284</v>
      </c>
      <c r="E92" s="30">
        <v>1</v>
      </c>
      <c r="F92" s="30">
        <v>1</v>
      </c>
      <c r="G92" s="30">
        <v>90168</v>
      </c>
      <c r="H92" s="30">
        <v>0</v>
      </c>
      <c r="I92" s="30">
        <v>1</v>
      </c>
      <c r="J92" s="30">
        <v>1</v>
      </c>
      <c r="K92" s="30">
        <v>43369</v>
      </c>
      <c r="L92" s="30">
        <v>0</v>
      </c>
    </row>
    <row r="93" spans="1:12">
      <c r="A93">
        <v>181464</v>
      </c>
      <c r="B93" t="s">
        <v>161</v>
      </c>
      <c r="C93" t="s">
        <v>285</v>
      </c>
      <c r="D93" t="s">
        <v>284</v>
      </c>
      <c r="E93" s="30">
        <v>1</v>
      </c>
      <c r="F93" s="30">
        <v>0.92</v>
      </c>
      <c r="G93" s="30">
        <v>649056</v>
      </c>
      <c r="H93" s="30">
        <v>0</v>
      </c>
      <c r="I93" s="30">
        <v>2</v>
      </c>
      <c r="J93" s="30">
        <v>1.92</v>
      </c>
      <c r="K93" s="30">
        <v>291605</v>
      </c>
      <c r="L93" s="30">
        <v>0</v>
      </c>
    </row>
    <row r="94" spans="1:12">
      <c r="A94">
        <v>181394</v>
      </c>
      <c r="B94" t="s">
        <v>162</v>
      </c>
      <c r="C94" t="s">
        <v>285</v>
      </c>
      <c r="D94" t="s">
        <v>284</v>
      </c>
      <c r="E94" s="30">
        <v>1</v>
      </c>
      <c r="F94" s="30">
        <v>1</v>
      </c>
      <c r="G94" s="30">
        <v>119616</v>
      </c>
      <c r="H94" s="30">
        <v>0</v>
      </c>
      <c r="I94" s="30">
        <v>2</v>
      </c>
      <c r="J94" s="30">
        <v>2</v>
      </c>
      <c r="K94" s="30">
        <v>107429</v>
      </c>
      <c r="L94" s="30">
        <v>0</v>
      </c>
    </row>
    <row r="95" spans="1:12">
      <c r="A95">
        <v>182290</v>
      </c>
      <c r="B95" t="s">
        <v>163</v>
      </c>
      <c r="C95" t="s">
        <v>285</v>
      </c>
      <c r="D95" t="s">
        <v>284</v>
      </c>
      <c r="E95" s="30">
        <v>1</v>
      </c>
      <c r="F95" s="30">
        <v>1</v>
      </c>
      <c r="G95" s="30">
        <v>160755</v>
      </c>
      <c r="H95" s="30">
        <v>0</v>
      </c>
      <c r="I95" s="30">
        <v>2</v>
      </c>
      <c r="J95" s="30">
        <v>2</v>
      </c>
      <c r="K95" s="30">
        <v>157440</v>
      </c>
      <c r="L95" s="30">
        <v>0</v>
      </c>
    </row>
    <row r="96" spans="1:12">
      <c r="A96">
        <v>183044</v>
      </c>
      <c r="B96" t="s">
        <v>164</v>
      </c>
      <c r="C96" t="s">
        <v>285</v>
      </c>
      <c r="D96" t="s">
        <v>284</v>
      </c>
      <c r="E96" s="30">
        <v>1</v>
      </c>
      <c r="F96" s="30">
        <v>1</v>
      </c>
      <c r="G96" s="30">
        <v>117064</v>
      </c>
      <c r="H96" s="30">
        <v>0</v>
      </c>
      <c r="I96" s="30">
        <v>1</v>
      </c>
      <c r="J96" s="30">
        <v>1</v>
      </c>
      <c r="K96" s="30">
        <v>58975</v>
      </c>
      <c r="L96" s="30">
        <v>0</v>
      </c>
    </row>
    <row r="97" spans="1:12">
      <c r="A97">
        <v>187985</v>
      </c>
      <c r="B97" t="s">
        <v>165</v>
      </c>
      <c r="C97" t="s">
        <v>285</v>
      </c>
      <c r="D97" t="s">
        <v>284</v>
      </c>
      <c r="E97" s="30">
        <v>1</v>
      </c>
      <c r="F97" s="30">
        <v>1</v>
      </c>
      <c r="G97" s="30">
        <v>163216</v>
      </c>
      <c r="H97" s="30">
        <v>0</v>
      </c>
      <c r="I97" s="30">
        <v>2</v>
      </c>
      <c r="J97" s="30">
        <v>2</v>
      </c>
      <c r="K97" s="30">
        <v>142402</v>
      </c>
      <c r="L97" s="30">
        <v>0</v>
      </c>
    </row>
    <row r="98" spans="1:12">
      <c r="A98">
        <v>188030</v>
      </c>
      <c r="B98" t="s">
        <v>166</v>
      </c>
      <c r="C98" t="s">
        <v>285</v>
      </c>
      <c r="D98" t="s">
        <v>284</v>
      </c>
      <c r="E98" s="30">
        <v>1</v>
      </c>
      <c r="F98" s="30">
        <v>1</v>
      </c>
      <c r="G98" s="30">
        <v>154594</v>
      </c>
      <c r="H98" s="30">
        <v>0</v>
      </c>
      <c r="I98" s="30">
        <v>3</v>
      </c>
      <c r="J98" s="30">
        <v>2.5</v>
      </c>
      <c r="K98" s="30">
        <v>179785</v>
      </c>
      <c r="L98" s="30">
        <v>0</v>
      </c>
    </row>
    <row r="99" spans="1:12">
      <c r="A99">
        <v>159966</v>
      </c>
      <c r="B99" t="s">
        <v>168</v>
      </c>
      <c r="C99" t="s">
        <v>285</v>
      </c>
      <c r="D99" t="s">
        <v>284</v>
      </c>
      <c r="E99" s="30">
        <v>1</v>
      </c>
      <c r="F99" s="30">
        <v>1</v>
      </c>
      <c r="G99" s="30">
        <v>70004</v>
      </c>
      <c r="H99" s="30">
        <v>0</v>
      </c>
      <c r="I99" s="30">
        <v>1</v>
      </c>
      <c r="J99" s="30">
        <v>1</v>
      </c>
      <c r="K99" s="30">
        <v>46454</v>
      </c>
      <c r="L99" s="30">
        <v>0</v>
      </c>
    </row>
    <row r="100" spans="1:12">
      <c r="A100">
        <v>185828</v>
      </c>
      <c r="B100" t="s">
        <v>169</v>
      </c>
      <c r="C100" t="s">
        <v>285</v>
      </c>
      <c r="D100" t="s">
        <v>284</v>
      </c>
      <c r="E100" s="30">
        <v>1</v>
      </c>
      <c r="F100" s="30">
        <v>1</v>
      </c>
      <c r="G100" s="30">
        <v>126335</v>
      </c>
      <c r="H100" s="30">
        <v>0</v>
      </c>
      <c r="I100" s="30">
        <v>1</v>
      </c>
      <c r="J100" s="30">
        <v>0.75</v>
      </c>
      <c r="K100" s="30">
        <v>49099</v>
      </c>
      <c r="L100" s="30">
        <v>0</v>
      </c>
    </row>
    <row r="101" spans="1:12">
      <c r="A101">
        <v>199120</v>
      </c>
      <c r="B101" t="s">
        <v>172</v>
      </c>
      <c r="C101" t="s">
        <v>285</v>
      </c>
      <c r="D101" t="s">
        <v>284</v>
      </c>
      <c r="E101" s="30">
        <v>1</v>
      </c>
      <c r="F101" s="30">
        <v>1</v>
      </c>
      <c r="G101" s="30">
        <v>281747</v>
      </c>
      <c r="H101" s="30">
        <v>0</v>
      </c>
      <c r="I101" s="30">
        <v>2</v>
      </c>
      <c r="J101" s="30">
        <v>2</v>
      </c>
      <c r="K101" s="30">
        <v>190500</v>
      </c>
      <c r="L101" s="30">
        <v>0</v>
      </c>
    </row>
    <row r="102" spans="1:12">
      <c r="A102">
        <v>199102</v>
      </c>
      <c r="B102" t="s">
        <v>173</v>
      </c>
      <c r="C102" t="s">
        <v>285</v>
      </c>
      <c r="D102" t="s">
        <v>284</v>
      </c>
      <c r="E102" s="30">
        <v>1</v>
      </c>
      <c r="F102" s="30">
        <v>1</v>
      </c>
      <c r="G102" s="30">
        <v>76096</v>
      </c>
      <c r="H102" s="30">
        <v>0</v>
      </c>
      <c r="I102" s="30">
        <v>2</v>
      </c>
      <c r="J102" s="30">
        <v>2</v>
      </c>
      <c r="K102" s="30">
        <v>57301</v>
      </c>
      <c r="L102" s="30">
        <v>0</v>
      </c>
    </row>
    <row r="103" spans="1:12">
      <c r="A103">
        <v>199111</v>
      </c>
      <c r="B103" t="s">
        <v>275</v>
      </c>
      <c r="C103" t="s">
        <v>285</v>
      </c>
      <c r="D103" t="s">
        <v>284</v>
      </c>
      <c r="E103" s="30">
        <v>1</v>
      </c>
      <c r="F103" s="30">
        <v>1</v>
      </c>
      <c r="G103" s="30">
        <v>70178</v>
      </c>
      <c r="H103" s="30">
        <v>0</v>
      </c>
      <c r="I103" s="30">
        <v>1</v>
      </c>
      <c r="J103" s="30">
        <v>1</v>
      </c>
      <c r="K103" s="30">
        <v>49450</v>
      </c>
      <c r="L103" s="30">
        <v>0</v>
      </c>
    </row>
    <row r="104" spans="1:12">
      <c r="A104">
        <v>199157</v>
      </c>
      <c r="B104" t="s">
        <v>174</v>
      </c>
      <c r="C104" t="s">
        <v>285</v>
      </c>
      <c r="D104" t="s">
        <v>284</v>
      </c>
      <c r="E104" s="30">
        <v>1</v>
      </c>
      <c r="F104" s="30">
        <v>1</v>
      </c>
      <c r="G104" s="30">
        <v>80134</v>
      </c>
      <c r="H104" s="30">
        <v>0</v>
      </c>
      <c r="I104" s="30">
        <v>1</v>
      </c>
      <c r="J104" s="30">
        <v>1</v>
      </c>
      <c r="K104" s="30">
        <v>38500</v>
      </c>
      <c r="L104" s="30">
        <v>0</v>
      </c>
    </row>
    <row r="105" spans="1:12">
      <c r="A105">
        <v>199148</v>
      </c>
      <c r="B105" t="s">
        <v>276</v>
      </c>
      <c r="C105" t="s">
        <v>285</v>
      </c>
      <c r="D105" t="s">
        <v>284</v>
      </c>
      <c r="E105" s="30">
        <v>1</v>
      </c>
      <c r="F105" s="30">
        <v>1</v>
      </c>
      <c r="G105" s="30">
        <v>76507</v>
      </c>
      <c r="H105" s="30">
        <v>0</v>
      </c>
      <c r="I105" s="30">
        <v>1</v>
      </c>
      <c r="J105" s="30">
        <v>1</v>
      </c>
      <c r="K105" s="30">
        <v>50933</v>
      </c>
      <c r="L105" s="30">
        <v>0</v>
      </c>
    </row>
    <row r="106" spans="1:12">
      <c r="A106">
        <v>199193</v>
      </c>
      <c r="B106" t="s">
        <v>175</v>
      </c>
      <c r="C106" t="s">
        <v>285</v>
      </c>
      <c r="D106" t="s">
        <v>284</v>
      </c>
      <c r="E106" s="30">
        <v>1</v>
      </c>
      <c r="F106" s="30">
        <v>1</v>
      </c>
      <c r="G106" s="30">
        <v>281747</v>
      </c>
      <c r="H106" s="30">
        <v>0</v>
      </c>
      <c r="I106" s="30">
        <v>2</v>
      </c>
      <c r="J106" s="30">
        <v>2</v>
      </c>
      <c r="K106" s="30">
        <v>190500</v>
      </c>
      <c r="L106" s="30">
        <v>0</v>
      </c>
    </row>
    <row r="107" spans="1:12">
      <c r="A107">
        <v>199218</v>
      </c>
      <c r="B107" t="s">
        <v>176</v>
      </c>
      <c r="C107" t="s">
        <v>285</v>
      </c>
      <c r="D107" t="s">
        <v>284</v>
      </c>
      <c r="E107" s="30">
        <v>1</v>
      </c>
      <c r="F107" s="30">
        <v>0.5</v>
      </c>
      <c r="G107" s="30">
        <v>46967</v>
      </c>
      <c r="H107" s="30">
        <v>0</v>
      </c>
      <c r="I107" s="30">
        <v>2</v>
      </c>
      <c r="J107" s="30">
        <v>1.75</v>
      </c>
      <c r="K107" s="30">
        <v>78100</v>
      </c>
      <c r="L107" s="30">
        <v>0</v>
      </c>
    </row>
    <row r="108" spans="1:12">
      <c r="A108">
        <v>200280</v>
      </c>
      <c r="B108" t="s">
        <v>177</v>
      </c>
      <c r="C108" t="s">
        <v>285</v>
      </c>
      <c r="D108" t="s">
        <v>284</v>
      </c>
      <c r="E108" s="30">
        <v>1</v>
      </c>
      <c r="F108" s="30">
        <v>1</v>
      </c>
      <c r="G108" s="30">
        <v>131313</v>
      </c>
      <c r="H108" s="30">
        <v>0</v>
      </c>
      <c r="I108" s="30" t="s">
        <v>295</v>
      </c>
      <c r="J108" s="30" t="s">
        <v>295</v>
      </c>
      <c r="K108" s="30">
        <v>130384</v>
      </c>
      <c r="L108" s="30">
        <v>0</v>
      </c>
    </row>
    <row r="109" spans="1:12">
      <c r="A109">
        <v>200332</v>
      </c>
      <c r="B109" t="s">
        <v>178</v>
      </c>
      <c r="C109" t="s">
        <v>285</v>
      </c>
      <c r="D109" t="s">
        <v>284</v>
      </c>
      <c r="E109" s="30">
        <v>1</v>
      </c>
      <c r="F109" s="30">
        <v>1</v>
      </c>
      <c r="G109" s="30">
        <v>120972</v>
      </c>
      <c r="H109" s="30">
        <v>0</v>
      </c>
      <c r="I109" s="30">
        <v>2</v>
      </c>
      <c r="J109" s="30">
        <v>2</v>
      </c>
      <c r="K109" s="30">
        <v>147999</v>
      </c>
      <c r="L109" s="30">
        <v>0</v>
      </c>
    </row>
    <row r="110" spans="1:12">
      <c r="A110">
        <v>136172</v>
      </c>
      <c r="B110" t="s">
        <v>179</v>
      </c>
      <c r="C110" t="s">
        <v>285</v>
      </c>
      <c r="D110" t="s">
        <v>284</v>
      </c>
      <c r="E110" s="30">
        <v>1</v>
      </c>
      <c r="F110" s="30">
        <v>0.5</v>
      </c>
      <c r="G110" s="30">
        <v>65517</v>
      </c>
      <c r="H110" s="30">
        <v>0</v>
      </c>
      <c r="I110" s="30">
        <v>2</v>
      </c>
      <c r="J110" s="30">
        <v>2</v>
      </c>
      <c r="K110" s="30">
        <v>102615</v>
      </c>
      <c r="L110" s="30">
        <v>0</v>
      </c>
    </row>
    <row r="111" spans="1:12">
      <c r="A111">
        <v>227216</v>
      </c>
      <c r="B111" t="s">
        <v>180</v>
      </c>
      <c r="C111" t="s">
        <v>285</v>
      </c>
      <c r="D111" t="s">
        <v>284</v>
      </c>
      <c r="E111" s="30">
        <v>1</v>
      </c>
      <c r="F111" s="30">
        <v>1</v>
      </c>
      <c r="G111" s="30">
        <v>127474</v>
      </c>
      <c r="H111" s="30">
        <v>0</v>
      </c>
      <c r="I111" s="30">
        <v>2</v>
      </c>
      <c r="J111" s="30">
        <v>2</v>
      </c>
      <c r="K111" s="30">
        <v>86785</v>
      </c>
      <c r="L111" s="30">
        <v>0</v>
      </c>
    </row>
    <row r="112" spans="1:12">
      <c r="A112">
        <v>105330</v>
      </c>
      <c r="B112" t="s">
        <v>181</v>
      </c>
      <c r="C112" t="s">
        <v>285</v>
      </c>
      <c r="D112" t="s">
        <v>284</v>
      </c>
      <c r="E112" s="30">
        <v>1</v>
      </c>
      <c r="F112" s="30">
        <v>1</v>
      </c>
      <c r="G112" s="30">
        <v>142805</v>
      </c>
      <c r="H112" s="30">
        <v>0</v>
      </c>
      <c r="I112" s="30">
        <v>2</v>
      </c>
      <c r="J112" s="30">
        <v>1.8</v>
      </c>
      <c r="K112" s="30">
        <v>96193</v>
      </c>
      <c r="L112" s="30">
        <v>0</v>
      </c>
    </row>
    <row r="113" spans="1:12">
      <c r="A113">
        <v>127741</v>
      </c>
      <c r="B113" t="s">
        <v>182</v>
      </c>
      <c r="C113" t="s">
        <v>285</v>
      </c>
      <c r="D113" t="s">
        <v>284</v>
      </c>
      <c r="E113" s="30">
        <v>1</v>
      </c>
      <c r="F113" s="30">
        <v>1</v>
      </c>
      <c r="G113" s="30">
        <v>155428</v>
      </c>
      <c r="H113" s="30">
        <v>0</v>
      </c>
      <c r="I113" s="30">
        <v>2</v>
      </c>
      <c r="J113" s="30">
        <v>2</v>
      </c>
      <c r="K113" s="30">
        <v>139478</v>
      </c>
      <c r="L113" s="30">
        <v>0</v>
      </c>
    </row>
    <row r="114" spans="1:12">
      <c r="A114">
        <v>154095</v>
      </c>
      <c r="B114" t="s">
        <v>184</v>
      </c>
      <c r="C114" t="s">
        <v>285</v>
      </c>
      <c r="D114" t="s">
        <v>284</v>
      </c>
      <c r="E114" s="30">
        <v>1</v>
      </c>
      <c r="F114" s="30">
        <v>1</v>
      </c>
      <c r="G114" s="30">
        <v>177379</v>
      </c>
      <c r="H114" s="30">
        <v>0</v>
      </c>
      <c r="I114" s="30">
        <v>2</v>
      </c>
      <c r="J114" s="30">
        <v>2</v>
      </c>
      <c r="K114" s="30">
        <v>151749</v>
      </c>
      <c r="L114" s="30">
        <v>0</v>
      </c>
    </row>
    <row r="115" spans="1:12">
      <c r="A115">
        <v>160038</v>
      </c>
      <c r="B115" t="s">
        <v>185</v>
      </c>
      <c r="C115" t="s">
        <v>285</v>
      </c>
      <c r="D115" t="s">
        <v>284</v>
      </c>
      <c r="E115" s="30">
        <v>1</v>
      </c>
      <c r="F115" s="30">
        <v>1</v>
      </c>
      <c r="G115" s="30">
        <v>76310</v>
      </c>
      <c r="H115" s="30">
        <v>0</v>
      </c>
      <c r="I115" s="30">
        <v>1</v>
      </c>
      <c r="J115" s="30">
        <v>1</v>
      </c>
      <c r="K115" s="30">
        <v>50860</v>
      </c>
      <c r="L115" s="30">
        <v>0</v>
      </c>
    </row>
    <row r="116" spans="1:12">
      <c r="A116">
        <v>171571</v>
      </c>
      <c r="B116" t="s">
        <v>186</v>
      </c>
      <c r="C116" t="s">
        <v>285</v>
      </c>
      <c r="D116" t="s">
        <v>284</v>
      </c>
      <c r="E116" s="30">
        <v>1</v>
      </c>
      <c r="F116" s="30">
        <v>1</v>
      </c>
      <c r="G116" s="30">
        <v>101960</v>
      </c>
      <c r="H116" s="30">
        <v>0</v>
      </c>
      <c r="I116" s="30">
        <v>1</v>
      </c>
      <c r="J116" s="30">
        <v>0.97</v>
      </c>
      <c r="K116" s="30">
        <v>59787</v>
      </c>
      <c r="L116" s="30">
        <v>0</v>
      </c>
    </row>
    <row r="117" spans="1:12">
      <c r="A117">
        <v>204857</v>
      </c>
      <c r="B117" t="s">
        <v>187</v>
      </c>
      <c r="C117" t="s">
        <v>285</v>
      </c>
      <c r="D117" t="s">
        <v>284</v>
      </c>
      <c r="E117" s="30">
        <v>1</v>
      </c>
      <c r="F117" s="30">
        <v>1</v>
      </c>
      <c r="G117" s="30">
        <v>178223</v>
      </c>
      <c r="H117" s="30">
        <v>0</v>
      </c>
      <c r="I117" s="30">
        <v>2</v>
      </c>
      <c r="J117" s="30">
        <v>2</v>
      </c>
      <c r="K117" s="30">
        <v>135397</v>
      </c>
      <c r="L117" s="30">
        <v>0</v>
      </c>
    </row>
    <row r="118" spans="1:12">
      <c r="A118">
        <v>204796</v>
      </c>
      <c r="B118" t="s">
        <v>188</v>
      </c>
      <c r="C118" t="s">
        <v>285</v>
      </c>
      <c r="D118" t="s">
        <v>284</v>
      </c>
      <c r="E118" s="30">
        <v>1</v>
      </c>
      <c r="F118" s="30">
        <v>1</v>
      </c>
      <c r="G118" s="30">
        <v>384518</v>
      </c>
      <c r="H118" s="30">
        <v>0</v>
      </c>
      <c r="I118" s="30">
        <v>2</v>
      </c>
      <c r="J118" s="30">
        <v>2</v>
      </c>
      <c r="K118" s="30">
        <v>271661</v>
      </c>
      <c r="L118" s="30">
        <v>0</v>
      </c>
    </row>
    <row r="119" spans="1:12">
      <c r="A119">
        <v>207500</v>
      </c>
      <c r="B119" t="s">
        <v>189</v>
      </c>
      <c r="C119" t="s">
        <v>285</v>
      </c>
      <c r="D119" t="s">
        <v>284</v>
      </c>
      <c r="E119" s="30">
        <v>1</v>
      </c>
      <c r="F119" s="30">
        <v>1</v>
      </c>
      <c r="G119" s="30">
        <v>274273</v>
      </c>
      <c r="H119" s="30">
        <v>0</v>
      </c>
      <c r="I119" s="30">
        <v>2</v>
      </c>
      <c r="J119" s="30">
        <v>2</v>
      </c>
      <c r="K119" s="30">
        <v>205540</v>
      </c>
      <c r="L119" s="30">
        <v>0</v>
      </c>
    </row>
    <row r="120" spans="1:12">
      <c r="A120">
        <v>232982</v>
      </c>
      <c r="B120" t="s">
        <v>191</v>
      </c>
      <c r="C120" t="s">
        <v>285</v>
      </c>
      <c r="D120" t="s">
        <v>284</v>
      </c>
      <c r="E120" s="30">
        <v>1</v>
      </c>
      <c r="F120" s="30">
        <v>1</v>
      </c>
      <c r="G120" s="30">
        <v>145381</v>
      </c>
      <c r="H120" s="30">
        <v>0</v>
      </c>
      <c r="I120" s="30">
        <v>2</v>
      </c>
      <c r="J120" s="30">
        <v>2</v>
      </c>
      <c r="K120" s="30">
        <v>121770</v>
      </c>
      <c r="L120" s="30">
        <v>0</v>
      </c>
    </row>
    <row r="121" spans="1:12">
      <c r="A121">
        <v>209551</v>
      </c>
      <c r="B121" t="s">
        <v>192</v>
      </c>
      <c r="C121" t="s">
        <v>285</v>
      </c>
      <c r="D121" t="s">
        <v>284</v>
      </c>
      <c r="E121" s="30">
        <v>1</v>
      </c>
      <c r="F121" s="30">
        <v>0.75</v>
      </c>
      <c r="G121" s="30">
        <v>158721</v>
      </c>
      <c r="H121" s="30">
        <v>3000</v>
      </c>
      <c r="I121" s="30">
        <v>2</v>
      </c>
      <c r="J121" s="30">
        <v>2</v>
      </c>
      <c r="K121" s="30">
        <v>202489</v>
      </c>
      <c r="L121" s="30">
        <v>5500</v>
      </c>
    </row>
    <row r="122" spans="1:12">
      <c r="A122">
        <v>209542</v>
      </c>
      <c r="B122" t="s">
        <v>193</v>
      </c>
      <c r="C122" t="s">
        <v>285</v>
      </c>
      <c r="D122" t="s">
        <v>284</v>
      </c>
      <c r="E122" s="30">
        <v>1</v>
      </c>
      <c r="F122" s="30">
        <v>1</v>
      </c>
      <c r="G122" s="30">
        <v>281444</v>
      </c>
      <c r="H122" s="30">
        <v>0</v>
      </c>
      <c r="I122" s="30">
        <v>2</v>
      </c>
      <c r="J122" s="30">
        <v>2</v>
      </c>
      <c r="K122" s="30">
        <v>206301</v>
      </c>
      <c r="L122" s="30">
        <v>0</v>
      </c>
    </row>
    <row r="123" spans="1:12">
      <c r="A123">
        <v>209807</v>
      </c>
      <c r="B123" t="s">
        <v>195</v>
      </c>
      <c r="C123" t="s">
        <v>285</v>
      </c>
      <c r="D123" t="s">
        <v>284</v>
      </c>
      <c r="E123" s="30">
        <v>1</v>
      </c>
      <c r="F123" s="30">
        <v>1</v>
      </c>
      <c r="G123" s="30">
        <v>140910</v>
      </c>
      <c r="H123" s="30">
        <v>0</v>
      </c>
      <c r="I123" s="30">
        <v>2</v>
      </c>
      <c r="J123" s="30">
        <v>2</v>
      </c>
      <c r="K123" s="30">
        <v>145160</v>
      </c>
      <c r="L123" s="30">
        <v>0</v>
      </c>
    </row>
    <row r="124" spans="1:12">
      <c r="A124">
        <v>227526</v>
      </c>
      <c r="B124" t="s">
        <v>196</v>
      </c>
      <c r="C124" t="s">
        <v>285</v>
      </c>
      <c r="D124" t="s">
        <v>284</v>
      </c>
      <c r="E124" s="30">
        <v>1</v>
      </c>
      <c r="F124" s="30">
        <v>1</v>
      </c>
      <c r="G124" s="30">
        <v>66571</v>
      </c>
      <c r="H124" s="30">
        <v>0</v>
      </c>
      <c r="I124" s="30">
        <v>2</v>
      </c>
      <c r="J124" s="30">
        <v>1.5</v>
      </c>
      <c r="K124" s="30">
        <v>40500</v>
      </c>
      <c r="L124" s="30">
        <v>0</v>
      </c>
    </row>
    <row r="125" spans="1:12">
      <c r="A125">
        <v>243780</v>
      </c>
      <c r="B125" t="s">
        <v>197</v>
      </c>
      <c r="C125" t="s">
        <v>285</v>
      </c>
      <c r="D125" t="s">
        <v>284</v>
      </c>
      <c r="E125" s="30">
        <v>1</v>
      </c>
      <c r="F125" s="30">
        <v>1</v>
      </c>
      <c r="G125" s="30">
        <v>313145</v>
      </c>
      <c r="H125" s="30">
        <v>9086</v>
      </c>
      <c r="I125" s="30">
        <v>3</v>
      </c>
      <c r="J125" s="30">
        <v>2.5</v>
      </c>
      <c r="K125" s="30">
        <v>236732</v>
      </c>
      <c r="L125" s="30">
        <v>6399</v>
      </c>
    </row>
    <row r="126" spans="1:12">
      <c r="A126">
        <v>151102</v>
      </c>
      <c r="B126" t="s">
        <v>198</v>
      </c>
      <c r="C126" t="s">
        <v>285</v>
      </c>
      <c r="D126" t="s">
        <v>284</v>
      </c>
      <c r="E126" s="30">
        <v>1</v>
      </c>
      <c r="F126" s="30">
        <v>1</v>
      </c>
      <c r="G126" s="30">
        <v>83492</v>
      </c>
      <c r="H126" s="30">
        <v>0</v>
      </c>
      <c r="I126" s="30">
        <v>2</v>
      </c>
      <c r="J126" s="30">
        <v>1.25</v>
      </c>
      <c r="K126" s="30">
        <v>69519</v>
      </c>
      <c r="L126" s="30">
        <v>0</v>
      </c>
    </row>
    <row r="127" spans="1:12">
      <c r="A127">
        <v>233277</v>
      </c>
      <c r="B127" t="s">
        <v>199</v>
      </c>
      <c r="C127" t="s">
        <v>285</v>
      </c>
      <c r="D127" t="s">
        <v>284</v>
      </c>
      <c r="E127" s="30">
        <v>1</v>
      </c>
      <c r="F127" s="30">
        <v>1</v>
      </c>
      <c r="G127" s="30">
        <v>96218</v>
      </c>
      <c r="H127" s="30">
        <v>0</v>
      </c>
      <c r="I127" s="30">
        <v>1</v>
      </c>
      <c r="J127" s="30">
        <v>1</v>
      </c>
      <c r="K127" s="30">
        <v>41838</v>
      </c>
      <c r="L127" s="30">
        <v>0</v>
      </c>
    </row>
    <row r="128" spans="1:12">
      <c r="A128">
        <v>217484</v>
      </c>
      <c r="B128" t="s">
        <v>200</v>
      </c>
      <c r="C128" t="s">
        <v>285</v>
      </c>
      <c r="D128" t="s">
        <v>284</v>
      </c>
      <c r="E128" s="30">
        <v>1</v>
      </c>
      <c r="F128" s="30">
        <v>1</v>
      </c>
      <c r="G128" s="30">
        <v>132173</v>
      </c>
      <c r="H128" s="30">
        <v>0</v>
      </c>
      <c r="I128" s="30">
        <v>1</v>
      </c>
      <c r="J128" s="30">
        <v>1</v>
      </c>
      <c r="K128" s="30">
        <v>51666</v>
      </c>
      <c r="L128" s="30">
        <v>0</v>
      </c>
    </row>
    <row r="129" spans="1:12">
      <c r="A129">
        <v>186380</v>
      </c>
      <c r="B129" t="s">
        <v>201</v>
      </c>
      <c r="C129" t="s">
        <v>285</v>
      </c>
      <c r="D129" t="s">
        <v>284</v>
      </c>
      <c r="E129" s="30">
        <v>1</v>
      </c>
      <c r="F129" s="30">
        <v>1</v>
      </c>
      <c r="G129" s="30">
        <v>289927</v>
      </c>
      <c r="H129" s="30">
        <v>0</v>
      </c>
      <c r="I129" s="30">
        <v>2</v>
      </c>
      <c r="J129" s="30">
        <v>2</v>
      </c>
      <c r="K129" s="30">
        <v>230596</v>
      </c>
      <c r="L129" s="30">
        <v>0</v>
      </c>
    </row>
    <row r="130" spans="1:12">
      <c r="A130">
        <v>110617</v>
      </c>
      <c r="B130" t="s">
        <v>202</v>
      </c>
      <c r="C130" t="s">
        <v>285</v>
      </c>
      <c r="D130" t="s">
        <v>284</v>
      </c>
      <c r="E130" s="30">
        <v>1</v>
      </c>
      <c r="F130" s="30">
        <v>0.7</v>
      </c>
      <c r="G130" s="30">
        <v>98066</v>
      </c>
      <c r="H130" s="30">
        <v>0</v>
      </c>
      <c r="I130" s="30">
        <v>2</v>
      </c>
      <c r="J130" s="30">
        <v>2</v>
      </c>
      <c r="K130" s="30">
        <v>210639</v>
      </c>
      <c r="L130" s="30">
        <v>0</v>
      </c>
    </row>
    <row r="131" spans="1:12">
      <c r="A131">
        <v>227881</v>
      </c>
      <c r="B131" t="s">
        <v>203</v>
      </c>
      <c r="C131" t="s">
        <v>285</v>
      </c>
      <c r="D131" t="s">
        <v>284</v>
      </c>
      <c r="E131" s="30">
        <v>1</v>
      </c>
      <c r="F131" s="30">
        <v>1</v>
      </c>
      <c r="G131" s="30">
        <v>139445</v>
      </c>
      <c r="H131" s="30">
        <v>0</v>
      </c>
      <c r="I131" s="30">
        <v>1</v>
      </c>
      <c r="J131" s="30">
        <v>1</v>
      </c>
      <c r="K131" s="30">
        <v>45111</v>
      </c>
      <c r="L131" s="30">
        <v>0</v>
      </c>
    </row>
    <row r="132" spans="1:12">
      <c r="A132">
        <v>122409</v>
      </c>
      <c r="B132" t="s">
        <v>204</v>
      </c>
      <c r="C132" t="s">
        <v>285</v>
      </c>
      <c r="D132" t="s">
        <v>284</v>
      </c>
      <c r="E132" s="30">
        <v>1</v>
      </c>
      <c r="F132" s="30">
        <v>1</v>
      </c>
      <c r="G132" s="30">
        <v>227181</v>
      </c>
      <c r="H132" s="30">
        <v>0</v>
      </c>
      <c r="I132" s="30">
        <v>2</v>
      </c>
      <c r="J132" s="30">
        <v>2</v>
      </c>
      <c r="K132" s="30">
        <v>213432</v>
      </c>
      <c r="L132" s="30">
        <v>0</v>
      </c>
    </row>
    <row r="133" spans="1:12">
      <c r="A133">
        <v>122755</v>
      </c>
      <c r="B133" t="s">
        <v>205</v>
      </c>
      <c r="C133" t="s">
        <v>285</v>
      </c>
      <c r="D133" t="s">
        <v>284</v>
      </c>
      <c r="E133" s="30">
        <v>1</v>
      </c>
      <c r="F133" s="30">
        <v>1</v>
      </c>
      <c r="G133" s="30">
        <v>175663</v>
      </c>
      <c r="H133" s="30">
        <v>0</v>
      </c>
      <c r="I133" s="30">
        <v>2</v>
      </c>
      <c r="J133" s="30">
        <v>2</v>
      </c>
      <c r="K133" s="30">
        <v>180371</v>
      </c>
      <c r="L133" s="30">
        <v>0</v>
      </c>
    </row>
    <row r="134" spans="1:12" ht="32">
      <c r="A134">
        <v>102094</v>
      </c>
      <c r="B134" t="s">
        <v>207</v>
      </c>
      <c r="C134" t="s">
        <v>285</v>
      </c>
      <c r="D134" s="50" t="s">
        <v>284</v>
      </c>
      <c r="E134" s="22">
        <v>1</v>
      </c>
      <c r="F134" s="22">
        <v>1</v>
      </c>
      <c r="G134" s="22">
        <v>118069</v>
      </c>
      <c r="H134" s="22">
        <v>0</v>
      </c>
      <c r="I134" s="22">
        <v>2</v>
      </c>
      <c r="J134" s="22">
        <v>2</v>
      </c>
      <c r="K134" s="22">
        <v>102669</v>
      </c>
      <c r="L134" s="22">
        <v>0</v>
      </c>
    </row>
    <row r="135" spans="1:12">
      <c r="A135">
        <v>218663</v>
      </c>
      <c r="B135" t="s">
        <v>208</v>
      </c>
      <c r="C135" t="s">
        <v>285</v>
      </c>
      <c r="D135" t="s">
        <v>284</v>
      </c>
      <c r="E135" s="30">
        <v>1</v>
      </c>
      <c r="F135" s="30">
        <v>1</v>
      </c>
      <c r="G135" s="30">
        <v>243067</v>
      </c>
      <c r="H135" s="30">
        <v>0</v>
      </c>
      <c r="I135" s="30">
        <v>2</v>
      </c>
      <c r="J135" s="30">
        <v>2</v>
      </c>
      <c r="K135" s="30">
        <v>218721</v>
      </c>
      <c r="L135" s="30">
        <v>0</v>
      </c>
    </row>
    <row r="136" spans="1:12">
      <c r="A136">
        <v>218742</v>
      </c>
      <c r="B136" t="s">
        <v>210</v>
      </c>
      <c r="C136" t="s">
        <v>285</v>
      </c>
      <c r="D136" t="s">
        <v>284</v>
      </c>
      <c r="E136" s="30">
        <v>1</v>
      </c>
      <c r="F136" s="30">
        <v>1</v>
      </c>
      <c r="G136" s="30">
        <v>88511</v>
      </c>
      <c r="H136" s="30">
        <v>0</v>
      </c>
      <c r="I136" s="30">
        <v>1</v>
      </c>
      <c r="J136" s="30">
        <v>1</v>
      </c>
      <c r="K136" s="30">
        <v>31978</v>
      </c>
      <c r="L136" s="30">
        <v>0</v>
      </c>
    </row>
    <row r="137" spans="1:12">
      <c r="A137">
        <v>219471</v>
      </c>
      <c r="B137" t="s">
        <v>211</v>
      </c>
      <c r="C137" t="s">
        <v>285</v>
      </c>
      <c r="D137" t="s">
        <v>284</v>
      </c>
      <c r="E137" s="30">
        <v>1</v>
      </c>
      <c r="F137" s="30">
        <v>1</v>
      </c>
      <c r="G137" s="30">
        <v>117359</v>
      </c>
      <c r="H137" s="30">
        <v>1165</v>
      </c>
      <c r="I137" s="30">
        <v>2</v>
      </c>
      <c r="J137" s="30">
        <v>2</v>
      </c>
      <c r="K137" s="30">
        <v>130139</v>
      </c>
      <c r="L137" s="30">
        <v>0</v>
      </c>
    </row>
    <row r="138" spans="1:12">
      <c r="A138">
        <v>219356</v>
      </c>
      <c r="B138" t="s">
        <v>212</v>
      </c>
      <c r="C138" t="s">
        <v>285</v>
      </c>
      <c r="D138" t="s">
        <v>284</v>
      </c>
      <c r="E138" s="30">
        <v>1</v>
      </c>
      <c r="F138" s="30">
        <v>1</v>
      </c>
      <c r="G138" s="30">
        <v>104349</v>
      </c>
      <c r="H138" s="30">
        <v>0</v>
      </c>
      <c r="I138" s="30">
        <v>1</v>
      </c>
      <c r="J138" s="30">
        <v>1</v>
      </c>
      <c r="K138" s="30">
        <v>61680</v>
      </c>
      <c r="L138" s="30">
        <v>0</v>
      </c>
    </row>
    <row r="139" spans="1:12">
      <c r="A139">
        <v>137351</v>
      </c>
      <c r="B139" t="s">
        <v>213</v>
      </c>
      <c r="C139" t="s">
        <v>285</v>
      </c>
      <c r="D139" t="s">
        <v>284</v>
      </c>
      <c r="E139" s="30">
        <v>1</v>
      </c>
      <c r="F139" s="30">
        <v>1</v>
      </c>
      <c r="G139" s="30">
        <v>148976</v>
      </c>
      <c r="H139" s="30">
        <v>0</v>
      </c>
      <c r="I139" s="30">
        <v>2</v>
      </c>
      <c r="J139" s="30">
        <v>2</v>
      </c>
      <c r="K139" s="30">
        <v>86792</v>
      </c>
      <c r="L139" s="30">
        <v>0</v>
      </c>
    </row>
    <row r="140" spans="1:12">
      <c r="A140">
        <v>179557</v>
      </c>
      <c r="B140" t="s">
        <v>214</v>
      </c>
      <c r="C140" t="s">
        <v>285</v>
      </c>
      <c r="D140" t="s">
        <v>284</v>
      </c>
      <c r="E140" s="30">
        <v>1</v>
      </c>
      <c r="F140" s="30">
        <v>1</v>
      </c>
      <c r="G140" s="30">
        <v>92686</v>
      </c>
      <c r="H140" s="30">
        <v>0</v>
      </c>
      <c r="I140" s="30">
        <v>2</v>
      </c>
      <c r="J140" s="30">
        <v>2</v>
      </c>
      <c r="K140" s="30">
        <v>78529</v>
      </c>
      <c r="L140" s="30">
        <v>0</v>
      </c>
    </row>
    <row r="141" spans="1:12">
      <c r="A141">
        <v>160621</v>
      </c>
      <c r="B141" t="s">
        <v>216</v>
      </c>
      <c r="C141" t="s">
        <v>285</v>
      </c>
      <c r="D141" t="s">
        <v>284</v>
      </c>
      <c r="E141" s="30">
        <v>1</v>
      </c>
      <c r="F141" s="30">
        <v>1</v>
      </c>
      <c r="G141" s="30">
        <v>76568</v>
      </c>
      <c r="H141" s="30">
        <v>0</v>
      </c>
      <c r="I141" s="30">
        <v>1</v>
      </c>
      <c r="J141" s="30">
        <v>0</v>
      </c>
      <c r="K141" s="30">
        <v>6000</v>
      </c>
      <c r="L141" s="30">
        <v>0</v>
      </c>
    </row>
    <row r="142" spans="1:12">
      <c r="A142">
        <v>149231</v>
      </c>
      <c r="B142" t="s">
        <v>218</v>
      </c>
      <c r="C142" t="s">
        <v>285</v>
      </c>
      <c r="D142" t="s">
        <v>284</v>
      </c>
      <c r="E142" s="30">
        <v>1</v>
      </c>
      <c r="F142" s="30">
        <v>1</v>
      </c>
      <c r="G142" s="30">
        <v>62508</v>
      </c>
      <c r="H142" s="30">
        <v>0</v>
      </c>
      <c r="I142" s="30">
        <v>2</v>
      </c>
      <c r="J142" s="30">
        <v>1.5</v>
      </c>
      <c r="K142" s="30">
        <v>50431</v>
      </c>
      <c r="L142" s="30">
        <v>0</v>
      </c>
    </row>
    <row r="143" spans="1:12">
      <c r="A143">
        <v>176372</v>
      </c>
      <c r="B143" t="s">
        <v>219</v>
      </c>
      <c r="C143" t="s">
        <v>285</v>
      </c>
      <c r="D143" t="s">
        <v>284</v>
      </c>
      <c r="E143" s="30">
        <v>1</v>
      </c>
      <c r="F143" s="30">
        <v>1</v>
      </c>
      <c r="G143" s="30">
        <v>99219</v>
      </c>
      <c r="H143" s="30">
        <v>0</v>
      </c>
      <c r="I143" s="30">
        <v>2</v>
      </c>
      <c r="J143" s="30">
        <v>2</v>
      </c>
      <c r="K143" s="30">
        <v>99363</v>
      </c>
      <c r="L143" s="30">
        <v>0</v>
      </c>
    </row>
    <row r="144" spans="1:12">
      <c r="A144">
        <v>230603</v>
      </c>
      <c r="B144" t="s">
        <v>220</v>
      </c>
      <c r="C144" t="s">
        <v>285</v>
      </c>
      <c r="D144" t="s">
        <v>284</v>
      </c>
      <c r="E144" s="30">
        <v>1</v>
      </c>
      <c r="F144" s="30">
        <v>1</v>
      </c>
      <c r="G144" s="30">
        <v>88198</v>
      </c>
      <c r="H144" s="30">
        <v>0</v>
      </c>
      <c r="I144" s="30">
        <v>1</v>
      </c>
      <c r="J144" s="30">
        <v>1</v>
      </c>
      <c r="K144" s="30">
        <v>47820</v>
      </c>
      <c r="L144" s="30">
        <v>0</v>
      </c>
    </row>
    <row r="145" spans="1:12">
      <c r="A145">
        <v>228431</v>
      </c>
      <c r="B145" t="s">
        <v>221</v>
      </c>
      <c r="C145" t="s">
        <v>285</v>
      </c>
      <c r="D145" t="s">
        <v>284</v>
      </c>
      <c r="E145" s="30">
        <v>1</v>
      </c>
      <c r="F145" s="30">
        <v>1</v>
      </c>
      <c r="G145" s="30">
        <v>122033</v>
      </c>
      <c r="H145" s="30">
        <v>0</v>
      </c>
      <c r="I145" s="30">
        <v>2</v>
      </c>
      <c r="J145" s="30">
        <v>2</v>
      </c>
      <c r="K145" s="30">
        <v>122143</v>
      </c>
      <c r="L145" s="30">
        <v>0</v>
      </c>
    </row>
    <row r="146" spans="1:12">
      <c r="A146">
        <v>196097</v>
      </c>
      <c r="B146" t="s">
        <v>222</v>
      </c>
      <c r="C146" t="s">
        <v>285</v>
      </c>
      <c r="D146" t="s">
        <v>284</v>
      </c>
      <c r="E146" s="30">
        <v>1</v>
      </c>
      <c r="F146" s="30">
        <v>1</v>
      </c>
      <c r="G146" s="30">
        <v>197074</v>
      </c>
      <c r="H146" s="30">
        <v>0</v>
      </c>
      <c r="I146" s="30">
        <v>2</v>
      </c>
      <c r="J146" s="30">
        <v>1.86</v>
      </c>
      <c r="K146" s="30">
        <v>161074</v>
      </c>
      <c r="L146" s="30">
        <v>0</v>
      </c>
    </row>
    <row r="147" spans="1:12">
      <c r="A147">
        <v>221759</v>
      </c>
      <c r="B147" t="s">
        <v>223</v>
      </c>
      <c r="C147" t="s">
        <v>285</v>
      </c>
      <c r="D147" t="s">
        <v>284</v>
      </c>
      <c r="E147" s="30">
        <v>1</v>
      </c>
      <c r="F147" s="30">
        <v>1</v>
      </c>
      <c r="G147" s="30">
        <v>231679</v>
      </c>
      <c r="H147" s="30">
        <v>0</v>
      </c>
      <c r="I147" s="30">
        <v>2</v>
      </c>
      <c r="J147" s="30">
        <v>2</v>
      </c>
      <c r="K147" s="30">
        <v>220249</v>
      </c>
      <c r="L147" s="30">
        <v>0</v>
      </c>
    </row>
    <row r="148" spans="1:12">
      <c r="A148">
        <v>221740</v>
      </c>
      <c r="B148" t="s">
        <v>224</v>
      </c>
      <c r="C148" t="s">
        <v>285</v>
      </c>
      <c r="D148" t="s">
        <v>284</v>
      </c>
      <c r="E148" s="30">
        <v>1</v>
      </c>
      <c r="F148" s="30">
        <v>1</v>
      </c>
      <c r="G148" s="30">
        <v>115026</v>
      </c>
      <c r="H148" s="30">
        <v>0</v>
      </c>
      <c r="I148" s="30">
        <v>2</v>
      </c>
      <c r="J148" s="30">
        <v>1.5</v>
      </c>
      <c r="K148" s="30">
        <v>88903</v>
      </c>
      <c r="L148" s="30">
        <v>0</v>
      </c>
    </row>
    <row r="149" spans="1:12">
      <c r="A149">
        <v>221847</v>
      </c>
      <c r="B149" t="s">
        <v>227</v>
      </c>
      <c r="C149" t="s">
        <v>285</v>
      </c>
      <c r="D149" t="s">
        <v>284</v>
      </c>
      <c r="E149" s="30">
        <v>1</v>
      </c>
      <c r="F149" s="30">
        <v>1</v>
      </c>
      <c r="G149" s="30">
        <v>89614</v>
      </c>
      <c r="H149" s="30">
        <v>0</v>
      </c>
      <c r="I149" s="30">
        <v>2</v>
      </c>
      <c r="J149" s="30">
        <v>2</v>
      </c>
      <c r="K149" s="30">
        <v>107988</v>
      </c>
      <c r="L149" s="30">
        <v>0</v>
      </c>
    </row>
    <row r="150" spans="1:12">
      <c r="A150">
        <v>228778</v>
      </c>
      <c r="B150" t="s">
        <v>228</v>
      </c>
      <c r="C150" t="s">
        <v>285</v>
      </c>
      <c r="D150" t="s">
        <v>284</v>
      </c>
      <c r="E150" s="30">
        <v>1</v>
      </c>
      <c r="F150" s="30">
        <v>1</v>
      </c>
      <c r="G150" s="30">
        <v>580218</v>
      </c>
      <c r="H150" s="30">
        <v>0</v>
      </c>
      <c r="I150" s="30">
        <v>2</v>
      </c>
      <c r="J150" s="30">
        <v>2</v>
      </c>
      <c r="K150" s="30">
        <v>288135</v>
      </c>
      <c r="L150" s="30">
        <v>0</v>
      </c>
    </row>
    <row r="151" spans="1:12">
      <c r="A151">
        <v>228723</v>
      </c>
      <c r="B151" t="s">
        <v>229</v>
      </c>
      <c r="C151" t="s">
        <v>285</v>
      </c>
      <c r="D151" t="s">
        <v>284</v>
      </c>
      <c r="E151" s="30">
        <v>1</v>
      </c>
      <c r="F151" s="30">
        <v>1</v>
      </c>
      <c r="G151" s="30">
        <v>297621</v>
      </c>
      <c r="H151" s="30">
        <v>0</v>
      </c>
      <c r="I151" s="30">
        <v>2</v>
      </c>
      <c r="J151" s="30">
        <v>2</v>
      </c>
      <c r="K151" s="30">
        <v>281382</v>
      </c>
      <c r="L151" s="30">
        <v>0</v>
      </c>
    </row>
    <row r="152" spans="1:12">
      <c r="A152">
        <v>224147</v>
      </c>
      <c r="B152" t="s">
        <v>230</v>
      </c>
      <c r="C152" t="s">
        <v>285</v>
      </c>
      <c r="D152" t="s">
        <v>284</v>
      </c>
      <c r="E152" s="30">
        <v>1</v>
      </c>
      <c r="F152" s="30">
        <v>1</v>
      </c>
      <c r="G152" s="30">
        <v>115405</v>
      </c>
      <c r="H152" s="30">
        <v>0</v>
      </c>
      <c r="I152" s="30">
        <v>2</v>
      </c>
      <c r="J152" s="30">
        <v>2</v>
      </c>
      <c r="K152" s="30">
        <v>116719</v>
      </c>
      <c r="L152" s="30">
        <v>0</v>
      </c>
    </row>
    <row r="153" spans="1:12">
      <c r="A153">
        <v>228769</v>
      </c>
      <c r="B153" t="s">
        <v>231</v>
      </c>
      <c r="C153" t="s">
        <v>285</v>
      </c>
      <c r="D153" t="s">
        <v>284</v>
      </c>
      <c r="E153" s="30">
        <v>1</v>
      </c>
      <c r="F153" s="30">
        <v>1</v>
      </c>
      <c r="G153" s="30">
        <v>158412</v>
      </c>
      <c r="H153" s="30">
        <v>0</v>
      </c>
      <c r="I153" s="30">
        <v>2</v>
      </c>
      <c r="J153" s="30">
        <v>2</v>
      </c>
      <c r="K153" s="30">
        <v>134851</v>
      </c>
      <c r="L153" s="30">
        <v>0</v>
      </c>
    </row>
    <row r="154" spans="1:12">
      <c r="A154">
        <v>229063</v>
      </c>
      <c r="B154" t="s">
        <v>232</v>
      </c>
      <c r="C154" t="s">
        <v>285</v>
      </c>
      <c r="D154" t="s">
        <v>284</v>
      </c>
      <c r="E154" s="30">
        <v>1</v>
      </c>
      <c r="F154" s="30">
        <v>1</v>
      </c>
      <c r="G154" s="30">
        <v>86368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</row>
    <row r="155" spans="1:12">
      <c r="A155">
        <v>228459</v>
      </c>
      <c r="B155" t="s">
        <v>233</v>
      </c>
      <c r="C155" t="s">
        <v>285</v>
      </c>
      <c r="D155" t="s">
        <v>284</v>
      </c>
      <c r="E155" s="30">
        <v>1</v>
      </c>
      <c r="F155" s="30">
        <v>1</v>
      </c>
      <c r="G155" s="30">
        <v>124944</v>
      </c>
      <c r="H155" s="30">
        <v>0</v>
      </c>
      <c r="I155" s="30">
        <v>2</v>
      </c>
      <c r="J155" s="30">
        <v>2</v>
      </c>
      <c r="K155" s="30">
        <v>145838</v>
      </c>
      <c r="L155" s="30">
        <v>0</v>
      </c>
    </row>
    <row r="156" spans="1:12">
      <c r="A156">
        <v>229115</v>
      </c>
      <c r="B156" t="s">
        <v>234</v>
      </c>
      <c r="C156" t="s">
        <v>285</v>
      </c>
      <c r="D156" t="s">
        <v>284</v>
      </c>
      <c r="E156" s="30">
        <v>1</v>
      </c>
      <c r="F156" s="30">
        <v>1</v>
      </c>
      <c r="G156" s="30">
        <v>206568</v>
      </c>
      <c r="H156" s="30">
        <v>0</v>
      </c>
      <c r="I156" s="30">
        <v>2</v>
      </c>
      <c r="J156" s="30">
        <v>2</v>
      </c>
      <c r="K156" s="30">
        <v>170722</v>
      </c>
      <c r="L156" s="30">
        <v>0</v>
      </c>
    </row>
    <row r="157" spans="1:12">
      <c r="A157">
        <v>206084</v>
      </c>
      <c r="B157" t="s">
        <v>235</v>
      </c>
      <c r="C157" t="s">
        <v>285</v>
      </c>
      <c r="D157" t="s">
        <v>284</v>
      </c>
      <c r="E157" s="30">
        <v>1</v>
      </c>
      <c r="F157" s="30">
        <v>1</v>
      </c>
      <c r="G157" s="30">
        <v>123485</v>
      </c>
      <c r="H157" s="30">
        <v>0</v>
      </c>
      <c r="I157" s="30">
        <v>2</v>
      </c>
      <c r="J157" s="30">
        <v>2</v>
      </c>
      <c r="K157" s="30">
        <v>118861</v>
      </c>
      <c r="L157" s="30">
        <v>0</v>
      </c>
    </row>
    <row r="158" spans="1:12">
      <c r="A158">
        <v>164076</v>
      </c>
      <c r="B158" t="s">
        <v>236</v>
      </c>
      <c r="C158" t="s">
        <v>285</v>
      </c>
      <c r="D158" t="s">
        <v>284</v>
      </c>
      <c r="E158" s="30">
        <v>1</v>
      </c>
      <c r="F158" s="30">
        <v>1</v>
      </c>
      <c r="G158" s="30">
        <v>139600</v>
      </c>
      <c r="H158" s="30">
        <v>0</v>
      </c>
      <c r="I158" s="30">
        <v>2</v>
      </c>
      <c r="J158" s="30">
        <v>2</v>
      </c>
      <c r="K158" s="30">
        <v>131131</v>
      </c>
      <c r="L158" s="30">
        <v>0</v>
      </c>
    </row>
    <row r="159" spans="1:12">
      <c r="A159">
        <v>100663</v>
      </c>
      <c r="B159" t="s">
        <v>238</v>
      </c>
      <c r="C159" t="s">
        <v>285</v>
      </c>
      <c r="D159" t="s">
        <v>284</v>
      </c>
      <c r="E159" s="30">
        <v>1</v>
      </c>
      <c r="F159" s="30">
        <v>1</v>
      </c>
      <c r="G159" s="30">
        <v>103292</v>
      </c>
      <c r="H159" s="30">
        <v>0</v>
      </c>
      <c r="I159" s="30">
        <v>2</v>
      </c>
      <c r="J159" s="30">
        <v>2</v>
      </c>
      <c r="K159" s="30">
        <v>114429</v>
      </c>
      <c r="L159" s="30">
        <v>0</v>
      </c>
    </row>
    <row r="160" spans="1:12">
      <c r="A160">
        <v>110644</v>
      </c>
      <c r="B160" t="s">
        <v>239</v>
      </c>
      <c r="C160" t="s">
        <v>285</v>
      </c>
      <c r="D160" t="s">
        <v>284</v>
      </c>
      <c r="E160" s="30">
        <v>1</v>
      </c>
      <c r="F160" s="30">
        <v>1</v>
      </c>
      <c r="G160" s="30">
        <v>145494</v>
      </c>
      <c r="H160" s="30">
        <v>0</v>
      </c>
      <c r="I160" s="30">
        <v>2</v>
      </c>
      <c r="J160" s="30">
        <v>1.92</v>
      </c>
      <c r="K160" s="30">
        <v>131157</v>
      </c>
      <c r="L160" s="30">
        <v>0</v>
      </c>
    </row>
    <row r="161" spans="1:12">
      <c r="A161">
        <v>110653</v>
      </c>
      <c r="B161" t="s">
        <v>240</v>
      </c>
      <c r="C161" t="s">
        <v>285</v>
      </c>
      <c r="D161" t="s">
        <v>284</v>
      </c>
      <c r="E161" s="30">
        <v>1</v>
      </c>
      <c r="F161" s="30">
        <v>1</v>
      </c>
      <c r="G161" s="30">
        <v>166561</v>
      </c>
      <c r="H161" s="30">
        <v>0</v>
      </c>
      <c r="I161" s="30">
        <v>2</v>
      </c>
      <c r="J161" s="30">
        <v>2</v>
      </c>
      <c r="K161" s="30">
        <v>131406</v>
      </c>
      <c r="L161" s="30">
        <v>0</v>
      </c>
    </row>
    <row r="162" spans="1:12">
      <c r="A162">
        <v>110671</v>
      </c>
      <c r="B162" t="s">
        <v>241</v>
      </c>
      <c r="C162" t="s">
        <v>285</v>
      </c>
      <c r="D162" t="s">
        <v>284</v>
      </c>
      <c r="E162" s="30">
        <v>1</v>
      </c>
      <c r="F162" s="30">
        <v>1</v>
      </c>
      <c r="G162" s="30">
        <v>147333</v>
      </c>
      <c r="H162" s="30">
        <v>0</v>
      </c>
      <c r="I162" s="30">
        <v>2</v>
      </c>
      <c r="J162" s="30">
        <v>2</v>
      </c>
      <c r="K162" s="30">
        <v>105610</v>
      </c>
      <c r="L162" s="30">
        <v>0</v>
      </c>
    </row>
    <row r="163" spans="1:12">
      <c r="A163">
        <v>110705</v>
      </c>
      <c r="B163" t="s">
        <v>242</v>
      </c>
      <c r="C163" t="s">
        <v>285</v>
      </c>
      <c r="D163" t="s">
        <v>284</v>
      </c>
      <c r="E163" s="30">
        <v>1</v>
      </c>
      <c r="F163" s="30">
        <v>1</v>
      </c>
      <c r="G163" s="30">
        <v>184115</v>
      </c>
      <c r="H163" s="30">
        <v>0</v>
      </c>
      <c r="I163" s="30">
        <v>2</v>
      </c>
      <c r="J163" s="30">
        <v>2</v>
      </c>
      <c r="K163" s="30">
        <v>128005</v>
      </c>
      <c r="L163" s="30">
        <v>0</v>
      </c>
    </row>
    <row r="164" spans="1:12">
      <c r="A164">
        <v>132903</v>
      </c>
      <c r="B164" t="s">
        <v>243</v>
      </c>
      <c r="C164" t="s">
        <v>285</v>
      </c>
      <c r="D164" t="s">
        <v>284</v>
      </c>
      <c r="E164" s="30">
        <v>1</v>
      </c>
      <c r="F164" s="30">
        <v>1</v>
      </c>
      <c r="G164" s="30">
        <v>205294</v>
      </c>
      <c r="H164" s="30">
        <v>0</v>
      </c>
      <c r="I164" s="30">
        <v>2</v>
      </c>
      <c r="J164" s="30">
        <v>2</v>
      </c>
      <c r="K164" s="30">
        <v>249992</v>
      </c>
      <c r="L164" s="30">
        <v>0</v>
      </c>
    </row>
    <row r="165" spans="1:12">
      <c r="A165">
        <v>110662</v>
      </c>
      <c r="B165" t="s">
        <v>244</v>
      </c>
      <c r="C165" t="s">
        <v>285</v>
      </c>
      <c r="D165" t="s">
        <v>284</v>
      </c>
      <c r="E165" s="30">
        <v>1</v>
      </c>
      <c r="F165" s="30">
        <v>1</v>
      </c>
      <c r="G165" s="30">
        <v>272333</v>
      </c>
      <c r="H165" s="30">
        <v>0</v>
      </c>
      <c r="I165" s="30">
        <v>2</v>
      </c>
      <c r="J165" s="30">
        <v>2</v>
      </c>
      <c r="K165" s="30">
        <v>223558</v>
      </c>
      <c r="L165" s="30">
        <v>0</v>
      </c>
    </row>
    <row r="166" spans="1:12">
      <c r="A166">
        <v>182281</v>
      </c>
      <c r="B166" t="s">
        <v>245</v>
      </c>
      <c r="C166" t="s">
        <v>285</v>
      </c>
      <c r="D166" t="s">
        <v>284</v>
      </c>
      <c r="E166" s="30">
        <v>1</v>
      </c>
      <c r="F166" s="30">
        <v>1</v>
      </c>
      <c r="G166" s="30">
        <v>195477</v>
      </c>
      <c r="H166" s="30">
        <v>0</v>
      </c>
      <c r="I166" s="30">
        <v>3</v>
      </c>
      <c r="J166" s="30">
        <v>2</v>
      </c>
      <c r="K166" s="30">
        <v>88863</v>
      </c>
      <c r="L166" s="30">
        <v>0</v>
      </c>
    </row>
    <row r="167" spans="1:12">
      <c r="A167">
        <v>230764</v>
      </c>
      <c r="B167" t="s">
        <v>246</v>
      </c>
      <c r="C167" t="s">
        <v>285</v>
      </c>
      <c r="D167" t="s">
        <v>284</v>
      </c>
      <c r="E167" s="30">
        <v>1</v>
      </c>
      <c r="F167" s="30">
        <v>1</v>
      </c>
      <c r="G167" s="30">
        <v>225754</v>
      </c>
      <c r="H167" s="30">
        <v>0</v>
      </c>
      <c r="I167" s="30">
        <v>2</v>
      </c>
      <c r="J167" s="30">
        <v>2</v>
      </c>
      <c r="K167" s="30">
        <v>219518</v>
      </c>
      <c r="L167" s="30">
        <v>0</v>
      </c>
    </row>
    <row r="168" spans="1:12">
      <c r="A168">
        <v>230728</v>
      </c>
      <c r="B168" t="s">
        <v>247</v>
      </c>
      <c r="C168" t="s">
        <v>285</v>
      </c>
      <c r="D168" t="s">
        <v>284</v>
      </c>
      <c r="E168" s="30">
        <v>1</v>
      </c>
      <c r="F168" s="30">
        <v>1</v>
      </c>
      <c r="G168" s="30">
        <v>193643</v>
      </c>
      <c r="H168" s="30">
        <v>0</v>
      </c>
      <c r="I168" s="30">
        <v>2</v>
      </c>
      <c r="J168" s="30">
        <v>2</v>
      </c>
      <c r="K168" s="30">
        <v>173423</v>
      </c>
      <c r="L168" s="30">
        <v>0</v>
      </c>
    </row>
    <row r="169" spans="1:12">
      <c r="A169">
        <v>230737</v>
      </c>
      <c r="B169" t="s">
        <v>248</v>
      </c>
      <c r="C169" t="s">
        <v>285</v>
      </c>
      <c r="D169" t="s">
        <v>284</v>
      </c>
      <c r="E169" s="30">
        <v>1</v>
      </c>
      <c r="F169" s="30">
        <v>1</v>
      </c>
      <c r="G169" s="30">
        <v>134026</v>
      </c>
      <c r="H169" s="30">
        <v>0</v>
      </c>
      <c r="I169" s="30">
        <v>2</v>
      </c>
      <c r="J169" s="30">
        <v>1.5</v>
      </c>
      <c r="K169" s="30">
        <v>83753</v>
      </c>
      <c r="L169" s="30">
        <v>0</v>
      </c>
    </row>
    <row r="170" spans="1:12">
      <c r="A170">
        <v>228796</v>
      </c>
      <c r="B170" t="s">
        <v>249</v>
      </c>
      <c r="C170" t="s">
        <v>285</v>
      </c>
      <c r="D170" t="s">
        <v>284</v>
      </c>
      <c r="E170" s="30">
        <v>1</v>
      </c>
      <c r="F170" s="30">
        <v>1</v>
      </c>
      <c r="G170" s="30">
        <v>135915</v>
      </c>
      <c r="H170" s="30">
        <v>0</v>
      </c>
      <c r="I170" s="30">
        <v>2</v>
      </c>
      <c r="J170" s="30">
        <v>2</v>
      </c>
      <c r="K170" s="30">
        <v>134683</v>
      </c>
      <c r="L170" s="30">
        <v>0</v>
      </c>
    </row>
    <row r="171" spans="1:12">
      <c r="A171">
        <v>227368</v>
      </c>
      <c r="B171" t="s">
        <v>250</v>
      </c>
      <c r="C171" t="s">
        <v>285</v>
      </c>
      <c r="D171" t="s">
        <v>284</v>
      </c>
      <c r="E171" s="30">
        <v>1</v>
      </c>
      <c r="F171" s="30">
        <v>1</v>
      </c>
      <c r="G171" s="30">
        <v>150191</v>
      </c>
      <c r="H171" s="30">
        <v>0</v>
      </c>
      <c r="I171" s="30">
        <v>2</v>
      </c>
      <c r="J171" s="30">
        <v>2</v>
      </c>
      <c r="K171" s="30">
        <v>111431</v>
      </c>
      <c r="L171" s="30">
        <v>0</v>
      </c>
    </row>
    <row r="172" spans="1:12">
      <c r="A172">
        <v>229027</v>
      </c>
      <c r="B172" t="s">
        <v>251</v>
      </c>
      <c r="C172" t="s">
        <v>285</v>
      </c>
      <c r="D172" t="s">
        <v>284</v>
      </c>
      <c r="E172" s="30">
        <v>1</v>
      </c>
      <c r="F172" s="30">
        <v>1</v>
      </c>
      <c r="G172" s="30">
        <v>121293</v>
      </c>
      <c r="H172" s="30">
        <v>0</v>
      </c>
      <c r="I172" s="30">
        <v>2</v>
      </c>
      <c r="J172" s="30">
        <v>2</v>
      </c>
      <c r="K172" s="30">
        <v>114280</v>
      </c>
      <c r="L172" s="30">
        <v>0</v>
      </c>
    </row>
    <row r="173" spans="1:12">
      <c r="A173">
        <v>234030</v>
      </c>
      <c r="B173" t="s">
        <v>252</v>
      </c>
      <c r="C173" t="s">
        <v>285</v>
      </c>
      <c r="D173" t="s">
        <v>284</v>
      </c>
      <c r="E173" s="30">
        <v>1</v>
      </c>
      <c r="F173" s="30">
        <v>1</v>
      </c>
      <c r="G173" s="30">
        <v>177081</v>
      </c>
      <c r="H173" s="30">
        <v>0</v>
      </c>
      <c r="I173" s="30">
        <v>3</v>
      </c>
      <c r="J173" s="30">
        <v>2</v>
      </c>
      <c r="K173" s="30">
        <v>148477</v>
      </c>
      <c r="L173" s="30">
        <v>0</v>
      </c>
    </row>
    <row r="174" spans="1:12">
      <c r="A174">
        <v>234076</v>
      </c>
      <c r="B174" t="s">
        <v>254</v>
      </c>
      <c r="C174" t="s">
        <v>285</v>
      </c>
      <c r="D174" t="s">
        <v>284</v>
      </c>
      <c r="E174" s="30">
        <v>1</v>
      </c>
      <c r="F174" s="30">
        <v>1</v>
      </c>
      <c r="G174" s="30">
        <v>179773</v>
      </c>
      <c r="H174" s="30">
        <v>0</v>
      </c>
      <c r="I174" s="30">
        <v>2</v>
      </c>
      <c r="J174" s="30">
        <v>2</v>
      </c>
      <c r="K174" s="30">
        <v>159411</v>
      </c>
      <c r="L174" s="30">
        <v>0</v>
      </c>
    </row>
    <row r="175" spans="1:12">
      <c r="A175">
        <v>233921</v>
      </c>
      <c r="B175" t="s">
        <v>255</v>
      </c>
      <c r="C175" t="s">
        <v>285</v>
      </c>
      <c r="D175" t="s">
        <v>284</v>
      </c>
      <c r="E175" s="30">
        <v>1</v>
      </c>
      <c r="F175" s="30">
        <v>1</v>
      </c>
      <c r="G175" s="30">
        <v>160156</v>
      </c>
      <c r="H175" s="30">
        <v>0</v>
      </c>
      <c r="I175" s="30">
        <v>2</v>
      </c>
      <c r="J175" s="30">
        <v>2</v>
      </c>
      <c r="K175" s="30">
        <v>173734</v>
      </c>
      <c r="L175" s="30">
        <v>0</v>
      </c>
    </row>
    <row r="176" spans="1:12">
      <c r="A176">
        <v>236948</v>
      </c>
      <c r="B176" t="s">
        <v>257</v>
      </c>
      <c r="C176" t="s">
        <v>285</v>
      </c>
      <c r="D176" t="s">
        <v>284</v>
      </c>
      <c r="E176" s="30">
        <v>1</v>
      </c>
      <c r="F176" s="30">
        <v>1</v>
      </c>
      <c r="G176" s="30">
        <v>422493</v>
      </c>
      <c r="H176" s="30">
        <v>0</v>
      </c>
      <c r="I176" s="30">
        <v>2</v>
      </c>
      <c r="J176" s="30">
        <v>2</v>
      </c>
      <c r="K176" s="30">
        <v>325927</v>
      </c>
      <c r="L176" s="30">
        <v>0</v>
      </c>
    </row>
    <row r="177" spans="1:12">
      <c r="A177">
        <v>236939</v>
      </c>
      <c r="B177" t="s">
        <v>258</v>
      </c>
      <c r="C177" t="s">
        <v>285</v>
      </c>
      <c r="D177" t="s">
        <v>284</v>
      </c>
      <c r="E177" s="30">
        <v>1</v>
      </c>
      <c r="F177" s="30">
        <v>1</v>
      </c>
      <c r="G177" s="30">
        <v>215175</v>
      </c>
      <c r="H177" s="30">
        <v>0</v>
      </c>
      <c r="I177" s="30">
        <v>2</v>
      </c>
      <c r="J177" s="30">
        <v>2</v>
      </c>
      <c r="K177" s="30">
        <v>175227</v>
      </c>
      <c r="L177" s="30">
        <v>0</v>
      </c>
    </row>
    <row r="178" spans="1:12">
      <c r="A178">
        <v>230782</v>
      </c>
      <c r="B178" t="s">
        <v>259</v>
      </c>
      <c r="C178" t="s">
        <v>285</v>
      </c>
      <c r="D178" t="s">
        <v>284</v>
      </c>
      <c r="E178" s="30">
        <v>1</v>
      </c>
      <c r="F178" s="30">
        <v>1</v>
      </c>
      <c r="G178" s="30">
        <v>174389</v>
      </c>
      <c r="H178" s="30">
        <v>0</v>
      </c>
      <c r="I178" s="30">
        <v>2</v>
      </c>
      <c r="J178" s="30">
        <v>2</v>
      </c>
      <c r="K178" s="30">
        <v>121416</v>
      </c>
      <c r="L178" s="30">
        <v>0</v>
      </c>
    </row>
    <row r="179" spans="1:12">
      <c r="A179">
        <v>238032</v>
      </c>
      <c r="B179" t="s">
        <v>260</v>
      </c>
      <c r="C179" t="s">
        <v>285</v>
      </c>
      <c r="D179" t="s">
        <v>284</v>
      </c>
      <c r="E179" s="30">
        <v>1</v>
      </c>
      <c r="F179" s="30">
        <v>1</v>
      </c>
      <c r="G179" s="30">
        <v>174511</v>
      </c>
      <c r="H179" s="30">
        <v>0</v>
      </c>
      <c r="I179" s="30">
        <v>2</v>
      </c>
      <c r="J179" s="30">
        <v>2</v>
      </c>
      <c r="K179" s="30">
        <v>157637</v>
      </c>
      <c r="L179" s="30">
        <v>0</v>
      </c>
    </row>
    <row r="180" spans="1:12">
      <c r="A180">
        <v>200004</v>
      </c>
      <c r="B180" t="s">
        <v>261</v>
      </c>
      <c r="C180" t="s">
        <v>285</v>
      </c>
      <c r="D180" t="s">
        <v>284</v>
      </c>
      <c r="E180" s="30">
        <v>1</v>
      </c>
      <c r="F180" s="30">
        <v>1</v>
      </c>
      <c r="G180" s="30">
        <v>76996</v>
      </c>
      <c r="H180" s="30">
        <v>0</v>
      </c>
      <c r="I180" s="30">
        <v>1</v>
      </c>
      <c r="J180" s="30">
        <v>1</v>
      </c>
      <c r="K180" s="30">
        <v>51660</v>
      </c>
      <c r="L180" s="30">
        <v>0</v>
      </c>
    </row>
    <row r="181" spans="1:12">
      <c r="A181">
        <v>149772</v>
      </c>
      <c r="B181" t="s">
        <v>262</v>
      </c>
      <c r="C181" t="s">
        <v>285</v>
      </c>
      <c r="D181" t="s">
        <v>284</v>
      </c>
      <c r="E181" s="30">
        <v>1</v>
      </c>
      <c r="F181" s="30">
        <v>1</v>
      </c>
      <c r="G181" s="30">
        <v>92375</v>
      </c>
      <c r="H181" s="30">
        <v>0</v>
      </c>
      <c r="I181" s="30">
        <v>2</v>
      </c>
      <c r="J181" s="30">
        <v>1.36</v>
      </c>
      <c r="K181" s="30">
        <v>52727</v>
      </c>
      <c r="L181" s="30">
        <v>0</v>
      </c>
    </row>
    <row r="182" spans="1:12">
      <c r="A182">
        <v>157951</v>
      </c>
      <c r="B182" t="s">
        <v>263</v>
      </c>
      <c r="C182" t="s">
        <v>285</v>
      </c>
      <c r="D182" t="s">
        <v>284</v>
      </c>
      <c r="E182" s="30">
        <v>1</v>
      </c>
      <c r="F182" s="30">
        <v>1</v>
      </c>
      <c r="G182" s="30">
        <v>195422</v>
      </c>
      <c r="H182" s="30">
        <v>3835</v>
      </c>
      <c r="I182" s="30">
        <v>2</v>
      </c>
      <c r="J182" s="30">
        <v>2</v>
      </c>
      <c r="K182" s="30">
        <v>120621</v>
      </c>
      <c r="L182" s="30">
        <v>0</v>
      </c>
    </row>
    <row r="183" spans="1:12">
      <c r="A183">
        <v>172699</v>
      </c>
      <c r="B183" t="s">
        <v>264</v>
      </c>
      <c r="C183" t="s">
        <v>285</v>
      </c>
      <c r="D183" t="s">
        <v>284</v>
      </c>
      <c r="E183" s="30">
        <v>1</v>
      </c>
      <c r="F183" s="30">
        <v>1</v>
      </c>
      <c r="G183" s="30">
        <v>170313</v>
      </c>
      <c r="H183" s="30">
        <v>0</v>
      </c>
      <c r="I183" s="30">
        <v>2</v>
      </c>
      <c r="J183" s="30">
        <v>2</v>
      </c>
      <c r="K183" s="30">
        <v>163784</v>
      </c>
      <c r="L183" s="30">
        <v>0</v>
      </c>
    </row>
    <row r="184" spans="1:12">
      <c r="A184">
        <v>156125</v>
      </c>
      <c r="B184" t="s">
        <v>265</v>
      </c>
      <c r="C184" t="s">
        <v>285</v>
      </c>
      <c r="D184" t="s">
        <v>284</v>
      </c>
      <c r="E184" s="30">
        <v>1</v>
      </c>
      <c r="F184" s="30">
        <v>1</v>
      </c>
      <c r="G184" s="30">
        <v>259070</v>
      </c>
      <c r="H184" s="30">
        <v>0</v>
      </c>
      <c r="I184" s="30">
        <v>2</v>
      </c>
      <c r="J184" s="30">
        <v>2</v>
      </c>
      <c r="K184" s="30">
        <v>127518</v>
      </c>
      <c r="L184" s="30">
        <v>0</v>
      </c>
    </row>
    <row r="185" spans="1:12">
      <c r="A185">
        <v>231624</v>
      </c>
      <c r="B185" t="s">
        <v>266</v>
      </c>
      <c r="C185" t="s">
        <v>285</v>
      </c>
      <c r="D185" t="s">
        <v>284</v>
      </c>
      <c r="E185" s="30">
        <v>1</v>
      </c>
      <c r="F185" s="30">
        <v>1</v>
      </c>
      <c r="G185" s="30">
        <v>111498</v>
      </c>
      <c r="H185" s="30">
        <v>0</v>
      </c>
      <c r="I185" s="30">
        <v>2</v>
      </c>
      <c r="J185" s="30">
        <v>2</v>
      </c>
      <c r="K185" s="30">
        <v>42693</v>
      </c>
      <c r="L185" s="30">
        <v>0</v>
      </c>
    </row>
    <row r="186" spans="1:12">
      <c r="A186">
        <v>218964</v>
      </c>
      <c r="B186" t="s">
        <v>267</v>
      </c>
      <c r="C186" t="s">
        <v>285</v>
      </c>
      <c r="D186" t="s">
        <v>284</v>
      </c>
      <c r="E186" s="30">
        <v>1</v>
      </c>
      <c r="F186" s="30">
        <v>1</v>
      </c>
      <c r="G186" s="30">
        <v>100853</v>
      </c>
      <c r="H186" s="30">
        <v>0</v>
      </c>
      <c r="I186" s="30">
        <v>2</v>
      </c>
      <c r="J186" s="30">
        <v>2</v>
      </c>
      <c r="K186" s="30">
        <v>66854</v>
      </c>
      <c r="L186" s="30">
        <v>0</v>
      </c>
    </row>
    <row r="187" spans="1:12">
      <c r="A187">
        <v>240444</v>
      </c>
      <c r="B187" t="s">
        <v>268</v>
      </c>
      <c r="C187" t="s">
        <v>285</v>
      </c>
      <c r="D187" t="s">
        <v>284</v>
      </c>
      <c r="E187" s="30">
        <v>1</v>
      </c>
      <c r="F187" s="30">
        <v>1</v>
      </c>
      <c r="G187" s="30">
        <v>413156</v>
      </c>
      <c r="H187" s="30">
        <v>0</v>
      </c>
      <c r="I187" s="30">
        <v>2</v>
      </c>
      <c r="J187" s="30">
        <v>2</v>
      </c>
      <c r="K187" s="30">
        <v>250957</v>
      </c>
      <c r="L187" s="30">
        <v>0</v>
      </c>
    </row>
    <row r="188" spans="1:12">
      <c r="A188">
        <v>240277</v>
      </c>
      <c r="B188" t="s">
        <v>269</v>
      </c>
      <c r="C188" t="s">
        <v>285</v>
      </c>
      <c r="D188" t="s">
        <v>284</v>
      </c>
      <c r="E188" s="30">
        <v>1</v>
      </c>
      <c r="F188" s="30">
        <v>1</v>
      </c>
      <c r="G188" s="30">
        <v>103552</v>
      </c>
      <c r="H188" s="30">
        <v>0</v>
      </c>
      <c r="I188" s="30">
        <v>1</v>
      </c>
      <c r="J188" s="30">
        <v>1</v>
      </c>
      <c r="K188" s="30">
        <v>42010</v>
      </c>
      <c r="L188" s="30">
        <v>0</v>
      </c>
    </row>
    <row r="189" spans="1:12">
      <c r="A189">
        <v>240453</v>
      </c>
      <c r="B189" t="s">
        <v>270</v>
      </c>
      <c r="C189" t="s">
        <v>285</v>
      </c>
      <c r="D189" t="s">
        <v>284</v>
      </c>
      <c r="E189" s="30">
        <v>1</v>
      </c>
      <c r="F189" s="30">
        <v>1</v>
      </c>
      <c r="G189" s="30">
        <v>109370</v>
      </c>
      <c r="H189" s="30">
        <v>0</v>
      </c>
      <c r="I189" s="30">
        <v>2</v>
      </c>
      <c r="J189" s="30">
        <v>2</v>
      </c>
      <c r="K189" s="30">
        <v>98257</v>
      </c>
      <c r="L189" s="30">
        <v>0</v>
      </c>
    </row>
    <row r="190" spans="1:12">
      <c r="A190">
        <v>206604</v>
      </c>
      <c r="B190" t="s">
        <v>271</v>
      </c>
      <c r="C190" t="s">
        <v>285</v>
      </c>
      <c r="D190" t="s">
        <v>284</v>
      </c>
      <c r="E190" s="30">
        <v>1</v>
      </c>
      <c r="F190" s="30">
        <v>1</v>
      </c>
      <c r="G190" s="30">
        <v>102300</v>
      </c>
      <c r="H190" s="30">
        <v>0</v>
      </c>
      <c r="I190" s="30">
        <v>1</v>
      </c>
      <c r="J190" s="30">
        <v>1</v>
      </c>
      <c r="K190" s="30">
        <v>55924</v>
      </c>
      <c r="L190" s="30">
        <v>0</v>
      </c>
    </row>
    <row r="191" spans="1:12">
      <c r="A191">
        <v>240727</v>
      </c>
      <c r="B191" t="s">
        <v>272</v>
      </c>
      <c r="C191" t="s">
        <v>285</v>
      </c>
      <c r="D191" t="s">
        <v>284</v>
      </c>
      <c r="E191" s="30">
        <v>1</v>
      </c>
      <c r="F191" s="30">
        <v>1</v>
      </c>
      <c r="G191" s="30">
        <v>197386</v>
      </c>
      <c r="H191" s="30">
        <v>0</v>
      </c>
      <c r="I191" s="30">
        <v>2</v>
      </c>
      <c r="J191" s="30">
        <v>2</v>
      </c>
      <c r="K191" s="30">
        <v>184970</v>
      </c>
      <c r="L191" s="30">
        <v>0</v>
      </c>
    </row>
    <row r="192" spans="1:12" ht="16" thickBot="1">
      <c r="A192">
        <v>206695</v>
      </c>
      <c r="B192" t="s">
        <v>273</v>
      </c>
      <c r="C192" t="s">
        <v>285</v>
      </c>
      <c r="D192" s="7" t="s">
        <v>284</v>
      </c>
      <c r="E192" s="33">
        <v>1</v>
      </c>
      <c r="F192" s="33">
        <v>1</v>
      </c>
      <c r="G192" s="33">
        <v>99319</v>
      </c>
      <c r="H192" s="33">
        <v>0</v>
      </c>
      <c r="I192" s="33">
        <v>2</v>
      </c>
      <c r="J192" s="33">
        <v>1</v>
      </c>
      <c r="K192" s="33">
        <v>57724</v>
      </c>
      <c r="L192" s="3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E579-4139-CD41-B767-9D2D83053C34}">
  <dimension ref="A1:L209"/>
  <sheetViews>
    <sheetView topLeftCell="A116" zoomScale="117" workbookViewId="0">
      <selection activeCell="G123" sqref="G123"/>
    </sheetView>
  </sheetViews>
  <sheetFormatPr baseColWidth="10" defaultColWidth="8.83203125" defaultRowHeight="15"/>
  <cols>
    <col min="1" max="1" width="7.1640625" bestFit="1" customWidth="1"/>
    <col min="2" max="2" width="24.33203125" bestFit="1" customWidth="1"/>
    <col min="3" max="3" width="6.83203125" bestFit="1" customWidth="1"/>
    <col min="4" max="4" width="8.5" style="61" bestFit="1" customWidth="1"/>
    <col min="5" max="5" width="17.5" style="30" bestFit="1" customWidth="1"/>
    <col min="6" max="6" width="5" style="30" bestFit="1" customWidth="1"/>
    <col min="7" max="7" width="15.6640625" style="30" bestFit="1" customWidth="1"/>
    <col min="8" max="8" width="19" style="30" bestFit="1" customWidth="1"/>
    <col min="9" max="9" width="17.5" style="30" bestFit="1" customWidth="1"/>
    <col min="10" max="10" width="6.5" style="30" bestFit="1" customWidth="1"/>
    <col min="11" max="11" width="15.6640625" style="30" bestFit="1" customWidth="1"/>
    <col min="12" max="12" width="19" style="30" bestFit="1" customWidth="1"/>
  </cols>
  <sheetData>
    <row r="1" spans="1:12">
      <c r="A1" t="s">
        <v>46</v>
      </c>
      <c r="B1" t="s">
        <v>0</v>
      </c>
      <c r="C1" t="s">
        <v>292</v>
      </c>
      <c r="D1" s="61" t="s">
        <v>291</v>
      </c>
      <c r="E1" s="30" t="s">
        <v>290</v>
      </c>
      <c r="F1" s="30" t="s">
        <v>289</v>
      </c>
      <c r="G1" s="30" t="s">
        <v>288</v>
      </c>
      <c r="H1" s="30" t="s">
        <v>287</v>
      </c>
      <c r="I1" s="30" t="s">
        <v>290</v>
      </c>
      <c r="J1" s="30" t="s">
        <v>289</v>
      </c>
      <c r="K1" s="30" t="s">
        <v>288</v>
      </c>
      <c r="L1" s="30" t="s">
        <v>287</v>
      </c>
    </row>
    <row r="2" spans="1:12">
      <c r="A2">
        <v>200800</v>
      </c>
      <c r="B2" t="s">
        <v>48</v>
      </c>
      <c r="C2" t="s">
        <v>285</v>
      </c>
      <c r="D2" s="61" t="s">
        <v>284</v>
      </c>
      <c r="E2" s="30">
        <v>1</v>
      </c>
      <c r="F2" s="30">
        <v>1</v>
      </c>
      <c r="G2" s="30">
        <v>105443</v>
      </c>
      <c r="H2" s="30">
        <v>0</v>
      </c>
      <c r="I2" s="30">
        <v>1</v>
      </c>
      <c r="J2" s="30">
        <v>1</v>
      </c>
      <c r="K2" s="30">
        <v>26876</v>
      </c>
      <c r="L2" s="30">
        <v>0</v>
      </c>
    </row>
    <row r="3" spans="1:12">
      <c r="A3">
        <v>100751</v>
      </c>
      <c r="B3" t="s">
        <v>49</v>
      </c>
      <c r="C3" t="s">
        <v>285</v>
      </c>
      <c r="D3" s="68" t="s">
        <v>284</v>
      </c>
      <c r="E3" s="23">
        <v>1</v>
      </c>
      <c r="F3" s="23">
        <v>1</v>
      </c>
      <c r="G3" s="23">
        <v>455972</v>
      </c>
      <c r="H3" s="23">
        <v>0</v>
      </c>
      <c r="I3" s="23">
        <v>2</v>
      </c>
      <c r="J3" s="23">
        <v>2</v>
      </c>
      <c r="K3" s="23">
        <v>365141</v>
      </c>
      <c r="L3" s="23">
        <v>0</v>
      </c>
    </row>
    <row r="4" spans="1:12">
      <c r="A4">
        <v>196060</v>
      </c>
      <c r="B4" t="s">
        <v>52</v>
      </c>
      <c r="C4" t="s">
        <v>285</v>
      </c>
      <c r="D4" s="61" t="s">
        <v>284</v>
      </c>
      <c r="E4" s="30">
        <v>1</v>
      </c>
      <c r="F4" s="30">
        <v>1</v>
      </c>
      <c r="G4" s="30">
        <v>124545</v>
      </c>
      <c r="H4" s="30">
        <v>0</v>
      </c>
      <c r="I4" s="30">
        <v>2</v>
      </c>
      <c r="J4" s="30">
        <v>2</v>
      </c>
      <c r="K4" s="30">
        <v>162585</v>
      </c>
      <c r="L4" s="30">
        <v>0</v>
      </c>
    </row>
    <row r="5" spans="1:12">
      <c r="A5">
        <v>197869</v>
      </c>
      <c r="B5" t="s">
        <v>54</v>
      </c>
      <c r="C5" t="s">
        <v>285</v>
      </c>
      <c r="D5" s="68" t="s">
        <v>284</v>
      </c>
      <c r="E5" s="30">
        <v>1</v>
      </c>
      <c r="F5" s="30">
        <v>1</v>
      </c>
      <c r="G5" s="30">
        <v>141080</v>
      </c>
      <c r="H5" s="30">
        <v>0</v>
      </c>
      <c r="I5" s="30">
        <v>2</v>
      </c>
      <c r="J5" s="30">
        <v>2</v>
      </c>
      <c r="K5" s="30">
        <v>143033</v>
      </c>
      <c r="L5" s="30">
        <v>0</v>
      </c>
    </row>
    <row r="6" spans="1:12">
      <c r="A6">
        <v>104179</v>
      </c>
      <c r="B6" s="66" t="s">
        <v>55</v>
      </c>
      <c r="C6" s="66" t="s">
        <v>285</v>
      </c>
      <c r="D6" s="68" t="s">
        <v>284</v>
      </c>
      <c r="E6" s="47">
        <v>1</v>
      </c>
      <c r="F6" s="47">
        <v>1</v>
      </c>
      <c r="G6" s="47">
        <v>238342</v>
      </c>
      <c r="H6" s="47">
        <v>22200</v>
      </c>
      <c r="I6" s="47">
        <v>2</v>
      </c>
      <c r="J6" s="47">
        <v>2</v>
      </c>
      <c r="K6" s="47">
        <v>195155</v>
      </c>
      <c r="L6" s="47">
        <v>0</v>
      </c>
    </row>
    <row r="7" spans="1:12">
      <c r="A7">
        <v>104151</v>
      </c>
      <c r="B7" s="66" t="s">
        <v>56</v>
      </c>
      <c r="C7" s="66" t="s">
        <v>285</v>
      </c>
      <c r="D7" s="76" t="s">
        <v>284</v>
      </c>
      <c r="E7" s="47">
        <v>1</v>
      </c>
      <c r="F7" s="47">
        <v>1</v>
      </c>
      <c r="G7" s="47">
        <v>219406</v>
      </c>
      <c r="H7" s="47">
        <v>0</v>
      </c>
      <c r="I7" s="47">
        <v>2</v>
      </c>
      <c r="J7" s="47">
        <v>2</v>
      </c>
      <c r="K7" s="47">
        <v>208161</v>
      </c>
      <c r="L7" s="47">
        <v>0</v>
      </c>
    </row>
    <row r="8" spans="1:12">
      <c r="A8">
        <v>106397</v>
      </c>
      <c r="B8" t="s">
        <v>57</v>
      </c>
      <c r="C8" t="s">
        <v>285</v>
      </c>
      <c r="D8" s="61" t="s">
        <v>284</v>
      </c>
      <c r="E8" s="30">
        <v>1</v>
      </c>
      <c r="F8" s="30">
        <v>1</v>
      </c>
      <c r="G8" s="30">
        <v>247610</v>
      </c>
      <c r="H8" s="30">
        <v>0</v>
      </c>
      <c r="I8" s="30">
        <v>2</v>
      </c>
      <c r="J8" s="30">
        <v>2</v>
      </c>
      <c r="K8" s="30">
        <v>184356</v>
      </c>
      <c r="L8" s="30">
        <v>0</v>
      </c>
    </row>
    <row r="9" spans="1:12">
      <c r="A9">
        <v>106245</v>
      </c>
      <c r="B9" t="s">
        <v>58</v>
      </c>
      <c r="C9" t="s">
        <v>285</v>
      </c>
      <c r="D9" s="61" t="s">
        <v>284</v>
      </c>
      <c r="E9" s="30">
        <v>1</v>
      </c>
      <c r="F9" s="30">
        <v>1</v>
      </c>
      <c r="G9" s="30">
        <v>86150</v>
      </c>
      <c r="H9" s="30">
        <v>9600</v>
      </c>
      <c r="I9" s="30">
        <v>2</v>
      </c>
      <c r="J9" s="30">
        <v>1.5</v>
      </c>
      <c r="K9" s="30">
        <v>39455</v>
      </c>
      <c r="L9" s="30">
        <v>0</v>
      </c>
    </row>
    <row r="10" spans="1:12">
      <c r="A10">
        <v>106458</v>
      </c>
      <c r="B10" t="s">
        <v>60</v>
      </c>
      <c r="C10" t="s">
        <v>285</v>
      </c>
      <c r="D10" s="61" t="s">
        <v>284</v>
      </c>
      <c r="E10" s="30">
        <v>1</v>
      </c>
      <c r="F10" s="30">
        <v>1</v>
      </c>
      <c r="G10" s="30">
        <v>83426</v>
      </c>
      <c r="H10" s="30">
        <v>12612</v>
      </c>
      <c r="I10" s="30">
        <v>2</v>
      </c>
      <c r="J10" s="30">
        <v>1.17</v>
      </c>
      <c r="K10" s="30">
        <v>44154</v>
      </c>
      <c r="L10" s="30">
        <v>2780</v>
      </c>
    </row>
    <row r="11" spans="1:12">
      <c r="A11">
        <v>100858</v>
      </c>
      <c r="B11" t="s">
        <v>62</v>
      </c>
      <c r="C11" t="s">
        <v>285</v>
      </c>
      <c r="D11" s="61" t="s">
        <v>284</v>
      </c>
      <c r="E11" s="30">
        <v>1</v>
      </c>
      <c r="F11" s="30">
        <v>1</v>
      </c>
      <c r="G11" s="30">
        <v>281285</v>
      </c>
      <c r="H11" s="30">
        <v>0</v>
      </c>
      <c r="I11" s="30">
        <v>2</v>
      </c>
      <c r="J11" s="30">
        <v>2</v>
      </c>
      <c r="K11" s="30">
        <v>183619</v>
      </c>
      <c r="L11" s="30">
        <v>0</v>
      </c>
    </row>
    <row r="12" spans="1:12">
      <c r="A12">
        <v>219602</v>
      </c>
      <c r="B12" t="s">
        <v>63</v>
      </c>
      <c r="C12" t="s">
        <v>285</v>
      </c>
      <c r="D12" s="61" t="s">
        <v>284</v>
      </c>
      <c r="E12" s="30">
        <v>1</v>
      </c>
      <c r="F12" s="30">
        <v>0.5</v>
      </c>
      <c r="G12" s="30">
        <v>118839</v>
      </c>
      <c r="H12" s="30">
        <v>0</v>
      </c>
      <c r="I12" s="30">
        <v>2</v>
      </c>
      <c r="J12" s="30">
        <v>1.5</v>
      </c>
      <c r="K12" s="30">
        <v>101035</v>
      </c>
      <c r="L12" s="30">
        <v>0</v>
      </c>
    </row>
    <row r="13" spans="1:12">
      <c r="A13">
        <v>150136</v>
      </c>
      <c r="B13" t="s">
        <v>64</v>
      </c>
      <c r="C13" t="s">
        <v>285</v>
      </c>
      <c r="D13" s="61" t="s">
        <v>284</v>
      </c>
      <c r="E13" s="30">
        <v>1</v>
      </c>
      <c r="F13" s="30">
        <v>1</v>
      </c>
      <c r="G13" s="30">
        <v>156786</v>
      </c>
      <c r="H13" s="30">
        <v>0</v>
      </c>
      <c r="I13" s="30">
        <v>2</v>
      </c>
      <c r="J13" s="30">
        <v>2</v>
      </c>
      <c r="K13" s="30">
        <v>135528</v>
      </c>
      <c r="L13" s="30">
        <v>0</v>
      </c>
    </row>
    <row r="14" spans="1:12">
      <c r="A14">
        <v>196079</v>
      </c>
      <c r="B14" t="s">
        <v>65</v>
      </c>
      <c r="C14" t="s">
        <v>285</v>
      </c>
      <c r="D14" s="61" t="s">
        <v>284</v>
      </c>
      <c r="E14" s="30">
        <v>1</v>
      </c>
      <c r="F14" s="30">
        <v>1</v>
      </c>
      <c r="G14" s="30">
        <v>154010</v>
      </c>
      <c r="H14" s="30">
        <v>0</v>
      </c>
      <c r="I14" s="30">
        <v>1</v>
      </c>
      <c r="J14" s="30">
        <v>1</v>
      </c>
      <c r="K14" s="30">
        <v>67653</v>
      </c>
      <c r="L14" s="30">
        <v>0</v>
      </c>
    </row>
    <row r="15" spans="1:12">
      <c r="A15">
        <v>142115</v>
      </c>
      <c r="B15" t="s">
        <v>66</v>
      </c>
      <c r="C15" t="s">
        <v>285</v>
      </c>
      <c r="D15" s="61" t="s">
        <v>284</v>
      </c>
      <c r="E15" s="30">
        <v>1</v>
      </c>
      <c r="F15" s="30">
        <v>1</v>
      </c>
      <c r="G15" s="30">
        <v>191013</v>
      </c>
      <c r="H15" s="30">
        <v>0</v>
      </c>
      <c r="I15" s="30">
        <v>2</v>
      </c>
      <c r="J15" s="30">
        <v>2</v>
      </c>
      <c r="K15" s="30">
        <v>183146</v>
      </c>
      <c r="L15" s="30">
        <v>0</v>
      </c>
    </row>
    <row r="16" spans="1:12">
      <c r="A16">
        <v>201441</v>
      </c>
      <c r="B16" t="s">
        <v>67</v>
      </c>
      <c r="C16" t="s">
        <v>285</v>
      </c>
      <c r="D16" s="68" t="s">
        <v>284</v>
      </c>
      <c r="E16" s="30">
        <v>1</v>
      </c>
      <c r="F16" s="30">
        <v>1</v>
      </c>
      <c r="G16" s="30">
        <v>165911</v>
      </c>
      <c r="H16" s="30">
        <v>0</v>
      </c>
      <c r="I16" s="30">
        <v>2</v>
      </c>
      <c r="J16" s="30">
        <v>2</v>
      </c>
      <c r="K16" s="30">
        <v>149192</v>
      </c>
      <c r="L16" s="30">
        <v>0</v>
      </c>
    </row>
    <row r="17" spans="1:12">
      <c r="A17">
        <v>196088</v>
      </c>
      <c r="B17" t="s">
        <v>68</v>
      </c>
      <c r="C17" t="s">
        <v>285</v>
      </c>
      <c r="D17" s="68" t="s">
        <v>284</v>
      </c>
      <c r="E17" s="47">
        <v>1</v>
      </c>
      <c r="F17" s="47">
        <v>1</v>
      </c>
      <c r="G17" s="47">
        <v>130243</v>
      </c>
      <c r="H17" s="47">
        <v>10613</v>
      </c>
      <c r="I17" s="47">
        <v>2</v>
      </c>
      <c r="J17" s="47">
        <v>2</v>
      </c>
      <c r="K17" s="47">
        <v>131565</v>
      </c>
      <c r="L17" s="30">
        <v>10613</v>
      </c>
    </row>
    <row r="18" spans="1:12">
      <c r="A18">
        <v>110422</v>
      </c>
      <c r="B18" t="s">
        <v>69</v>
      </c>
      <c r="C18" t="s">
        <v>285</v>
      </c>
      <c r="D18" s="61" t="s">
        <v>284</v>
      </c>
      <c r="E18" s="30">
        <v>1</v>
      </c>
      <c r="F18" s="30">
        <v>1</v>
      </c>
      <c r="G18" s="30">
        <v>211629</v>
      </c>
      <c r="H18" s="30">
        <v>0</v>
      </c>
      <c r="I18" s="30">
        <v>2</v>
      </c>
      <c r="J18" s="30">
        <v>2</v>
      </c>
      <c r="K18" s="30">
        <v>230799</v>
      </c>
      <c r="L18" s="30">
        <v>0</v>
      </c>
    </row>
    <row r="19" spans="1:12">
      <c r="A19">
        <v>110486</v>
      </c>
      <c r="B19" t="s">
        <v>70</v>
      </c>
      <c r="C19" t="s">
        <v>285</v>
      </c>
      <c r="D19" s="61" t="s">
        <v>284</v>
      </c>
      <c r="E19" s="30">
        <v>1</v>
      </c>
      <c r="F19" s="30">
        <v>1</v>
      </c>
      <c r="G19" s="30">
        <v>172795</v>
      </c>
      <c r="H19" s="30">
        <v>0</v>
      </c>
      <c r="I19" s="30">
        <v>2</v>
      </c>
      <c r="J19" s="30">
        <v>2</v>
      </c>
      <c r="K19" s="30">
        <v>193136</v>
      </c>
      <c r="L19" s="30">
        <v>0</v>
      </c>
    </row>
    <row r="20" spans="1:12">
      <c r="A20">
        <v>110565</v>
      </c>
      <c r="B20" t="s">
        <v>71</v>
      </c>
      <c r="C20" t="s">
        <v>285</v>
      </c>
      <c r="D20" s="61" t="s">
        <v>284</v>
      </c>
      <c r="E20" s="30">
        <v>1</v>
      </c>
      <c r="F20" s="30">
        <v>1</v>
      </c>
      <c r="G20" s="30">
        <v>191510</v>
      </c>
      <c r="H20" s="30">
        <v>0</v>
      </c>
      <c r="I20" s="30">
        <v>2</v>
      </c>
      <c r="J20" s="30">
        <v>2</v>
      </c>
      <c r="K20" s="30">
        <v>167327</v>
      </c>
      <c r="L20" s="30">
        <v>0</v>
      </c>
    </row>
    <row r="21" spans="1:12">
      <c r="A21">
        <v>110608</v>
      </c>
      <c r="B21" t="s">
        <v>72</v>
      </c>
      <c r="C21" t="s">
        <v>285</v>
      </c>
      <c r="D21" s="61" t="s">
        <v>284</v>
      </c>
      <c r="E21" s="30">
        <v>1</v>
      </c>
      <c r="F21" s="30">
        <v>0.5</v>
      </c>
      <c r="G21" s="30">
        <v>67007</v>
      </c>
      <c r="H21" s="30">
        <v>0</v>
      </c>
      <c r="I21" s="30">
        <v>1</v>
      </c>
      <c r="J21" s="30">
        <v>1</v>
      </c>
      <c r="K21" s="30">
        <v>142056</v>
      </c>
      <c r="L21" s="30">
        <v>0</v>
      </c>
    </row>
    <row r="22" spans="1:12">
      <c r="A22">
        <v>110635</v>
      </c>
      <c r="B22" t="s">
        <v>73</v>
      </c>
      <c r="C22" t="s">
        <v>285</v>
      </c>
      <c r="D22" s="68" t="s">
        <v>284</v>
      </c>
      <c r="E22" s="30">
        <v>1</v>
      </c>
      <c r="F22" s="30">
        <v>1</v>
      </c>
      <c r="G22" s="30">
        <v>271797</v>
      </c>
      <c r="H22" s="30">
        <v>0</v>
      </c>
      <c r="I22" s="30">
        <v>2</v>
      </c>
      <c r="J22" s="30">
        <v>2</v>
      </c>
      <c r="K22" s="30">
        <v>255397</v>
      </c>
      <c r="L22" s="30">
        <v>0</v>
      </c>
    </row>
    <row r="23" spans="1:12">
      <c r="A23">
        <v>106704</v>
      </c>
      <c r="B23" t="s">
        <v>74</v>
      </c>
      <c r="C23" t="s">
        <v>285</v>
      </c>
      <c r="D23" s="75" t="s">
        <v>284</v>
      </c>
      <c r="E23" s="59">
        <v>1</v>
      </c>
      <c r="F23" s="59">
        <v>1</v>
      </c>
      <c r="G23" s="59">
        <v>79036</v>
      </c>
      <c r="H23" s="59">
        <v>7500</v>
      </c>
      <c r="I23" s="59">
        <v>3</v>
      </c>
      <c r="J23" s="59">
        <v>2.81</v>
      </c>
      <c r="K23" s="59">
        <v>126950</v>
      </c>
      <c r="L23" s="59">
        <v>18600</v>
      </c>
    </row>
    <row r="24" spans="1:12">
      <c r="A24">
        <v>128771</v>
      </c>
      <c r="B24" t="s">
        <v>75</v>
      </c>
      <c r="C24" t="s">
        <v>285</v>
      </c>
      <c r="D24" s="61" t="s">
        <v>284</v>
      </c>
      <c r="E24" s="30">
        <v>1</v>
      </c>
      <c r="F24" s="30">
        <v>1</v>
      </c>
      <c r="G24" s="30">
        <v>289620</v>
      </c>
      <c r="H24" s="30">
        <v>0</v>
      </c>
      <c r="I24" s="30">
        <v>2</v>
      </c>
      <c r="J24" s="30">
        <v>0.64</v>
      </c>
      <c r="K24" s="30">
        <v>38234</v>
      </c>
      <c r="L24" s="30">
        <v>0</v>
      </c>
    </row>
    <row r="25" spans="1:12">
      <c r="A25">
        <v>169248</v>
      </c>
      <c r="B25" t="s">
        <v>76</v>
      </c>
      <c r="C25" t="s">
        <v>285</v>
      </c>
      <c r="D25" s="68" t="s">
        <v>284</v>
      </c>
      <c r="E25" s="30">
        <v>1</v>
      </c>
      <c r="F25" s="30">
        <v>1</v>
      </c>
      <c r="G25" s="30">
        <v>161259</v>
      </c>
      <c r="H25" s="30">
        <v>1000</v>
      </c>
      <c r="I25" s="30">
        <v>2</v>
      </c>
      <c r="J25" s="30">
        <v>2</v>
      </c>
      <c r="K25" s="30">
        <v>133554</v>
      </c>
      <c r="L25" s="30">
        <v>800</v>
      </c>
    </row>
    <row r="26" spans="1:12">
      <c r="A26">
        <v>199139</v>
      </c>
      <c r="B26" t="s">
        <v>77</v>
      </c>
      <c r="C26" t="s">
        <v>285</v>
      </c>
      <c r="D26" s="68" t="s">
        <v>284</v>
      </c>
      <c r="E26" s="30">
        <v>1</v>
      </c>
      <c r="F26" s="30">
        <v>1</v>
      </c>
      <c r="G26" s="30">
        <v>144820</v>
      </c>
      <c r="H26" s="30">
        <v>0</v>
      </c>
      <c r="I26" s="30">
        <v>2</v>
      </c>
      <c r="J26" s="30">
        <v>2</v>
      </c>
      <c r="K26" s="30">
        <v>135217</v>
      </c>
      <c r="L26" s="30">
        <v>0</v>
      </c>
    </row>
    <row r="27" spans="1:12">
      <c r="A27">
        <v>144005</v>
      </c>
      <c r="B27" t="s">
        <v>78</v>
      </c>
      <c r="C27" t="s">
        <v>285</v>
      </c>
      <c r="D27" s="61" t="s">
        <v>284</v>
      </c>
      <c r="E27" s="30">
        <v>1</v>
      </c>
      <c r="F27" s="30">
        <v>1</v>
      </c>
      <c r="G27" s="30">
        <v>100000</v>
      </c>
      <c r="H27" s="30">
        <v>0</v>
      </c>
      <c r="I27" s="30">
        <v>1</v>
      </c>
      <c r="J27" s="30">
        <v>1</v>
      </c>
      <c r="K27" s="30">
        <v>43937</v>
      </c>
      <c r="L27" s="30">
        <v>0</v>
      </c>
    </row>
    <row r="28" spans="1:12">
      <c r="A28">
        <v>201885</v>
      </c>
      <c r="B28" t="s">
        <v>79</v>
      </c>
      <c r="C28" t="s">
        <v>285</v>
      </c>
      <c r="D28" s="68" t="s">
        <v>284</v>
      </c>
      <c r="E28" s="30">
        <v>1</v>
      </c>
      <c r="F28" s="30">
        <v>1</v>
      </c>
      <c r="G28" s="30">
        <v>171460</v>
      </c>
      <c r="H28" s="30">
        <v>0</v>
      </c>
      <c r="I28" s="30">
        <v>2</v>
      </c>
      <c r="J28" s="30">
        <v>2</v>
      </c>
      <c r="K28" s="30">
        <v>171163</v>
      </c>
      <c r="L28" s="30">
        <v>0</v>
      </c>
    </row>
    <row r="29" spans="1:12">
      <c r="A29">
        <v>217882</v>
      </c>
      <c r="B29" t="s">
        <v>81</v>
      </c>
      <c r="C29" t="s">
        <v>285</v>
      </c>
      <c r="D29" s="68" t="s">
        <v>284</v>
      </c>
      <c r="E29" s="30">
        <v>1</v>
      </c>
      <c r="F29" s="30">
        <v>1</v>
      </c>
      <c r="G29" s="30">
        <v>141075</v>
      </c>
      <c r="H29" s="30">
        <v>0</v>
      </c>
      <c r="I29" s="30">
        <v>2</v>
      </c>
      <c r="J29" s="30">
        <v>2</v>
      </c>
      <c r="K29" s="30">
        <v>259639</v>
      </c>
      <c r="L29" s="30">
        <v>0</v>
      </c>
    </row>
    <row r="30" spans="1:12">
      <c r="A30">
        <v>202134</v>
      </c>
      <c r="B30" t="s">
        <v>82</v>
      </c>
      <c r="C30" t="s">
        <v>285</v>
      </c>
      <c r="D30" s="61" t="s">
        <v>284</v>
      </c>
      <c r="E30" s="30">
        <v>1</v>
      </c>
      <c r="F30" s="30">
        <v>1</v>
      </c>
      <c r="G30" s="30">
        <v>115609</v>
      </c>
      <c r="H30" s="30">
        <v>0</v>
      </c>
      <c r="I30" s="30">
        <v>2</v>
      </c>
      <c r="J30" s="30">
        <v>2</v>
      </c>
      <c r="K30" s="30">
        <v>95367</v>
      </c>
      <c r="L30" s="30">
        <v>0</v>
      </c>
    </row>
    <row r="31" spans="1:12">
      <c r="A31">
        <v>218724</v>
      </c>
      <c r="B31" t="s">
        <v>83</v>
      </c>
      <c r="C31" t="s">
        <v>285</v>
      </c>
      <c r="D31" s="68" t="s">
        <v>284</v>
      </c>
      <c r="E31" s="74">
        <v>1</v>
      </c>
      <c r="F31" s="74">
        <v>1</v>
      </c>
      <c r="G31" s="74">
        <v>154845</v>
      </c>
      <c r="H31" s="74">
        <v>0</v>
      </c>
      <c r="I31" s="74">
        <v>2</v>
      </c>
      <c r="J31" s="74">
        <v>1.85</v>
      </c>
      <c r="K31" s="74">
        <v>141288</v>
      </c>
      <c r="L31" s="74">
        <v>0</v>
      </c>
    </row>
    <row r="32" spans="1:12">
      <c r="A32">
        <v>217819</v>
      </c>
      <c r="B32" t="s">
        <v>84</v>
      </c>
      <c r="C32" t="s">
        <v>285</v>
      </c>
      <c r="D32" s="68" t="s">
        <v>284</v>
      </c>
      <c r="E32" s="23">
        <v>1</v>
      </c>
      <c r="F32" s="30">
        <v>0.73</v>
      </c>
      <c r="G32" s="23">
        <v>121385</v>
      </c>
      <c r="H32" s="23">
        <v>6889</v>
      </c>
      <c r="I32" s="23">
        <v>2</v>
      </c>
      <c r="J32" s="23">
        <v>1.95</v>
      </c>
      <c r="K32" s="23">
        <v>109118</v>
      </c>
      <c r="L32" s="23">
        <v>0</v>
      </c>
    </row>
    <row r="33" spans="1:12">
      <c r="A33">
        <v>126614</v>
      </c>
      <c r="B33" t="s">
        <v>85</v>
      </c>
      <c r="C33" t="s">
        <v>285</v>
      </c>
      <c r="D33" s="68" t="s">
        <v>284</v>
      </c>
      <c r="E33" s="30">
        <v>1</v>
      </c>
      <c r="F33" s="30">
        <v>1</v>
      </c>
      <c r="G33" s="30">
        <v>256687</v>
      </c>
      <c r="H33" s="30">
        <v>0</v>
      </c>
      <c r="I33" s="30">
        <v>2</v>
      </c>
      <c r="J33" s="30">
        <v>2</v>
      </c>
      <c r="K33" s="30">
        <v>256338</v>
      </c>
      <c r="L33" s="30">
        <v>0</v>
      </c>
    </row>
    <row r="34" spans="1:12">
      <c r="A34">
        <v>126818</v>
      </c>
      <c r="B34" t="s">
        <v>86</v>
      </c>
      <c r="C34" t="s">
        <v>285</v>
      </c>
      <c r="D34" s="68" t="s">
        <v>284</v>
      </c>
      <c r="E34" s="30">
        <v>1</v>
      </c>
      <c r="F34" s="30">
        <v>1</v>
      </c>
      <c r="G34" s="30">
        <v>317462</v>
      </c>
      <c r="H34" s="30">
        <v>0</v>
      </c>
      <c r="I34" s="30">
        <v>2</v>
      </c>
      <c r="J34" s="30">
        <v>2</v>
      </c>
      <c r="K34" s="30">
        <v>243475</v>
      </c>
      <c r="L34" s="30">
        <v>0</v>
      </c>
    </row>
    <row r="35" spans="1:12">
      <c r="A35">
        <v>129020</v>
      </c>
      <c r="B35" t="s">
        <v>87</v>
      </c>
      <c r="C35" t="s">
        <v>285</v>
      </c>
      <c r="D35" s="68" t="s">
        <v>284</v>
      </c>
      <c r="E35" s="30">
        <v>1</v>
      </c>
      <c r="F35" s="30">
        <v>1</v>
      </c>
      <c r="G35" s="30">
        <v>154987</v>
      </c>
      <c r="H35" s="30">
        <v>0</v>
      </c>
      <c r="I35" s="30">
        <v>2</v>
      </c>
      <c r="J35" s="30">
        <v>2</v>
      </c>
      <c r="K35" s="30">
        <v>124385</v>
      </c>
      <c r="L35" s="30">
        <v>0</v>
      </c>
    </row>
    <row r="36" spans="1:12">
      <c r="A36">
        <v>162283</v>
      </c>
      <c r="B36" t="s">
        <v>88</v>
      </c>
      <c r="C36" t="s">
        <v>285</v>
      </c>
      <c r="D36" s="61" t="s">
        <v>284</v>
      </c>
      <c r="E36" s="30">
        <v>1</v>
      </c>
      <c r="F36" s="30">
        <v>1</v>
      </c>
      <c r="G36" s="30">
        <v>128287</v>
      </c>
      <c r="H36" s="30">
        <v>0</v>
      </c>
      <c r="I36" s="30">
        <v>2</v>
      </c>
      <c r="J36" s="30">
        <v>1</v>
      </c>
      <c r="K36" s="30">
        <v>10795</v>
      </c>
      <c r="L36" s="30">
        <v>0</v>
      </c>
    </row>
    <row r="37" spans="1:12">
      <c r="A37">
        <v>198464</v>
      </c>
      <c r="B37" t="s">
        <v>89</v>
      </c>
      <c r="C37" t="s">
        <v>285</v>
      </c>
      <c r="D37" s="68" t="s">
        <v>284</v>
      </c>
      <c r="E37" s="30">
        <v>1</v>
      </c>
      <c r="F37" s="30">
        <v>1</v>
      </c>
      <c r="G37" s="30">
        <v>137930</v>
      </c>
      <c r="H37" s="30">
        <v>0</v>
      </c>
      <c r="I37" s="30">
        <v>2</v>
      </c>
      <c r="J37" s="30">
        <v>2</v>
      </c>
      <c r="K37" s="30">
        <v>115360</v>
      </c>
      <c r="L37" s="30">
        <v>0</v>
      </c>
    </row>
    <row r="38" spans="1:12">
      <c r="A38">
        <v>144892</v>
      </c>
      <c r="B38" t="s">
        <v>91</v>
      </c>
      <c r="C38" t="s">
        <v>285</v>
      </c>
      <c r="D38" s="61" t="s">
        <v>284</v>
      </c>
      <c r="E38" s="30">
        <v>1</v>
      </c>
      <c r="F38" s="30">
        <v>0.5</v>
      </c>
      <c r="G38" s="30">
        <v>97298</v>
      </c>
      <c r="H38" s="30">
        <v>0</v>
      </c>
      <c r="I38" s="30">
        <v>2</v>
      </c>
      <c r="J38" s="30">
        <v>0.83</v>
      </c>
      <c r="K38" s="30">
        <v>61667</v>
      </c>
      <c r="L38" s="30">
        <v>0</v>
      </c>
    </row>
    <row r="39" spans="1:12">
      <c r="A39">
        <v>156620</v>
      </c>
      <c r="B39" t="s">
        <v>92</v>
      </c>
      <c r="C39" t="s">
        <v>285</v>
      </c>
      <c r="D39" s="68" t="s">
        <v>284</v>
      </c>
      <c r="E39" s="59">
        <v>1</v>
      </c>
      <c r="F39" s="59">
        <v>1</v>
      </c>
      <c r="G39" s="59">
        <v>73790</v>
      </c>
      <c r="H39" s="59">
        <v>1000</v>
      </c>
      <c r="I39" s="59">
        <v>3</v>
      </c>
      <c r="J39" s="59">
        <v>2.2000000000000002</v>
      </c>
      <c r="K39" s="59">
        <v>79629</v>
      </c>
      <c r="L39" s="59">
        <v>2800</v>
      </c>
    </row>
    <row r="40" spans="1:12">
      <c r="A40">
        <v>169798</v>
      </c>
      <c r="B40" t="s">
        <v>93</v>
      </c>
      <c r="C40" t="s">
        <v>285</v>
      </c>
      <c r="D40" s="68" t="s">
        <v>284</v>
      </c>
      <c r="E40" s="30">
        <v>1</v>
      </c>
      <c r="F40" s="30">
        <v>1</v>
      </c>
      <c r="G40" s="30">
        <v>121200</v>
      </c>
      <c r="H40" s="30">
        <v>0</v>
      </c>
      <c r="I40" s="30">
        <v>2</v>
      </c>
      <c r="J40" s="30">
        <v>2</v>
      </c>
      <c r="K40" s="30">
        <v>112014</v>
      </c>
      <c r="L40" s="30">
        <v>0</v>
      </c>
    </row>
    <row r="41" spans="1:12">
      <c r="A41">
        <v>235097</v>
      </c>
      <c r="B41" t="s">
        <v>94</v>
      </c>
      <c r="C41" t="s">
        <v>285</v>
      </c>
      <c r="D41" s="61" t="s">
        <v>284</v>
      </c>
      <c r="E41" s="30">
        <v>1</v>
      </c>
      <c r="F41" s="30">
        <v>1</v>
      </c>
      <c r="G41" s="30">
        <v>100812</v>
      </c>
      <c r="H41" s="30">
        <v>0</v>
      </c>
      <c r="I41" s="30">
        <v>2</v>
      </c>
      <c r="J41" s="30">
        <v>2</v>
      </c>
      <c r="K41" s="30">
        <v>127554</v>
      </c>
      <c r="L41" s="30">
        <v>0</v>
      </c>
    </row>
    <row r="42" spans="1:12">
      <c r="A42">
        <v>134130</v>
      </c>
      <c r="B42" t="s">
        <v>95</v>
      </c>
      <c r="C42" t="s">
        <v>285</v>
      </c>
      <c r="D42" s="68" t="s">
        <v>284</v>
      </c>
      <c r="E42" s="30">
        <v>1</v>
      </c>
      <c r="F42" s="30">
        <v>1</v>
      </c>
      <c r="G42" s="30">
        <v>495233</v>
      </c>
      <c r="H42" s="30">
        <v>0</v>
      </c>
      <c r="I42" s="30">
        <v>2</v>
      </c>
      <c r="J42" s="30">
        <v>2</v>
      </c>
      <c r="K42" s="30">
        <v>343981</v>
      </c>
      <c r="L42" s="30">
        <v>0</v>
      </c>
    </row>
    <row r="43" spans="1:12">
      <c r="A43">
        <v>133669</v>
      </c>
      <c r="B43" t="s">
        <v>96</v>
      </c>
      <c r="C43" t="s">
        <v>285</v>
      </c>
      <c r="D43" s="68" t="s">
        <v>284</v>
      </c>
      <c r="E43" s="30">
        <v>1</v>
      </c>
      <c r="F43" s="30">
        <v>1</v>
      </c>
      <c r="G43" s="30">
        <v>136621</v>
      </c>
      <c r="H43" s="30">
        <v>0</v>
      </c>
      <c r="I43" s="30">
        <v>2</v>
      </c>
      <c r="J43" s="30">
        <v>2</v>
      </c>
      <c r="K43" s="30">
        <v>127017</v>
      </c>
      <c r="L43" s="30">
        <v>0</v>
      </c>
    </row>
    <row r="44" spans="1:12">
      <c r="A44">
        <v>433660</v>
      </c>
      <c r="B44" t="s">
        <v>97</v>
      </c>
      <c r="C44" t="s">
        <v>285</v>
      </c>
      <c r="D44" s="61" t="s">
        <v>284</v>
      </c>
      <c r="E44" s="30">
        <v>1</v>
      </c>
      <c r="F44" s="30">
        <v>1</v>
      </c>
      <c r="G44" s="30">
        <v>154373</v>
      </c>
      <c r="H44" s="30">
        <v>0</v>
      </c>
      <c r="I44" s="30">
        <v>2</v>
      </c>
      <c r="J44" s="30">
        <v>2</v>
      </c>
      <c r="K44" s="30">
        <v>132451</v>
      </c>
      <c r="L44" s="30">
        <v>0</v>
      </c>
    </row>
    <row r="45" spans="1:12">
      <c r="A45">
        <v>133951</v>
      </c>
      <c r="B45" t="s">
        <v>98</v>
      </c>
      <c r="C45" t="s">
        <v>285</v>
      </c>
      <c r="D45" s="68" t="s">
        <v>284</v>
      </c>
      <c r="E45" s="30">
        <v>1</v>
      </c>
      <c r="F45" s="30">
        <v>1</v>
      </c>
      <c r="G45" s="30">
        <v>127494</v>
      </c>
      <c r="H45" s="30">
        <v>0</v>
      </c>
      <c r="I45" s="30">
        <v>2</v>
      </c>
      <c r="J45" s="30">
        <v>2</v>
      </c>
      <c r="K45" s="30">
        <v>110020</v>
      </c>
      <c r="L45" s="30">
        <v>0</v>
      </c>
    </row>
    <row r="46" spans="1:12">
      <c r="A46">
        <v>134097</v>
      </c>
      <c r="B46" t="s">
        <v>99</v>
      </c>
      <c r="C46" t="s">
        <v>285</v>
      </c>
      <c r="D46" s="61" t="s">
        <v>284</v>
      </c>
      <c r="E46" s="30">
        <v>1</v>
      </c>
      <c r="F46" s="30">
        <v>1</v>
      </c>
      <c r="G46" s="30">
        <v>298586</v>
      </c>
      <c r="H46" s="30">
        <v>0</v>
      </c>
      <c r="I46" s="30">
        <v>2</v>
      </c>
      <c r="J46" s="30">
        <v>2</v>
      </c>
      <c r="K46" s="30">
        <v>257252</v>
      </c>
      <c r="L46" s="30">
        <v>0</v>
      </c>
    </row>
    <row r="47" spans="1:12">
      <c r="A47">
        <v>110556</v>
      </c>
      <c r="B47" t="s">
        <v>100</v>
      </c>
      <c r="C47" t="s">
        <v>285</v>
      </c>
      <c r="D47" s="68" t="s">
        <v>284</v>
      </c>
      <c r="E47" s="30">
        <v>1</v>
      </c>
      <c r="F47" s="30">
        <v>1</v>
      </c>
      <c r="G47" s="30">
        <v>231568</v>
      </c>
      <c r="H47" s="30">
        <v>500</v>
      </c>
      <c r="I47" s="30">
        <v>2</v>
      </c>
      <c r="J47" s="30">
        <v>1.91</v>
      </c>
      <c r="K47" s="30">
        <v>185044</v>
      </c>
      <c r="L47" s="30">
        <v>0</v>
      </c>
    </row>
    <row r="48" spans="1:12">
      <c r="A48">
        <v>139959</v>
      </c>
      <c r="B48" t="s">
        <v>102</v>
      </c>
      <c r="C48" t="s">
        <v>285</v>
      </c>
      <c r="D48" s="68" t="s">
        <v>284</v>
      </c>
      <c r="E48" s="30">
        <v>1</v>
      </c>
      <c r="F48" s="30">
        <v>1</v>
      </c>
      <c r="G48" s="30">
        <v>272032</v>
      </c>
      <c r="H48" s="30">
        <v>0</v>
      </c>
      <c r="I48" s="30">
        <v>2</v>
      </c>
      <c r="J48" s="30">
        <v>2</v>
      </c>
      <c r="K48" s="30">
        <v>226678</v>
      </c>
      <c r="L48" s="30">
        <v>0</v>
      </c>
    </row>
    <row r="49" spans="1:12">
      <c r="A49">
        <v>139931</v>
      </c>
      <c r="B49" t="s">
        <v>103</v>
      </c>
      <c r="C49" t="s">
        <v>285</v>
      </c>
      <c r="D49" s="68" t="s">
        <v>284</v>
      </c>
      <c r="E49" s="30">
        <v>1</v>
      </c>
      <c r="F49" s="30">
        <v>1</v>
      </c>
      <c r="G49" s="71">
        <v>113369</v>
      </c>
      <c r="H49" s="30">
        <v>0</v>
      </c>
      <c r="I49" s="30">
        <v>2</v>
      </c>
      <c r="J49" s="30">
        <v>2</v>
      </c>
      <c r="K49" s="30">
        <v>110091</v>
      </c>
      <c r="L49" s="30">
        <v>0</v>
      </c>
    </row>
    <row r="50" spans="1:12">
      <c r="A50">
        <v>139940</v>
      </c>
      <c r="B50" t="s">
        <v>104</v>
      </c>
      <c r="C50" t="s">
        <v>285</v>
      </c>
      <c r="D50" s="68" t="s">
        <v>284</v>
      </c>
      <c r="E50" s="30">
        <v>1</v>
      </c>
      <c r="F50" s="30">
        <v>1</v>
      </c>
      <c r="G50" s="71">
        <v>126587</v>
      </c>
      <c r="H50" s="30">
        <v>0</v>
      </c>
      <c r="I50" s="30">
        <v>2</v>
      </c>
      <c r="J50" s="30">
        <v>2</v>
      </c>
      <c r="K50" s="30">
        <v>137408</v>
      </c>
      <c r="L50" s="30">
        <v>0</v>
      </c>
    </row>
    <row r="51" spans="1:12">
      <c r="A51">
        <v>139755</v>
      </c>
      <c r="B51" t="s">
        <v>105</v>
      </c>
      <c r="C51" t="s">
        <v>285</v>
      </c>
      <c r="D51" s="68" t="s">
        <v>284</v>
      </c>
      <c r="E51" s="30">
        <v>1</v>
      </c>
      <c r="F51" s="30">
        <v>1</v>
      </c>
      <c r="G51" s="30">
        <v>303249</v>
      </c>
      <c r="H51" s="30">
        <v>0</v>
      </c>
      <c r="I51" s="30">
        <v>2</v>
      </c>
      <c r="J51" s="30">
        <v>2</v>
      </c>
      <c r="K51" s="30">
        <v>237732</v>
      </c>
      <c r="L51" s="30">
        <v>0</v>
      </c>
    </row>
    <row r="52" spans="1:12">
      <c r="A52">
        <v>159009</v>
      </c>
      <c r="B52" t="s">
        <v>106</v>
      </c>
      <c r="C52" t="s">
        <v>285</v>
      </c>
      <c r="D52" s="61" t="s">
        <v>284</v>
      </c>
      <c r="E52" s="30">
        <v>1</v>
      </c>
      <c r="F52" s="30">
        <v>1</v>
      </c>
      <c r="G52" s="30">
        <v>74258</v>
      </c>
      <c r="H52" s="30">
        <v>0</v>
      </c>
      <c r="I52" s="30">
        <v>1</v>
      </c>
      <c r="J52" s="30">
        <v>1</v>
      </c>
      <c r="K52" s="30">
        <v>34837</v>
      </c>
      <c r="L52" s="30">
        <v>0</v>
      </c>
    </row>
    <row r="53" spans="1:12">
      <c r="A53">
        <v>225511</v>
      </c>
      <c r="B53" t="s">
        <v>108</v>
      </c>
      <c r="C53" t="s">
        <v>285</v>
      </c>
      <c r="D53" s="68" t="s">
        <v>284</v>
      </c>
      <c r="E53" s="30">
        <v>1</v>
      </c>
      <c r="F53" s="30">
        <v>1</v>
      </c>
      <c r="G53" s="30">
        <v>189286</v>
      </c>
      <c r="H53" s="30">
        <v>0</v>
      </c>
      <c r="I53" s="30">
        <v>2</v>
      </c>
      <c r="J53" s="30">
        <v>2</v>
      </c>
      <c r="K53" s="30">
        <v>191318</v>
      </c>
      <c r="L53" s="30">
        <v>0</v>
      </c>
    </row>
    <row r="54" spans="1:12">
      <c r="A54">
        <v>142285</v>
      </c>
      <c r="B54" t="s">
        <v>109</v>
      </c>
      <c r="C54" t="s">
        <v>285</v>
      </c>
      <c r="D54" s="61" t="s">
        <v>284</v>
      </c>
      <c r="E54" s="30">
        <v>1</v>
      </c>
      <c r="F54" s="30">
        <v>1</v>
      </c>
      <c r="G54" s="30">
        <v>137065</v>
      </c>
      <c r="H54" s="30">
        <v>7500</v>
      </c>
      <c r="I54" s="30">
        <v>3</v>
      </c>
      <c r="J54" s="30">
        <v>3</v>
      </c>
      <c r="K54" s="30">
        <v>149463</v>
      </c>
      <c r="L54" s="30">
        <v>0</v>
      </c>
    </row>
    <row r="55" spans="1:12">
      <c r="A55">
        <v>142276</v>
      </c>
      <c r="B55" t="s">
        <v>110</v>
      </c>
      <c r="C55" t="s">
        <v>285</v>
      </c>
      <c r="D55" s="61" t="s">
        <v>284</v>
      </c>
      <c r="E55" s="30">
        <v>1</v>
      </c>
      <c r="F55" s="30">
        <v>1</v>
      </c>
      <c r="G55" s="30">
        <v>92412</v>
      </c>
      <c r="H55" s="30">
        <v>0</v>
      </c>
      <c r="I55" s="30">
        <v>2</v>
      </c>
      <c r="J55" s="30">
        <v>1.5</v>
      </c>
      <c r="K55" s="30">
        <v>60876</v>
      </c>
      <c r="L55" s="30">
        <v>0</v>
      </c>
    </row>
    <row r="56" spans="1:12">
      <c r="A56">
        <v>145637</v>
      </c>
      <c r="B56" t="s">
        <v>111</v>
      </c>
      <c r="C56" t="s">
        <v>285</v>
      </c>
      <c r="D56" s="68" t="s">
        <v>284</v>
      </c>
      <c r="E56" s="47">
        <v>1</v>
      </c>
      <c r="F56" s="47">
        <v>1</v>
      </c>
      <c r="G56" s="47">
        <v>462579</v>
      </c>
      <c r="H56" s="47">
        <v>0</v>
      </c>
      <c r="I56" s="47">
        <v>2</v>
      </c>
      <c r="J56" s="47">
        <v>2</v>
      </c>
      <c r="K56" s="47">
        <v>289274</v>
      </c>
      <c r="L56" s="47">
        <v>0</v>
      </c>
    </row>
    <row r="57" spans="1:12">
      <c r="A57">
        <v>145600</v>
      </c>
      <c r="B57" t="s">
        <v>112</v>
      </c>
      <c r="C57" t="s">
        <v>285</v>
      </c>
      <c r="D57" s="61" t="s">
        <v>284</v>
      </c>
      <c r="E57" s="30">
        <v>1</v>
      </c>
      <c r="F57" s="30">
        <v>1</v>
      </c>
      <c r="G57" s="30">
        <v>147483</v>
      </c>
      <c r="H57" s="30">
        <v>0</v>
      </c>
      <c r="I57" s="30">
        <v>2</v>
      </c>
      <c r="J57" s="30">
        <v>2</v>
      </c>
      <c r="K57" s="30">
        <v>112952</v>
      </c>
      <c r="L57" s="30">
        <v>0</v>
      </c>
    </row>
    <row r="58" spans="1:12">
      <c r="A58">
        <v>145813</v>
      </c>
      <c r="B58" t="s">
        <v>113</v>
      </c>
      <c r="C58" t="s">
        <v>285</v>
      </c>
      <c r="D58" s="61" t="s">
        <v>284</v>
      </c>
      <c r="E58" s="30">
        <v>1</v>
      </c>
      <c r="F58" s="30">
        <v>1</v>
      </c>
      <c r="G58" s="30">
        <v>168437</v>
      </c>
      <c r="H58" s="30">
        <v>0</v>
      </c>
      <c r="I58" s="30">
        <v>2</v>
      </c>
      <c r="J58" s="30">
        <v>2</v>
      </c>
      <c r="K58" s="30">
        <v>123342</v>
      </c>
      <c r="L58" s="30">
        <v>0</v>
      </c>
    </row>
    <row r="59" spans="1:12">
      <c r="A59">
        <v>151351</v>
      </c>
      <c r="B59" t="s">
        <v>114</v>
      </c>
      <c r="C59" t="s">
        <v>285</v>
      </c>
      <c r="D59" s="68" t="s">
        <v>284</v>
      </c>
      <c r="E59" s="47">
        <v>1</v>
      </c>
      <c r="F59" s="47">
        <v>1</v>
      </c>
      <c r="G59" s="47">
        <v>351267</v>
      </c>
      <c r="H59" s="47">
        <v>0</v>
      </c>
      <c r="I59" s="47">
        <v>2</v>
      </c>
      <c r="J59" s="47">
        <v>2</v>
      </c>
      <c r="K59" s="47">
        <v>234624</v>
      </c>
      <c r="L59" s="47">
        <v>0</v>
      </c>
    </row>
    <row r="60" spans="1:12">
      <c r="A60">
        <v>151324</v>
      </c>
      <c r="B60" t="s">
        <v>115</v>
      </c>
      <c r="C60" t="s">
        <v>285</v>
      </c>
      <c r="D60" s="61" t="s">
        <v>284</v>
      </c>
      <c r="E60" s="30">
        <v>1</v>
      </c>
      <c r="F60" s="30">
        <v>1</v>
      </c>
      <c r="G60" s="30">
        <v>93898</v>
      </c>
      <c r="H60" s="30">
        <v>0</v>
      </c>
      <c r="I60" s="30">
        <v>2</v>
      </c>
      <c r="J60" s="30">
        <v>1.5</v>
      </c>
      <c r="K60" s="30">
        <v>39907</v>
      </c>
      <c r="L60" s="30">
        <v>0</v>
      </c>
    </row>
    <row r="61" spans="1:12">
      <c r="A61">
        <v>153658</v>
      </c>
      <c r="B61" t="s">
        <v>116</v>
      </c>
      <c r="C61" t="s">
        <v>285</v>
      </c>
      <c r="D61" s="68" t="s">
        <v>284</v>
      </c>
      <c r="E61" s="30">
        <v>1</v>
      </c>
      <c r="F61" s="30">
        <v>1</v>
      </c>
      <c r="G61" s="30">
        <v>655075</v>
      </c>
      <c r="H61" s="30">
        <v>0</v>
      </c>
      <c r="I61" s="30">
        <v>2</v>
      </c>
      <c r="J61" s="30">
        <v>2</v>
      </c>
      <c r="K61" s="30">
        <v>285694</v>
      </c>
      <c r="L61" s="30">
        <v>0</v>
      </c>
    </row>
    <row r="62" spans="1:12">
      <c r="A62">
        <v>153603</v>
      </c>
      <c r="B62" t="s">
        <v>117</v>
      </c>
      <c r="C62" t="s">
        <v>285</v>
      </c>
      <c r="D62" s="68" t="s">
        <v>284</v>
      </c>
      <c r="E62" s="30">
        <v>1</v>
      </c>
      <c r="F62" s="30">
        <v>1</v>
      </c>
      <c r="G62" s="30">
        <v>313070</v>
      </c>
      <c r="H62" s="30">
        <v>0</v>
      </c>
      <c r="I62" s="30">
        <v>2</v>
      </c>
      <c r="J62" s="30">
        <v>2</v>
      </c>
      <c r="K62" s="30">
        <v>225501</v>
      </c>
      <c r="L62" s="30">
        <v>0</v>
      </c>
    </row>
    <row r="63" spans="1:12">
      <c r="A63">
        <v>151111</v>
      </c>
      <c r="B63" t="s">
        <v>118</v>
      </c>
      <c r="C63" t="s">
        <v>285</v>
      </c>
      <c r="D63" s="61" t="s">
        <v>284</v>
      </c>
      <c r="E63" s="30">
        <v>1</v>
      </c>
      <c r="F63" s="30">
        <v>1</v>
      </c>
      <c r="G63" s="30">
        <v>80895</v>
      </c>
      <c r="H63" s="30">
        <v>0</v>
      </c>
      <c r="I63" s="30">
        <v>1</v>
      </c>
      <c r="J63" s="30">
        <v>1</v>
      </c>
      <c r="K63" s="30">
        <v>44272</v>
      </c>
      <c r="L63" s="30">
        <v>0</v>
      </c>
    </row>
    <row r="64" spans="1:12">
      <c r="A64">
        <v>232423</v>
      </c>
      <c r="B64" t="s">
        <v>121</v>
      </c>
      <c r="C64" t="s">
        <v>285</v>
      </c>
      <c r="D64" s="61" t="s">
        <v>284</v>
      </c>
      <c r="E64" s="30">
        <v>1</v>
      </c>
      <c r="F64" s="30">
        <v>1</v>
      </c>
      <c r="G64" s="30">
        <v>145558</v>
      </c>
      <c r="H64" s="30">
        <v>0</v>
      </c>
      <c r="I64" s="30">
        <v>2</v>
      </c>
      <c r="J64" s="30">
        <v>2</v>
      </c>
      <c r="K64" s="30">
        <v>131448</v>
      </c>
      <c r="L64" s="30">
        <v>0</v>
      </c>
    </row>
    <row r="65" spans="1:12">
      <c r="A65">
        <v>155317</v>
      </c>
      <c r="B65" t="s">
        <v>122</v>
      </c>
      <c r="C65" t="s">
        <v>285</v>
      </c>
      <c r="D65" s="68" t="s">
        <v>284</v>
      </c>
      <c r="E65" s="30">
        <v>1</v>
      </c>
      <c r="F65" s="30">
        <v>1</v>
      </c>
      <c r="G65" s="30">
        <v>259848</v>
      </c>
      <c r="H65" s="30">
        <v>0</v>
      </c>
      <c r="I65" s="30">
        <v>2</v>
      </c>
      <c r="J65" s="30">
        <v>2</v>
      </c>
      <c r="K65" s="30">
        <v>247483</v>
      </c>
      <c r="L65" s="30">
        <v>0</v>
      </c>
    </row>
    <row r="66" spans="1:12">
      <c r="A66">
        <v>155399</v>
      </c>
      <c r="B66" t="s">
        <v>123</v>
      </c>
      <c r="C66" t="s">
        <v>285</v>
      </c>
      <c r="D66" s="61" t="s">
        <v>284</v>
      </c>
      <c r="E66" s="30">
        <v>1</v>
      </c>
      <c r="F66" s="30">
        <v>1</v>
      </c>
      <c r="G66" s="30">
        <v>234437</v>
      </c>
      <c r="H66" s="30">
        <v>0</v>
      </c>
      <c r="I66" s="30">
        <v>2</v>
      </c>
      <c r="J66" s="30">
        <v>2</v>
      </c>
      <c r="K66" s="30">
        <v>292711</v>
      </c>
      <c r="L66" s="30">
        <v>0</v>
      </c>
    </row>
    <row r="67" spans="1:12">
      <c r="A67">
        <v>203517</v>
      </c>
      <c r="B67" t="s">
        <v>125</v>
      </c>
      <c r="C67" t="s">
        <v>285</v>
      </c>
      <c r="D67" s="68" t="s">
        <v>284</v>
      </c>
      <c r="E67" s="30">
        <v>1</v>
      </c>
      <c r="F67" s="30">
        <v>1</v>
      </c>
      <c r="G67" s="30">
        <v>130770</v>
      </c>
      <c r="H67" s="30">
        <v>0</v>
      </c>
      <c r="I67" s="30">
        <v>2</v>
      </c>
      <c r="J67" s="30">
        <v>2</v>
      </c>
      <c r="K67" s="30">
        <v>112880</v>
      </c>
      <c r="L67" s="30">
        <v>0</v>
      </c>
    </row>
    <row r="68" spans="1:12">
      <c r="A68">
        <v>157085</v>
      </c>
      <c r="B68" t="s">
        <v>126</v>
      </c>
      <c r="C68" t="s">
        <v>285</v>
      </c>
      <c r="D68" s="68" t="s">
        <v>284</v>
      </c>
      <c r="E68" s="30">
        <v>1</v>
      </c>
      <c r="F68" s="30">
        <v>1</v>
      </c>
      <c r="G68" s="30">
        <v>494937</v>
      </c>
      <c r="H68" s="30">
        <v>0</v>
      </c>
      <c r="I68" s="30">
        <v>2</v>
      </c>
      <c r="J68" s="30">
        <v>2</v>
      </c>
      <c r="K68" s="30">
        <v>343367</v>
      </c>
      <c r="L68" s="30">
        <v>0</v>
      </c>
    </row>
    <row r="69" spans="1:12" ht="16" thickBot="1">
      <c r="A69">
        <v>226091</v>
      </c>
      <c r="B69" t="s">
        <v>127</v>
      </c>
      <c r="C69" t="s">
        <v>285</v>
      </c>
      <c r="D69" s="64" t="s">
        <v>284</v>
      </c>
      <c r="E69" s="30">
        <v>1</v>
      </c>
      <c r="F69" s="30">
        <v>1</v>
      </c>
      <c r="G69" s="30">
        <v>77249</v>
      </c>
      <c r="H69" s="30">
        <v>0</v>
      </c>
      <c r="I69" s="30">
        <v>2</v>
      </c>
      <c r="J69" s="30">
        <v>2</v>
      </c>
      <c r="K69" s="30">
        <v>71485</v>
      </c>
      <c r="L69" s="30">
        <v>0</v>
      </c>
    </row>
    <row r="70" spans="1:12" ht="16" thickBot="1">
      <c r="A70">
        <v>110583</v>
      </c>
      <c r="B70" t="s">
        <v>128</v>
      </c>
      <c r="C70" t="s">
        <v>285</v>
      </c>
      <c r="D70" s="64" t="s">
        <v>284</v>
      </c>
      <c r="E70" s="30">
        <v>1</v>
      </c>
      <c r="F70" s="30">
        <v>1</v>
      </c>
      <c r="G70" s="30">
        <v>343840</v>
      </c>
      <c r="H70" s="30">
        <v>0</v>
      </c>
      <c r="I70" s="30">
        <v>2</v>
      </c>
      <c r="J70" s="30">
        <v>2</v>
      </c>
      <c r="K70" s="30">
        <v>167812</v>
      </c>
      <c r="L70" s="30">
        <v>0</v>
      </c>
    </row>
    <row r="71" spans="1:12" ht="16" thickBot="1">
      <c r="A71">
        <v>160658</v>
      </c>
      <c r="B71" s="66" t="s">
        <v>130</v>
      </c>
      <c r="C71" s="66" t="s">
        <v>285</v>
      </c>
      <c r="D71" s="73" t="s">
        <v>284</v>
      </c>
      <c r="E71" s="47">
        <v>1</v>
      </c>
      <c r="F71" s="47">
        <v>1</v>
      </c>
      <c r="G71" s="47">
        <v>110939</v>
      </c>
      <c r="H71" s="47">
        <v>0</v>
      </c>
      <c r="I71" s="47">
        <v>2</v>
      </c>
      <c r="J71" s="47">
        <v>2</v>
      </c>
      <c r="K71" s="47">
        <v>100876</v>
      </c>
      <c r="L71" s="47">
        <v>0</v>
      </c>
    </row>
    <row r="72" spans="1:12" ht="16" thickBot="1">
      <c r="A72">
        <v>159647</v>
      </c>
      <c r="B72" t="s">
        <v>132</v>
      </c>
      <c r="C72" t="s">
        <v>285</v>
      </c>
      <c r="D72" s="65" t="s">
        <v>284</v>
      </c>
      <c r="E72" s="30">
        <v>1</v>
      </c>
      <c r="F72" s="30">
        <v>1</v>
      </c>
      <c r="G72" s="30">
        <v>101354</v>
      </c>
      <c r="H72" s="30">
        <v>0</v>
      </c>
      <c r="I72" s="30">
        <v>2</v>
      </c>
      <c r="J72" s="30">
        <v>2</v>
      </c>
      <c r="K72" s="30">
        <v>84950</v>
      </c>
      <c r="L72" s="30">
        <v>0</v>
      </c>
    </row>
    <row r="73" spans="1:12" ht="16" thickBot="1">
      <c r="A73">
        <v>157289</v>
      </c>
      <c r="B73" t="s">
        <v>133</v>
      </c>
      <c r="C73" t="s">
        <v>285</v>
      </c>
      <c r="D73" s="65" t="s">
        <v>284</v>
      </c>
      <c r="E73" s="30">
        <v>1</v>
      </c>
      <c r="F73" s="30">
        <v>1</v>
      </c>
      <c r="G73" s="30">
        <v>489892</v>
      </c>
      <c r="H73" s="30">
        <v>0</v>
      </c>
      <c r="I73" s="30">
        <v>2</v>
      </c>
      <c r="J73" s="30">
        <v>2</v>
      </c>
      <c r="K73" s="30">
        <v>353321</v>
      </c>
      <c r="L73" s="30">
        <v>0</v>
      </c>
    </row>
    <row r="74" spans="1:12" ht="16" thickBot="1">
      <c r="A74">
        <v>159391</v>
      </c>
      <c r="B74" t="s">
        <v>134</v>
      </c>
      <c r="C74" t="s">
        <v>285</v>
      </c>
      <c r="D74" s="65" t="s">
        <v>284</v>
      </c>
      <c r="E74" s="30">
        <v>1</v>
      </c>
      <c r="F74" s="30">
        <v>1</v>
      </c>
      <c r="G74" s="30">
        <v>498118</v>
      </c>
      <c r="H74" s="30">
        <v>0</v>
      </c>
      <c r="I74" s="30">
        <v>2</v>
      </c>
      <c r="J74" s="30">
        <v>2</v>
      </c>
      <c r="K74" s="30">
        <v>307164</v>
      </c>
      <c r="L74" s="30">
        <v>0</v>
      </c>
    </row>
    <row r="75" spans="1:12" ht="16" thickBot="1">
      <c r="A75">
        <v>237525</v>
      </c>
      <c r="B75" t="s">
        <v>136</v>
      </c>
      <c r="C75" t="s">
        <v>285</v>
      </c>
      <c r="D75" s="65" t="s">
        <v>284</v>
      </c>
      <c r="E75" s="30">
        <v>1</v>
      </c>
      <c r="F75" s="30">
        <v>1</v>
      </c>
      <c r="G75" s="30">
        <v>129335</v>
      </c>
      <c r="H75" s="30">
        <v>0</v>
      </c>
      <c r="I75" s="30">
        <v>2</v>
      </c>
      <c r="J75" s="30">
        <v>2</v>
      </c>
      <c r="K75" s="30">
        <v>121101</v>
      </c>
      <c r="L75" s="30">
        <v>0</v>
      </c>
    </row>
    <row r="76" spans="1:12" ht="16" thickBot="1">
      <c r="A76">
        <v>163286</v>
      </c>
      <c r="B76" t="s">
        <v>137</v>
      </c>
      <c r="C76" t="s">
        <v>285</v>
      </c>
      <c r="D76" s="65" t="s">
        <v>284</v>
      </c>
      <c r="E76" s="30">
        <v>1</v>
      </c>
      <c r="F76" s="30">
        <v>1</v>
      </c>
      <c r="G76" s="30">
        <v>224274</v>
      </c>
      <c r="H76" s="30">
        <v>0</v>
      </c>
      <c r="I76" s="30">
        <v>2</v>
      </c>
      <c r="J76" s="30">
        <v>2</v>
      </c>
      <c r="K76" s="30">
        <v>184129</v>
      </c>
      <c r="L76" s="30">
        <v>0</v>
      </c>
    </row>
    <row r="77" spans="1:12" ht="16" thickBot="1">
      <c r="A77">
        <v>163268</v>
      </c>
      <c r="B77" t="s">
        <v>138</v>
      </c>
      <c r="C77" t="s">
        <v>285</v>
      </c>
      <c r="D77" s="64" t="s">
        <v>284</v>
      </c>
      <c r="E77" s="30">
        <v>1</v>
      </c>
      <c r="F77" s="30">
        <v>1</v>
      </c>
      <c r="G77" s="30">
        <v>96637</v>
      </c>
      <c r="H77" s="30">
        <v>0</v>
      </c>
      <c r="I77" s="30">
        <v>1</v>
      </c>
      <c r="J77" s="30">
        <v>1</v>
      </c>
      <c r="K77" s="30">
        <v>41124</v>
      </c>
      <c r="L77" s="30">
        <v>0</v>
      </c>
    </row>
    <row r="78" spans="1:12" ht="16" thickBot="1">
      <c r="A78">
        <v>163338</v>
      </c>
      <c r="B78" t="s">
        <v>139</v>
      </c>
      <c r="C78" t="s">
        <v>285</v>
      </c>
      <c r="D78" s="64" t="s">
        <v>284</v>
      </c>
      <c r="E78" s="30">
        <v>1</v>
      </c>
      <c r="F78" s="30">
        <v>1</v>
      </c>
      <c r="G78" s="30">
        <v>92000</v>
      </c>
      <c r="H78" s="30">
        <v>0</v>
      </c>
      <c r="I78" s="30">
        <v>1</v>
      </c>
      <c r="J78" s="30">
        <v>1</v>
      </c>
      <c r="K78" s="30">
        <v>66617</v>
      </c>
      <c r="L78" s="30">
        <v>0</v>
      </c>
    </row>
    <row r="79" spans="1:12" ht="16" thickBot="1">
      <c r="A79">
        <v>159717</v>
      </c>
      <c r="B79" t="s">
        <v>142</v>
      </c>
      <c r="C79" t="s">
        <v>285</v>
      </c>
      <c r="D79" s="64" t="s">
        <v>284</v>
      </c>
      <c r="E79" s="30">
        <v>1</v>
      </c>
      <c r="F79" s="30">
        <v>0.83</v>
      </c>
      <c r="G79" s="30">
        <v>51250</v>
      </c>
      <c r="H79" s="30">
        <v>0</v>
      </c>
      <c r="I79" s="30">
        <v>1</v>
      </c>
      <c r="J79" s="30">
        <v>0.83</v>
      </c>
      <c r="K79" s="30">
        <v>56901</v>
      </c>
      <c r="L79" s="30">
        <v>0</v>
      </c>
    </row>
    <row r="80" spans="1:12">
      <c r="A80">
        <v>204024</v>
      </c>
      <c r="B80" t="s">
        <v>144</v>
      </c>
      <c r="C80" t="s">
        <v>285</v>
      </c>
      <c r="D80" s="68" t="s">
        <v>284</v>
      </c>
      <c r="E80" s="30">
        <v>1</v>
      </c>
      <c r="F80" s="30">
        <v>1</v>
      </c>
      <c r="G80" s="30">
        <v>169716</v>
      </c>
      <c r="H80" s="30">
        <v>0</v>
      </c>
      <c r="I80" s="30">
        <v>2</v>
      </c>
      <c r="J80" s="30">
        <v>2</v>
      </c>
      <c r="K80" s="30">
        <v>131570</v>
      </c>
      <c r="L80" s="30">
        <v>0</v>
      </c>
    </row>
    <row r="81" spans="1:12" ht="16" thickBot="1">
      <c r="A81">
        <v>170976</v>
      </c>
      <c r="B81" t="s">
        <v>145</v>
      </c>
      <c r="C81" t="s">
        <v>285</v>
      </c>
      <c r="D81" s="65" t="s">
        <v>284</v>
      </c>
      <c r="E81" s="30">
        <v>1</v>
      </c>
      <c r="F81" s="30">
        <v>1</v>
      </c>
      <c r="G81" s="30">
        <v>279294</v>
      </c>
      <c r="H81" s="30">
        <v>0</v>
      </c>
      <c r="I81" s="30">
        <v>2</v>
      </c>
      <c r="J81" s="30">
        <v>2</v>
      </c>
      <c r="K81" s="30">
        <v>243444</v>
      </c>
      <c r="L81" s="30">
        <v>0</v>
      </c>
    </row>
    <row r="82" spans="1:12" ht="16" thickBot="1">
      <c r="A82">
        <v>171100</v>
      </c>
      <c r="B82" t="s">
        <v>146</v>
      </c>
      <c r="C82" t="s">
        <v>285</v>
      </c>
      <c r="D82" s="72" t="s">
        <v>284</v>
      </c>
      <c r="E82" s="30">
        <v>1</v>
      </c>
      <c r="F82" s="30">
        <v>1</v>
      </c>
      <c r="G82" s="30">
        <v>389967</v>
      </c>
      <c r="H82" s="30">
        <v>0</v>
      </c>
      <c r="I82" s="30">
        <v>2</v>
      </c>
      <c r="J82" s="30">
        <v>2</v>
      </c>
      <c r="K82" s="30">
        <v>280903</v>
      </c>
      <c r="L82" s="30">
        <v>0</v>
      </c>
    </row>
    <row r="83" spans="1:12" ht="16" thickBot="1">
      <c r="A83">
        <v>220978</v>
      </c>
      <c r="B83" t="s">
        <v>147</v>
      </c>
      <c r="C83" t="s">
        <v>285</v>
      </c>
      <c r="D83" s="64" t="s">
        <v>284</v>
      </c>
      <c r="E83" s="30">
        <v>1</v>
      </c>
      <c r="F83" s="30">
        <v>0.81</v>
      </c>
      <c r="G83" s="30">
        <v>98727</v>
      </c>
      <c r="H83" s="30">
        <v>0</v>
      </c>
      <c r="I83" s="30">
        <v>2</v>
      </c>
      <c r="J83" s="30">
        <v>2</v>
      </c>
      <c r="K83" s="30">
        <v>107534</v>
      </c>
      <c r="L83" s="30">
        <v>0</v>
      </c>
    </row>
    <row r="84" spans="1:12" ht="16" thickBot="1">
      <c r="A84">
        <v>174066</v>
      </c>
      <c r="B84" t="s">
        <v>148</v>
      </c>
      <c r="C84" t="s">
        <v>285</v>
      </c>
      <c r="D84" s="65" t="s">
        <v>284</v>
      </c>
      <c r="E84" s="30">
        <v>1</v>
      </c>
      <c r="F84" s="30">
        <v>1</v>
      </c>
      <c r="G84" s="30">
        <v>961757</v>
      </c>
      <c r="H84" s="30">
        <v>0</v>
      </c>
      <c r="I84" s="30">
        <v>2</v>
      </c>
      <c r="J84" s="30">
        <v>2</v>
      </c>
      <c r="K84" s="30">
        <v>273548</v>
      </c>
      <c r="L84" s="30">
        <v>0</v>
      </c>
    </row>
    <row r="85" spans="1:12" ht="16" thickBot="1">
      <c r="A85">
        <v>176017</v>
      </c>
      <c r="B85" t="s">
        <v>149</v>
      </c>
      <c r="C85" t="s">
        <v>285</v>
      </c>
      <c r="D85" s="64" t="s">
        <v>284</v>
      </c>
      <c r="E85" s="30">
        <v>1</v>
      </c>
      <c r="F85" s="30">
        <v>1</v>
      </c>
      <c r="G85" s="30">
        <v>267622</v>
      </c>
      <c r="H85" s="30">
        <v>0</v>
      </c>
      <c r="I85" s="30">
        <v>2</v>
      </c>
      <c r="J85" s="30">
        <v>2</v>
      </c>
      <c r="K85" s="30">
        <v>255574</v>
      </c>
      <c r="L85" s="30">
        <v>0</v>
      </c>
    </row>
    <row r="86" spans="1:12" ht="16" thickBot="1">
      <c r="A86">
        <v>176080</v>
      </c>
      <c r="B86" t="s">
        <v>150</v>
      </c>
      <c r="C86" t="s">
        <v>285</v>
      </c>
      <c r="D86" s="64" t="s">
        <v>284</v>
      </c>
      <c r="E86" s="30">
        <v>1</v>
      </c>
      <c r="F86" s="30">
        <v>1</v>
      </c>
      <c r="G86" s="30">
        <v>276772</v>
      </c>
      <c r="H86" s="30">
        <v>0</v>
      </c>
      <c r="I86" s="30">
        <v>2</v>
      </c>
      <c r="J86" s="30">
        <v>2</v>
      </c>
      <c r="K86" s="30">
        <v>182906</v>
      </c>
      <c r="L86" s="30">
        <v>0</v>
      </c>
    </row>
    <row r="87" spans="1:12" ht="16" thickBot="1">
      <c r="A87">
        <v>178396</v>
      </c>
      <c r="B87" t="s">
        <v>152</v>
      </c>
      <c r="C87" t="s">
        <v>285</v>
      </c>
      <c r="D87" s="65" t="s">
        <v>284</v>
      </c>
      <c r="E87" s="30">
        <v>1</v>
      </c>
      <c r="F87" s="30">
        <v>1</v>
      </c>
      <c r="G87" s="30">
        <v>191785</v>
      </c>
      <c r="H87" s="30">
        <v>0</v>
      </c>
      <c r="I87" s="30">
        <v>2</v>
      </c>
      <c r="J87" s="30">
        <v>2</v>
      </c>
      <c r="K87" s="30">
        <v>216191</v>
      </c>
      <c r="L87" s="30">
        <v>0</v>
      </c>
    </row>
    <row r="88" spans="1:12" ht="16" thickBot="1">
      <c r="A88">
        <v>178402</v>
      </c>
      <c r="B88" t="s">
        <v>153</v>
      </c>
      <c r="C88" t="s">
        <v>285</v>
      </c>
      <c r="D88" s="64" t="s">
        <v>284</v>
      </c>
      <c r="E88" s="30">
        <v>1</v>
      </c>
      <c r="F88" s="30">
        <v>1</v>
      </c>
      <c r="G88" s="30">
        <v>112349</v>
      </c>
      <c r="H88" s="30">
        <v>0</v>
      </c>
      <c r="I88" s="30">
        <v>1</v>
      </c>
      <c r="J88" s="30">
        <v>1</v>
      </c>
      <c r="K88" s="30">
        <v>63391</v>
      </c>
      <c r="L88" s="30">
        <v>0</v>
      </c>
    </row>
    <row r="89" spans="1:12" ht="16" thickBot="1">
      <c r="A89">
        <v>179566</v>
      </c>
      <c r="B89" t="s">
        <v>154</v>
      </c>
      <c r="C89" t="s">
        <v>285</v>
      </c>
      <c r="D89" s="61" t="s">
        <v>284</v>
      </c>
      <c r="E89" s="30">
        <v>1</v>
      </c>
      <c r="F89" s="30">
        <v>1</v>
      </c>
      <c r="G89" s="30">
        <v>165101</v>
      </c>
      <c r="H89" s="30">
        <v>0</v>
      </c>
      <c r="I89" s="30">
        <v>2</v>
      </c>
      <c r="J89" s="30">
        <v>2</v>
      </c>
      <c r="K89" s="30">
        <v>138720</v>
      </c>
      <c r="L89" s="30">
        <v>0</v>
      </c>
    </row>
    <row r="90" spans="1:12" ht="16" thickBot="1">
      <c r="A90">
        <v>180489</v>
      </c>
      <c r="B90" t="s">
        <v>155</v>
      </c>
      <c r="C90" t="s">
        <v>285</v>
      </c>
      <c r="D90" s="67" t="s">
        <v>284</v>
      </c>
      <c r="E90" s="30">
        <v>1</v>
      </c>
      <c r="F90" s="30">
        <v>1</v>
      </c>
      <c r="G90" s="30">
        <v>92422</v>
      </c>
      <c r="H90" s="30">
        <v>6500</v>
      </c>
      <c r="I90" s="30">
        <v>2</v>
      </c>
      <c r="J90" s="30">
        <v>2</v>
      </c>
      <c r="K90" s="30">
        <v>118132</v>
      </c>
      <c r="L90" s="30">
        <v>7350</v>
      </c>
    </row>
    <row r="91" spans="1:12" ht="16" thickBot="1">
      <c r="A91">
        <v>180461</v>
      </c>
      <c r="B91" t="s">
        <v>156</v>
      </c>
      <c r="C91" t="s">
        <v>285</v>
      </c>
      <c r="D91" s="64" t="s">
        <v>284</v>
      </c>
      <c r="E91" s="30">
        <v>1</v>
      </c>
      <c r="F91" s="30">
        <v>1</v>
      </c>
      <c r="G91" s="30">
        <v>139568</v>
      </c>
      <c r="H91" s="30">
        <v>0</v>
      </c>
      <c r="I91" s="30">
        <v>2</v>
      </c>
      <c r="J91" s="30">
        <v>2</v>
      </c>
      <c r="K91" s="30">
        <v>212097</v>
      </c>
      <c r="L91" s="30">
        <v>0</v>
      </c>
    </row>
    <row r="92" spans="1:12" ht="16" thickBot="1">
      <c r="A92">
        <v>163453</v>
      </c>
      <c r="B92" t="s">
        <v>158</v>
      </c>
      <c r="C92" t="s">
        <v>285</v>
      </c>
      <c r="D92" s="64" t="s">
        <v>284</v>
      </c>
      <c r="E92" s="30">
        <v>1</v>
      </c>
      <c r="F92" s="30">
        <v>1</v>
      </c>
      <c r="G92" s="30">
        <v>65494</v>
      </c>
      <c r="H92" s="30">
        <v>0</v>
      </c>
      <c r="I92" s="30">
        <v>1</v>
      </c>
      <c r="J92" s="30">
        <v>1</v>
      </c>
      <c r="K92" s="30">
        <v>18156</v>
      </c>
      <c r="L92" s="30">
        <v>0</v>
      </c>
    </row>
    <row r="93" spans="1:12" ht="16" thickBot="1">
      <c r="A93">
        <v>181464</v>
      </c>
      <c r="B93" t="s">
        <v>161</v>
      </c>
      <c r="C93" t="s">
        <v>285</v>
      </c>
      <c r="D93" s="65" t="s">
        <v>284</v>
      </c>
      <c r="E93" s="30">
        <v>1</v>
      </c>
      <c r="F93" s="30">
        <v>0.92</v>
      </c>
      <c r="G93" s="30">
        <v>789726</v>
      </c>
      <c r="H93" s="30">
        <v>0</v>
      </c>
      <c r="I93" s="30">
        <v>2</v>
      </c>
      <c r="J93" s="30">
        <v>1.92</v>
      </c>
      <c r="K93" s="30">
        <v>332706</v>
      </c>
      <c r="L93" s="30">
        <v>0</v>
      </c>
    </row>
    <row r="94" spans="1:12" ht="16" thickBot="1">
      <c r="A94">
        <v>181394</v>
      </c>
      <c r="B94" t="s">
        <v>162</v>
      </c>
      <c r="C94" t="s">
        <v>285</v>
      </c>
      <c r="D94" s="64" t="s">
        <v>284</v>
      </c>
      <c r="E94" s="30">
        <v>1</v>
      </c>
      <c r="F94" s="30">
        <v>1</v>
      </c>
      <c r="G94" s="30">
        <v>125471</v>
      </c>
      <c r="H94" s="30">
        <v>0</v>
      </c>
      <c r="I94" s="30">
        <v>2</v>
      </c>
      <c r="J94" s="30">
        <v>2</v>
      </c>
      <c r="K94" s="30">
        <v>114800</v>
      </c>
      <c r="L94" s="30">
        <v>0</v>
      </c>
    </row>
    <row r="95" spans="1:12" ht="16" thickBot="1">
      <c r="A95">
        <v>182290</v>
      </c>
      <c r="B95" t="s">
        <v>163</v>
      </c>
      <c r="C95" t="s">
        <v>285</v>
      </c>
      <c r="D95" s="64" t="s">
        <v>284</v>
      </c>
      <c r="E95" s="30">
        <v>1</v>
      </c>
      <c r="F95" s="30">
        <v>1</v>
      </c>
      <c r="G95" s="30">
        <v>172004</v>
      </c>
      <c r="H95" s="30">
        <v>0</v>
      </c>
      <c r="I95" s="30">
        <v>2</v>
      </c>
      <c r="J95" s="30">
        <v>2</v>
      </c>
      <c r="K95" s="30">
        <v>125971</v>
      </c>
      <c r="L95" s="30">
        <v>0</v>
      </c>
    </row>
    <row r="96" spans="1:12" ht="16" thickBot="1">
      <c r="A96">
        <v>183044</v>
      </c>
      <c r="B96" t="s">
        <v>164</v>
      </c>
      <c r="C96" t="s">
        <v>285</v>
      </c>
      <c r="D96" s="64" t="s">
        <v>284</v>
      </c>
      <c r="E96" s="30">
        <v>1</v>
      </c>
      <c r="F96" s="30">
        <v>1</v>
      </c>
      <c r="G96" s="30">
        <v>118487</v>
      </c>
      <c r="H96" s="30">
        <v>0</v>
      </c>
      <c r="I96" s="30">
        <v>1</v>
      </c>
      <c r="J96" s="30">
        <v>1</v>
      </c>
      <c r="K96" s="30">
        <v>67155</v>
      </c>
      <c r="L96" s="30">
        <v>0</v>
      </c>
    </row>
    <row r="97" spans="1:12">
      <c r="A97">
        <v>187985</v>
      </c>
      <c r="B97" t="s">
        <v>165</v>
      </c>
      <c r="C97" t="s">
        <v>285</v>
      </c>
      <c r="D97" s="61" t="s">
        <v>284</v>
      </c>
      <c r="E97" s="30">
        <v>1</v>
      </c>
      <c r="F97" s="30">
        <v>1</v>
      </c>
      <c r="G97" s="30">
        <v>165660</v>
      </c>
      <c r="H97" s="30">
        <v>0</v>
      </c>
      <c r="I97" s="30">
        <v>2</v>
      </c>
      <c r="J97" s="30">
        <v>2</v>
      </c>
      <c r="K97" s="30">
        <v>145855</v>
      </c>
      <c r="L97" s="30">
        <v>0</v>
      </c>
    </row>
    <row r="98" spans="1:12" ht="16" thickBot="1">
      <c r="A98">
        <v>188030</v>
      </c>
      <c r="B98" t="s">
        <v>166</v>
      </c>
      <c r="C98" t="s">
        <v>285</v>
      </c>
      <c r="D98" s="64" t="s">
        <v>284</v>
      </c>
      <c r="E98" s="30">
        <v>1</v>
      </c>
      <c r="F98" s="30">
        <v>1</v>
      </c>
      <c r="G98" s="30">
        <v>149659</v>
      </c>
      <c r="H98" s="30">
        <v>0</v>
      </c>
      <c r="I98" s="30">
        <v>2</v>
      </c>
      <c r="J98" s="30">
        <v>2</v>
      </c>
      <c r="K98" s="30">
        <v>144892</v>
      </c>
      <c r="L98" s="30">
        <v>0</v>
      </c>
    </row>
    <row r="99" spans="1:12" ht="16" thickBot="1">
      <c r="A99">
        <v>159966</v>
      </c>
      <c r="B99" t="s">
        <v>168</v>
      </c>
      <c r="C99" t="s">
        <v>285</v>
      </c>
      <c r="D99" s="64" t="s">
        <v>284</v>
      </c>
      <c r="E99" s="30">
        <v>1</v>
      </c>
      <c r="F99" s="30">
        <v>1</v>
      </c>
      <c r="G99" s="30">
        <v>69147</v>
      </c>
      <c r="H99" s="30">
        <v>0</v>
      </c>
      <c r="I99" s="30">
        <v>1</v>
      </c>
      <c r="J99" s="30">
        <v>1</v>
      </c>
      <c r="K99" s="30">
        <v>22925</v>
      </c>
      <c r="L99" s="30">
        <v>0</v>
      </c>
    </row>
    <row r="100" spans="1:12" ht="16" thickBot="1">
      <c r="A100">
        <v>185828</v>
      </c>
      <c r="B100" t="s">
        <v>169</v>
      </c>
      <c r="C100" t="s">
        <v>285</v>
      </c>
      <c r="D100" s="64" t="s">
        <v>284</v>
      </c>
      <c r="E100" s="30">
        <v>1</v>
      </c>
      <c r="F100" s="30">
        <v>1</v>
      </c>
      <c r="G100" s="30">
        <v>138940</v>
      </c>
      <c r="H100" s="30">
        <v>0</v>
      </c>
      <c r="I100" s="30">
        <v>1</v>
      </c>
      <c r="J100" s="30">
        <v>0.75</v>
      </c>
      <c r="K100" s="30">
        <v>49187</v>
      </c>
      <c r="L100" s="30">
        <v>0</v>
      </c>
    </row>
    <row r="101" spans="1:12" ht="16" thickBot="1">
      <c r="A101">
        <v>199120</v>
      </c>
      <c r="B101" t="s">
        <v>172</v>
      </c>
      <c r="C101" t="s">
        <v>285</v>
      </c>
      <c r="D101" s="64" t="s">
        <v>284</v>
      </c>
      <c r="E101" s="30">
        <v>1</v>
      </c>
      <c r="F101" s="30">
        <v>1</v>
      </c>
      <c r="G101" s="30">
        <v>292356</v>
      </c>
      <c r="H101" s="30">
        <v>0</v>
      </c>
      <c r="I101" s="30">
        <v>2</v>
      </c>
      <c r="J101" s="30">
        <v>2</v>
      </c>
      <c r="K101" s="30">
        <v>208020</v>
      </c>
      <c r="L101" s="30">
        <v>0</v>
      </c>
    </row>
    <row r="102" spans="1:12" ht="16" thickBot="1">
      <c r="A102">
        <v>199102</v>
      </c>
      <c r="B102" t="s">
        <v>173</v>
      </c>
      <c r="C102" t="s">
        <v>285</v>
      </c>
      <c r="D102" s="64" t="s">
        <v>284</v>
      </c>
      <c r="E102" s="30">
        <v>1</v>
      </c>
      <c r="F102" s="30">
        <v>1</v>
      </c>
      <c r="G102" s="30">
        <v>90189</v>
      </c>
      <c r="H102" s="30">
        <v>0</v>
      </c>
      <c r="I102" s="30">
        <v>2</v>
      </c>
      <c r="J102" s="30">
        <v>2</v>
      </c>
      <c r="K102" s="30">
        <v>54853</v>
      </c>
      <c r="L102" s="30">
        <v>0</v>
      </c>
    </row>
    <row r="103" spans="1:12" ht="16" thickBot="1">
      <c r="A103">
        <v>199111</v>
      </c>
      <c r="B103" t="s">
        <v>275</v>
      </c>
      <c r="C103" t="s">
        <v>285</v>
      </c>
      <c r="D103" s="64" t="s">
        <v>284</v>
      </c>
      <c r="E103" s="30">
        <v>1</v>
      </c>
      <c r="F103" s="30">
        <v>1</v>
      </c>
      <c r="G103" s="30">
        <v>74425</v>
      </c>
      <c r="H103" s="30">
        <v>0</v>
      </c>
      <c r="I103" s="30">
        <v>1</v>
      </c>
      <c r="J103" s="30">
        <v>1</v>
      </c>
      <c r="K103" s="30">
        <v>49096</v>
      </c>
      <c r="L103" s="30">
        <v>0</v>
      </c>
    </row>
    <row r="104" spans="1:12">
      <c r="A104">
        <v>199157</v>
      </c>
      <c r="B104" t="s">
        <v>174</v>
      </c>
      <c r="C104" t="s">
        <v>285</v>
      </c>
      <c r="D104" s="61" t="s">
        <v>284</v>
      </c>
      <c r="E104" s="30">
        <v>1</v>
      </c>
      <c r="F104" s="30">
        <v>1</v>
      </c>
      <c r="G104" s="30">
        <v>85319</v>
      </c>
      <c r="H104" s="30">
        <v>0</v>
      </c>
      <c r="I104" s="30">
        <v>1</v>
      </c>
      <c r="J104" s="30">
        <v>1</v>
      </c>
      <c r="K104" s="30">
        <v>48721</v>
      </c>
      <c r="L104" s="30">
        <v>0</v>
      </c>
    </row>
    <row r="105" spans="1:12" ht="16" thickBot="1">
      <c r="A105">
        <v>199148</v>
      </c>
      <c r="B105" t="s">
        <v>276</v>
      </c>
      <c r="C105" t="s">
        <v>285</v>
      </c>
      <c r="D105" s="64" t="s">
        <v>284</v>
      </c>
      <c r="E105" s="30">
        <v>1</v>
      </c>
      <c r="F105" s="30">
        <v>1</v>
      </c>
      <c r="G105" s="30">
        <v>88259</v>
      </c>
      <c r="H105" s="30">
        <v>0</v>
      </c>
      <c r="I105" s="30">
        <v>1</v>
      </c>
      <c r="J105" s="30">
        <v>1</v>
      </c>
      <c r="K105" s="30">
        <v>68188</v>
      </c>
      <c r="L105" s="30">
        <v>0</v>
      </c>
    </row>
    <row r="106" spans="1:12">
      <c r="A106">
        <v>199193</v>
      </c>
      <c r="B106" t="s">
        <v>175</v>
      </c>
      <c r="C106" t="s">
        <v>285</v>
      </c>
      <c r="D106" s="68" t="s">
        <v>284</v>
      </c>
      <c r="E106" s="30">
        <v>1</v>
      </c>
      <c r="F106" s="30">
        <v>1</v>
      </c>
      <c r="G106" s="30">
        <v>238807</v>
      </c>
      <c r="H106" s="30">
        <v>0</v>
      </c>
      <c r="I106" s="30">
        <v>2</v>
      </c>
      <c r="J106" s="30">
        <v>2</v>
      </c>
      <c r="K106" s="30">
        <v>225822</v>
      </c>
      <c r="L106" s="30">
        <v>0</v>
      </c>
    </row>
    <row r="107" spans="1:12" ht="16" thickBot="1">
      <c r="A107">
        <v>199218</v>
      </c>
      <c r="B107" t="s">
        <v>176</v>
      </c>
      <c r="C107" t="s">
        <v>285</v>
      </c>
      <c r="D107" s="64" t="s">
        <v>284</v>
      </c>
      <c r="E107" s="30">
        <v>1</v>
      </c>
      <c r="F107" s="30">
        <v>0.5</v>
      </c>
      <c r="G107" s="30">
        <v>48503</v>
      </c>
      <c r="H107" s="30">
        <v>0</v>
      </c>
      <c r="I107" s="30">
        <v>2</v>
      </c>
      <c r="J107" s="30">
        <v>1.75</v>
      </c>
      <c r="K107" s="30">
        <v>85196</v>
      </c>
      <c r="L107" s="30">
        <v>0</v>
      </c>
    </row>
    <row r="108" spans="1:12" ht="16" thickBot="1">
      <c r="A108">
        <v>200280</v>
      </c>
      <c r="B108" t="s">
        <v>177</v>
      </c>
      <c r="C108" t="s">
        <v>285</v>
      </c>
      <c r="D108" s="64" t="s">
        <v>284</v>
      </c>
      <c r="E108" s="30">
        <v>1</v>
      </c>
      <c r="F108" s="30">
        <v>1</v>
      </c>
      <c r="G108" s="30">
        <v>132395</v>
      </c>
      <c r="H108" s="30">
        <v>0</v>
      </c>
      <c r="I108" s="30">
        <v>2</v>
      </c>
      <c r="J108" s="30">
        <v>2</v>
      </c>
      <c r="K108" s="30">
        <v>111526</v>
      </c>
      <c r="L108" s="30">
        <v>0</v>
      </c>
    </row>
    <row r="109" spans="1:12" ht="16" thickBot="1">
      <c r="A109">
        <v>200332</v>
      </c>
      <c r="B109" t="s">
        <v>178</v>
      </c>
      <c r="C109" t="s">
        <v>285</v>
      </c>
      <c r="D109" s="64" t="s">
        <v>284</v>
      </c>
      <c r="E109" s="30">
        <v>1</v>
      </c>
      <c r="F109" s="30">
        <v>1</v>
      </c>
      <c r="G109" s="30">
        <v>144058</v>
      </c>
      <c r="H109" s="30">
        <v>0</v>
      </c>
      <c r="I109" s="30">
        <v>2</v>
      </c>
      <c r="J109" s="30">
        <v>2</v>
      </c>
      <c r="K109" s="30">
        <v>195458</v>
      </c>
      <c r="L109" s="30">
        <v>0</v>
      </c>
    </row>
    <row r="110" spans="1:12" ht="16" thickBot="1">
      <c r="A110">
        <v>136172</v>
      </c>
      <c r="B110" t="s">
        <v>179</v>
      </c>
      <c r="C110" t="s">
        <v>285</v>
      </c>
      <c r="D110" s="64" t="s">
        <v>284</v>
      </c>
      <c r="E110" s="30">
        <v>1</v>
      </c>
      <c r="F110" s="30">
        <v>1</v>
      </c>
      <c r="G110" s="30">
        <v>113738</v>
      </c>
      <c r="H110" s="30">
        <v>0</v>
      </c>
      <c r="I110" s="30">
        <v>2</v>
      </c>
      <c r="J110" s="30">
        <v>2</v>
      </c>
      <c r="K110" s="30">
        <v>93354</v>
      </c>
      <c r="L110" s="30">
        <v>0</v>
      </c>
    </row>
    <row r="111" spans="1:12" ht="16" thickBot="1">
      <c r="A111">
        <v>227216</v>
      </c>
      <c r="B111" t="s">
        <v>180</v>
      </c>
      <c r="C111" t="s">
        <v>285</v>
      </c>
      <c r="D111" s="65" t="s">
        <v>284</v>
      </c>
      <c r="E111" s="30">
        <v>1</v>
      </c>
      <c r="F111" s="30">
        <v>1</v>
      </c>
      <c r="G111" s="30">
        <v>149756</v>
      </c>
      <c r="H111" s="30">
        <v>0</v>
      </c>
      <c r="I111" s="30">
        <v>2</v>
      </c>
      <c r="J111" s="30">
        <v>2</v>
      </c>
      <c r="K111" s="30">
        <v>129805</v>
      </c>
      <c r="L111" s="30">
        <v>0</v>
      </c>
    </row>
    <row r="112" spans="1:12" ht="16" thickBot="1">
      <c r="A112">
        <v>105330</v>
      </c>
      <c r="B112" t="s">
        <v>181</v>
      </c>
      <c r="C112" t="s">
        <v>285</v>
      </c>
      <c r="D112" s="64" t="s">
        <v>284</v>
      </c>
      <c r="E112" s="30">
        <v>1</v>
      </c>
      <c r="F112" s="30">
        <v>1</v>
      </c>
      <c r="G112" s="30">
        <v>148768</v>
      </c>
      <c r="H112" s="30">
        <v>0</v>
      </c>
      <c r="I112" s="30">
        <v>2</v>
      </c>
      <c r="J112" s="30">
        <v>1.5</v>
      </c>
      <c r="K112" s="30">
        <v>91102</v>
      </c>
      <c r="L112" s="30">
        <v>0</v>
      </c>
    </row>
    <row r="113" spans="1:12" ht="16" thickBot="1">
      <c r="A113">
        <v>127741</v>
      </c>
      <c r="B113" t="s">
        <v>182</v>
      </c>
      <c r="C113" t="s">
        <v>285</v>
      </c>
      <c r="D113" s="64" t="s">
        <v>284</v>
      </c>
      <c r="E113" s="30">
        <v>1</v>
      </c>
      <c r="F113" s="30">
        <v>1</v>
      </c>
      <c r="G113" s="30">
        <v>172471</v>
      </c>
      <c r="H113" s="30">
        <v>0</v>
      </c>
      <c r="I113" s="30">
        <v>3</v>
      </c>
      <c r="J113" s="30">
        <v>2.5</v>
      </c>
      <c r="K113" s="30">
        <v>113713</v>
      </c>
      <c r="L113" s="30">
        <v>0</v>
      </c>
    </row>
    <row r="114" spans="1:12" ht="16" thickBot="1">
      <c r="A114">
        <v>154095</v>
      </c>
      <c r="B114" t="s">
        <v>184</v>
      </c>
      <c r="C114" t="s">
        <v>285</v>
      </c>
      <c r="D114" s="64" t="s">
        <v>284</v>
      </c>
      <c r="E114" s="30">
        <v>1</v>
      </c>
      <c r="F114" s="30">
        <v>1</v>
      </c>
      <c r="G114" s="30">
        <v>207148</v>
      </c>
      <c r="H114" s="30">
        <v>0</v>
      </c>
      <c r="I114" s="30">
        <v>2</v>
      </c>
      <c r="J114" s="30">
        <v>2</v>
      </c>
      <c r="K114" s="30">
        <v>168768</v>
      </c>
      <c r="L114" s="30">
        <v>0</v>
      </c>
    </row>
    <row r="115" spans="1:12" ht="16" thickBot="1">
      <c r="A115">
        <v>160038</v>
      </c>
      <c r="B115" t="s">
        <v>185</v>
      </c>
      <c r="C115" t="s">
        <v>285</v>
      </c>
      <c r="D115" s="61" t="s">
        <v>284</v>
      </c>
      <c r="E115" s="30">
        <v>1</v>
      </c>
      <c r="F115" s="30">
        <v>0.8</v>
      </c>
      <c r="G115" s="30">
        <v>92710</v>
      </c>
      <c r="H115" s="30">
        <v>0</v>
      </c>
      <c r="I115" s="30">
        <v>2</v>
      </c>
      <c r="J115" s="30">
        <v>0.8</v>
      </c>
      <c r="K115" s="30">
        <v>52389</v>
      </c>
      <c r="L115" s="30">
        <v>0</v>
      </c>
    </row>
    <row r="116" spans="1:12" ht="16" thickBot="1">
      <c r="A116">
        <v>171571</v>
      </c>
      <c r="B116" t="s">
        <v>186</v>
      </c>
      <c r="C116" t="s">
        <v>285</v>
      </c>
      <c r="D116" s="67" t="s">
        <v>284</v>
      </c>
      <c r="E116" s="30">
        <v>1</v>
      </c>
      <c r="F116" s="30">
        <v>1</v>
      </c>
      <c r="G116" s="30">
        <v>102604</v>
      </c>
      <c r="H116" s="30">
        <v>0</v>
      </c>
      <c r="I116" s="30">
        <v>2</v>
      </c>
      <c r="J116" s="30">
        <v>1.25</v>
      </c>
      <c r="K116" s="30">
        <v>79178</v>
      </c>
      <c r="L116" s="30">
        <v>0</v>
      </c>
    </row>
    <row r="117" spans="1:12" ht="16" thickBot="1">
      <c r="A117">
        <v>204857</v>
      </c>
      <c r="B117" t="s">
        <v>187</v>
      </c>
      <c r="C117" t="s">
        <v>285</v>
      </c>
      <c r="D117" s="65" t="s">
        <v>284</v>
      </c>
      <c r="E117" s="30">
        <v>1</v>
      </c>
      <c r="F117" s="30">
        <v>1</v>
      </c>
      <c r="G117" s="30">
        <v>181713</v>
      </c>
      <c r="H117" s="30">
        <v>0</v>
      </c>
      <c r="I117" s="30">
        <v>2</v>
      </c>
      <c r="J117" s="30">
        <v>2</v>
      </c>
      <c r="K117" s="30">
        <v>148797</v>
      </c>
      <c r="L117" s="30">
        <v>0</v>
      </c>
    </row>
    <row r="118" spans="1:12" ht="16" thickBot="1">
      <c r="A118">
        <v>204796</v>
      </c>
      <c r="B118" t="s">
        <v>188</v>
      </c>
      <c r="C118" t="s">
        <v>285</v>
      </c>
      <c r="D118" s="65" t="s">
        <v>284</v>
      </c>
      <c r="E118" s="30">
        <v>1</v>
      </c>
      <c r="F118" s="30">
        <v>1</v>
      </c>
      <c r="G118" s="71">
        <v>417899</v>
      </c>
      <c r="H118" s="30">
        <v>0</v>
      </c>
      <c r="I118" s="30">
        <v>2</v>
      </c>
      <c r="J118" s="30">
        <v>2</v>
      </c>
      <c r="K118" s="71">
        <v>296396</v>
      </c>
      <c r="L118" s="30">
        <v>0</v>
      </c>
    </row>
    <row r="119" spans="1:12" ht="16" thickBot="1">
      <c r="A119">
        <v>207500</v>
      </c>
      <c r="B119" s="66" t="s">
        <v>189</v>
      </c>
      <c r="C119" s="66" t="s">
        <v>285</v>
      </c>
      <c r="D119" s="65" t="s">
        <v>284</v>
      </c>
      <c r="E119" s="30">
        <v>1</v>
      </c>
      <c r="F119" s="30">
        <v>1</v>
      </c>
      <c r="G119" s="30">
        <v>259436</v>
      </c>
      <c r="H119" s="30">
        <v>0</v>
      </c>
      <c r="I119" s="30">
        <v>2</v>
      </c>
      <c r="J119" s="30">
        <v>2</v>
      </c>
      <c r="K119" s="30">
        <v>243027</v>
      </c>
      <c r="L119" s="30">
        <v>0</v>
      </c>
    </row>
    <row r="120" spans="1:12" ht="16" thickBot="1">
      <c r="A120">
        <v>232982</v>
      </c>
      <c r="B120" t="s">
        <v>191</v>
      </c>
      <c r="C120" t="s">
        <v>285</v>
      </c>
      <c r="D120" s="65" t="s">
        <v>284</v>
      </c>
      <c r="E120" s="59">
        <v>1</v>
      </c>
      <c r="F120" s="59">
        <v>1</v>
      </c>
      <c r="G120" s="59">
        <v>151551</v>
      </c>
      <c r="H120" s="59">
        <v>0</v>
      </c>
      <c r="I120" s="59">
        <v>2</v>
      </c>
      <c r="J120" s="59">
        <v>2</v>
      </c>
      <c r="K120" s="59">
        <v>131786</v>
      </c>
      <c r="L120" s="59">
        <v>0</v>
      </c>
    </row>
    <row r="121" spans="1:12" ht="16" thickBot="1">
      <c r="A121">
        <v>209551</v>
      </c>
      <c r="B121" t="s">
        <v>192</v>
      </c>
      <c r="C121" t="s">
        <v>285</v>
      </c>
      <c r="D121" s="65" t="s">
        <v>284</v>
      </c>
      <c r="E121" s="30">
        <v>1</v>
      </c>
      <c r="F121" s="30">
        <v>1</v>
      </c>
      <c r="G121" s="30">
        <v>252394</v>
      </c>
      <c r="H121" s="30">
        <v>3000</v>
      </c>
      <c r="I121" s="30">
        <v>2</v>
      </c>
      <c r="J121" s="30">
        <v>2</v>
      </c>
      <c r="K121" s="30">
        <v>249379</v>
      </c>
      <c r="L121" s="30">
        <v>5500</v>
      </c>
    </row>
    <row r="122" spans="1:12" ht="16" thickBot="1">
      <c r="A122">
        <v>209542</v>
      </c>
      <c r="B122" t="s">
        <v>193</v>
      </c>
      <c r="C122" t="s">
        <v>285</v>
      </c>
      <c r="D122" s="65" t="s">
        <v>284</v>
      </c>
      <c r="E122" s="30">
        <v>1</v>
      </c>
      <c r="F122" s="30">
        <v>1</v>
      </c>
      <c r="G122" s="30">
        <v>302587</v>
      </c>
      <c r="H122" s="30">
        <v>0</v>
      </c>
      <c r="I122" s="30">
        <v>2</v>
      </c>
      <c r="J122" s="30">
        <v>2</v>
      </c>
      <c r="K122" s="30">
        <v>225168</v>
      </c>
      <c r="L122" s="30">
        <v>0</v>
      </c>
    </row>
    <row r="123" spans="1:12" ht="16" thickBot="1">
      <c r="A123">
        <v>209807</v>
      </c>
      <c r="B123" t="s">
        <v>195</v>
      </c>
      <c r="C123" t="s">
        <v>285</v>
      </c>
      <c r="D123" s="64" t="s">
        <v>284</v>
      </c>
      <c r="E123" s="30">
        <v>1</v>
      </c>
      <c r="F123" s="30">
        <v>1</v>
      </c>
      <c r="G123" s="30">
        <v>163833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</row>
    <row r="124" spans="1:12" ht="16" thickBot="1">
      <c r="A124">
        <v>227526</v>
      </c>
      <c r="B124" t="s">
        <v>196</v>
      </c>
      <c r="C124" t="s">
        <v>285</v>
      </c>
      <c r="D124" s="64" t="s">
        <v>284</v>
      </c>
      <c r="E124" s="30">
        <v>1</v>
      </c>
      <c r="F124" s="30">
        <v>1</v>
      </c>
      <c r="G124" s="30">
        <v>68565</v>
      </c>
      <c r="H124" s="30">
        <v>0</v>
      </c>
      <c r="I124" s="30">
        <v>2</v>
      </c>
      <c r="J124" s="30">
        <v>1.5</v>
      </c>
      <c r="K124" s="30">
        <v>46647</v>
      </c>
      <c r="L124" s="30">
        <v>0</v>
      </c>
    </row>
    <row r="125" spans="1:12" ht="16" thickBot="1">
      <c r="A125">
        <v>243780</v>
      </c>
      <c r="B125" t="s">
        <v>197</v>
      </c>
      <c r="C125" t="s">
        <v>285</v>
      </c>
      <c r="D125" s="65" t="s">
        <v>284</v>
      </c>
      <c r="E125" s="30">
        <v>1</v>
      </c>
      <c r="F125" s="30">
        <v>1</v>
      </c>
      <c r="G125" s="30">
        <v>401055</v>
      </c>
      <c r="H125" s="30">
        <v>15099</v>
      </c>
      <c r="I125" s="30">
        <v>3</v>
      </c>
      <c r="J125" s="30">
        <v>2.5</v>
      </c>
      <c r="K125" s="30">
        <v>283922</v>
      </c>
      <c r="L125" s="30">
        <v>7573</v>
      </c>
    </row>
    <row r="126" spans="1:12" ht="16" thickBot="1">
      <c r="A126">
        <v>151102</v>
      </c>
      <c r="B126" t="s">
        <v>198</v>
      </c>
      <c r="C126" t="s">
        <v>285</v>
      </c>
      <c r="D126" s="64" t="s">
        <v>284</v>
      </c>
      <c r="E126" s="30">
        <v>1</v>
      </c>
      <c r="F126" s="30">
        <v>1</v>
      </c>
      <c r="G126" s="30">
        <v>89223</v>
      </c>
      <c r="H126" s="30">
        <v>0</v>
      </c>
      <c r="I126" s="30">
        <v>2</v>
      </c>
      <c r="J126" s="30">
        <v>1.5</v>
      </c>
      <c r="K126" s="30">
        <v>78208</v>
      </c>
      <c r="L126" s="30">
        <v>0</v>
      </c>
    </row>
    <row r="127" spans="1:12" ht="16" thickBot="1">
      <c r="A127">
        <v>233277</v>
      </c>
      <c r="B127" t="s">
        <v>199</v>
      </c>
      <c r="C127" t="s">
        <v>285</v>
      </c>
      <c r="D127" s="64" t="s">
        <v>284</v>
      </c>
      <c r="E127" s="30">
        <v>1</v>
      </c>
      <c r="F127" s="30">
        <v>1</v>
      </c>
      <c r="G127" s="30">
        <v>73500</v>
      </c>
      <c r="H127" s="30">
        <v>0</v>
      </c>
      <c r="I127" s="30">
        <v>1</v>
      </c>
      <c r="J127" s="30">
        <v>1</v>
      </c>
      <c r="K127" s="30">
        <v>77910</v>
      </c>
      <c r="L127" s="30">
        <v>0</v>
      </c>
    </row>
    <row r="128" spans="1:12" ht="16" thickBot="1">
      <c r="A128">
        <v>217484</v>
      </c>
      <c r="B128" t="s">
        <v>200</v>
      </c>
      <c r="C128" t="s">
        <v>285</v>
      </c>
      <c r="D128" s="64" t="s">
        <v>284</v>
      </c>
      <c r="E128" s="30">
        <v>1</v>
      </c>
      <c r="F128" s="30">
        <v>1</v>
      </c>
      <c r="G128" s="30">
        <v>87268</v>
      </c>
      <c r="H128" s="30">
        <v>0</v>
      </c>
      <c r="I128" s="30">
        <v>1</v>
      </c>
      <c r="J128" s="30">
        <v>1</v>
      </c>
      <c r="K128" s="30">
        <v>44018</v>
      </c>
      <c r="L128" s="30">
        <v>0</v>
      </c>
    </row>
    <row r="129" spans="1:12">
      <c r="A129">
        <v>186380</v>
      </c>
      <c r="B129" t="s">
        <v>201</v>
      </c>
      <c r="C129" t="s">
        <v>285</v>
      </c>
      <c r="D129" s="68" t="s">
        <v>284</v>
      </c>
      <c r="E129" s="30">
        <v>1</v>
      </c>
      <c r="F129" s="30">
        <v>1</v>
      </c>
      <c r="G129" s="30">
        <v>338407</v>
      </c>
      <c r="H129" s="30">
        <v>0</v>
      </c>
      <c r="I129" s="30">
        <v>2</v>
      </c>
      <c r="J129" s="30">
        <v>2</v>
      </c>
      <c r="K129" s="30">
        <v>187739</v>
      </c>
      <c r="L129" s="30">
        <v>0</v>
      </c>
    </row>
    <row r="130" spans="1:12" ht="16" thickBot="1">
      <c r="A130">
        <v>110617</v>
      </c>
      <c r="B130" t="s">
        <v>202</v>
      </c>
      <c r="C130" t="s">
        <v>285</v>
      </c>
      <c r="D130" s="64" t="s">
        <v>284</v>
      </c>
      <c r="E130" s="30">
        <v>1</v>
      </c>
      <c r="F130" s="30">
        <v>0.7</v>
      </c>
      <c r="G130" s="30">
        <v>105439</v>
      </c>
      <c r="H130" s="30">
        <v>0</v>
      </c>
      <c r="I130" s="30">
        <v>2</v>
      </c>
      <c r="J130" s="30">
        <v>1.5</v>
      </c>
      <c r="K130" s="30">
        <v>165746</v>
      </c>
      <c r="L130" s="30">
        <v>0</v>
      </c>
    </row>
    <row r="131" spans="1:12" ht="16" thickBot="1">
      <c r="A131">
        <v>227881</v>
      </c>
      <c r="B131" t="s">
        <v>203</v>
      </c>
      <c r="C131" t="s">
        <v>285</v>
      </c>
      <c r="D131" s="64" t="s">
        <v>284</v>
      </c>
      <c r="E131" s="30">
        <v>1</v>
      </c>
      <c r="F131" s="30">
        <v>1</v>
      </c>
      <c r="G131" s="30">
        <v>149108</v>
      </c>
      <c r="H131" s="30">
        <v>0</v>
      </c>
      <c r="I131" s="30">
        <v>1</v>
      </c>
      <c r="J131" s="30">
        <v>1</v>
      </c>
      <c r="K131" s="30">
        <v>54150</v>
      </c>
      <c r="L131" s="30">
        <v>0</v>
      </c>
    </row>
    <row r="132" spans="1:12" ht="16" thickBot="1">
      <c r="A132">
        <v>122409</v>
      </c>
      <c r="B132" t="s">
        <v>204</v>
      </c>
      <c r="C132" t="s">
        <v>285</v>
      </c>
      <c r="D132" s="65" t="s">
        <v>284</v>
      </c>
      <c r="E132" s="30">
        <v>1</v>
      </c>
      <c r="F132" s="30">
        <v>1</v>
      </c>
      <c r="G132" s="30">
        <v>230106</v>
      </c>
      <c r="H132" s="30">
        <v>0</v>
      </c>
      <c r="I132" s="30">
        <v>2</v>
      </c>
      <c r="J132" s="30">
        <v>2</v>
      </c>
      <c r="K132" s="30">
        <v>233000</v>
      </c>
      <c r="L132" s="30">
        <v>0</v>
      </c>
    </row>
    <row r="133" spans="1:12" ht="16" thickBot="1">
      <c r="A133">
        <v>122755</v>
      </c>
      <c r="B133" t="s">
        <v>205</v>
      </c>
      <c r="C133" t="s">
        <v>285</v>
      </c>
      <c r="D133" s="65" t="s">
        <v>284</v>
      </c>
      <c r="E133" s="30">
        <v>1</v>
      </c>
      <c r="F133" s="30">
        <v>1</v>
      </c>
      <c r="G133" s="30">
        <v>99552</v>
      </c>
      <c r="H133" s="30">
        <v>0</v>
      </c>
      <c r="I133" s="30">
        <v>2</v>
      </c>
      <c r="J133" s="30">
        <v>1</v>
      </c>
      <c r="K133" s="30">
        <v>114236</v>
      </c>
      <c r="L133" s="30">
        <v>0</v>
      </c>
    </row>
    <row r="134" spans="1:12" ht="33" thickBot="1">
      <c r="A134">
        <v>102094</v>
      </c>
      <c r="B134" t="s">
        <v>207</v>
      </c>
      <c r="C134" t="s">
        <v>285</v>
      </c>
      <c r="D134" s="70" t="s">
        <v>284</v>
      </c>
      <c r="E134" s="22">
        <v>1</v>
      </c>
      <c r="F134" s="22">
        <v>1</v>
      </c>
      <c r="G134" s="22">
        <v>122829</v>
      </c>
      <c r="H134" s="22">
        <v>0</v>
      </c>
      <c r="I134" s="22">
        <v>2</v>
      </c>
      <c r="J134" s="22">
        <v>2</v>
      </c>
      <c r="K134" s="22">
        <v>130850</v>
      </c>
      <c r="L134" s="22">
        <v>0</v>
      </c>
    </row>
    <row r="135" spans="1:12" ht="16" thickBot="1">
      <c r="A135">
        <v>218663</v>
      </c>
      <c r="B135" t="s">
        <v>208</v>
      </c>
      <c r="C135" t="s">
        <v>285</v>
      </c>
      <c r="D135" s="65" t="s">
        <v>284</v>
      </c>
      <c r="E135" s="59">
        <v>1</v>
      </c>
      <c r="F135" s="59">
        <v>1</v>
      </c>
      <c r="G135" s="59">
        <v>262281</v>
      </c>
      <c r="H135" s="59">
        <v>0</v>
      </c>
      <c r="I135" s="59">
        <v>2</v>
      </c>
      <c r="J135" s="59">
        <v>2</v>
      </c>
      <c r="K135" s="59">
        <v>228062</v>
      </c>
      <c r="L135" s="59">
        <v>0</v>
      </c>
    </row>
    <row r="136" spans="1:12" ht="16" thickBot="1">
      <c r="A136">
        <v>218742</v>
      </c>
      <c r="B136" t="s">
        <v>210</v>
      </c>
      <c r="C136" t="s">
        <v>285</v>
      </c>
      <c r="D136" s="64" t="s">
        <v>284</v>
      </c>
      <c r="E136" s="30">
        <v>1</v>
      </c>
      <c r="F136" s="30">
        <v>1</v>
      </c>
      <c r="G136" s="30">
        <v>92960</v>
      </c>
      <c r="H136" s="30">
        <v>0</v>
      </c>
      <c r="I136" s="30">
        <v>1</v>
      </c>
      <c r="J136" s="30">
        <v>1</v>
      </c>
      <c r="K136" s="30">
        <v>38143</v>
      </c>
      <c r="L136" s="30">
        <v>0</v>
      </c>
    </row>
    <row r="137" spans="1:12" ht="16" thickBot="1">
      <c r="A137">
        <v>219471</v>
      </c>
      <c r="B137" t="s">
        <v>211</v>
      </c>
      <c r="C137" t="s">
        <v>285</v>
      </c>
      <c r="D137" s="64" t="s">
        <v>284</v>
      </c>
      <c r="E137" s="30">
        <v>1</v>
      </c>
      <c r="F137" s="30">
        <v>1</v>
      </c>
      <c r="G137" s="30">
        <v>164823</v>
      </c>
      <c r="H137" s="30">
        <v>888</v>
      </c>
      <c r="I137" s="30">
        <v>2</v>
      </c>
      <c r="J137" s="30">
        <v>2</v>
      </c>
      <c r="K137" s="30">
        <v>158014</v>
      </c>
      <c r="L137" s="30">
        <v>0</v>
      </c>
    </row>
    <row r="138" spans="1:12" ht="16" thickBot="1">
      <c r="A138">
        <v>219356</v>
      </c>
      <c r="B138" t="s">
        <v>212</v>
      </c>
      <c r="C138" t="s">
        <v>285</v>
      </c>
      <c r="D138" s="64" t="s">
        <v>284</v>
      </c>
      <c r="E138" s="30">
        <v>1</v>
      </c>
      <c r="F138" s="30">
        <v>1</v>
      </c>
      <c r="G138" s="30">
        <v>103796</v>
      </c>
      <c r="H138" s="30">
        <v>0</v>
      </c>
      <c r="I138" s="30">
        <v>2</v>
      </c>
      <c r="J138" s="30">
        <v>2</v>
      </c>
      <c r="K138" s="30">
        <v>104230</v>
      </c>
      <c r="L138" s="30">
        <v>0</v>
      </c>
    </row>
    <row r="139" spans="1:12" ht="16" thickBot="1">
      <c r="A139">
        <v>137351</v>
      </c>
      <c r="B139" t="s">
        <v>213</v>
      </c>
      <c r="C139" t="s">
        <v>285</v>
      </c>
      <c r="D139" s="65" t="s">
        <v>284</v>
      </c>
      <c r="E139" s="30">
        <v>1</v>
      </c>
      <c r="F139" s="30">
        <v>1</v>
      </c>
      <c r="G139" s="30">
        <v>166393</v>
      </c>
      <c r="H139" s="30">
        <v>0</v>
      </c>
      <c r="I139" s="30">
        <v>2</v>
      </c>
      <c r="J139" s="30">
        <v>2</v>
      </c>
      <c r="K139" s="30">
        <v>94750</v>
      </c>
      <c r="L139" s="30">
        <v>0</v>
      </c>
    </row>
    <row r="140" spans="1:12" ht="16" thickBot="1">
      <c r="A140">
        <v>179557</v>
      </c>
      <c r="B140" t="s">
        <v>214</v>
      </c>
      <c r="C140" t="s">
        <v>285</v>
      </c>
      <c r="D140" s="64" t="s">
        <v>284</v>
      </c>
      <c r="E140" s="30">
        <v>1</v>
      </c>
      <c r="F140" s="30">
        <v>1</v>
      </c>
      <c r="G140" s="30">
        <v>98132</v>
      </c>
      <c r="H140" s="30">
        <v>0</v>
      </c>
      <c r="I140" s="30">
        <v>2</v>
      </c>
      <c r="J140" s="30">
        <v>2</v>
      </c>
      <c r="K140" s="30">
        <v>67881</v>
      </c>
      <c r="L140" s="30">
        <v>0</v>
      </c>
    </row>
    <row r="141" spans="1:12" ht="16" thickBot="1">
      <c r="A141">
        <v>160621</v>
      </c>
      <c r="B141" t="s">
        <v>216</v>
      </c>
      <c r="C141" t="s">
        <v>285</v>
      </c>
      <c r="D141" s="64" t="s">
        <v>284</v>
      </c>
      <c r="E141" s="30">
        <v>1</v>
      </c>
      <c r="F141" s="30">
        <v>1</v>
      </c>
      <c r="G141" s="30">
        <v>73621</v>
      </c>
      <c r="H141" s="30">
        <v>0</v>
      </c>
      <c r="I141" s="30">
        <v>1</v>
      </c>
      <c r="J141" s="30">
        <v>1</v>
      </c>
      <c r="K141" s="30">
        <v>38144</v>
      </c>
      <c r="L141" s="30">
        <v>0</v>
      </c>
    </row>
    <row r="142" spans="1:12" ht="16" thickBot="1">
      <c r="A142">
        <v>149231</v>
      </c>
      <c r="B142" t="s">
        <v>218</v>
      </c>
      <c r="C142" t="s">
        <v>285</v>
      </c>
      <c r="D142" s="61" t="s">
        <v>284</v>
      </c>
      <c r="E142" s="30">
        <v>1</v>
      </c>
      <c r="F142" s="30">
        <v>1</v>
      </c>
      <c r="G142" s="30">
        <v>70180</v>
      </c>
      <c r="H142" s="30">
        <v>0</v>
      </c>
      <c r="I142" s="30">
        <v>2</v>
      </c>
      <c r="J142" s="30">
        <v>1.83</v>
      </c>
      <c r="K142" s="30">
        <v>54020</v>
      </c>
      <c r="L142" s="30">
        <v>0</v>
      </c>
    </row>
    <row r="143" spans="1:12" ht="16" thickBot="1">
      <c r="A143">
        <v>176372</v>
      </c>
      <c r="B143" t="s">
        <v>219</v>
      </c>
      <c r="C143" t="s">
        <v>285</v>
      </c>
      <c r="D143" s="69" t="s">
        <v>284</v>
      </c>
      <c r="E143" s="30">
        <v>1</v>
      </c>
      <c r="F143" s="30">
        <v>1</v>
      </c>
      <c r="G143" s="30">
        <v>115143</v>
      </c>
      <c r="H143" s="30">
        <v>0</v>
      </c>
      <c r="I143" s="30">
        <v>2</v>
      </c>
      <c r="J143" s="30">
        <v>2</v>
      </c>
      <c r="K143" s="30">
        <v>125511</v>
      </c>
      <c r="L143" s="30">
        <v>0</v>
      </c>
    </row>
    <row r="144" spans="1:12" ht="16" thickBot="1">
      <c r="A144">
        <v>230603</v>
      </c>
      <c r="B144" t="s">
        <v>220</v>
      </c>
      <c r="C144" t="s">
        <v>285</v>
      </c>
      <c r="D144" s="64" t="s">
        <v>284</v>
      </c>
      <c r="E144" s="30">
        <v>1</v>
      </c>
      <c r="F144" s="30">
        <v>1</v>
      </c>
      <c r="G144" s="30">
        <v>132161</v>
      </c>
      <c r="H144" s="30">
        <v>0</v>
      </c>
      <c r="I144" s="30">
        <v>1</v>
      </c>
      <c r="J144" s="30">
        <v>1</v>
      </c>
      <c r="K144" s="30">
        <v>34375</v>
      </c>
      <c r="L144" s="30">
        <v>0</v>
      </c>
    </row>
    <row r="145" spans="1:12" ht="16" thickBot="1">
      <c r="A145">
        <v>228431</v>
      </c>
      <c r="B145" t="s">
        <v>221</v>
      </c>
      <c r="C145" t="s">
        <v>285</v>
      </c>
      <c r="D145" s="64" t="s">
        <v>284</v>
      </c>
      <c r="E145" s="30">
        <v>1</v>
      </c>
      <c r="F145" s="30">
        <v>1</v>
      </c>
      <c r="G145" s="30">
        <v>122275</v>
      </c>
      <c r="H145" s="30">
        <v>0</v>
      </c>
      <c r="I145" s="30">
        <v>2</v>
      </c>
      <c r="J145" s="30">
        <v>2</v>
      </c>
      <c r="K145" s="30">
        <v>111932</v>
      </c>
      <c r="L145" s="30">
        <v>0</v>
      </c>
    </row>
    <row r="146" spans="1:12" ht="16" thickBot="1">
      <c r="A146">
        <v>196097</v>
      </c>
      <c r="B146" t="s">
        <v>222</v>
      </c>
      <c r="C146" t="s">
        <v>285</v>
      </c>
      <c r="D146" s="64" t="s">
        <v>284</v>
      </c>
      <c r="E146" s="30">
        <v>1</v>
      </c>
      <c r="F146" s="30">
        <v>1</v>
      </c>
      <c r="G146" s="30">
        <v>213838</v>
      </c>
      <c r="H146" s="30">
        <v>0</v>
      </c>
      <c r="I146" s="30">
        <v>2</v>
      </c>
      <c r="J146" s="30">
        <v>1.86</v>
      </c>
      <c r="K146" s="30">
        <v>173340</v>
      </c>
      <c r="L146" s="30">
        <v>0</v>
      </c>
    </row>
    <row r="147" spans="1:12" ht="16" thickBot="1">
      <c r="A147">
        <v>221759</v>
      </c>
      <c r="B147" t="s">
        <v>223</v>
      </c>
      <c r="C147" t="s">
        <v>285</v>
      </c>
      <c r="D147" s="64" t="s">
        <v>284</v>
      </c>
      <c r="E147" s="30">
        <v>1</v>
      </c>
      <c r="F147" s="30">
        <v>1</v>
      </c>
      <c r="G147" s="30">
        <v>275278</v>
      </c>
      <c r="H147" s="30">
        <v>0</v>
      </c>
      <c r="I147" s="30">
        <v>2</v>
      </c>
      <c r="J147" s="30">
        <v>2</v>
      </c>
      <c r="K147" s="30">
        <v>264112</v>
      </c>
      <c r="L147" s="30">
        <v>0</v>
      </c>
    </row>
    <row r="148" spans="1:12" ht="16" thickBot="1">
      <c r="A148">
        <v>221740</v>
      </c>
      <c r="B148" t="s">
        <v>224</v>
      </c>
      <c r="C148" t="s">
        <v>285</v>
      </c>
      <c r="D148" s="64" t="s">
        <v>284</v>
      </c>
      <c r="E148" s="30">
        <v>1</v>
      </c>
      <c r="F148" s="30">
        <v>1</v>
      </c>
      <c r="G148" s="30">
        <v>140936</v>
      </c>
      <c r="H148" s="30">
        <v>0</v>
      </c>
      <c r="I148" s="30">
        <v>3</v>
      </c>
      <c r="J148" s="30">
        <v>1.5</v>
      </c>
      <c r="K148" s="30">
        <v>95386</v>
      </c>
      <c r="L148" s="30">
        <v>0</v>
      </c>
    </row>
    <row r="149" spans="1:12" ht="16" thickBot="1">
      <c r="A149">
        <v>221847</v>
      </c>
      <c r="B149" t="s">
        <v>227</v>
      </c>
      <c r="C149" t="s">
        <v>285</v>
      </c>
      <c r="D149" s="65" t="s">
        <v>284</v>
      </c>
      <c r="E149" s="59">
        <v>1</v>
      </c>
      <c r="F149" s="59">
        <v>1</v>
      </c>
      <c r="G149" s="59">
        <v>95102</v>
      </c>
      <c r="H149" s="59">
        <v>0</v>
      </c>
      <c r="I149" s="59">
        <v>2</v>
      </c>
      <c r="J149" s="59">
        <v>2</v>
      </c>
      <c r="K149" s="59">
        <v>116146</v>
      </c>
      <c r="L149" s="59">
        <v>0</v>
      </c>
    </row>
    <row r="150" spans="1:12">
      <c r="A150">
        <v>228778</v>
      </c>
      <c r="B150" t="s">
        <v>228</v>
      </c>
      <c r="C150" t="s">
        <v>285</v>
      </c>
      <c r="D150" s="61" t="s">
        <v>284</v>
      </c>
      <c r="E150" s="30">
        <v>1</v>
      </c>
      <c r="F150" s="30">
        <v>1</v>
      </c>
      <c r="G150" s="30">
        <v>957844</v>
      </c>
      <c r="H150" s="30">
        <v>0</v>
      </c>
      <c r="I150" s="30">
        <v>2</v>
      </c>
      <c r="J150" s="30">
        <v>2</v>
      </c>
      <c r="K150" s="30">
        <v>430364</v>
      </c>
      <c r="L150" s="30">
        <v>0</v>
      </c>
    </row>
    <row r="151" spans="1:12" ht="16" thickBot="1">
      <c r="A151">
        <v>228723</v>
      </c>
      <c r="B151" t="s">
        <v>229</v>
      </c>
      <c r="C151" t="s">
        <v>285</v>
      </c>
      <c r="D151" s="64" t="s">
        <v>284</v>
      </c>
      <c r="E151" s="30">
        <v>1</v>
      </c>
      <c r="F151" s="30">
        <v>1</v>
      </c>
      <c r="G151" s="30">
        <v>310316</v>
      </c>
      <c r="H151" s="30">
        <v>0</v>
      </c>
      <c r="I151" s="30">
        <v>2</v>
      </c>
      <c r="J151" s="30">
        <v>2</v>
      </c>
      <c r="K151" s="30">
        <v>425581</v>
      </c>
      <c r="L151" s="30">
        <v>0</v>
      </c>
    </row>
    <row r="152" spans="1:12" ht="16" thickBot="1">
      <c r="A152">
        <v>224147</v>
      </c>
      <c r="B152" t="s">
        <v>230</v>
      </c>
      <c r="C152" t="s">
        <v>285</v>
      </c>
      <c r="D152" s="64" t="s">
        <v>284</v>
      </c>
      <c r="E152" s="30">
        <v>1</v>
      </c>
      <c r="F152" s="30">
        <v>1</v>
      </c>
      <c r="G152" s="30">
        <v>134364</v>
      </c>
      <c r="H152" s="30">
        <v>0</v>
      </c>
      <c r="I152" s="30">
        <v>2</v>
      </c>
      <c r="J152" s="30">
        <v>2</v>
      </c>
      <c r="K152" s="30">
        <v>132022</v>
      </c>
      <c r="L152" s="30">
        <v>0</v>
      </c>
    </row>
    <row r="153" spans="1:12" ht="16" thickBot="1">
      <c r="A153">
        <v>228769</v>
      </c>
      <c r="B153" t="s">
        <v>231</v>
      </c>
      <c r="C153" t="s">
        <v>285</v>
      </c>
      <c r="D153" s="64" t="s">
        <v>284</v>
      </c>
      <c r="E153" s="30">
        <v>1</v>
      </c>
      <c r="F153" s="30">
        <v>1</v>
      </c>
      <c r="G153" s="30">
        <v>156099</v>
      </c>
      <c r="H153" s="30">
        <v>0</v>
      </c>
      <c r="I153" s="30">
        <v>2</v>
      </c>
      <c r="J153" s="30">
        <v>2</v>
      </c>
      <c r="K153" s="30">
        <v>145246</v>
      </c>
      <c r="L153" s="30">
        <v>0</v>
      </c>
    </row>
    <row r="154" spans="1:12" ht="16" thickBot="1">
      <c r="A154">
        <v>229063</v>
      </c>
      <c r="B154" t="s">
        <v>232</v>
      </c>
      <c r="C154" t="s">
        <v>285</v>
      </c>
      <c r="D154" s="65" t="s">
        <v>284</v>
      </c>
      <c r="E154" s="59">
        <v>1</v>
      </c>
      <c r="F154" s="59">
        <v>1</v>
      </c>
      <c r="G154" s="59">
        <v>70807</v>
      </c>
      <c r="H154" s="59">
        <v>0</v>
      </c>
      <c r="I154" s="59">
        <v>0</v>
      </c>
      <c r="J154" s="59">
        <v>0</v>
      </c>
      <c r="K154" s="59">
        <v>0</v>
      </c>
      <c r="L154" s="59">
        <v>0</v>
      </c>
    </row>
    <row r="155" spans="1:12" ht="16" thickBot="1">
      <c r="A155">
        <v>228459</v>
      </c>
      <c r="B155" t="s">
        <v>233</v>
      </c>
      <c r="C155" t="s">
        <v>285</v>
      </c>
      <c r="D155" s="64" t="s">
        <v>284</v>
      </c>
      <c r="E155" s="30">
        <v>1</v>
      </c>
      <c r="F155" s="30">
        <v>1</v>
      </c>
      <c r="G155" s="30">
        <v>121870</v>
      </c>
      <c r="H155" s="30">
        <v>0</v>
      </c>
      <c r="I155" s="30">
        <v>2</v>
      </c>
      <c r="J155" s="30">
        <v>2</v>
      </c>
      <c r="K155" s="30">
        <v>147736</v>
      </c>
      <c r="L155" s="30">
        <v>0</v>
      </c>
    </row>
    <row r="156" spans="1:12" ht="16" thickBot="1">
      <c r="A156">
        <v>229115</v>
      </c>
      <c r="B156" t="s">
        <v>234</v>
      </c>
      <c r="C156" t="s">
        <v>285</v>
      </c>
      <c r="D156" s="64" t="s">
        <v>284</v>
      </c>
      <c r="E156" s="30">
        <v>1</v>
      </c>
      <c r="F156" s="30">
        <v>1</v>
      </c>
      <c r="G156" s="30">
        <v>233975</v>
      </c>
      <c r="H156" s="30">
        <v>0</v>
      </c>
      <c r="I156" s="30">
        <v>2</v>
      </c>
      <c r="J156" s="30">
        <v>2</v>
      </c>
      <c r="K156" s="30">
        <v>187547</v>
      </c>
      <c r="L156" s="30">
        <v>0</v>
      </c>
    </row>
    <row r="157" spans="1:12" ht="16" thickBot="1">
      <c r="A157">
        <v>206084</v>
      </c>
      <c r="B157" t="s">
        <v>235</v>
      </c>
      <c r="C157" t="s">
        <v>285</v>
      </c>
      <c r="D157" s="64" t="s">
        <v>284</v>
      </c>
      <c r="E157" s="30">
        <v>1</v>
      </c>
      <c r="F157" s="30">
        <v>1</v>
      </c>
      <c r="G157" s="30">
        <v>125833</v>
      </c>
      <c r="H157" s="30">
        <v>0</v>
      </c>
      <c r="I157" s="30">
        <v>2</v>
      </c>
      <c r="J157" s="30">
        <v>2</v>
      </c>
      <c r="K157" s="30">
        <v>120040</v>
      </c>
      <c r="L157" s="30">
        <v>0</v>
      </c>
    </row>
    <row r="158" spans="1:12" ht="16" thickBot="1">
      <c r="A158">
        <v>164076</v>
      </c>
      <c r="B158" t="s">
        <v>236</v>
      </c>
      <c r="C158" t="s">
        <v>285</v>
      </c>
      <c r="D158" s="64" t="s">
        <v>284</v>
      </c>
      <c r="E158" s="30">
        <v>1</v>
      </c>
      <c r="F158" s="30">
        <v>1</v>
      </c>
      <c r="G158" s="30">
        <v>147202</v>
      </c>
      <c r="H158" s="30">
        <v>0</v>
      </c>
      <c r="I158" s="30">
        <v>2</v>
      </c>
      <c r="J158" s="30">
        <v>2</v>
      </c>
      <c r="K158" s="30">
        <v>139058</v>
      </c>
      <c r="L158" s="30">
        <v>0</v>
      </c>
    </row>
    <row r="159" spans="1:12" ht="16" thickBot="1">
      <c r="A159">
        <v>100663</v>
      </c>
      <c r="B159" t="s">
        <v>238</v>
      </c>
      <c r="C159" t="s">
        <v>285</v>
      </c>
      <c r="D159" s="61" t="s">
        <v>284</v>
      </c>
      <c r="E159" s="30">
        <v>1</v>
      </c>
      <c r="F159" s="30">
        <v>1</v>
      </c>
      <c r="G159" s="30">
        <v>107006</v>
      </c>
      <c r="H159" s="30">
        <v>0</v>
      </c>
      <c r="I159" s="30">
        <v>2</v>
      </c>
      <c r="J159" s="30">
        <v>2</v>
      </c>
      <c r="K159" s="30">
        <v>117221</v>
      </c>
      <c r="L159" s="30">
        <v>0</v>
      </c>
    </row>
    <row r="160" spans="1:12" ht="16" thickBot="1">
      <c r="A160">
        <v>110644</v>
      </c>
      <c r="B160" t="s">
        <v>239</v>
      </c>
      <c r="C160" t="s">
        <v>285</v>
      </c>
      <c r="D160" s="67" t="s">
        <v>284</v>
      </c>
      <c r="E160" s="30">
        <v>1</v>
      </c>
      <c r="F160" s="30">
        <v>1</v>
      </c>
      <c r="G160" s="30">
        <v>162496</v>
      </c>
      <c r="H160" s="30">
        <v>0</v>
      </c>
      <c r="I160" s="30">
        <v>2</v>
      </c>
      <c r="J160" s="30">
        <v>1.52</v>
      </c>
      <c r="K160" s="30">
        <v>111757</v>
      </c>
      <c r="L160" s="30">
        <v>0</v>
      </c>
    </row>
    <row r="161" spans="1:12" ht="16" thickBot="1">
      <c r="A161">
        <v>110653</v>
      </c>
      <c r="B161" t="s">
        <v>240</v>
      </c>
      <c r="C161" t="s">
        <v>285</v>
      </c>
      <c r="D161" s="64" t="s">
        <v>284</v>
      </c>
      <c r="E161" s="30">
        <v>1</v>
      </c>
      <c r="F161" s="30">
        <v>1</v>
      </c>
      <c r="G161" s="30">
        <v>166825</v>
      </c>
      <c r="H161" s="30">
        <v>0</v>
      </c>
      <c r="I161" s="30">
        <v>2</v>
      </c>
      <c r="J161" s="30">
        <v>2</v>
      </c>
      <c r="K161" s="30">
        <v>169148</v>
      </c>
      <c r="L161" s="30">
        <v>0</v>
      </c>
    </row>
    <row r="162" spans="1:12" ht="16" thickBot="1">
      <c r="A162">
        <v>110671</v>
      </c>
      <c r="B162" t="s">
        <v>241</v>
      </c>
      <c r="C162" t="s">
        <v>285</v>
      </c>
      <c r="D162" s="64" t="s">
        <v>284</v>
      </c>
      <c r="E162" s="30">
        <v>1</v>
      </c>
      <c r="F162" s="30">
        <v>1</v>
      </c>
      <c r="G162" s="30">
        <v>127377</v>
      </c>
      <c r="H162" s="30">
        <v>0</v>
      </c>
      <c r="I162" s="30">
        <v>2</v>
      </c>
      <c r="J162" s="30">
        <v>1.5</v>
      </c>
      <c r="K162" s="30">
        <v>62272</v>
      </c>
      <c r="L162" s="30">
        <v>0</v>
      </c>
    </row>
    <row r="163" spans="1:12" ht="16" thickBot="1">
      <c r="A163">
        <v>110705</v>
      </c>
      <c r="B163" t="s">
        <v>242</v>
      </c>
      <c r="C163" t="s">
        <v>285</v>
      </c>
      <c r="D163" s="64" t="s">
        <v>284</v>
      </c>
      <c r="E163" s="30">
        <v>1</v>
      </c>
      <c r="F163" s="30">
        <v>1</v>
      </c>
      <c r="G163" s="30">
        <v>188861</v>
      </c>
      <c r="H163" s="30">
        <v>0</v>
      </c>
      <c r="I163" s="30">
        <v>2</v>
      </c>
      <c r="J163" s="30">
        <v>2</v>
      </c>
      <c r="K163" s="30">
        <v>139122</v>
      </c>
      <c r="L163" s="30">
        <v>0</v>
      </c>
    </row>
    <row r="164" spans="1:12">
      <c r="A164">
        <v>132903</v>
      </c>
      <c r="B164" t="s">
        <v>243</v>
      </c>
      <c r="C164" t="s">
        <v>285</v>
      </c>
      <c r="D164" s="68" t="s">
        <v>284</v>
      </c>
      <c r="E164" s="59">
        <v>1</v>
      </c>
      <c r="F164" s="59">
        <v>1</v>
      </c>
      <c r="G164" s="59">
        <v>207998</v>
      </c>
      <c r="H164" s="59">
        <v>0</v>
      </c>
      <c r="I164" s="59">
        <v>2</v>
      </c>
      <c r="J164" s="59">
        <v>2</v>
      </c>
      <c r="K164" s="59">
        <v>234740</v>
      </c>
      <c r="L164" s="59">
        <v>0</v>
      </c>
    </row>
    <row r="165" spans="1:12" ht="16" thickBot="1">
      <c r="A165">
        <v>110662</v>
      </c>
      <c r="B165" t="s">
        <v>244</v>
      </c>
      <c r="C165" t="s">
        <v>285</v>
      </c>
      <c r="D165" s="64" t="s">
        <v>284</v>
      </c>
      <c r="E165" s="30">
        <v>1</v>
      </c>
      <c r="F165" s="30">
        <v>1</v>
      </c>
      <c r="G165" s="30">
        <v>285546</v>
      </c>
      <c r="H165" s="30">
        <v>0</v>
      </c>
      <c r="I165" s="30">
        <v>2</v>
      </c>
      <c r="J165" s="30">
        <v>2</v>
      </c>
      <c r="K165" s="30">
        <v>253765</v>
      </c>
      <c r="L165" s="30">
        <v>0</v>
      </c>
    </row>
    <row r="166" spans="1:12" ht="16" thickBot="1">
      <c r="A166">
        <v>182281</v>
      </c>
      <c r="B166" t="s">
        <v>245</v>
      </c>
      <c r="C166" t="s">
        <v>285</v>
      </c>
      <c r="D166" s="64" t="s">
        <v>284</v>
      </c>
      <c r="E166" s="30">
        <v>1</v>
      </c>
      <c r="F166" s="30">
        <v>1</v>
      </c>
      <c r="G166" s="30">
        <v>195214</v>
      </c>
      <c r="H166" s="30">
        <v>0</v>
      </c>
      <c r="I166" s="30">
        <v>2</v>
      </c>
      <c r="J166" s="30">
        <v>2</v>
      </c>
      <c r="K166" s="30">
        <v>144915</v>
      </c>
      <c r="L166" s="30">
        <v>0</v>
      </c>
    </row>
    <row r="167" spans="1:12" ht="16" thickBot="1">
      <c r="A167">
        <v>230764</v>
      </c>
      <c r="B167" t="s">
        <v>246</v>
      </c>
      <c r="C167" t="s">
        <v>285</v>
      </c>
      <c r="D167" s="64" t="s">
        <v>284</v>
      </c>
      <c r="E167" s="30">
        <v>1</v>
      </c>
      <c r="F167" s="30">
        <v>1</v>
      </c>
      <c r="G167" s="30">
        <v>304071</v>
      </c>
      <c r="H167" s="30">
        <v>0</v>
      </c>
      <c r="I167" s="30">
        <v>2</v>
      </c>
      <c r="J167" s="30">
        <v>2</v>
      </c>
      <c r="K167" s="30">
        <v>260107</v>
      </c>
      <c r="L167" s="30">
        <v>0</v>
      </c>
    </row>
    <row r="168" spans="1:12" ht="16" thickBot="1">
      <c r="A168">
        <v>230728</v>
      </c>
      <c r="B168" t="s">
        <v>247</v>
      </c>
      <c r="C168" t="s">
        <v>285</v>
      </c>
      <c r="D168" s="64" t="s">
        <v>284</v>
      </c>
      <c r="E168" s="30">
        <v>1</v>
      </c>
      <c r="F168" s="30">
        <v>1</v>
      </c>
      <c r="G168" s="30">
        <v>199115</v>
      </c>
      <c r="H168" s="30">
        <v>0</v>
      </c>
      <c r="I168" s="30">
        <v>2</v>
      </c>
      <c r="J168" s="30">
        <v>2</v>
      </c>
      <c r="K168" s="30">
        <v>184945</v>
      </c>
      <c r="L168" s="30">
        <v>0</v>
      </c>
    </row>
    <row r="169" spans="1:12" ht="16" thickBot="1">
      <c r="A169">
        <v>230737</v>
      </c>
      <c r="B169" t="s">
        <v>248</v>
      </c>
      <c r="C169" t="s">
        <v>285</v>
      </c>
      <c r="D169" s="64" t="s">
        <v>284</v>
      </c>
      <c r="E169" s="30">
        <v>1</v>
      </c>
      <c r="F169" s="30">
        <v>1</v>
      </c>
      <c r="G169" s="30">
        <v>142677</v>
      </c>
      <c r="H169" s="30">
        <v>0</v>
      </c>
      <c r="I169" s="30">
        <v>2</v>
      </c>
      <c r="J169" s="30">
        <v>2</v>
      </c>
      <c r="K169" s="30">
        <v>165327</v>
      </c>
      <c r="L169" s="30">
        <v>0</v>
      </c>
    </row>
    <row r="170" spans="1:12" ht="16" thickBot="1">
      <c r="A170">
        <v>228796</v>
      </c>
      <c r="B170" t="s">
        <v>249</v>
      </c>
      <c r="C170" t="s">
        <v>285</v>
      </c>
      <c r="D170" s="64" t="s">
        <v>284</v>
      </c>
      <c r="E170" s="30">
        <v>1</v>
      </c>
      <c r="F170" s="30">
        <v>1</v>
      </c>
      <c r="G170" s="30">
        <v>166563</v>
      </c>
      <c r="H170" s="30">
        <v>6200</v>
      </c>
      <c r="I170" s="30">
        <v>2</v>
      </c>
      <c r="J170" s="30">
        <v>2</v>
      </c>
      <c r="K170" s="30">
        <v>142860</v>
      </c>
      <c r="L170" s="30">
        <v>0</v>
      </c>
    </row>
    <row r="171" spans="1:12">
      <c r="A171">
        <v>227368</v>
      </c>
      <c r="B171" t="s">
        <v>250</v>
      </c>
      <c r="C171" t="s">
        <v>285</v>
      </c>
      <c r="D171" s="61" t="s">
        <v>284</v>
      </c>
      <c r="E171" s="30">
        <v>1</v>
      </c>
      <c r="F171" s="30">
        <v>1</v>
      </c>
      <c r="G171" s="30">
        <v>153304</v>
      </c>
      <c r="H171" s="30">
        <v>0</v>
      </c>
      <c r="I171" s="30">
        <v>2</v>
      </c>
      <c r="J171" s="30">
        <v>2</v>
      </c>
      <c r="K171" s="30">
        <v>126377</v>
      </c>
      <c r="L171" s="30">
        <v>0</v>
      </c>
    </row>
    <row r="172" spans="1:12" ht="16" thickBot="1">
      <c r="A172">
        <v>229027</v>
      </c>
      <c r="B172" t="s">
        <v>251</v>
      </c>
      <c r="C172" t="s">
        <v>285</v>
      </c>
      <c r="D172" s="64" t="s">
        <v>284</v>
      </c>
      <c r="E172" s="30">
        <v>1</v>
      </c>
      <c r="F172" s="30">
        <v>1</v>
      </c>
      <c r="G172" s="30">
        <v>168503</v>
      </c>
      <c r="H172" s="30">
        <v>0</v>
      </c>
      <c r="I172" s="30">
        <v>2</v>
      </c>
      <c r="J172" s="30">
        <v>2</v>
      </c>
      <c r="K172" s="30">
        <v>139790</v>
      </c>
      <c r="L172" s="30">
        <v>0</v>
      </c>
    </row>
    <row r="173" spans="1:12" ht="16" thickBot="1">
      <c r="A173">
        <v>234030</v>
      </c>
      <c r="B173" t="s">
        <v>252</v>
      </c>
      <c r="C173" t="s">
        <v>285</v>
      </c>
      <c r="D173" s="64" t="s">
        <v>284</v>
      </c>
      <c r="E173" s="30">
        <v>1</v>
      </c>
      <c r="F173" s="30">
        <v>1</v>
      </c>
      <c r="G173" s="30">
        <v>193629</v>
      </c>
      <c r="H173" s="30">
        <v>0</v>
      </c>
      <c r="I173" s="30">
        <v>2</v>
      </c>
      <c r="J173" s="30">
        <v>2</v>
      </c>
      <c r="K173" s="30">
        <v>154504</v>
      </c>
      <c r="L173" s="30">
        <v>0</v>
      </c>
    </row>
    <row r="174" spans="1:12" ht="16" thickBot="1">
      <c r="A174">
        <v>234076</v>
      </c>
      <c r="B174" t="s">
        <v>254</v>
      </c>
      <c r="C174" t="s">
        <v>285</v>
      </c>
      <c r="D174" s="65" t="s">
        <v>284</v>
      </c>
      <c r="E174" s="59">
        <v>1</v>
      </c>
      <c r="F174" s="59">
        <v>1</v>
      </c>
      <c r="G174" s="59">
        <v>218200</v>
      </c>
      <c r="H174" s="59">
        <v>0</v>
      </c>
      <c r="I174" s="59">
        <v>2</v>
      </c>
      <c r="J174" s="59">
        <v>2</v>
      </c>
      <c r="K174" s="59">
        <v>225586</v>
      </c>
      <c r="L174" s="59">
        <v>0</v>
      </c>
    </row>
    <row r="175" spans="1:12" ht="16" thickBot="1">
      <c r="A175">
        <v>233921</v>
      </c>
      <c r="B175" t="s">
        <v>255</v>
      </c>
      <c r="C175" t="s">
        <v>285</v>
      </c>
      <c r="D175" s="64" t="s">
        <v>284</v>
      </c>
      <c r="E175" s="30">
        <v>1</v>
      </c>
      <c r="F175" s="30">
        <v>1</v>
      </c>
      <c r="G175" s="30">
        <v>164506</v>
      </c>
      <c r="H175" s="30">
        <v>0</v>
      </c>
      <c r="I175" s="30">
        <v>2</v>
      </c>
      <c r="J175" s="30">
        <v>2</v>
      </c>
      <c r="K175" s="30">
        <v>181201</v>
      </c>
      <c r="L175" s="30">
        <v>0</v>
      </c>
    </row>
    <row r="176" spans="1:12" ht="16" thickBot="1">
      <c r="A176">
        <v>236948</v>
      </c>
      <c r="B176" t="s">
        <v>257</v>
      </c>
      <c r="C176" t="s">
        <v>285</v>
      </c>
      <c r="D176" s="64" t="s">
        <v>284</v>
      </c>
      <c r="E176" s="30">
        <v>1</v>
      </c>
      <c r="F176" s="30">
        <v>1</v>
      </c>
      <c r="G176" s="30">
        <v>369831</v>
      </c>
      <c r="H176" s="30">
        <v>0</v>
      </c>
      <c r="I176" s="30">
        <v>2</v>
      </c>
      <c r="J176" s="30">
        <v>2</v>
      </c>
      <c r="K176" s="30">
        <v>302032</v>
      </c>
      <c r="L176" s="30">
        <v>0</v>
      </c>
    </row>
    <row r="177" spans="1:12" ht="16" thickBot="1">
      <c r="A177">
        <v>236939</v>
      </c>
      <c r="B177" t="s">
        <v>258</v>
      </c>
      <c r="C177" t="s">
        <v>285</v>
      </c>
      <c r="D177" s="64" t="s">
        <v>284</v>
      </c>
      <c r="E177" s="30">
        <v>1</v>
      </c>
      <c r="F177" s="30">
        <v>1</v>
      </c>
      <c r="G177" s="30">
        <v>259896</v>
      </c>
      <c r="H177" s="30">
        <v>0</v>
      </c>
      <c r="I177" s="30">
        <v>2</v>
      </c>
      <c r="J177" s="30">
        <v>2</v>
      </c>
      <c r="K177" s="30">
        <v>245754</v>
      </c>
      <c r="L177" s="30">
        <v>0</v>
      </c>
    </row>
    <row r="178" spans="1:12" ht="16" thickBot="1">
      <c r="A178">
        <v>230782</v>
      </c>
      <c r="B178" t="s">
        <v>259</v>
      </c>
      <c r="C178" t="s">
        <v>285</v>
      </c>
      <c r="D178" s="64" t="s">
        <v>284</v>
      </c>
      <c r="E178" s="30">
        <v>1</v>
      </c>
      <c r="F178" s="30">
        <v>1</v>
      </c>
      <c r="G178" s="30">
        <v>173333</v>
      </c>
      <c r="H178" s="30">
        <v>0</v>
      </c>
      <c r="I178" s="30">
        <v>2</v>
      </c>
      <c r="J178" s="30">
        <v>2</v>
      </c>
      <c r="K178" s="30">
        <v>122408</v>
      </c>
      <c r="L178" s="30">
        <v>0</v>
      </c>
    </row>
    <row r="179" spans="1:12" ht="16" thickBot="1">
      <c r="A179">
        <v>238032</v>
      </c>
      <c r="B179" t="s">
        <v>260</v>
      </c>
      <c r="C179" t="s">
        <v>285</v>
      </c>
      <c r="D179" s="64" t="s">
        <v>284</v>
      </c>
      <c r="E179" s="30">
        <v>1</v>
      </c>
      <c r="F179" s="30">
        <v>1</v>
      </c>
      <c r="G179" s="30">
        <v>190604</v>
      </c>
      <c r="H179" s="30">
        <v>0</v>
      </c>
      <c r="I179" s="30">
        <v>2</v>
      </c>
      <c r="J179" s="30">
        <v>2</v>
      </c>
      <c r="K179" s="30">
        <v>187453</v>
      </c>
      <c r="L179" s="30">
        <v>0</v>
      </c>
    </row>
    <row r="180" spans="1:12" ht="16" thickBot="1">
      <c r="A180">
        <v>200004</v>
      </c>
      <c r="B180" t="s">
        <v>261</v>
      </c>
      <c r="C180" t="s">
        <v>285</v>
      </c>
      <c r="D180" s="64" t="s">
        <v>284</v>
      </c>
      <c r="E180" s="30">
        <v>1</v>
      </c>
      <c r="F180" s="30">
        <v>1</v>
      </c>
      <c r="G180" s="30">
        <v>84288</v>
      </c>
      <c r="H180" s="30">
        <v>0</v>
      </c>
      <c r="I180" s="30">
        <v>2</v>
      </c>
      <c r="J180" s="30">
        <v>2</v>
      </c>
      <c r="K180" s="30">
        <v>47705</v>
      </c>
      <c r="L180" s="30">
        <v>0</v>
      </c>
    </row>
    <row r="181" spans="1:12" ht="16" thickBot="1">
      <c r="A181">
        <v>149772</v>
      </c>
      <c r="B181" t="s">
        <v>262</v>
      </c>
      <c r="C181" t="s">
        <v>285</v>
      </c>
      <c r="D181" s="64" t="s">
        <v>284</v>
      </c>
      <c r="E181" s="30">
        <v>2</v>
      </c>
      <c r="F181" s="30">
        <v>0.9</v>
      </c>
      <c r="G181" s="30">
        <v>81326</v>
      </c>
      <c r="H181" s="30">
        <v>0</v>
      </c>
      <c r="I181" s="30">
        <v>3</v>
      </c>
      <c r="J181" s="30">
        <v>1.45</v>
      </c>
      <c r="K181" s="30">
        <v>50268</v>
      </c>
      <c r="L181" s="30">
        <v>0</v>
      </c>
    </row>
    <row r="182" spans="1:12">
      <c r="A182">
        <v>157951</v>
      </c>
      <c r="B182" t="s">
        <v>263</v>
      </c>
      <c r="C182" t="s">
        <v>285</v>
      </c>
      <c r="D182" s="68" t="s">
        <v>284</v>
      </c>
      <c r="E182" s="59">
        <v>1</v>
      </c>
      <c r="F182" s="59">
        <v>1</v>
      </c>
      <c r="G182" s="59">
        <v>205265</v>
      </c>
      <c r="H182" s="59">
        <v>3225</v>
      </c>
      <c r="I182" s="59">
        <v>2</v>
      </c>
      <c r="J182" s="59">
        <v>2</v>
      </c>
      <c r="K182" s="59">
        <v>133607</v>
      </c>
      <c r="L182" s="59">
        <v>0</v>
      </c>
    </row>
    <row r="183" spans="1:12" ht="16" thickBot="1">
      <c r="A183">
        <v>172699</v>
      </c>
      <c r="B183" t="s">
        <v>264</v>
      </c>
      <c r="C183" t="s">
        <v>285</v>
      </c>
      <c r="D183" s="65" t="s">
        <v>284</v>
      </c>
      <c r="E183" s="59">
        <v>1</v>
      </c>
      <c r="F183" s="59">
        <v>1</v>
      </c>
      <c r="G183" s="59">
        <v>168835</v>
      </c>
      <c r="H183" s="59">
        <v>0</v>
      </c>
      <c r="I183" s="59">
        <v>2</v>
      </c>
      <c r="J183" s="59">
        <v>2</v>
      </c>
      <c r="K183" s="59">
        <v>168494</v>
      </c>
      <c r="L183" s="59">
        <v>0</v>
      </c>
    </row>
    <row r="184" spans="1:12" ht="16" thickBot="1">
      <c r="A184">
        <v>156125</v>
      </c>
      <c r="B184" t="s">
        <v>265</v>
      </c>
      <c r="C184" t="s">
        <v>285</v>
      </c>
      <c r="D184" s="64" t="s">
        <v>284</v>
      </c>
      <c r="E184" s="30">
        <v>1</v>
      </c>
      <c r="F184" s="30">
        <v>1</v>
      </c>
      <c r="G184" s="30">
        <v>278858</v>
      </c>
      <c r="H184" s="30">
        <v>0</v>
      </c>
      <c r="I184" s="30">
        <v>2</v>
      </c>
      <c r="J184" s="30">
        <v>2</v>
      </c>
      <c r="K184" s="30">
        <v>128014</v>
      </c>
      <c r="L184" s="30">
        <v>0</v>
      </c>
    </row>
    <row r="185" spans="1:12" ht="16" thickBot="1">
      <c r="A185">
        <v>231624</v>
      </c>
      <c r="B185" t="s">
        <v>266</v>
      </c>
      <c r="C185" t="s">
        <v>285</v>
      </c>
      <c r="D185" s="65" t="s">
        <v>284</v>
      </c>
      <c r="E185" s="23">
        <v>1</v>
      </c>
      <c r="F185" s="23">
        <v>1</v>
      </c>
      <c r="G185" s="23">
        <v>118330</v>
      </c>
      <c r="H185" s="23">
        <v>0</v>
      </c>
      <c r="I185" s="23">
        <v>2</v>
      </c>
      <c r="J185" s="23">
        <v>2</v>
      </c>
      <c r="K185" s="23">
        <v>116639</v>
      </c>
      <c r="L185" s="23">
        <v>0</v>
      </c>
    </row>
    <row r="186" spans="1:12" ht="16" thickBot="1">
      <c r="A186">
        <v>218964</v>
      </c>
      <c r="B186" t="s">
        <v>267</v>
      </c>
      <c r="C186" t="s">
        <v>285</v>
      </c>
      <c r="D186" s="65" t="s">
        <v>284</v>
      </c>
      <c r="E186" s="23">
        <v>1</v>
      </c>
      <c r="F186" s="23">
        <v>1</v>
      </c>
      <c r="G186" s="23">
        <v>108639</v>
      </c>
      <c r="H186" s="23">
        <v>0</v>
      </c>
      <c r="I186" s="23">
        <v>2</v>
      </c>
      <c r="J186" s="23">
        <v>2</v>
      </c>
      <c r="K186" s="23">
        <v>56150</v>
      </c>
      <c r="L186" s="23">
        <v>0</v>
      </c>
    </row>
    <row r="187" spans="1:12" ht="16" thickBot="1">
      <c r="A187">
        <v>240444</v>
      </c>
      <c r="B187" t="s">
        <v>268</v>
      </c>
      <c r="C187" t="s">
        <v>285</v>
      </c>
      <c r="D187" s="65" t="s">
        <v>284</v>
      </c>
      <c r="E187" s="59">
        <v>1</v>
      </c>
      <c r="F187" s="59">
        <v>1</v>
      </c>
      <c r="G187" s="59">
        <v>593768</v>
      </c>
      <c r="H187" s="59">
        <v>0</v>
      </c>
      <c r="I187" s="59">
        <v>2</v>
      </c>
      <c r="J187" s="59">
        <v>2</v>
      </c>
      <c r="K187" s="59">
        <v>361457</v>
      </c>
      <c r="L187" s="59">
        <v>0</v>
      </c>
    </row>
    <row r="188" spans="1:12" ht="16" thickBot="1">
      <c r="A188">
        <v>240277</v>
      </c>
      <c r="B188" t="s">
        <v>269</v>
      </c>
      <c r="C188" t="s">
        <v>285</v>
      </c>
      <c r="D188" s="64" t="s">
        <v>284</v>
      </c>
      <c r="E188" s="30">
        <v>1</v>
      </c>
      <c r="F188" s="30">
        <v>1</v>
      </c>
      <c r="G188" s="30">
        <v>116829</v>
      </c>
      <c r="H188" s="30">
        <v>0</v>
      </c>
      <c r="I188" s="30">
        <v>2</v>
      </c>
      <c r="J188" s="30">
        <v>1.52</v>
      </c>
      <c r="K188" s="30">
        <v>75402</v>
      </c>
      <c r="L188" s="30">
        <v>0</v>
      </c>
    </row>
    <row r="189" spans="1:12" ht="16" thickBot="1">
      <c r="A189">
        <v>240453</v>
      </c>
      <c r="B189" t="s">
        <v>270</v>
      </c>
      <c r="C189" t="s">
        <v>285</v>
      </c>
      <c r="D189" s="64" t="s">
        <v>284</v>
      </c>
      <c r="E189" s="30">
        <v>1</v>
      </c>
      <c r="F189" s="30">
        <v>1</v>
      </c>
      <c r="G189" s="30">
        <v>115658</v>
      </c>
      <c r="H189" s="30">
        <v>0</v>
      </c>
      <c r="I189" s="30">
        <v>2</v>
      </c>
      <c r="J189" s="30">
        <v>2</v>
      </c>
      <c r="K189" s="30">
        <v>114292</v>
      </c>
      <c r="L189" s="30">
        <v>0</v>
      </c>
    </row>
    <row r="190" spans="1:12" ht="16" thickBot="1">
      <c r="A190">
        <v>206604</v>
      </c>
      <c r="B190" t="s">
        <v>271</v>
      </c>
      <c r="C190" t="s">
        <v>285</v>
      </c>
      <c r="D190" s="64" t="s">
        <v>284</v>
      </c>
      <c r="E190" s="30">
        <v>1</v>
      </c>
      <c r="F190" s="30">
        <v>1</v>
      </c>
      <c r="G190" s="30">
        <v>103362</v>
      </c>
      <c r="H190" s="30">
        <v>0</v>
      </c>
      <c r="I190" s="30">
        <v>1</v>
      </c>
      <c r="J190" s="30">
        <v>1</v>
      </c>
      <c r="K190" s="30">
        <v>48847</v>
      </c>
      <c r="L190" s="30">
        <v>0</v>
      </c>
    </row>
    <row r="191" spans="1:12">
      <c r="A191">
        <v>240727</v>
      </c>
      <c r="B191" t="s">
        <v>272</v>
      </c>
      <c r="C191" t="s">
        <v>285</v>
      </c>
      <c r="D191" s="68" t="s">
        <v>284</v>
      </c>
      <c r="E191" s="30">
        <v>1</v>
      </c>
      <c r="F191" s="30">
        <v>1</v>
      </c>
      <c r="G191" s="30">
        <v>201164</v>
      </c>
      <c r="H191" s="30">
        <v>0</v>
      </c>
      <c r="I191" s="30">
        <v>2</v>
      </c>
      <c r="J191" s="30">
        <v>2</v>
      </c>
      <c r="K191" s="30">
        <v>186136</v>
      </c>
      <c r="L191" s="30">
        <v>0</v>
      </c>
    </row>
    <row r="192" spans="1:12" ht="16" thickBot="1">
      <c r="A192">
        <v>206695</v>
      </c>
      <c r="B192" t="s">
        <v>273</v>
      </c>
      <c r="C192" t="s">
        <v>285</v>
      </c>
      <c r="D192" s="61" t="s">
        <v>284</v>
      </c>
      <c r="E192" s="30">
        <v>1</v>
      </c>
      <c r="F192" s="30">
        <v>1</v>
      </c>
      <c r="G192" s="30">
        <v>103281</v>
      </c>
      <c r="H192" s="30">
        <v>0</v>
      </c>
      <c r="I192" s="30">
        <v>2</v>
      </c>
      <c r="J192" s="30">
        <v>2</v>
      </c>
      <c r="K192" s="30">
        <v>97609</v>
      </c>
      <c r="L192" s="30">
        <v>0</v>
      </c>
    </row>
    <row r="193" spans="2:12" ht="16" thickBot="1">
      <c r="D193" s="67"/>
    </row>
    <row r="194" spans="2:12" ht="16" thickBot="1">
      <c r="D194" s="64"/>
    </row>
    <row r="195" spans="2:12" ht="16" thickBot="1">
      <c r="D195" s="65"/>
      <c r="E195" s="23"/>
      <c r="F195" s="23"/>
      <c r="G195" s="23"/>
      <c r="H195" s="23"/>
      <c r="I195" s="23"/>
      <c r="J195" s="23"/>
      <c r="K195" s="23"/>
      <c r="L195" s="23"/>
    </row>
    <row r="196" spans="2:12" ht="16" thickBot="1">
      <c r="D196" s="64"/>
    </row>
    <row r="197" spans="2:12" ht="16" thickBot="1">
      <c r="D197" s="64"/>
    </row>
    <row r="198" spans="2:12" ht="16" thickBot="1">
      <c r="B198" s="66"/>
      <c r="C198" s="66"/>
      <c r="D198" s="65"/>
      <c r="E198" s="47"/>
      <c r="F198" s="47"/>
      <c r="G198" s="47"/>
      <c r="H198" s="47"/>
      <c r="I198" s="47"/>
      <c r="J198" s="47"/>
      <c r="K198" s="47"/>
      <c r="L198" s="47"/>
    </row>
    <row r="199" spans="2:12" ht="16" thickBot="1">
      <c r="D199" s="64"/>
    </row>
    <row r="200" spans="2:12" ht="16" thickBot="1">
      <c r="D200" s="64"/>
    </row>
    <row r="201" spans="2:12" ht="16" thickBot="1">
      <c r="D201" s="64"/>
    </row>
    <row r="202" spans="2:12" ht="16" thickBot="1">
      <c r="D202" s="64"/>
    </row>
    <row r="203" spans="2:12" ht="16" thickBot="1">
      <c r="D203" s="64"/>
    </row>
    <row r="205" spans="2:12" ht="16" thickBot="1">
      <c r="D205" s="64"/>
    </row>
    <row r="206" spans="2:12" ht="16" thickBot="1">
      <c r="D206" s="64"/>
    </row>
    <row r="207" spans="2:12" ht="16" thickBot="1">
      <c r="D207" s="64"/>
    </row>
    <row r="208" spans="2:12" ht="16" thickBot="1">
      <c r="D208" s="64"/>
    </row>
    <row r="209" spans="4:12" ht="16" thickBot="1">
      <c r="D209" s="63"/>
      <c r="E209" s="62"/>
      <c r="F209" s="62"/>
      <c r="G209" s="62"/>
      <c r="H209" s="62"/>
      <c r="I209" s="62"/>
      <c r="J209" s="62"/>
      <c r="K209" s="62"/>
      <c r="L209" s="6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3BF9-828F-DB4F-B614-2D1A6FACF28C}">
  <dimension ref="A1:L197"/>
  <sheetViews>
    <sheetView workbookViewId="0">
      <selection activeCell="K23" sqref="K23"/>
    </sheetView>
  </sheetViews>
  <sheetFormatPr baseColWidth="10" defaultColWidth="8.83203125" defaultRowHeight="15"/>
  <cols>
    <col min="1" max="1" width="6.83203125" bestFit="1" customWidth="1"/>
    <col min="2" max="2" width="24.33203125" bestFit="1" customWidth="1"/>
    <col min="3" max="3" width="6.83203125" bestFit="1" customWidth="1"/>
    <col min="4" max="4" width="8.5" bestFit="1" customWidth="1"/>
    <col min="5" max="5" width="17.1640625" bestFit="1" customWidth="1"/>
    <col min="6" max="6" width="4.83203125" bestFit="1" customWidth="1"/>
    <col min="7" max="7" width="15.33203125" bestFit="1" customWidth="1"/>
    <col min="8" max="8" width="18.83203125" bestFit="1" customWidth="1"/>
    <col min="9" max="9" width="17.1640625" bestFit="1" customWidth="1"/>
    <col min="10" max="10" width="4.83203125" bestFit="1" customWidth="1"/>
    <col min="11" max="11" width="15.33203125" bestFit="1" customWidth="1"/>
    <col min="12" max="12" width="18.83203125" bestFit="1" customWidth="1"/>
  </cols>
  <sheetData>
    <row r="1" spans="1:12">
      <c r="A1" t="s">
        <v>46</v>
      </c>
      <c r="B1" t="s">
        <v>0</v>
      </c>
      <c r="C1" t="s">
        <v>292</v>
      </c>
      <c r="D1" t="s">
        <v>291</v>
      </c>
      <c r="E1" t="s">
        <v>290</v>
      </c>
      <c r="F1" t="s">
        <v>289</v>
      </c>
      <c r="G1" t="s">
        <v>288</v>
      </c>
      <c r="H1" t="s">
        <v>287</v>
      </c>
      <c r="I1" t="s">
        <v>290</v>
      </c>
      <c r="J1" t="s">
        <v>289</v>
      </c>
      <c r="K1" t="s">
        <v>288</v>
      </c>
      <c r="L1" t="s">
        <v>287</v>
      </c>
    </row>
    <row r="2" spans="1:12">
      <c r="A2">
        <v>200800</v>
      </c>
      <c r="B2" t="s">
        <v>48</v>
      </c>
      <c r="C2" t="s">
        <v>285</v>
      </c>
      <c r="D2" t="s">
        <v>284</v>
      </c>
      <c r="E2">
        <v>1</v>
      </c>
      <c r="F2">
        <v>1</v>
      </c>
      <c r="G2">
        <v>128303</v>
      </c>
      <c r="H2">
        <v>0</v>
      </c>
      <c r="I2">
        <v>2</v>
      </c>
      <c r="J2">
        <v>2</v>
      </c>
      <c r="K2">
        <v>100581</v>
      </c>
      <c r="L2">
        <v>0</v>
      </c>
    </row>
    <row r="3" spans="1:12">
      <c r="A3">
        <v>100751</v>
      </c>
      <c r="B3" t="s">
        <v>49</v>
      </c>
      <c r="C3" t="s">
        <v>285</v>
      </c>
      <c r="D3" t="s">
        <v>284</v>
      </c>
      <c r="E3" s="48">
        <v>1</v>
      </c>
      <c r="F3" s="48">
        <v>1</v>
      </c>
      <c r="G3" s="48">
        <v>284922</v>
      </c>
      <c r="H3" s="48">
        <v>0</v>
      </c>
      <c r="I3" s="48">
        <v>2</v>
      </c>
      <c r="J3" s="48">
        <v>2</v>
      </c>
      <c r="K3" s="48">
        <v>261596</v>
      </c>
      <c r="L3" s="48">
        <v>0</v>
      </c>
    </row>
    <row r="4" spans="1:12">
      <c r="A4">
        <v>196060</v>
      </c>
      <c r="B4" t="s">
        <v>52</v>
      </c>
      <c r="C4" t="s">
        <v>285</v>
      </c>
      <c r="D4" t="s">
        <v>284</v>
      </c>
      <c r="E4">
        <v>1</v>
      </c>
      <c r="F4">
        <v>1</v>
      </c>
      <c r="G4">
        <v>124825</v>
      </c>
      <c r="H4">
        <v>0</v>
      </c>
      <c r="I4">
        <v>2</v>
      </c>
      <c r="J4">
        <v>2</v>
      </c>
      <c r="K4">
        <v>166404</v>
      </c>
      <c r="L4">
        <v>0</v>
      </c>
    </row>
    <row r="5" spans="1:12">
      <c r="A5">
        <v>197869</v>
      </c>
      <c r="B5" t="s">
        <v>54</v>
      </c>
      <c r="C5" t="s">
        <v>285</v>
      </c>
      <c r="D5" t="s">
        <v>284</v>
      </c>
      <c r="E5">
        <v>1</v>
      </c>
      <c r="F5">
        <v>1</v>
      </c>
      <c r="G5">
        <v>132500</v>
      </c>
      <c r="H5">
        <v>0</v>
      </c>
      <c r="I5">
        <v>2</v>
      </c>
      <c r="J5">
        <v>2</v>
      </c>
      <c r="K5">
        <v>147924</v>
      </c>
      <c r="L5">
        <v>0</v>
      </c>
    </row>
    <row r="6" spans="1:12">
      <c r="A6">
        <v>104179</v>
      </c>
      <c r="B6" t="s">
        <v>55</v>
      </c>
      <c r="C6" t="s">
        <v>285</v>
      </c>
      <c r="D6" t="s">
        <v>284</v>
      </c>
      <c r="E6" s="23">
        <v>1</v>
      </c>
      <c r="F6" s="23">
        <v>1</v>
      </c>
      <c r="G6" s="23">
        <v>269428</v>
      </c>
      <c r="H6" s="23">
        <v>22200</v>
      </c>
      <c r="I6" s="23">
        <v>2</v>
      </c>
      <c r="J6" s="23">
        <v>2</v>
      </c>
      <c r="K6" s="23">
        <v>248402</v>
      </c>
      <c r="L6" s="23">
        <v>0</v>
      </c>
    </row>
    <row r="7" spans="1:12">
      <c r="A7">
        <v>104151</v>
      </c>
      <c r="B7" t="s">
        <v>56</v>
      </c>
      <c r="C7" t="s">
        <v>285</v>
      </c>
      <c r="D7" t="s">
        <v>284</v>
      </c>
      <c r="E7">
        <v>1</v>
      </c>
      <c r="F7">
        <v>1</v>
      </c>
      <c r="G7">
        <v>260927</v>
      </c>
      <c r="H7">
        <v>0</v>
      </c>
      <c r="I7">
        <v>2</v>
      </c>
      <c r="J7">
        <v>2</v>
      </c>
      <c r="K7">
        <v>227815</v>
      </c>
      <c r="L7">
        <v>0</v>
      </c>
    </row>
    <row r="8" spans="1:12">
      <c r="A8">
        <v>106397</v>
      </c>
      <c r="B8" t="s">
        <v>57</v>
      </c>
      <c r="C8" t="s">
        <v>285</v>
      </c>
      <c r="D8" t="s">
        <v>284</v>
      </c>
      <c r="E8">
        <v>1</v>
      </c>
      <c r="F8">
        <v>1</v>
      </c>
      <c r="G8">
        <v>292119</v>
      </c>
      <c r="H8">
        <v>0</v>
      </c>
      <c r="I8">
        <v>3</v>
      </c>
      <c r="J8">
        <v>2.5</v>
      </c>
      <c r="K8">
        <v>195888</v>
      </c>
      <c r="L8">
        <v>0</v>
      </c>
    </row>
    <row r="9" spans="1:12">
      <c r="A9">
        <v>106245</v>
      </c>
      <c r="B9" t="s">
        <v>58</v>
      </c>
      <c r="C9" t="s">
        <v>285</v>
      </c>
      <c r="D9" t="s">
        <v>284</v>
      </c>
      <c r="E9" s="48">
        <v>1</v>
      </c>
      <c r="F9" s="48">
        <v>1</v>
      </c>
      <c r="G9" s="48">
        <v>85474</v>
      </c>
      <c r="H9" s="48">
        <v>9600</v>
      </c>
      <c r="I9" s="48">
        <v>1</v>
      </c>
      <c r="J9" s="48">
        <v>1</v>
      </c>
      <c r="K9" s="48">
        <v>41380</v>
      </c>
      <c r="L9" s="48">
        <v>0</v>
      </c>
    </row>
    <row r="10" spans="1:12">
      <c r="A10">
        <v>106412</v>
      </c>
      <c r="B10" t="s">
        <v>59</v>
      </c>
      <c r="C10" t="s">
        <v>285</v>
      </c>
      <c r="D10" t="s">
        <v>284</v>
      </c>
      <c r="E10" s="48">
        <v>1</v>
      </c>
      <c r="F10" s="48">
        <v>1</v>
      </c>
      <c r="G10" s="48">
        <v>66711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</row>
    <row r="11" spans="1:12">
      <c r="A11">
        <v>106458</v>
      </c>
      <c r="B11" t="s">
        <v>60</v>
      </c>
      <c r="C11" t="s">
        <v>285</v>
      </c>
      <c r="D11" t="s">
        <v>284</v>
      </c>
      <c r="E11">
        <v>1</v>
      </c>
      <c r="F11">
        <v>1</v>
      </c>
      <c r="G11">
        <v>101034</v>
      </c>
      <c r="H11">
        <v>14800</v>
      </c>
      <c r="I11">
        <v>2</v>
      </c>
      <c r="J11">
        <v>2</v>
      </c>
      <c r="K11">
        <v>101981</v>
      </c>
      <c r="L11">
        <v>3600</v>
      </c>
    </row>
    <row r="12" spans="1:12">
      <c r="A12">
        <v>100858</v>
      </c>
      <c r="B12" t="s">
        <v>62</v>
      </c>
      <c r="C12" t="s">
        <v>285</v>
      </c>
      <c r="D12" t="s">
        <v>284</v>
      </c>
      <c r="E12">
        <v>1</v>
      </c>
      <c r="F12">
        <v>1</v>
      </c>
      <c r="G12">
        <v>343463</v>
      </c>
      <c r="H12">
        <v>0</v>
      </c>
      <c r="I12">
        <v>2</v>
      </c>
      <c r="J12">
        <v>2</v>
      </c>
      <c r="K12">
        <v>219100</v>
      </c>
      <c r="L12">
        <v>0</v>
      </c>
    </row>
    <row r="13" spans="1:12">
      <c r="A13">
        <v>219602</v>
      </c>
      <c r="B13" t="s">
        <v>63</v>
      </c>
      <c r="C13" t="s">
        <v>285</v>
      </c>
      <c r="D13" t="s">
        <v>284</v>
      </c>
      <c r="E13" s="57">
        <v>1</v>
      </c>
      <c r="F13" s="57">
        <v>0.5</v>
      </c>
      <c r="G13" s="57">
        <v>124858</v>
      </c>
      <c r="H13" s="57">
        <v>0</v>
      </c>
      <c r="I13" s="57">
        <v>2</v>
      </c>
      <c r="J13" s="57">
        <v>1.5</v>
      </c>
      <c r="K13" s="57">
        <v>80263</v>
      </c>
      <c r="L13" s="57">
        <v>0</v>
      </c>
    </row>
    <row r="14" spans="1:12">
      <c r="A14">
        <v>150136</v>
      </c>
      <c r="B14" t="s">
        <v>64</v>
      </c>
      <c r="C14" t="s">
        <v>285</v>
      </c>
      <c r="D14" t="s">
        <v>284</v>
      </c>
      <c r="E14">
        <v>1</v>
      </c>
      <c r="F14">
        <v>1</v>
      </c>
      <c r="G14">
        <v>178743</v>
      </c>
      <c r="H14">
        <v>0</v>
      </c>
      <c r="I14">
        <v>2</v>
      </c>
      <c r="J14">
        <v>2</v>
      </c>
      <c r="K14">
        <v>146035</v>
      </c>
      <c r="L14">
        <v>0</v>
      </c>
    </row>
    <row r="15" spans="1:12">
      <c r="A15">
        <v>196079</v>
      </c>
      <c r="B15" t="s">
        <v>65</v>
      </c>
      <c r="C15" t="s">
        <v>285</v>
      </c>
      <c r="D15" t="s">
        <v>284</v>
      </c>
      <c r="E15">
        <v>1</v>
      </c>
      <c r="F15">
        <v>1</v>
      </c>
      <c r="G15">
        <v>164820</v>
      </c>
      <c r="H15">
        <v>0</v>
      </c>
      <c r="I15">
        <v>1</v>
      </c>
      <c r="J15">
        <v>1</v>
      </c>
      <c r="K15">
        <v>86831</v>
      </c>
      <c r="L15">
        <v>0</v>
      </c>
    </row>
    <row r="16" spans="1:12">
      <c r="A16">
        <v>142115</v>
      </c>
      <c r="B16" t="s">
        <v>66</v>
      </c>
      <c r="C16" t="s">
        <v>285</v>
      </c>
      <c r="D16" t="s">
        <v>284</v>
      </c>
      <c r="E16">
        <v>1</v>
      </c>
      <c r="F16">
        <v>1</v>
      </c>
      <c r="G16">
        <v>196524</v>
      </c>
      <c r="H16">
        <v>0</v>
      </c>
      <c r="I16">
        <v>2</v>
      </c>
      <c r="J16">
        <v>2</v>
      </c>
      <c r="K16">
        <v>201259</v>
      </c>
      <c r="L16">
        <v>0</v>
      </c>
    </row>
    <row r="17" spans="1:12">
      <c r="A17">
        <v>201441</v>
      </c>
      <c r="B17" t="s">
        <v>67</v>
      </c>
      <c r="C17" t="s">
        <v>285</v>
      </c>
      <c r="D17" t="s">
        <v>284</v>
      </c>
      <c r="E17">
        <v>1</v>
      </c>
      <c r="F17">
        <v>1</v>
      </c>
      <c r="G17">
        <v>204809</v>
      </c>
      <c r="H17">
        <v>0</v>
      </c>
      <c r="I17">
        <v>2</v>
      </c>
      <c r="J17">
        <v>2</v>
      </c>
      <c r="K17">
        <v>167182</v>
      </c>
      <c r="L17">
        <v>0</v>
      </c>
    </row>
    <row r="18" spans="1:12">
      <c r="A18">
        <v>196088</v>
      </c>
      <c r="B18" t="s">
        <v>68</v>
      </c>
      <c r="C18" t="s">
        <v>285</v>
      </c>
      <c r="D18" t="s">
        <v>284</v>
      </c>
      <c r="E18">
        <v>1</v>
      </c>
      <c r="F18">
        <v>1</v>
      </c>
      <c r="G18">
        <v>133489</v>
      </c>
      <c r="H18">
        <v>7111</v>
      </c>
      <c r="I18">
        <v>2</v>
      </c>
      <c r="J18">
        <v>2</v>
      </c>
      <c r="K18">
        <v>138131</v>
      </c>
      <c r="L18">
        <v>19611</v>
      </c>
    </row>
    <row r="19" spans="1:12">
      <c r="A19">
        <v>110422</v>
      </c>
      <c r="B19" t="s">
        <v>69</v>
      </c>
      <c r="C19" t="s">
        <v>285</v>
      </c>
      <c r="D19" t="s">
        <v>284</v>
      </c>
      <c r="E19">
        <v>1</v>
      </c>
      <c r="F19">
        <v>1</v>
      </c>
      <c r="G19">
        <v>206452</v>
      </c>
      <c r="H19">
        <v>0</v>
      </c>
      <c r="I19">
        <v>3</v>
      </c>
      <c r="J19">
        <v>2.0499999999999998</v>
      </c>
      <c r="K19">
        <v>239280</v>
      </c>
      <c r="L19">
        <v>0</v>
      </c>
    </row>
    <row r="20" spans="1:12">
      <c r="A20">
        <v>110486</v>
      </c>
      <c r="B20" t="s">
        <v>70</v>
      </c>
      <c r="C20" t="s">
        <v>285</v>
      </c>
      <c r="D20" t="s">
        <v>284</v>
      </c>
      <c r="E20">
        <v>1</v>
      </c>
      <c r="F20">
        <v>1</v>
      </c>
      <c r="G20">
        <v>194607</v>
      </c>
      <c r="H20">
        <v>0</v>
      </c>
      <c r="I20">
        <v>2</v>
      </c>
      <c r="J20">
        <v>1.87</v>
      </c>
      <c r="K20">
        <v>186142</v>
      </c>
      <c r="L20">
        <v>0</v>
      </c>
    </row>
    <row r="21" spans="1:12">
      <c r="A21">
        <v>110565</v>
      </c>
      <c r="B21" t="s">
        <v>71</v>
      </c>
      <c r="C21" t="s">
        <v>285</v>
      </c>
      <c r="D21" t="s">
        <v>284</v>
      </c>
      <c r="E21">
        <v>1</v>
      </c>
      <c r="F21">
        <v>1</v>
      </c>
      <c r="G21">
        <v>194432</v>
      </c>
      <c r="H21">
        <v>0</v>
      </c>
      <c r="I21">
        <v>2</v>
      </c>
      <c r="J21">
        <v>2</v>
      </c>
      <c r="K21">
        <v>190827</v>
      </c>
      <c r="L21">
        <v>0</v>
      </c>
    </row>
    <row r="22" spans="1:12">
      <c r="A22">
        <v>110608</v>
      </c>
      <c r="B22" t="s">
        <v>72</v>
      </c>
      <c r="C22" t="s">
        <v>285</v>
      </c>
      <c r="D22" t="s">
        <v>284</v>
      </c>
      <c r="E22">
        <v>1</v>
      </c>
      <c r="F22">
        <v>0.5</v>
      </c>
      <c r="G22">
        <v>205403</v>
      </c>
      <c r="H22">
        <v>0</v>
      </c>
      <c r="I22">
        <v>3</v>
      </c>
      <c r="J22">
        <v>2.5</v>
      </c>
      <c r="K22">
        <v>188222</v>
      </c>
      <c r="L22">
        <v>0</v>
      </c>
    </row>
    <row r="23" spans="1:12">
      <c r="A23">
        <v>110635</v>
      </c>
      <c r="B23" t="s">
        <v>73</v>
      </c>
      <c r="C23" t="s">
        <v>285</v>
      </c>
      <c r="D23" t="s">
        <v>284</v>
      </c>
      <c r="E23">
        <v>1</v>
      </c>
      <c r="F23">
        <v>1</v>
      </c>
      <c r="G23">
        <v>273923</v>
      </c>
      <c r="H23">
        <v>0</v>
      </c>
      <c r="I23">
        <v>2</v>
      </c>
      <c r="J23">
        <v>2</v>
      </c>
      <c r="K23">
        <v>253981</v>
      </c>
      <c r="L23">
        <v>0</v>
      </c>
    </row>
    <row r="24" spans="1:12">
      <c r="A24">
        <v>106704</v>
      </c>
      <c r="B24" t="s">
        <v>74</v>
      </c>
      <c r="C24" t="s">
        <v>285</v>
      </c>
      <c r="D24" t="s">
        <v>284</v>
      </c>
      <c r="E24">
        <v>1</v>
      </c>
      <c r="F24">
        <v>1</v>
      </c>
      <c r="G24">
        <v>80134</v>
      </c>
      <c r="H24">
        <v>10000</v>
      </c>
      <c r="I24">
        <v>2</v>
      </c>
      <c r="J24">
        <v>2</v>
      </c>
      <c r="K24">
        <v>103488</v>
      </c>
      <c r="L24">
        <v>20000</v>
      </c>
    </row>
    <row r="25" spans="1:12">
      <c r="A25">
        <v>128771</v>
      </c>
      <c r="B25" t="s">
        <v>75</v>
      </c>
      <c r="C25" t="s">
        <v>285</v>
      </c>
      <c r="D25" t="s">
        <v>284</v>
      </c>
      <c r="E25">
        <v>1</v>
      </c>
      <c r="F25">
        <v>1</v>
      </c>
      <c r="G25">
        <v>305145</v>
      </c>
      <c r="H25">
        <v>0</v>
      </c>
      <c r="I25">
        <v>2</v>
      </c>
      <c r="J25">
        <v>1</v>
      </c>
      <c r="K25">
        <v>29754</v>
      </c>
      <c r="L25">
        <v>0</v>
      </c>
    </row>
    <row r="26" spans="1:12">
      <c r="A26">
        <v>169248</v>
      </c>
      <c r="B26" t="s">
        <v>76</v>
      </c>
      <c r="C26" t="s">
        <v>285</v>
      </c>
      <c r="D26" t="s">
        <v>284</v>
      </c>
      <c r="E26">
        <v>1</v>
      </c>
      <c r="F26">
        <v>1</v>
      </c>
      <c r="G26">
        <v>161315</v>
      </c>
      <c r="H26">
        <v>1000</v>
      </c>
      <c r="I26">
        <v>2</v>
      </c>
      <c r="J26">
        <v>2</v>
      </c>
      <c r="K26">
        <v>133108</v>
      </c>
      <c r="L26">
        <v>600</v>
      </c>
    </row>
    <row r="27" spans="1:12">
      <c r="A27">
        <v>199139</v>
      </c>
      <c r="B27" t="s">
        <v>77</v>
      </c>
      <c r="C27" t="s">
        <v>285</v>
      </c>
      <c r="D27" t="s">
        <v>284</v>
      </c>
      <c r="E27">
        <v>1</v>
      </c>
      <c r="F27">
        <v>1</v>
      </c>
      <c r="G27">
        <v>133751</v>
      </c>
      <c r="H27">
        <v>0</v>
      </c>
      <c r="I27">
        <v>2</v>
      </c>
      <c r="J27">
        <v>2</v>
      </c>
      <c r="K27">
        <v>130495</v>
      </c>
      <c r="L27">
        <v>0</v>
      </c>
    </row>
    <row r="28" spans="1:12">
      <c r="A28">
        <v>144005</v>
      </c>
      <c r="B28" t="s">
        <v>78</v>
      </c>
      <c r="C28" t="s">
        <v>285</v>
      </c>
      <c r="D28" t="s">
        <v>284</v>
      </c>
      <c r="E28" s="48">
        <v>1</v>
      </c>
      <c r="F28" s="48">
        <v>1</v>
      </c>
      <c r="G28" s="48">
        <v>102000</v>
      </c>
      <c r="H28" s="48">
        <v>0</v>
      </c>
      <c r="I28" s="48">
        <v>1</v>
      </c>
      <c r="J28" s="48">
        <v>1</v>
      </c>
      <c r="K28" s="48">
        <v>38744</v>
      </c>
      <c r="L28" s="48">
        <v>0</v>
      </c>
    </row>
    <row r="29" spans="1:12">
      <c r="A29">
        <v>201885</v>
      </c>
      <c r="B29" t="s">
        <v>79</v>
      </c>
      <c r="C29" t="s">
        <v>285</v>
      </c>
      <c r="D29" t="s">
        <v>284</v>
      </c>
      <c r="E29">
        <v>1</v>
      </c>
      <c r="F29">
        <v>1</v>
      </c>
      <c r="G29">
        <v>173760</v>
      </c>
      <c r="H29">
        <v>0</v>
      </c>
      <c r="I29">
        <v>2</v>
      </c>
      <c r="J29">
        <v>2</v>
      </c>
      <c r="K29">
        <v>227305</v>
      </c>
      <c r="L29">
        <v>0</v>
      </c>
    </row>
    <row r="30" spans="1:12">
      <c r="A30">
        <v>217882</v>
      </c>
      <c r="B30" t="s">
        <v>81</v>
      </c>
      <c r="C30" t="s">
        <v>285</v>
      </c>
      <c r="D30" t="s">
        <v>284</v>
      </c>
      <c r="E30">
        <v>1</v>
      </c>
      <c r="F30">
        <v>1</v>
      </c>
      <c r="G30">
        <v>200425</v>
      </c>
      <c r="H30">
        <v>0</v>
      </c>
      <c r="I30">
        <v>2</v>
      </c>
      <c r="J30">
        <v>2</v>
      </c>
      <c r="K30">
        <v>226796</v>
      </c>
      <c r="L30">
        <v>0</v>
      </c>
    </row>
    <row r="31" spans="1:12">
      <c r="A31">
        <v>202134</v>
      </c>
      <c r="B31" t="s">
        <v>82</v>
      </c>
      <c r="C31" t="s">
        <v>285</v>
      </c>
      <c r="D31" t="s">
        <v>284</v>
      </c>
      <c r="E31">
        <v>1</v>
      </c>
      <c r="F31">
        <v>1</v>
      </c>
      <c r="G31">
        <v>92555</v>
      </c>
      <c r="H31">
        <v>0</v>
      </c>
      <c r="I31">
        <v>2</v>
      </c>
      <c r="J31">
        <v>2</v>
      </c>
      <c r="K31">
        <v>73521</v>
      </c>
      <c r="L31">
        <v>0</v>
      </c>
    </row>
    <row r="32" spans="1:12">
      <c r="A32">
        <v>218724</v>
      </c>
      <c r="B32" t="s">
        <v>83</v>
      </c>
      <c r="C32" t="s">
        <v>285</v>
      </c>
      <c r="D32" t="s">
        <v>284</v>
      </c>
      <c r="E32" s="48">
        <v>1</v>
      </c>
      <c r="F32" s="48">
        <v>1</v>
      </c>
      <c r="G32" s="48">
        <v>154845</v>
      </c>
      <c r="H32" s="48">
        <v>0</v>
      </c>
      <c r="I32" s="48">
        <v>2</v>
      </c>
      <c r="J32" s="48">
        <v>1.85</v>
      </c>
      <c r="K32" s="48">
        <v>141288</v>
      </c>
      <c r="L32" s="48">
        <v>0</v>
      </c>
    </row>
    <row r="33" spans="1:12">
      <c r="A33">
        <v>217819</v>
      </c>
      <c r="B33" t="s">
        <v>84</v>
      </c>
      <c r="C33" t="s">
        <v>285</v>
      </c>
      <c r="D33" t="s">
        <v>284</v>
      </c>
      <c r="E33" s="48">
        <v>1</v>
      </c>
      <c r="F33">
        <v>0.83</v>
      </c>
      <c r="G33" s="48">
        <v>152673</v>
      </c>
      <c r="H33" s="48">
        <v>0</v>
      </c>
      <c r="I33" s="48">
        <v>2</v>
      </c>
      <c r="J33" s="48">
        <v>1.29</v>
      </c>
      <c r="K33" s="48">
        <v>74153</v>
      </c>
      <c r="L33" s="48">
        <v>0</v>
      </c>
    </row>
    <row r="34" spans="1:12">
      <c r="A34">
        <v>126614</v>
      </c>
      <c r="B34" t="s">
        <v>85</v>
      </c>
      <c r="C34" t="s">
        <v>285</v>
      </c>
      <c r="D34" t="s">
        <v>284</v>
      </c>
      <c r="E34">
        <v>1</v>
      </c>
      <c r="F34">
        <v>1</v>
      </c>
      <c r="G34">
        <v>269756</v>
      </c>
      <c r="H34">
        <v>0</v>
      </c>
      <c r="I34">
        <v>2</v>
      </c>
      <c r="J34">
        <v>2</v>
      </c>
      <c r="K34">
        <v>273846</v>
      </c>
      <c r="L34">
        <v>0</v>
      </c>
    </row>
    <row r="35" spans="1:12">
      <c r="A35">
        <v>126818</v>
      </c>
      <c r="B35" t="s">
        <v>86</v>
      </c>
      <c r="C35" t="s">
        <v>285</v>
      </c>
      <c r="D35" t="s">
        <v>284</v>
      </c>
      <c r="E35">
        <v>1</v>
      </c>
      <c r="F35">
        <v>1</v>
      </c>
      <c r="G35">
        <v>317757</v>
      </c>
      <c r="H35">
        <v>0</v>
      </c>
      <c r="I35">
        <v>2</v>
      </c>
      <c r="J35">
        <v>2</v>
      </c>
      <c r="K35">
        <v>270096</v>
      </c>
      <c r="L35">
        <v>0</v>
      </c>
    </row>
    <row r="36" spans="1:12">
      <c r="A36">
        <v>129020</v>
      </c>
      <c r="B36" t="s">
        <v>87</v>
      </c>
      <c r="C36" t="s">
        <v>285</v>
      </c>
      <c r="D36" t="s">
        <v>284</v>
      </c>
      <c r="E36">
        <v>1</v>
      </c>
      <c r="F36">
        <v>1</v>
      </c>
      <c r="G36">
        <v>199852</v>
      </c>
      <c r="H36">
        <v>0</v>
      </c>
      <c r="I36">
        <v>2</v>
      </c>
      <c r="J36">
        <v>2</v>
      </c>
      <c r="K36">
        <v>169760</v>
      </c>
      <c r="L36">
        <v>0</v>
      </c>
    </row>
    <row r="37" spans="1:12">
      <c r="A37">
        <v>162283</v>
      </c>
      <c r="B37" t="s">
        <v>88</v>
      </c>
      <c r="C37" t="s">
        <v>285</v>
      </c>
      <c r="D37" t="s">
        <v>284</v>
      </c>
      <c r="E37">
        <v>1</v>
      </c>
      <c r="F37">
        <v>1</v>
      </c>
      <c r="G37">
        <v>83507</v>
      </c>
      <c r="H37">
        <v>0</v>
      </c>
      <c r="I37">
        <v>2</v>
      </c>
      <c r="J37">
        <v>1</v>
      </c>
      <c r="K37">
        <v>31038</v>
      </c>
      <c r="L37">
        <v>0</v>
      </c>
    </row>
    <row r="38" spans="1:12">
      <c r="A38">
        <v>198464</v>
      </c>
      <c r="B38" t="s">
        <v>89</v>
      </c>
      <c r="C38" t="s">
        <v>285</v>
      </c>
      <c r="D38" t="s">
        <v>284</v>
      </c>
      <c r="E38">
        <v>1</v>
      </c>
      <c r="F38">
        <v>1</v>
      </c>
      <c r="G38">
        <v>150061</v>
      </c>
      <c r="H38">
        <v>0</v>
      </c>
      <c r="I38">
        <v>2</v>
      </c>
      <c r="J38">
        <v>2</v>
      </c>
      <c r="K38">
        <v>118193</v>
      </c>
      <c r="L38">
        <v>0</v>
      </c>
    </row>
    <row r="39" spans="1:12">
      <c r="A39">
        <v>144892</v>
      </c>
      <c r="B39" t="s">
        <v>91</v>
      </c>
      <c r="C39" t="s">
        <v>285</v>
      </c>
      <c r="D39" t="s">
        <v>284</v>
      </c>
      <c r="E39">
        <v>1</v>
      </c>
      <c r="F39">
        <v>0.5</v>
      </c>
      <c r="G39">
        <v>100352</v>
      </c>
      <c r="H39">
        <v>0</v>
      </c>
      <c r="I39">
        <v>2</v>
      </c>
      <c r="J39">
        <v>1.33</v>
      </c>
      <c r="K39">
        <v>60023</v>
      </c>
      <c r="L39">
        <v>0</v>
      </c>
    </row>
    <row r="40" spans="1:12">
      <c r="A40">
        <v>156620</v>
      </c>
      <c r="B40" t="s">
        <v>92</v>
      </c>
      <c r="C40" t="s">
        <v>285</v>
      </c>
      <c r="D40" t="s">
        <v>284</v>
      </c>
      <c r="E40">
        <v>1</v>
      </c>
      <c r="F40">
        <v>1</v>
      </c>
      <c r="G40">
        <v>81593</v>
      </c>
      <c r="H40">
        <v>0</v>
      </c>
      <c r="I40">
        <v>2</v>
      </c>
      <c r="J40">
        <v>2</v>
      </c>
      <c r="K40">
        <v>97911</v>
      </c>
      <c r="L40">
        <v>1000</v>
      </c>
    </row>
    <row r="41" spans="1:12">
      <c r="A41">
        <v>169798</v>
      </c>
      <c r="B41" t="s">
        <v>93</v>
      </c>
      <c r="C41" t="s">
        <v>285</v>
      </c>
      <c r="D41" t="s">
        <v>284</v>
      </c>
      <c r="E41">
        <v>1</v>
      </c>
      <c r="F41">
        <v>1</v>
      </c>
      <c r="G41">
        <v>117611</v>
      </c>
      <c r="H41">
        <v>0</v>
      </c>
      <c r="I41">
        <v>2</v>
      </c>
      <c r="J41">
        <v>2</v>
      </c>
      <c r="K41">
        <v>93045</v>
      </c>
      <c r="L41">
        <v>0</v>
      </c>
    </row>
    <row r="42" spans="1:12">
      <c r="A42">
        <v>235097</v>
      </c>
      <c r="B42" t="s">
        <v>94</v>
      </c>
      <c r="C42" t="s">
        <v>285</v>
      </c>
      <c r="D42" t="s">
        <v>284</v>
      </c>
      <c r="E42">
        <v>1</v>
      </c>
      <c r="F42">
        <v>1</v>
      </c>
      <c r="G42">
        <v>124025</v>
      </c>
      <c r="H42">
        <v>0</v>
      </c>
      <c r="I42">
        <v>2</v>
      </c>
      <c r="J42">
        <v>2</v>
      </c>
      <c r="K42">
        <v>140870</v>
      </c>
      <c r="L42">
        <v>0</v>
      </c>
    </row>
    <row r="43" spans="1:12">
      <c r="A43">
        <v>134130</v>
      </c>
      <c r="B43" t="s">
        <v>95</v>
      </c>
      <c r="C43" t="s">
        <v>285</v>
      </c>
      <c r="D43" t="s">
        <v>284</v>
      </c>
      <c r="E43">
        <v>1</v>
      </c>
      <c r="F43">
        <v>1</v>
      </c>
      <c r="G43">
        <v>623669</v>
      </c>
      <c r="H43">
        <v>0</v>
      </c>
      <c r="I43">
        <v>2</v>
      </c>
      <c r="J43">
        <v>2</v>
      </c>
      <c r="K43">
        <v>418950</v>
      </c>
      <c r="L43">
        <v>0</v>
      </c>
    </row>
    <row r="44" spans="1:12">
      <c r="A44">
        <v>133669</v>
      </c>
      <c r="B44" t="s">
        <v>96</v>
      </c>
      <c r="C44" t="s">
        <v>285</v>
      </c>
      <c r="D44" t="s">
        <v>284</v>
      </c>
      <c r="E44">
        <v>1</v>
      </c>
      <c r="F44">
        <v>1</v>
      </c>
      <c r="G44">
        <v>141953</v>
      </c>
      <c r="H44">
        <v>0</v>
      </c>
      <c r="I44">
        <v>2</v>
      </c>
      <c r="J44">
        <v>2</v>
      </c>
      <c r="K44">
        <v>131957</v>
      </c>
      <c r="L44">
        <v>0</v>
      </c>
    </row>
    <row r="45" spans="1:12">
      <c r="A45">
        <v>433660</v>
      </c>
      <c r="B45" t="s">
        <v>97</v>
      </c>
      <c r="C45" t="s">
        <v>285</v>
      </c>
      <c r="D45" t="s">
        <v>284</v>
      </c>
      <c r="E45">
        <v>1</v>
      </c>
      <c r="F45">
        <v>1</v>
      </c>
      <c r="G45">
        <v>177058</v>
      </c>
      <c r="H45">
        <v>0</v>
      </c>
      <c r="I45">
        <v>1</v>
      </c>
      <c r="J45">
        <v>1</v>
      </c>
      <c r="K45">
        <v>140840</v>
      </c>
      <c r="L45">
        <v>0</v>
      </c>
    </row>
    <row r="46" spans="1:12">
      <c r="A46">
        <v>133951</v>
      </c>
      <c r="B46" t="s">
        <v>98</v>
      </c>
      <c r="C46" t="s">
        <v>285</v>
      </c>
      <c r="D46" t="s">
        <v>284</v>
      </c>
      <c r="E46">
        <v>1</v>
      </c>
      <c r="F46">
        <v>1</v>
      </c>
      <c r="G46">
        <v>124794</v>
      </c>
      <c r="H46">
        <v>0</v>
      </c>
      <c r="I46">
        <v>2</v>
      </c>
      <c r="J46">
        <v>2</v>
      </c>
      <c r="K46">
        <v>102903</v>
      </c>
      <c r="L46">
        <v>0</v>
      </c>
    </row>
    <row r="47" spans="1:12">
      <c r="A47">
        <v>134097</v>
      </c>
      <c r="B47" t="s">
        <v>99</v>
      </c>
      <c r="C47" t="s">
        <v>285</v>
      </c>
      <c r="D47" t="s">
        <v>284</v>
      </c>
      <c r="E47">
        <v>1</v>
      </c>
      <c r="F47">
        <v>1</v>
      </c>
      <c r="G47">
        <v>280045</v>
      </c>
      <c r="H47">
        <v>0</v>
      </c>
      <c r="I47">
        <v>2</v>
      </c>
      <c r="J47">
        <v>2</v>
      </c>
      <c r="K47">
        <v>242129</v>
      </c>
      <c r="L47">
        <v>0</v>
      </c>
    </row>
    <row r="48" spans="1:12">
      <c r="A48">
        <v>110556</v>
      </c>
      <c r="B48" t="s">
        <v>100</v>
      </c>
      <c r="C48" t="s">
        <v>285</v>
      </c>
      <c r="D48" t="s">
        <v>284</v>
      </c>
      <c r="E48">
        <v>1</v>
      </c>
      <c r="F48">
        <v>1</v>
      </c>
      <c r="G48">
        <v>204587</v>
      </c>
      <c r="H48">
        <v>0</v>
      </c>
      <c r="I48">
        <v>2</v>
      </c>
      <c r="J48">
        <v>1.92</v>
      </c>
      <c r="K48">
        <v>216883</v>
      </c>
      <c r="L48">
        <v>0</v>
      </c>
    </row>
    <row r="49" spans="1:12">
      <c r="A49">
        <v>139959</v>
      </c>
      <c r="B49" t="s">
        <v>102</v>
      </c>
      <c r="C49" t="s">
        <v>285</v>
      </c>
      <c r="D49" t="s">
        <v>284</v>
      </c>
      <c r="E49">
        <v>1</v>
      </c>
      <c r="F49">
        <v>1</v>
      </c>
      <c r="G49">
        <v>309680</v>
      </c>
      <c r="H49">
        <v>0</v>
      </c>
      <c r="I49">
        <v>2</v>
      </c>
      <c r="J49">
        <v>2</v>
      </c>
      <c r="K49">
        <v>272457</v>
      </c>
      <c r="L49">
        <v>0</v>
      </c>
    </row>
    <row r="50" spans="1:12">
      <c r="A50">
        <v>139931</v>
      </c>
      <c r="B50" t="s">
        <v>103</v>
      </c>
      <c r="C50" t="s">
        <v>285</v>
      </c>
      <c r="D50" t="s">
        <v>284</v>
      </c>
      <c r="E50">
        <v>1</v>
      </c>
      <c r="F50">
        <v>1</v>
      </c>
      <c r="G50">
        <v>122392</v>
      </c>
      <c r="H50">
        <v>0</v>
      </c>
      <c r="I50">
        <v>3</v>
      </c>
      <c r="J50">
        <v>2.25</v>
      </c>
      <c r="K50">
        <v>129372</v>
      </c>
      <c r="L50">
        <v>0</v>
      </c>
    </row>
    <row r="51" spans="1:12">
      <c r="A51">
        <v>139940</v>
      </c>
      <c r="B51" t="s">
        <v>104</v>
      </c>
      <c r="C51" t="s">
        <v>285</v>
      </c>
      <c r="D51" t="s">
        <v>284</v>
      </c>
      <c r="E51">
        <v>1</v>
      </c>
      <c r="F51">
        <v>1</v>
      </c>
      <c r="G51">
        <v>145792</v>
      </c>
      <c r="H51">
        <v>0</v>
      </c>
      <c r="I51">
        <v>2</v>
      </c>
      <c r="J51">
        <v>2</v>
      </c>
      <c r="K51">
        <v>140023</v>
      </c>
      <c r="L51">
        <v>0</v>
      </c>
    </row>
    <row r="52" spans="1:12">
      <c r="A52">
        <v>139755</v>
      </c>
      <c r="B52" t="s">
        <v>105</v>
      </c>
      <c r="C52" t="s">
        <v>285</v>
      </c>
      <c r="D52" t="s">
        <v>284</v>
      </c>
      <c r="E52">
        <v>1</v>
      </c>
      <c r="F52">
        <v>1</v>
      </c>
      <c r="G52">
        <v>353024</v>
      </c>
      <c r="H52">
        <v>0</v>
      </c>
      <c r="I52">
        <v>2</v>
      </c>
      <c r="J52">
        <v>2</v>
      </c>
      <c r="K52">
        <v>250673</v>
      </c>
      <c r="L52">
        <v>0</v>
      </c>
    </row>
    <row r="53" spans="1:12">
      <c r="A53">
        <v>159009</v>
      </c>
      <c r="B53" t="s">
        <v>106</v>
      </c>
      <c r="C53" t="s">
        <v>285</v>
      </c>
      <c r="D53" t="s">
        <v>284</v>
      </c>
      <c r="E53">
        <v>1</v>
      </c>
      <c r="F53">
        <v>1</v>
      </c>
      <c r="G53">
        <v>76661</v>
      </c>
      <c r="H53">
        <v>0</v>
      </c>
      <c r="I53">
        <v>1</v>
      </c>
      <c r="J53">
        <v>1</v>
      </c>
      <c r="K53">
        <v>7381</v>
      </c>
      <c r="L53">
        <v>0</v>
      </c>
    </row>
    <row r="54" spans="1:12">
      <c r="A54">
        <v>225511</v>
      </c>
      <c r="B54" t="s">
        <v>108</v>
      </c>
      <c r="C54" t="s">
        <v>285</v>
      </c>
      <c r="D54" t="s">
        <v>284</v>
      </c>
      <c r="E54">
        <v>1</v>
      </c>
      <c r="F54">
        <v>1</v>
      </c>
      <c r="G54">
        <v>206223</v>
      </c>
      <c r="H54">
        <v>0</v>
      </c>
      <c r="I54">
        <v>2</v>
      </c>
      <c r="J54">
        <v>2</v>
      </c>
      <c r="K54">
        <v>204358</v>
      </c>
      <c r="L54">
        <v>0</v>
      </c>
    </row>
    <row r="55" spans="1:12">
      <c r="A55">
        <v>142285</v>
      </c>
      <c r="B55" t="s">
        <v>109</v>
      </c>
      <c r="C55" t="s">
        <v>285</v>
      </c>
      <c r="D55" t="s">
        <v>284</v>
      </c>
      <c r="E55">
        <v>1</v>
      </c>
      <c r="F55">
        <v>1</v>
      </c>
      <c r="G55">
        <v>127553</v>
      </c>
      <c r="H55">
        <v>0</v>
      </c>
      <c r="I55">
        <v>2</v>
      </c>
      <c r="J55">
        <v>2</v>
      </c>
      <c r="K55">
        <v>119253</v>
      </c>
      <c r="L55">
        <v>0</v>
      </c>
    </row>
    <row r="56" spans="1:12">
      <c r="A56">
        <v>142276</v>
      </c>
      <c r="B56" t="s">
        <v>110</v>
      </c>
      <c r="C56" t="s">
        <v>285</v>
      </c>
      <c r="D56" t="s">
        <v>284</v>
      </c>
      <c r="E56">
        <v>1</v>
      </c>
      <c r="F56">
        <v>1</v>
      </c>
      <c r="G56">
        <v>103241</v>
      </c>
      <c r="H56">
        <v>0</v>
      </c>
      <c r="I56">
        <v>3</v>
      </c>
      <c r="J56">
        <v>2</v>
      </c>
      <c r="K56">
        <v>97547</v>
      </c>
      <c r="L56">
        <v>0</v>
      </c>
    </row>
    <row r="57" spans="1:12">
      <c r="A57">
        <v>145637</v>
      </c>
      <c r="B57" t="s">
        <v>111</v>
      </c>
      <c r="C57" t="s">
        <v>285</v>
      </c>
      <c r="D57" t="s">
        <v>284</v>
      </c>
      <c r="E57">
        <v>1</v>
      </c>
      <c r="F57">
        <v>1</v>
      </c>
      <c r="G57">
        <v>454164</v>
      </c>
      <c r="H57">
        <v>0</v>
      </c>
      <c r="I57">
        <v>2</v>
      </c>
      <c r="J57">
        <v>2</v>
      </c>
      <c r="K57">
        <v>271803</v>
      </c>
      <c r="L57">
        <v>0</v>
      </c>
    </row>
    <row r="58" spans="1:12">
      <c r="A58">
        <v>145600</v>
      </c>
      <c r="B58" t="s">
        <v>112</v>
      </c>
      <c r="C58" t="s">
        <v>285</v>
      </c>
      <c r="D58" t="s">
        <v>284</v>
      </c>
      <c r="E58">
        <v>1</v>
      </c>
      <c r="F58">
        <v>1</v>
      </c>
      <c r="G58">
        <v>155298</v>
      </c>
      <c r="H58">
        <v>0</v>
      </c>
      <c r="I58">
        <v>2</v>
      </c>
      <c r="J58">
        <v>2</v>
      </c>
      <c r="K58">
        <v>115328</v>
      </c>
      <c r="L58">
        <v>0</v>
      </c>
    </row>
    <row r="59" spans="1:12">
      <c r="A59">
        <v>145813</v>
      </c>
      <c r="B59" t="s">
        <v>113</v>
      </c>
      <c r="C59" t="s">
        <v>285</v>
      </c>
      <c r="D59" t="s">
        <v>284</v>
      </c>
      <c r="E59">
        <v>1</v>
      </c>
      <c r="F59">
        <v>1</v>
      </c>
      <c r="G59">
        <v>157679</v>
      </c>
      <c r="H59">
        <v>0</v>
      </c>
      <c r="I59">
        <v>2</v>
      </c>
      <c r="J59">
        <v>2</v>
      </c>
      <c r="K59">
        <v>134373</v>
      </c>
      <c r="L59">
        <v>0</v>
      </c>
    </row>
    <row r="60" spans="1:12">
      <c r="A60">
        <v>151351</v>
      </c>
      <c r="B60" t="s">
        <v>114</v>
      </c>
      <c r="C60" t="s">
        <v>285</v>
      </c>
      <c r="D60" t="s">
        <v>284</v>
      </c>
      <c r="E60">
        <v>1</v>
      </c>
      <c r="F60">
        <v>1</v>
      </c>
      <c r="G60">
        <v>359029</v>
      </c>
      <c r="H60">
        <v>0</v>
      </c>
      <c r="I60">
        <v>2</v>
      </c>
      <c r="J60">
        <v>2</v>
      </c>
      <c r="K60">
        <v>223880</v>
      </c>
      <c r="L60">
        <v>0</v>
      </c>
    </row>
    <row r="61" spans="1:12">
      <c r="A61">
        <v>151324</v>
      </c>
      <c r="B61" t="s">
        <v>115</v>
      </c>
      <c r="C61" t="s">
        <v>285</v>
      </c>
      <c r="D61" t="s">
        <v>284</v>
      </c>
      <c r="E61">
        <v>1</v>
      </c>
      <c r="F61">
        <v>1</v>
      </c>
      <c r="G61">
        <v>119649</v>
      </c>
      <c r="H61">
        <v>0</v>
      </c>
      <c r="I61">
        <v>2</v>
      </c>
      <c r="J61">
        <v>1.5</v>
      </c>
      <c r="K61">
        <v>68940</v>
      </c>
      <c r="L61">
        <v>0</v>
      </c>
    </row>
    <row r="62" spans="1:12">
      <c r="A62">
        <v>153658</v>
      </c>
      <c r="B62" t="s">
        <v>116</v>
      </c>
      <c r="C62" t="s">
        <v>285</v>
      </c>
      <c r="D62" t="s">
        <v>284</v>
      </c>
      <c r="E62">
        <v>1</v>
      </c>
      <c r="F62">
        <v>1</v>
      </c>
      <c r="G62">
        <v>315730</v>
      </c>
      <c r="H62">
        <v>0</v>
      </c>
      <c r="I62">
        <v>2</v>
      </c>
      <c r="J62">
        <v>2</v>
      </c>
      <c r="K62">
        <v>315071</v>
      </c>
      <c r="L62">
        <v>0</v>
      </c>
    </row>
    <row r="63" spans="1:12">
      <c r="A63">
        <v>153603</v>
      </c>
      <c r="B63" t="s">
        <v>117</v>
      </c>
      <c r="C63" t="s">
        <v>285</v>
      </c>
      <c r="D63" t="s">
        <v>284</v>
      </c>
      <c r="E63">
        <v>1</v>
      </c>
      <c r="F63">
        <v>1</v>
      </c>
      <c r="G63">
        <v>322300</v>
      </c>
      <c r="H63">
        <v>0</v>
      </c>
      <c r="I63">
        <v>2</v>
      </c>
      <c r="J63">
        <v>2</v>
      </c>
      <c r="K63">
        <v>214766</v>
      </c>
      <c r="L63">
        <v>0</v>
      </c>
    </row>
    <row r="64" spans="1:12">
      <c r="A64">
        <v>151111</v>
      </c>
      <c r="B64" t="s">
        <v>118</v>
      </c>
      <c r="C64" t="s">
        <v>285</v>
      </c>
      <c r="D64" t="s">
        <v>284</v>
      </c>
      <c r="E64" s="48">
        <v>1</v>
      </c>
      <c r="F64" s="48">
        <v>1</v>
      </c>
      <c r="G64" s="48">
        <v>58603</v>
      </c>
      <c r="H64" s="48">
        <v>0</v>
      </c>
      <c r="I64" s="48">
        <v>1</v>
      </c>
      <c r="J64" s="48">
        <v>1</v>
      </c>
      <c r="K64" s="48">
        <v>46880</v>
      </c>
      <c r="L64" s="48">
        <v>0</v>
      </c>
    </row>
    <row r="65" spans="1:12">
      <c r="A65">
        <v>232423</v>
      </c>
      <c r="B65" t="s">
        <v>121</v>
      </c>
      <c r="C65" t="s">
        <v>285</v>
      </c>
      <c r="D65" t="s">
        <v>284</v>
      </c>
      <c r="E65">
        <v>1</v>
      </c>
      <c r="F65">
        <v>1</v>
      </c>
      <c r="G65">
        <v>170564</v>
      </c>
      <c r="H65">
        <v>0</v>
      </c>
      <c r="I65">
        <v>2</v>
      </c>
      <c r="J65">
        <v>2</v>
      </c>
      <c r="K65">
        <v>141900</v>
      </c>
      <c r="L65">
        <v>0</v>
      </c>
    </row>
    <row r="66" spans="1:12">
      <c r="A66">
        <v>155317</v>
      </c>
      <c r="B66" t="s">
        <v>122</v>
      </c>
      <c r="C66" t="s">
        <v>285</v>
      </c>
      <c r="D66" t="s">
        <v>284</v>
      </c>
      <c r="E66">
        <v>1</v>
      </c>
      <c r="F66">
        <v>1</v>
      </c>
      <c r="G66">
        <v>287882</v>
      </c>
      <c r="H66">
        <v>0</v>
      </c>
      <c r="I66">
        <v>2</v>
      </c>
      <c r="J66">
        <v>2</v>
      </c>
      <c r="K66">
        <v>262773</v>
      </c>
      <c r="L66">
        <v>0</v>
      </c>
    </row>
    <row r="67" spans="1:12">
      <c r="A67">
        <v>155399</v>
      </c>
      <c r="B67" t="s">
        <v>123</v>
      </c>
      <c r="C67" t="s">
        <v>285</v>
      </c>
      <c r="D67" t="s">
        <v>284</v>
      </c>
      <c r="E67">
        <v>1</v>
      </c>
      <c r="F67">
        <v>1</v>
      </c>
      <c r="G67">
        <v>373490</v>
      </c>
      <c r="H67">
        <v>0</v>
      </c>
      <c r="I67">
        <v>2</v>
      </c>
      <c r="J67">
        <v>2</v>
      </c>
      <c r="K67">
        <v>304849</v>
      </c>
      <c r="L67">
        <v>0</v>
      </c>
    </row>
    <row r="68" spans="1:12">
      <c r="A68">
        <v>203517</v>
      </c>
      <c r="B68" t="s">
        <v>125</v>
      </c>
      <c r="C68" t="s">
        <v>285</v>
      </c>
      <c r="D68" t="s">
        <v>284</v>
      </c>
      <c r="E68">
        <v>1</v>
      </c>
      <c r="F68">
        <v>1</v>
      </c>
      <c r="G68">
        <v>82085</v>
      </c>
      <c r="H68">
        <v>0</v>
      </c>
      <c r="I68">
        <v>2</v>
      </c>
      <c r="J68">
        <v>2</v>
      </c>
      <c r="K68">
        <v>164171</v>
      </c>
      <c r="L68">
        <v>0</v>
      </c>
    </row>
    <row r="69" spans="1:12">
      <c r="A69">
        <v>157085</v>
      </c>
      <c r="B69" t="s">
        <v>126</v>
      </c>
      <c r="C69" t="s">
        <v>285</v>
      </c>
      <c r="D69" t="s">
        <v>284</v>
      </c>
      <c r="E69">
        <v>1</v>
      </c>
      <c r="F69">
        <v>1</v>
      </c>
      <c r="G69">
        <v>581348</v>
      </c>
      <c r="H69">
        <v>0</v>
      </c>
      <c r="I69">
        <v>2</v>
      </c>
      <c r="J69">
        <v>2</v>
      </c>
      <c r="K69">
        <v>329652</v>
      </c>
      <c r="L69">
        <v>0</v>
      </c>
    </row>
    <row r="70" spans="1:12">
      <c r="A70">
        <v>226091</v>
      </c>
      <c r="B70" t="s">
        <v>127</v>
      </c>
      <c r="C70" t="s">
        <v>285</v>
      </c>
      <c r="D70" t="s">
        <v>284</v>
      </c>
      <c r="E70">
        <v>1</v>
      </c>
      <c r="F70">
        <v>1</v>
      </c>
      <c r="G70">
        <v>78952</v>
      </c>
      <c r="H70">
        <v>0</v>
      </c>
      <c r="I70">
        <v>2</v>
      </c>
      <c r="J70">
        <v>1</v>
      </c>
      <c r="K70">
        <v>45326</v>
      </c>
      <c r="L70">
        <v>0</v>
      </c>
    </row>
    <row r="71" spans="1:12">
      <c r="A71">
        <v>110583</v>
      </c>
      <c r="B71" t="s">
        <v>128</v>
      </c>
      <c r="C71" t="s">
        <v>285</v>
      </c>
      <c r="D71" t="s">
        <v>284</v>
      </c>
      <c r="E71">
        <v>1</v>
      </c>
      <c r="F71">
        <v>1</v>
      </c>
      <c r="G71">
        <v>423841</v>
      </c>
      <c r="H71">
        <v>0</v>
      </c>
      <c r="I71">
        <v>2</v>
      </c>
      <c r="J71">
        <v>2</v>
      </c>
      <c r="K71">
        <v>196955</v>
      </c>
      <c r="L71">
        <v>0</v>
      </c>
    </row>
    <row r="72" spans="1:12">
      <c r="A72">
        <v>160658</v>
      </c>
      <c r="B72" t="s">
        <v>130</v>
      </c>
      <c r="C72" t="s">
        <v>285</v>
      </c>
      <c r="D72" t="s">
        <v>284</v>
      </c>
      <c r="E72">
        <v>1</v>
      </c>
      <c r="F72">
        <v>1</v>
      </c>
      <c r="G72">
        <v>122380</v>
      </c>
      <c r="H72">
        <v>0</v>
      </c>
      <c r="I72">
        <v>2</v>
      </c>
      <c r="J72">
        <v>2</v>
      </c>
      <c r="K72">
        <v>130206</v>
      </c>
      <c r="L72">
        <v>0</v>
      </c>
    </row>
    <row r="73" spans="1:12">
      <c r="A73">
        <v>159647</v>
      </c>
      <c r="B73" t="s">
        <v>132</v>
      </c>
      <c r="C73" t="s">
        <v>285</v>
      </c>
      <c r="D73" t="s">
        <v>284</v>
      </c>
      <c r="E73" s="48">
        <v>1</v>
      </c>
      <c r="F73" s="48">
        <v>1</v>
      </c>
      <c r="G73" s="48">
        <v>102029</v>
      </c>
      <c r="H73" s="48">
        <v>0</v>
      </c>
      <c r="I73" s="48">
        <v>2</v>
      </c>
      <c r="J73" s="48">
        <v>2</v>
      </c>
      <c r="K73" s="48">
        <v>95880</v>
      </c>
      <c r="L73" s="48">
        <v>0</v>
      </c>
    </row>
    <row r="74" spans="1:12">
      <c r="A74">
        <v>157289</v>
      </c>
      <c r="B74" t="s">
        <v>133</v>
      </c>
      <c r="C74" t="s">
        <v>285</v>
      </c>
      <c r="D74" t="s">
        <v>284</v>
      </c>
      <c r="E74">
        <v>1</v>
      </c>
      <c r="F74">
        <v>1</v>
      </c>
      <c r="G74">
        <v>616163</v>
      </c>
      <c r="H74">
        <v>0</v>
      </c>
      <c r="I74">
        <v>2</v>
      </c>
      <c r="J74">
        <v>2</v>
      </c>
      <c r="K74">
        <v>412588</v>
      </c>
      <c r="L74">
        <v>0</v>
      </c>
    </row>
    <row r="75" spans="1:12">
      <c r="A75">
        <v>159391</v>
      </c>
      <c r="B75" t="s">
        <v>134</v>
      </c>
      <c r="C75" t="s">
        <v>285</v>
      </c>
      <c r="D75" t="s">
        <v>284</v>
      </c>
      <c r="E75">
        <v>1</v>
      </c>
      <c r="F75">
        <v>1</v>
      </c>
      <c r="G75">
        <v>424835</v>
      </c>
      <c r="H75">
        <v>0</v>
      </c>
      <c r="I75">
        <v>3</v>
      </c>
      <c r="J75">
        <v>2.17</v>
      </c>
      <c r="K75">
        <v>359314</v>
      </c>
      <c r="L75">
        <v>0</v>
      </c>
    </row>
    <row r="76" spans="1:12">
      <c r="A76">
        <v>237525</v>
      </c>
      <c r="B76" t="s">
        <v>136</v>
      </c>
      <c r="C76" t="s">
        <v>285</v>
      </c>
      <c r="D76" t="s">
        <v>284</v>
      </c>
      <c r="E76">
        <v>1</v>
      </c>
      <c r="F76">
        <v>1</v>
      </c>
      <c r="G76">
        <v>140110</v>
      </c>
      <c r="H76">
        <v>0</v>
      </c>
      <c r="I76">
        <v>2</v>
      </c>
      <c r="J76">
        <v>2</v>
      </c>
      <c r="K76">
        <v>135606</v>
      </c>
      <c r="L76">
        <v>0</v>
      </c>
    </row>
    <row r="77" spans="1:12">
      <c r="A77">
        <v>163286</v>
      </c>
      <c r="B77" t="s">
        <v>137</v>
      </c>
      <c r="C77" t="s">
        <v>285</v>
      </c>
      <c r="D77" t="s">
        <v>284</v>
      </c>
      <c r="E77">
        <v>1</v>
      </c>
      <c r="F77">
        <v>1</v>
      </c>
      <c r="G77">
        <v>261783</v>
      </c>
      <c r="H77">
        <v>0</v>
      </c>
      <c r="I77">
        <v>2</v>
      </c>
      <c r="J77">
        <v>2</v>
      </c>
      <c r="K77">
        <v>178379</v>
      </c>
      <c r="L77">
        <v>0</v>
      </c>
    </row>
    <row r="78" spans="1:12">
      <c r="A78">
        <v>163268</v>
      </c>
      <c r="B78" t="s">
        <v>138</v>
      </c>
      <c r="C78" t="s">
        <v>285</v>
      </c>
      <c r="D78" t="s">
        <v>284</v>
      </c>
      <c r="E78">
        <v>1</v>
      </c>
      <c r="F78">
        <v>1</v>
      </c>
      <c r="G78">
        <v>107432</v>
      </c>
      <c r="H78">
        <v>0</v>
      </c>
      <c r="I78">
        <v>2</v>
      </c>
      <c r="J78">
        <v>1.25</v>
      </c>
      <c r="K78">
        <v>58913</v>
      </c>
      <c r="L78">
        <v>0</v>
      </c>
    </row>
    <row r="79" spans="1:12">
      <c r="A79">
        <v>163338</v>
      </c>
      <c r="B79" t="s">
        <v>139</v>
      </c>
      <c r="C79" t="s">
        <v>285</v>
      </c>
      <c r="D79" t="s">
        <v>284</v>
      </c>
      <c r="E79">
        <v>1</v>
      </c>
      <c r="F79">
        <v>1</v>
      </c>
      <c r="G79">
        <v>95310</v>
      </c>
      <c r="H79">
        <v>0</v>
      </c>
      <c r="I79">
        <v>1</v>
      </c>
      <c r="J79">
        <v>1</v>
      </c>
      <c r="K79">
        <v>71181</v>
      </c>
      <c r="L79">
        <v>0</v>
      </c>
    </row>
    <row r="80" spans="1:12">
      <c r="A80">
        <v>159717</v>
      </c>
      <c r="B80" t="s">
        <v>142</v>
      </c>
      <c r="C80" t="s">
        <v>285</v>
      </c>
      <c r="D80" t="s">
        <v>284</v>
      </c>
      <c r="E80">
        <v>1</v>
      </c>
      <c r="F80">
        <v>0.83</v>
      </c>
      <c r="G80">
        <v>55259</v>
      </c>
      <c r="H80">
        <v>0</v>
      </c>
      <c r="I80">
        <v>1</v>
      </c>
      <c r="J80">
        <v>0.83</v>
      </c>
      <c r="K80">
        <v>31780</v>
      </c>
      <c r="L80">
        <v>0</v>
      </c>
    </row>
    <row r="81" spans="1:12">
      <c r="A81">
        <v>204024</v>
      </c>
      <c r="B81" t="s">
        <v>144</v>
      </c>
      <c r="C81" t="s">
        <v>285</v>
      </c>
      <c r="D81" t="s">
        <v>284</v>
      </c>
      <c r="E81">
        <v>1</v>
      </c>
      <c r="F81">
        <v>1</v>
      </c>
      <c r="G81">
        <v>164599</v>
      </c>
      <c r="H81">
        <v>0</v>
      </c>
      <c r="I81">
        <v>2</v>
      </c>
      <c r="J81">
        <v>2</v>
      </c>
      <c r="K81">
        <v>115217</v>
      </c>
      <c r="L81">
        <v>0</v>
      </c>
    </row>
    <row r="82" spans="1:12">
      <c r="A82">
        <v>170976</v>
      </c>
      <c r="B82" t="s">
        <v>145</v>
      </c>
      <c r="C82" t="s">
        <v>285</v>
      </c>
      <c r="D82" t="s">
        <v>284</v>
      </c>
      <c r="E82">
        <v>1</v>
      </c>
      <c r="F82">
        <v>1</v>
      </c>
      <c r="G82">
        <v>281195</v>
      </c>
      <c r="H82">
        <v>0</v>
      </c>
      <c r="I82">
        <v>2</v>
      </c>
      <c r="J82">
        <v>2</v>
      </c>
      <c r="K82">
        <v>252909</v>
      </c>
      <c r="L82">
        <v>0</v>
      </c>
    </row>
    <row r="83" spans="1:12">
      <c r="A83">
        <v>171100</v>
      </c>
      <c r="B83" t="s">
        <v>146</v>
      </c>
      <c r="C83" t="s">
        <v>285</v>
      </c>
      <c r="D83" t="s">
        <v>284</v>
      </c>
      <c r="E83">
        <v>1</v>
      </c>
      <c r="F83">
        <v>1</v>
      </c>
      <c r="G83">
        <v>421994</v>
      </c>
      <c r="H83">
        <v>0</v>
      </c>
      <c r="I83">
        <v>2</v>
      </c>
      <c r="J83">
        <v>2</v>
      </c>
      <c r="K83">
        <v>292479</v>
      </c>
      <c r="L83">
        <v>0</v>
      </c>
    </row>
    <row r="84" spans="1:12">
      <c r="A84">
        <v>220978</v>
      </c>
      <c r="B84" t="s">
        <v>147</v>
      </c>
      <c r="C84" t="s">
        <v>285</v>
      </c>
      <c r="D84" t="s">
        <v>284</v>
      </c>
      <c r="E84">
        <v>1</v>
      </c>
      <c r="F84">
        <v>0.81</v>
      </c>
      <c r="G84">
        <v>100958</v>
      </c>
      <c r="H84">
        <v>0</v>
      </c>
      <c r="I84">
        <v>2</v>
      </c>
      <c r="J84">
        <v>2</v>
      </c>
      <c r="K84">
        <v>113090</v>
      </c>
      <c r="L84">
        <v>0</v>
      </c>
    </row>
    <row r="85" spans="1:12">
      <c r="A85">
        <v>174066</v>
      </c>
      <c r="B85" t="s">
        <v>148</v>
      </c>
      <c r="C85" t="s">
        <v>285</v>
      </c>
      <c r="D85" t="s">
        <v>284</v>
      </c>
      <c r="E85">
        <v>1</v>
      </c>
      <c r="F85">
        <v>1</v>
      </c>
      <c r="G85">
        <v>1097217</v>
      </c>
      <c r="H85">
        <v>0</v>
      </c>
      <c r="I85">
        <v>2</v>
      </c>
      <c r="J85">
        <v>2</v>
      </c>
      <c r="K85">
        <v>287697</v>
      </c>
      <c r="L85">
        <v>0</v>
      </c>
    </row>
    <row r="86" spans="1:12">
      <c r="A86">
        <v>176017</v>
      </c>
      <c r="B86" t="s">
        <v>149</v>
      </c>
      <c r="C86" t="s">
        <v>285</v>
      </c>
      <c r="D86" t="s">
        <v>284</v>
      </c>
      <c r="E86">
        <v>1</v>
      </c>
      <c r="F86">
        <v>1</v>
      </c>
      <c r="G86">
        <v>244294</v>
      </c>
      <c r="H86">
        <v>0</v>
      </c>
      <c r="I86">
        <v>2</v>
      </c>
      <c r="J86">
        <v>2</v>
      </c>
      <c r="K86">
        <v>229542</v>
      </c>
      <c r="L86">
        <v>0</v>
      </c>
    </row>
    <row r="87" spans="1:12">
      <c r="A87">
        <v>176080</v>
      </c>
      <c r="B87" t="s">
        <v>150</v>
      </c>
      <c r="C87" t="s">
        <v>285</v>
      </c>
      <c r="D87" t="s">
        <v>284</v>
      </c>
      <c r="E87">
        <v>1</v>
      </c>
      <c r="F87">
        <v>1</v>
      </c>
      <c r="G87">
        <v>283535</v>
      </c>
      <c r="H87">
        <v>0</v>
      </c>
      <c r="I87">
        <v>2</v>
      </c>
      <c r="J87">
        <v>2</v>
      </c>
      <c r="K87">
        <v>237589</v>
      </c>
      <c r="L87">
        <v>0</v>
      </c>
    </row>
    <row r="88" spans="1:12">
      <c r="A88">
        <v>178396</v>
      </c>
      <c r="B88" t="s">
        <v>152</v>
      </c>
      <c r="C88" t="s">
        <v>285</v>
      </c>
      <c r="D88" t="s">
        <v>284</v>
      </c>
      <c r="E88">
        <v>1</v>
      </c>
      <c r="F88">
        <v>1</v>
      </c>
      <c r="G88">
        <v>474211</v>
      </c>
      <c r="H88">
        <v>0</v>
      </c>
      <c r="I88">
        <v>2</v>
      </c>
      <c r="J88">
        <v>2</v>
      </c>
      <c r="K88">
        <v>333462</v>
      </c>
      <c r="L88">
        <v>0</v>
      </c>
    </row>
    <row r="89" spans="1:12">
      <c r="A89">
        <v>178402</v>
      </c>
      <c r="B89" t="s">
        <v>153</v>
      </c>
      <c r="C89" t="s">
        <v>285</v>
      </c>
      <c r="D89" t="s">
        <v>284</v>
      </c>
      <c r="E89">
        <v>1</v>
      </c>
      <c r="F89">
        <v>1</v>
      </c>
      <c r="G89">
        <v>118080</v>
      </c>
      <c r="H89">
        <v>0</v>
      </c>
      <c r="I89">
        <v>2</v>
      </c>
      <c r="J89">
        <v>2</v>
      </c>
      <c r="K89">
        <v>115804</v>
      </c>
      <c r="L89">
        <v>0</v>
      </c>
    </row>
    <row r="90" spans="1:12">
      <c r="A90">
        <v>179566</v>
      </c>
      <c r="B90" t="s">
        <v>154</v>
      </c>
      <c r="C90" t="s">
        <v>285</v>
      </c>
      <c r="D90" t="s">
        <v>284</v>
      </c>
      <c r="E90">
        <v>1</v>
      </c>
      <c r="F90">
        <v>1</v>
      </c>
      <c r="G90">
        <v>168129</v>
      </c>
      <c r="H90">
        <v>0</v>
      </c>
      <c r="I90">
        <v>2</v>
      </c>
      <c r="J90">
        <v>2</v>
      </c>
      <c r="K90">
        <v>140113</v>
      </c>
      <c r="L90">
        <v>0</v>
      </c>
    </row>
    <row r="91" spans="1:12">
      <c r="A91">
        <v>180489</v>
      </c>
      <c r="B91" t="s">
        <v>155</v>
      </c>
      <c r="C91" t="s">
        <v>285</v>
      </c>
      <c r="D91" t="s">
        <v>284</v>
      </c>
      <c r="E91">
        <v>1</v>
      </c>
      <c r="F91">
        <v>1</v>
      </c>
      <c r="G91">
        <v>96145</v>
      </c>
      <c r="H91">
        <v>4000</v>
      </c>
      <c r="I91">
        <v>2</v>
      </c>
      <c r="J91">
        <v>2</v>
      </c>
      <c r="K91">
        <v>110111</v>
      </c>
      <c r="L91">
        <v>4400</v>
      </c>
    </row>
    <row r="92" spans="1:12">
      <c r="A92">
        <v>180461</v>
      </c>
      <c r="B92" t="s">
        <v>156</v>
      </c>
      <c r="C92" t="s">
        <v>285</v>
      </c>
      <c r="D92" t="s">
        <v>284</v>
      </c>
      <c r="E92" s="48">
        <v>1</v>
      </c>
      <c r="F92" s="48">
        <v>1</v>
      </c>
      <c r="G92" s="48">
        <v>229704</v>
      </c>
      <c r="H92" s="48">
        <v>0</v>
      </c>
      <c r="I92" s="48">
        <v>2</v>
      </c>
      <c r="J92" s="48">
        <v>2</v>
      </c>
      <c r="K92" s="48">
        <v>201196</v>
      </c>
      <c r="L92" s="48">
        <v>0</v>
      </c>
    </row>
    <row r="93" spans="1:12">
      <c r="A93">
        <v>163453</v>
      </c>
      <c r="B93" t="s">
        <v>158</v>
      </c>
      <c r="C93" t="s">
        <v>285</v>
      </c>
      <c r="D93" t="s">
        <v>284</v>
      </c>
      <c r="E93">
        <v>1</v>
      </c>
      <c r="F93">
        <v>1</v>
      </c>
      <c r="G93">
        <v>95336</v>
      </c>
      <c r="H93">
        <v>0</v>
      </c>
      <c r="I93">
        <v>1</v>
      </c>
      <c r="J93">
        <v>1</v>
      </c>
      <c r="K93">
        <v>49748</v>
      </c>
      <c r="L93">
        <v>0</v>
      </c>
    </row>
    <row r="94" spans="1:12">
      <c r="A94">
        <v>181464</v>
      </c>
      <c r="B94" t="s">
        <v>161</v>
      </c>
      <c r="C94" t="s">
        <v>285</v>
      </c>
      <c r="D94" t="s">
        <v>284</v>
      </c>
      <c r="E94">
        <v>1</v>
      </c>
      <c r="F94">
        <v>0.92</v>
      </c>
      <c r="G94">
        <v>1472136</v>
      </c>
      <c r="H94">
        <v>0</v>
      </c>
      <c r="I94">
        <v>2</v>
      </c>
      <c r="J94">
        <v>1.92</v>
      </c>
      <c r="K94">
        <v>257466</v>
      </c>
      <c r="L94">
        <v>0</v>
      </c>
    </row>
    <row r="95" spans="1:12">
      <c r="A95">
        <v>181394</v>
      </c>
      <c r="B95" t="s">
        <v>162</v>
      </c>
      <c r="C95" t="s">
        <v>285</v>
      </c>
      <c r="D95" s="57" t="s">
        <v>284</v>
      </c>
      <c r="E95" s="57">
        <v>1</v>
      </c>
      <c r="F95" s="57">
        <v>1</v>
      </c>
      <c r="G95" s="57">
        <v>131524</v>
      </c>
      <c r="H95" s="57">
        <v>0</v>
      </c>
      <c r="I95" s="57">
        <v>2</v>
      </c>
      <c r="J95" s="57">
        <v>2</v>
      </c>
      <c r="K95" s="57">
        <v>112603</v>
      </c>
      <c r="L95" s="57">
        <v>0</v>
      </c>
    </row>
    <row r="96" spans="1:12">
      <c r="A96">
        <v>182290</v>
      </c>
      <c r="B96" t="s">
        <v>163</v>
      </c>
      <c r="C96" t="s">
        <v>285</v>
      </c>
      <c r="D96" t="s">
        <v>284</v>
      </c>
      <c r="E96">
        <v>1</v>
      </c>
      <c r="F96">
        <v>1</v>
      </c>
      <c r="G96">
        <v>180010</v>
      </c>
      <c r="H96">
        <v>0</v>
      </c>
      <c r="I96">
        <v>2</v>
      </c>
      <c r="J96">
        <v>2</v>
      </c>
      <c r="K96">
        <v>163939</v>
      </c>
      <c r="L96">
        <v>0</v>
      </c>
    </row>
    <row r="97" spans="1:12">
      <c r="A97">
        <v>183044</v>
      </c>
      <c r="B97" t="s">
        <v>164</v>
      </c>
      <c r="C97" t="s">
        <v>285</v>
      </c>
      <c r="D97" t="s">
        <v>284</v>
      </c>
      <c r="E97">
        <v>1</v>
      </c>
      <c r="F97">
        <v>1</v>
      </c>
      <c r="G97">
        <v>208267</v>
      </c>
      <c r="H97">
        <v>0</v>
      </c>
      <c r="I97">
        <v>1</v>
      </c>
      <c r="J97">
        <v>1</v>
      </c>
      <c r="K97">
        <v>76046</v>
      </c>
      <c r="L97">
        <v>0</v>
      </c>
    </row>
    <row r="98" spans="1:12">
      <c r="A98">
        <v>187985</v>
      </c>
      <c r="B98" t="s">
        <v>165</v>
      </c>
      <c r="C98" t="s">
        <v>285</v>
      </c>
      <c r="D98" t="s">
        <v>284</v>
      </c>
      <c r="E98">
        <v>1</v>
      </c>
      <c r="F98">
        <v>1</v>
      </c>
      <c r="G98">
        <v>176108</v>
      </c>
      <c r="H98">
        <v>0</v>
      </c>
      <c r="I98">
        <v>2</v>
      </c>
      <c r="J98">
        <v>2</v>
      </c>
      <c r="K98">
        <v>169649</v>
      </c>
      <c r="L98">
        <v>0</v>
      </c>
    </row>
    <row r="99" spans="1:12">
      <c r="A99">
        <v>188030</v>
      </c>
      <c r="B99" t="s">
        <v>166</v>
      </c>
      <c r="C99" t="s">
        <v>285</v>
      </c>
      <c r="D99" t="s">
        <v>284</v>
      </c>
      <c r="E99">
        <v>1</v>
      </c>
      <c r="F99">
        <v>1</v>
      </c>
      <c r="G99">
        <v>150755</v>
      </c>
      <c r="H99">
        <v>0</v>
      </c>
      <c r="I99">
        <v>2</v>
      </c>
      <c r="J99">
        <v>2</v>
      </c>
      <c r="K99">
        <v>145954</v>
      </c>
      <c r="L99">
        <v>0</v>
      </c>
    </row>
    <row r="100" spans="1:12">
      <c r="A100">
        <v>159966</v>
      </c>
      <c r="B100" t="s">
        <v>168</v>
      </c>
      <c r="C100" t="s">
        <v>285</v>
      </c>
      <c r="D100" t="s">
        <v>284</v>
      </c>
      <c r="E100">
        <v>1</v>
      </c>
      <c r="F100">
        <v>0.5</v>
      </c>
      <c r="G100">
        <v>30050</v>
      </c>
      <c r="H100">
        <v>0</v>
      </c>
      <c r="I100">
        <v>2</v>
      </c>
      <c r="J100">
        <v>1</v>
      </c>
      <c r="K100">
        <v>19952</v>
      </c>
      <c r="L100">
        <v>0</v>
      </c>
    </row>
    <row r="101" spans="1:12">
      <c r="A101">
        <v>185828</v>
      </c>
      <c r="B101" t="s">
        <v>169</v>
      </c>
      <c r="C101" t="s">
        <v>285</v>
      </c>
      <c r="D101" t="s">
        <v>284</v>
      </c>
      <c r="E101">
        <v>1</v>
      </c>
      <c r="F101">
        <v>1</v>
      </c>
      <c r="G101">
        <v>156853</v>
      </c>
      <c r="H101">
        <v>0</v>
      </c>
      <c r="I101">
        <v>1</v>
      </c>
      <c r="J101">
        <v>1</v>
      </c>
      <c r="K101">
        <v>90256</v>
      </c>
      <c r="L101">
        <v>0</v>
      </c>
    </row>
    <row r="102" spans="1:12">
      <c r="A102">
        <v>199120</v>
      </c>
      <c r="B102" t="s">
        <v>172</v>
      </c>
      <c r="C102" t="s">
        <v>285</v>
      </c>
      <c r="D102" t="s">
        <v>284</v>
      </c>
      <c r="E102">
        <v>1</v>
      </c>
      <c r="F102">
        <v>1</v>
      </c>
      <c r="G102">
        <v>333173</v>
      </c>
      <c r="H102">
        <v>0</v>
      </c>
      <c r="I102">
        <v>2</v>
      </c>
      <c r="J102">
        <v>2</v>
      </c>
      <c r="K102">
        <v>224423</v>
      </c>
      <c r="L102">
        <v>0</v>
      </c>
    </row>
    <row r="103" spans="1:12">
      <c r="A103">
        <v>199102</v>
      </c>
      <c r="B103" t="s">
        <v>173</v>
      </c>
      <c r="C103" t="s">
        <v>285</v>
      </c>
      <c r="D103" t="s">
        <v>284</v>
      </c>
      <c r="E103">
        <v>1</v>
      </c>
      <c r="F103">
        <v>1</v>
      </c>
      <c r="G103">
        <v>115768</v>
      </c>
      <c r="H103">
        <v>0</v>
      </c>
      <c r="I103">
        <v>1</v>
      </c>
      <c r="J103">
        <v>1</v>
      </c>
      <c r="K103">
        <v>58100</v>
      </c>
      <c r="L103">
        <v>0</v>
      </c>
    </row>
    <row r="104" spans="1:12">
      <c r="A104">
        <v>199111</v>
      </c>
      <c r="B104" t="s">
        <v>275</v>
      </c>
      <c r="C104" t="s">
        <v>285</v>
      </c>
      <c r="D104" t="s">
        <v>284</v>
      </c>
      <c r="E104">
        <v>1</v>
      </c>
      <c r="F104">
        <v>1</v>
      </c>
      <c r="G104">
        <v>72928</v>
      </c>
      <c r="H104">
        <v>0</v>
      </c>
      <c r="I104">
        <v>1</v>
      </c>
      <c r="J104">
        <v>1</v>
      </c>
      <c r="K104">
        <v>50948</v>
      </c>
      <c r="L104">
        <v>0</v>
      </c>
    </row>
    <row r="105" spans="1:12">
      <c r="A105">
        <v>199157</v>
      </c>
      <c r="B105" t="s">
        <v>174</v>
      </c>
      <c r="C105" t="s">
        <v>285</v>
      </c>
      <c r="D105" t="s">
        <v>284</v>
      </c>
      <c r="E105">
        <v>1</v>
      </c>
      <c r="F105">
        <v>1</v>
      </c>
      <c r="G105">
        <v>88635</v>
      </c>
      <c r="H105">
        <v>0</v>
      </c>
      <c r="I105">
        <v>1</v>
      </c>
      <c r="J105">
        <v>1</v>
      </c>
      <c r="K105">
        <v>41499</v>
      </c>
      <c r="L105">
        <v>0</v>
      </c>
    </row>
    <row r="106" spans="1:12">
      <c r="A106">
        <v>199148</v>
      </c>
      <c r="B106" t="s">
        <v>276</v>
      </c>
      <c r="C106" t="s">
        <v>285</v>
      </c>
      <c r="D106" t="s">
        <v>284</v>
      </c>
      <c r="E106">
        <v>1</v>
      </c>
      <c r="F106">
        <v>1</v>
      </c>
      <c r="G106">
        <v>122335</v>
      </c>
      <c r="H106">
        <v>0</v>
      </c>
      <c r="I106">
        <v>1</v>
      </c>
      <c r="J106">
        <v>1</v>
      </c>
      <c r="K106">
        <v>57920</v>
      </c>
      <c r="L106">
        <v>0</v>
      </c>
    </row>
    <row r="107" spans="1:12">
      <c r="A107">
        <v>199193</v>
      </c>
      <c r="B107" t="s">
        <v>175</v>
      </c>
      <c r="C107" t="s">
        <v>285</v>
      </c>
      <c r="D107" t="s">
        <v>284</v>
      </c>
      <c r="E107">
        <v>1</v>
      </c>
      <c r="F107">
        <v>1</v>
      </c>
      <c r="G107">
        <v>232194</v>
      </c>
      <c r="H107">
        <v>0</v>
      </c>
      <c r="I107">
        <v>2</v>
      </c>
      <c r="J107">
        <v>2</v>
      </c>
      <c r="K107">
        <v>207574</v>
      </c>
      <c r="L107">
        <v>0</v>
      </c>
    </row>
    <row r="108" spans="1:12">
      <c r="A108">
        <v>199218</v>
      </c>
      <c r="B108" t="s">
        <v>176</v>
      </c>
      <c r="C108" t="s">
        <v>285</v>
      </c>
      <c r="D108" t="s">
        <v>284</v>
      </c>
      <c r="E108">
        <v>1</v>
      </c>
      <c r="F108">
        <v>0.5</v>
      </c>
      <c r="G108">
        <v>49572</v>
      </c>
      <c r="H108">
        <v>0</v>
      </c>
      <c r="I108">
        <v>1</v>
      </c>
      <c r="J108">
        <v>1</v>
      </c>
      <c r="K108">
        <v>60407</v>
      </c>
      <c r="L108">
        <v>0</v>
      </c>
    </row>
    <row r="109" spans="1:12">
      <c r="A109">
        <v>200280</v>
      </c>
      <c r="B109" t="s">
        <v>177</v>
      </c>
      <c r="C109" t="s">
        <v>285</v>
      </c>
      <c r="D109" t="s">
        <v>284</v>
      </c>
      <c r="E109">
        <v>1</v>
      </c>
      <c r="F109">
        <v>1</v>
      </c>
      <c r="G109">
        <v>139435</v>
      </c>
      <c r="H109">
        <v>0</v>
      </c>
      <c r="I109">
        <v>2</v>
      </c>
      <c r="J109">
        <v>2</v>
      </c>
      <c r="K109">
        <v>127359</v>
      </c>
      <c r="L109">
        <v>0</v>
      </c>
    </row>
    <row r="110" spans="1:12">
      <c r="A110">
        <v>200332</v>
      </c>
      <c r="B110" t="s">
        <v>178</v>
      </c>
      <c r="C110" t="s">
        <v>285</v>
      </c>
      <c r="D110" t="s">
        <v>284</v>
      </c>
      <c r="E110">
        <v>1</v>
      </c>
      <c r="F110">
        <v>1</v>
      </c>
      <c r="G110">
        <v>144611</v>
      </c>
      <c r="H110">
        <v>0</v>
      </c>
      <c r="I110">
        <v>2</v>
      </c>
      <c r="J110">
        <v>2</v>
      </c>
      <c r="K110">
        <v>199958</v>
      </c>
      <c r="L110">
        <v>0</v>
      </c>
    </row>
    <row r="111" spans="1:12">
      <c r="A111">
        <v>136172</v>
      </c>
      <c r="B111" t="s">
        <v>179</v>
      </c>
      <c r="C111" t="s">
        <v>285</v>
      </c>
      <c r="D111" t="s">
        <v>284</v>
      </c>
      <c r="E111">
        <v>1</v>
      </c>
      <c r="F111">
        <v>1</v>
      </c>
      <c r="G111">
        <v>130992</v>
      </c>
      <c r="H111">
        <v>0</v>
      </c>
      <c r="I111">
        <v>3</v>
      </c>
      <c r="J111">
        <v>2</v>
      </c>
      <c r="K111">
        <v>92277</v>
      </c>
      <c r="L111">
        <v>0</v>
      </c>
    </row>
    <row r="112" spans="1:12">
      <c r="A112">
        <v>227216</v>
      </c>
      <c r="B112" t="s">
        <v>180</v>
      </c>
      <c r="C112" t="s">
        <v>285</v>
      </c>
      <c r="D112" t="s">
        <v>284</v>
      </c>
      <c r="E112">
        <v>1</v>
      </c>
      <c r="F112">
        <v>1</v>
      </c>
      <c r="G112">
        <v>134145</v>
      </c>
      <c r="H112">
        <v>0</v>
      </c>
      <c r="I112">
        <v>2</v>
      </c>
      <c r="J112">
        <v>2</v>
      </c>
      <c r="K112">
        <v>113246</v>
      </c>
      <c r="L112">
        <v>0</v>
      </c>
    </row>
    <row r="113" spans="1:12">
      <c r="A113">
        <v>105330</v>
      </c>
      <c r="B113" t="s">
        <v>181</v>
      </c>
      <c r="C113" t="s">
        <v>285</v>
      </c>
      <c r="D113" t="s">
        <v>284</v>
      </c>
      <c r="E113" s="23">
        <v>1</v>
      </c>
      <c r="F113" s="23">
        <v>1</v>
      </c>
      <c r="G113" s="23">
        <v>145507</v>
      </c>
      <c r="H113" s="23">
        <v>0</v>
      </c>
      <c r="I113" s="23">
        <v>2</v>
      </c>
      <c r="J113" s="23">
        <v>1.8</v>
      </c>
      <c r="K113" s="23">
        <v>120061</v>
      </c>
      <c r="L113" s="23">
        <v>0</v>
      </c>
    </row>
    <row r="114" spans="1:12">
      <c r="A114">
        <v>127741</v>
      </c>
      <c r="B114" t="s">
        <v>182</v>
      </c>
      <c r="C114" t="s">
        <v>285</v>
      </c>
      <c r="D114" t="s">
        <v>284</v>
      </c>
      <c r="E114">
        <v>1</v>
      </c>
      <c r="F114">
        <v>1</v>
      </c>
      <c r="G114">
        <v>202050</v>
      </c>
      <c r="H114">
        <v>0</v>
      </c>
      <c r="I114">
        <v>3</v>
      </c>
      <c r="J114">
        <v>2</v>
      </c>
      <c r="K114">
        <v>140610</v>
      </c>
      <c r="L114">
        <v>0</v>
      </c>
    </row>
    <row r="115" spans="1:12">
      <c r="A115">
        <v>154095</v>
      </c>
      <c r="B115" t="s">
        <v>184</v>
      </c>
      <c r="C115" t="s">
        <v>285</v>
      </c>
      <c r="D115" t="s">
        <v>284</v>
      </c>
      <c r="E115">
        <v>1</v>
      </c>
      <c r="F115">
        <v>1</v>
      </c>
      <c r="G115">
        <v>232101</v>
      </c>
      <c r="H115">
        <v>0</v>
      </c>
      <c r="I115">
        <v>2</v>
      </c>
      <c r="J115">
        <v>2</v>
      </c>
      <c r="K115">
        <v>186102</v>
      </c>
      <c r="L115">
        <v>0</v>
      </c>
    </row>
    <row r="116" spans="1:12">
      <c r="A116">
        <v>160038</v>
      </c>
      <c r="B116" t="s">
        <v>185</v>
      </c>
      <c r="C116" t="s">
        <v>285</v>
      </c>
      <c r="D116" t="s">
        <v>284</v>
      </c>
      <c r="E116">
        <v>1</v>
      </c>
      <c r="F116">
        <v>1</v>
      </c>
      <c r="G116">
        <v>87194</v>
      </c>
      <c r="H116">
        <v>0</v>
      </c>
      <c r="I116">
        <v>2</v>
      </c>
      <c r="J116">
        <v>1</v>
      </c>
      <c r="K116">
        <v>63740</v>
      </c>
      <c r="L116">
        <v>0</v>
      </c>
    </row>
    <row r="117" spans="1:12">
      <c r="A117">
        <v>171571</v>
      </c>
      <c r="B117" t="s">
        <v>186</v>
      </c>
      <c r="C117" t="s">
        <v>285</v>
      </c>
      <c r="D117" t="s">
        <v>284</v>
      </c>
      <c r="E117">
        <v>1</v>
      </c>
      <c r="F117">
        <v>1</v>
      </c>
      <c r="G117">
        <v>108042</v>
      </c>
      <c r="H117">
        <v>0</v>
      </c>
      <c r="I117">
        <v>2</v>
      </c>
      <c r="J117">
        <v>1.2</v>
      </c>
      <c r="K117">
        <v>82749</v>
      </c>
      <c r="L117">
        <v>0</v>
      </c>
    </row>
    <row r="118" spans="1:12">
      <c r="A118">
        <v>204857</v>
      </c>
      <c r="B118" t="s">
        <v>187</v>
      </c>
      <c r="C118" t="s">
        <v>285</v>
      </c>
      <c r="D118" t="s">
        <v>284</v>
      </c>
      <c r="E118">
        <v>1</v>
      </c>
      <c r="F118">
        <v>1</v>
      </c>
      <c r="G118">
        <v>181182</v>
      </c>
      <c r="H118">
        <v>0</v>
      </c>
      <c r="I118">
        <v>2</v>
      </c>
      <c r="J118">
        <v>2</v>
      </c>
      <c r="K118">
        <v>164266</v>
      </c>
      <c r="L118">
        <v>0</v>
      </c>
    </row>
    <row r="119" spans="1:12">
      <c r="A119">
        <v>204796</v>
      </c>
      <c r="B119" t="s">
        <v>188</v>
      </c>
      <c r="C119" t="s">
        <v>285</v>
      </c>
      <c r="D119" t="s">
        <v>284</v>
      </c>
      <c r="E119">
        <v>1</v>
      </c>
      <c r="F119">
        <v>1</v>
      </c>
      <c r="G119">
        <v>444835</v>
      </c>
      <c r="H119">
        <v>0</v>
      </c>
      <c r="I119">
        <v>2</v>
      </c>
      <c r="J119">
        <v>2</v>
      </c>
      <c r="K119">
        <v>328513</v>
      </c>
      <c r="L119">
        <v>0</v>
      </c>
    </row>
    <row r="120" spans="1:12">
      <c r="A120">
        <v>207500</v>
      </c>
      <c r="B120" t="s">
        <v>189</v>
      </c>
      <c r="C120" t="s">
        <v>285</v>
      </c>
      <c r="D120" t="s">
        <v>284</v>
      </c>
      <c r="E120">
        <v>1</v>
      </c>
      <c r="F120">
        <v>1</v>
      </c>
      <c r="G120">
        <v>368454</v>
      </c>
      <c r="H120">
        <v>0</v>
      </c>
      <c r="I120">
        <v>2</v>
      </c>
      <c r="J120">
        <v>2</v>
      </c>
      <c r="K120">
        <v>236099</v>
      </c>
      <c r="L120">
        <v>0</v>
      </c>
    </row>
    <row r="121" spans="1:12">
      <c r="A121">
        <v>232982</v>
      </c>
      <c r="B121" t="s">
        <v>191</v>
      </c>
      <c r="C121" t="s">
        <v>285</v>
      </c>
      <c r="D121" t="s">
        <v>284</v>
      </c>
      <c r="E121" s="23">
        <v>1</v>
      </c>
      <c r="F121" s="23">
        <v>1</v>
      </c>
      <c r="G121" s="23">
        <v>158360</v>
      </c>
      <c r="H121" s="23">
        <v>0</v>
      </c>
      <c r="I121" s="23">
        <v>2</v>
      </c>
      <c r="J121" s="23">
        <v>2</v>
      </c>
      <c r="K121" s="23">
        <v>146560</v>
      </c>
      <c r="L121" s="23">
        <v>0</v>
      </c>
    </row>
    <row r="122" spans="1:12">
      <c r="A122">
        <v>209551</v>
      </c>
      <c r="B122" t="s">
        <v>192</v>
      </c>
      <c r="C122" t="s">
        <v>285</v>
      </c>
      <c r="D122" t="s">
        <v>284</v>
      </c>
      <c r="E122">
        <v>1</v>
      </c>
      <c r="F122">
        <v>1</v>
      </c>
      <c r="G122">
        <v>360099</v>
      </c>
      <c r="H122">
        <v>3000</v>
      </c>
      <c r="I122">
        <v>2</v>
      </c>
      <c r="J122">
        <v>2</v>
      </c>
      <c r="K122">
        <v>313941</v>
      </c>
      <c r="L122">
        <v>5500</v>
      </c>
    </row>
    <row r="123" spans="1:12">
      <c r="A123">
        <v>209542</v>
      </c>
      <c r="B123" t="s">
        <v>193</v>
      </c>
      <c r="C123" t="s">
        <v>285</v>
      </c>
      <c r="D123" t="s">
        <v>284</v>
      </c>
      <c r="E123">
        <v>1</v>
      </c>
      <c r="F123">
        <v>1</v>
      </c>
      <c r="G123">
        <v>346679</v>
      </c>
      <c r="H123">
        <v>0</v>
      </c>
      <c r="I123">
        <v>2</v>
      </c>
      <c r="J123">
        <v>2</v>
      </c>
      <c r="K123">
        <v>273496</v>
      </c>
      <c r="L123">
        <v>0</v>
      </c>
    </row>
    <row r="124" spans="1:12">
      <c r="A124">
        <v>209807</v>
      </c>
      <c r="B124" t="s">
        <v>195</v>
      </c>
      <c r="C124" t="s">
        <v>285</v>
      </c>
      <c r="D124" t="s">
        <v>284</v>
      </c>
      <c r="E124">
        <v>1</v>
      </c>
      <c r="F124">
        <v>1</v>
      </c>
      <c r="G124">
        <v>170455</v>
      </c>
      <c r="H124">
        <v>0</v>
      </c>
      <c r="I124">
        <v>2</v>
      </c>
      <c r="J124">
        <v>2</v>
      </c>
      <c r="K124">
        <v>164682</v>
      </c>
      <c r="L124">
        <v>0</v>
      </c>
    </row>
    <row r="125" spans="1:12">
      <c r="A125">
        <v>227526</v>
      </c>
      <c r="B125" t="s">
        <v>196</v>
      </c>
      <c r="C125" t="s">
        <v>285</v>
      </c>
      <c r="D125" t="s">
        <v>284</v>
      </c>
      <c r="E125">
        <v>1</v>
      </c>
      <c r="F125">
        <v>1</v>
      </c>
      <c r="G125">
        <v>64454</v>
      </c>
      <c r="H125">
        <v>0</v>
      </c>
      <c r="I125">
        <v>1</v>
      </c>
      <c r="J125">
        <v>1</v>
      </c>
      <c r="K125">
        <v>33655</v>
      </c>
      <c r="L125">
        <v>0</v>
      </c>
    </row>
    <row r="126" spans="1:12">
      <c r="A126">
        <v>243780</v>
      </c>
      <c r="B126" t="s">
        <v>197</v>
      </c>
      <c r="C126" t="s">
        <v>285</v>
      </c>
      <c r="D126" t="s">
        <v>284</v>
      </c>
      <c r="E126">
        <v>1</v>
      </c>
      <c r="F126">
        <v>1</v>
      </c>
      <c r="G126">
        <v>382157</v>
      </c>
      <c r="H126">
        <v>4768</v>
      </c>
      <c r="I126">
        <v>3</v>
      </c>
      <c r="J126">
        <v>2.5</v>
      </c>
      <c r="K126">
        <v>369692</v>
      </c>
      <c r="L126">
        <v>13084</v>
      </c>
    </row>
    <row r="127" spans="1:12">
      <c r="A127">
        <v>151102</v>
      </c>
      <c r="B127" t="s">
        <v>198</v>
      </c>
      <c r="C127" t="s">
        <v>285</v>
      </c>
      <c r="D127" t="s">
        <v>284</v>
      </c>
      <c r="E127" s="48">
        <v>1</v>
      </c>
      <c r="F127" s="48">
        <v>1</v>
      </c>
      <c r="G127" s="48">
        <v>86449</v>
      </c>
      <c r="H127" s="48">
        <v>0</v>
      </c>
      <c r="I127" s="48">
        <v>1</v>
      </c>
      <c r="J127" s="48">
        <v>1</v>
      </c>
      <c r="K127" s="48">
        <v>51710</v>
      </c>
      <c r="L127" s="48">
        <v>0</v>
      </c>
    </row>
    <row r="128" spans="1:12" ht="32">
      <c r="A128">
        <v>233277</v>
      </c>
      <c r="B128" t="s">
        <v>199</v>
      </c>
      <c r="C128" t="s">
        <v>285</v>
      </c>
      <c r="D128" s="50" t="s">
        <v>284</v>
      </c>
      <c r="E128" s="22">
        <v>1</v>
      </c>
      <c r="F128" s="22">
        <v>1</v>
      </c>
      <c r="G128" s="22">
        <v>105822</v>
      </c>
      <c r="H128" s="22">
        <v>0</v>
      </c>
      <c r="I128" s="22">
        <v>1</v>
      </c>
      <c r="J128" s="22">
        <v>0.92</v>
      </c>
      <c r="K128" s="22">
        <v>46974</v>
      </c>
      <c r="L128" s="22">
        <v>0</v>
      </c>
    </row>
    <row r="129" spans="1:12">
      <c r="A129">
        <v>217484</v>
      </c>
      <c r="B129" t="s">
        <v>200</v>
      </c>
      <c r="C129" t="s">
        <v>285</v>
      </c>
      <c r="D129" t="s">
        <v>284</v>
      </c>
      <c r="E129">
        <v>1</v>
      </c>
      <c r="F129">
        <v>1</v>
      </c>
      <c r="G129">
        <v>90950</v>
      </c>
      <c r="H129">
        <v>0</v>
      </c>
      <c r="I129">
        <v>1</v>
      </c>
      <c r="J129">
        <v>1</v>
      </c>
      <c r="K129">
        <v>54375</v>
      </c>
      <c r="L129">
        <v>0</v>
      </c>
    </row>
    <row r="130" spans="1:12">
      <c r="A130">
        <v>186380</v>
      </c>
      <c r="B130" t="s">
        <v>201</v>
      </c>
      <c r="C130" t="s">
        <v>285</v>
      </c>
      <c r="D130" t="s">
        <v>284</v>
      </c>
      <c r="E130">
        <v>1</v>
      </c>
      <c r="F130">
        <v>1</v>
      </c>
      <c r="G130">
        <v>399654</v>
      </c>
      <c r="H130">
        <v>2400</v>
      </c>
      <c r="I130">
        <v>2</v>
      </c>
      <c r="J130">
        <v>2</v>
      </c>
      <c r="K130">
        <v>302774</v>
      </c>
      <c r="L130">
        <v>2400</v>
      </c>
    </row>
    <row r="131" spans="1:12">
      <c r="A131">
        <v>110617</v>
      </c>
      <c r="B131" t="s">
        <v>202</v>
      </c>
      <c r="C131" t="s">
        <v>285</v>
      </c>
      <c r="D131" t="s">
        <v>284</v>
      </c>
      <c r="E131">
        <v>1</v>
      </c>
      <c r="F131">
        <v>0.7</v>
      </c>
      <c r="G131">
        <v>128785</v>
      </c>
      <c r="H131">
        <v>0</v>
      </c>
      <c r="I131">
        <v>2</v>
      </c>
      <c r="J131">
        <v>1.5</v>
      </c>
      <c r="K131">
        <v>167510</v>
      </c>
      <c r="L131">
        <v>0</v>
      </c>
    </row>
    <row r="132" spans="1:12">
      <c r="A132">
        <v>227881</v>
      </c>
      <c r="B132" t="s">
        <v>203</v>
      </c>
      <c r="C132" t="s">
        <v>285</v>
      </c>
      <c r="D132" t="s">
        <v>284</v>
      </c>
      <c r="E132">
        <v>1</v>
      </c>
      <c r="F132">
        <v>1</v>
      </c>
      <c r="G132">
        <v>160112</v>
      </c>
      <c r="H132">
        <v>0</v>
      </c>
      <c r="I132">
        <v>1</v>
      </c>
      <c r="J132">
        <v>1</v>
      </c>
      <c r="K132">
        <v>53374</v>
      </c>
      <c r="L132">
        <v>0</v>
      </c>
    </row>
    <row r="133" spans="1:12">
      <c r="A133">
        <v>122409</v>
      </c>
      <c r="B133" t="s">
        <v>204</v>
      </c>
      <c r="C133" t="s">
        <v>285</v>
      </c>
      <c r="D133" t="s">
        <v>284</v>
      </c>
      <c r="E133">
        <v>1</v>
      </c>
      <c r="F133">
        <v>1</v>
      </c>
      <c r="G133">
        <v>255450</v>
      </c>
      <c r="H133">
        <v>0</v>
      </c>
      <c r="I133">
        <v>2</v>
      </c>
      <c r="J133">
        <v>2</v>
      </c>
      <c r="K133">
        <v>250540</v>
      </c>
      <c r="L133">
        <v>0</v>
      </c>
    </row>
    <row r="134" spans="1:12">
      <c r="A134">
        <v>122755</v>
      </c>
      <c r="B134" t="s">
        <v>205</v>
      </c>
      <c r="C134" t="s">
        <v>285</v>
      </c>
      <c r="D134" t="s">
        <v>284</v>
      </c>
      <c r="E134">
        <v>1</v>
      </c>
      <c r="F134">
        <v>0.5</v>
      </c>
      <c r="G134">
        <v>136515</v>
      </c>
      <c r="H134">
        <v>0</v>
      </c>
      <c r="I134">
        <v>2</v>
      </c>
      <c r="J134">
        <v>1</v>
      </c>
      <c r="K134">
        <v>174452</v>
      </c>
      <c r="L134">
        <v>0</v>
      </c>
    </row>
    <row r="135" spans="1:12">
      <c r="A135">
        <v>102094</v>
      </c>
      <c r="B135" t="s">
        <v>207</v>
      </c>
      <c r="C135" t="s">
        <v>285</v>
      </c>
      <c r="D135" s="48" t="s">
        <v>284</v>
      </c>
      <c r="E135" s="23">
        <v>1</v>
      </c>
      <c r="F135" s="23">
        <v>1</v>
      </c>
      <c r="G135" s="23">
        <v>127254</v>
      </c>
      <c r="H135" s="23">
        <v>0</v>
      </c>
      <c r="I135" s="23">
        <v>2</v>
      </c>
      <c r="J135" s="23">
        <v>2</v>
      </c>
      <c r="K135" s="23">
        <v>117709</v>
      </c>
      <c r="L135" s="23">
        <v>0</v>
      </c>
    </row>
    <row r="136" spans="1:12">
      <c r="A136">
        <v>218663</v>
      </c>
      <c r="B136" t="s">
        <v>208</v>
      </c>
      <c r="C136" t="s">
        <v>285</v>
      </c>
      <c r="D136" s="48" t="s">
        <v>284</v>
      </c>
      <c r="E136" s="23">
        <v>1</v>
      </c>
      <c r="F136" s="23">
        <v>1</v>
      </c>
      <c r="G136" s="23">
        <v>258716</v>
      </c>
      <c r="H136" s="23">
        <v>0</v>
      </c>
      <c r="I136" s="23">
        <v>2</v>
      </c>
      <c r="J136" s="23">
        <v>2</v>
      </c>
      <c r="K136" s="23">
        <v>241038</v>
      </c>
      <c r="L136" s="23">
        <v>0</v>
      </c>
    </row>
    <row r="137" spans="1:12">
      <c r="A137">
        <v>218742</v>
      </c>
      <c r="B137" t="s">
        <v>210</v>
      </c>
      <c r="C137" t="s">
        <v>285</v>
      </c>
      <c r="D137" t="s">
        <v>284</v>
      </c>
      <c r="E137" s="23">
        <v>1</v>
      </c>
      <c r="F137" s="23">
        <v>1</v>
      </c>
      <c r="G137" s="23">
        <v>101036</v>
      </c>
      <c r="H137" s="23">
        <v>0</v>
      </c>
      <c r="I137" s="23">
        <v>1</v>
      </c>
      <c r="J137" s="23">
        <v>1</v>
      </c>
      <c r="K137" s="23">
        <v>49100</v>
      </c>
      <c r="L137" s="23">
        <v>0</v>
      </c>
    </row>
    <row r="138" spans="1:12">
      <c r="A138">
        <v>219471</v>
      </c>
      <c r="B138" t="s">
        <v>211</v>
      </c>
      <c r="C138" t="s">
        <v>285</v>
      </c>
      <c r="D138" t="s">
        <v>284</v>
      </c>
      <c r="E138">
        <v>1</v>
      </c>
      <c r="F138">
        <v>1</v>
      </c>
      <c r="G138">
        <v>198369</v>
      </c>
      <c r="H138">
        <v>0</v>
      </c>
      <c r="I138">
        <v>2</v>
      </c>
      <c r="J138">
        <v>2</v>
      </c>
      <c r="K138">
        <v>189355</v>
      </c>
      <c r="L138">
        <v>0</v>
      </c>
    </row>
    <row r="139" spans="1:12">
      <c r="A139">
        <v>219356</v>
      </c>
      <c r="B139" t="s">
        <v>212</v>
      </c>
      <c r="C139" t="s">
        <v>285</v>
      </c>
      <c r="D139" t="s">
        <v>284</v>
      </c>
      <c r="E139">
        <v>1</v>
      </c>
      <c r="F139">
        <v>1</v>
      </c>
      <c r="G139">
        <v>116704</v>
      </c>
      <c r="H139">
        <v>0</v>
      </c>
      <c r="I139">
        <v>2</v>
      </c>
      <c r="J139">
        <v>2</v>
      </c>
      <c r="K139">
        <v>119096</v>
      </c>
      <c r="L139">
        <v>0</v>
      </c>
    </row>
    <row r="140" spans="1:12">
      <c r="A140">
        <v>137351</v>
      </c>
      <c r="B140" t="s">
        <v>213</v>
      </c>
      <c r="C140" t="s">
        <v>285</v>
      </c>
      <c r="D140" t="s">
        <v>284</v>
      </c>
      <c r="E140">
        <v>1</v>
      </c>
      <c r="F140">
        <v>1</v>
      </c>
      <c r="G140">
        <v>168998</v>
      </c>
      <c r="H140">
        <v>0</v>
      </c>
      <c r="I140">
        <v>2</v>
      </c>
      <c r="J140">
        <v>2</v>
      </c>
      <c r="K140">
        <v>139361</v>
      </c>
      <c r="L140">
        <v>0</v>
      </c>
    </row>
    <row r="141" spans="1:12">
      <c r="A141">
        <v>179557</v>
      </c>
      <c r="B141" t="s">
        <v>214</v>
      </c>
      <c r="C141" t="s">
        <v>285</v>
      </c>
      <c r="D141" t="s">
        <v>284</v>
      </c>
      <c r="E141">
        <v>1</v>
      </c>
      <c r="F141">
        <v>1</v>
      </c>
      <c r="G141">
        <v>104670</v>
      </c>
      <c r="H141">
        <v>0</v>
      </c>
      <c r="I141">
        <v>2</v>
      </c>
      <c r="J141">
        <v>2</v>
      </c>
      <c r="K141">
        <v>103270</v>
      </c>
      <c r="L141">
        <v>0</v>
      </c>
    </row>
    <row r="142" spans="1:12">
      <c r="A142">
        <v>160621</v>
      </c>
      <c r="B142" t="s">
        <v>216</v>
      </c>
      <c r="C142" t="s">
        <v>285</v>
      </c>
      <c r="D142" t="s">
        <v>284</v>
      </c>
      <c r="E142">
        <v>1</v>
      </c>
      <c r="F142">
        <v>1</v>
      </c>
      <c r="G142">
        <v>80783</v>
      </c>
      <c r="H142">
        <v>0</v>
      </c>
      <c r="I142">
        <v>1</v>
      </c>
      <c r="J142">
        <v>1</v>
      </c>
      <c r="K142">
        <v>29534</v>
      </c>
      <c r="L142">
        <v>0</v>
      </c>
    </row>
    <row r="143" spans="1:12">
      <c r="A143">
        <v>149231</v>
      </c>
      <c r="B143" t="s">
        <v>218</v>
      </c>
      <c r="C143" t="s">
        <v>285</v>
      </c>
      <c r="D143" t="s">
        <v>284</v>
      </c>
      <c r="E143">
        <v>1</v>
      </c>
      <c r="F143">
        <v>1</v>
      </c>
      <c r="G143">
        <v>68090</v>
      </c>
      <c r="H143">
        <v>0</v>
      </c>
      <c r="I143">
        <v>2</v>
      </c>
      <c r="J143">
        <v>1.5</v>
      </c>
      <c r="K143">
        <v>61666</v>
      </c>
      <c r="L143">
        <v>0</v>
      </c>
    </row>
    <row r="144" spans="1:12">
      <c r="A144">
        <v>176372</v>
      </c>
      <c r="B144" t="s">
        <v>219</v>
      </c>
      <c r="C144" t="s">
        <v>285</v>
      </c>
      <c r="D144" t="s">
        <v>284</v>
      </c>
      <c r="E144">
        <v>1</v>
      </c>
      <c r="F144">
        <v>1</v>
      </c>
      <c r="G144">
        <v>105797</v>
      </c>
      <c r="H144">
        <v>0</v>
      </c>
      <c r="I144">
        <v>2</v>
      </c>
      <c r="J144">
        <v>2</v>
      </c>
      <c r="K144">
        <v>124765</v>
      </c>
      <c r="L144">
        <v>0</v>
      </c>
    </row>
    <row r="145" spans="1:12">
      <c r="A145">
        <v>230603</v>
      </c>
      <c r="B145" t="s">
        <v>220</v>
      </c>
      <c r="C145" t="s">
        <v>285</v>
      </c>
      <c r="D145" t="s">
        <v>284</v>
      </c>
      <c r="E145">
        <v>1</v>
      </c>
      <c r="F145">
        <v>1</v>
      </c>
      <c r="G145">
        <v>109002</v>
      </c>
      <c r="H145">
        <v>0</v>
      </c>
      <c r="I145">
        <v>1</v>
      </c>
      <c r="J145">
        <v>1</v>
      </c>
      <c r="K145">
        <v>50344</v>
      </c>
      <c r="L145">
        <v>0</v>
      </c>
    </row>
    <row r="146" spans="1:12">
      <c r="A146">
        <v>228431</v>
      </c>
      <c r="B146" t="s">
        <v>221</v>
      </c>
      <c r="C146" t="s">
        <v>285</v>
      </c>
      <c r="D146" t="s">
        <v>284</v>
      </c>
      <c r="E146">
        <v>1</v>
      </c>
      <c r="F146">
        <v>1</v>
      </c>
      <c r="G146">
        <v>134938</v>
      </c>
      <c r="H146">
        <v>0</v>
      </c>
      <c r="I146">
        <v>2</v>
      </c>
      <c r="J146">
        <v>2</v>
      </c>
      <c r="K146">
        <v>119208</v>
      </c>
      <c r="L146">
        <v>0</v>
      </c>
    </row>
    <row r="147" spans="1:12">
      <c r="A147">
        <v>196097</v>
      </c>
      <c r="B147" t="s">
        <v>222</v>
      </c>
      <c r="C147" t="s">
        <v>285</v>
      </c>
      <c r="D147" t="s">
        <v>284</v>
      </c>
      <c r="E147">
        <v>1</v>
      </c>
      <c r="F147">
        <v>1</v>
      </c>
      <c r="G147">
        <v>210546</v>
      </c>
      <c r="H147">
        <v>0</v>
      </c>
      <c r="I147">
        <v>2</v>
      </c>
      <c r="J147">
        <v>1.86</v>
      </c>
      <c r="K147">
        <v>177843</v>
      </c>
      <c r="L147">
        <v>0</v>
      </c>
    </row>
    <row r="148" spans="1:12">
      <c r="A148">
        <v>221759</v>
      </c>
      <c r="B148" t="s">
        <v>223</v>
      </c>
      <c r="C148" t="s">
        <v>285</v>
      </c>
      <c r="D148" t="s">
        <v>284</v>
      </c>
      <c r="E148">
        <v>1</v>
      </c>
      <c r="F148">
        <v>1</v>
      </c>
      <c r="G148">
        <v>289097</v>
      </c>
      <c r="H148">
        <v>0</v>
      </c>
      <c r="I148">
        <v>2</v>
      </c>
      <c r="J148">
        <v>2</v>
      </c>
      <c r="K148">
        <v>259624</v>
      </c>
      <c r="L148">
        <v>0</v>
      </c>
    </row>
    <row r="149" spans="1:12">
      <c r="A149">
        <v>221740</v>
      </c>
      <c r="B149" t="s">
        <v>224</v>
      </c>
      <c r="C149" t="s">
        <v>285</v>
      </c>
      <c r="D149" t="s">
        <v>284</v>
      </c>
      <c r="E149" s="48">
        <v>1</v>
      </c>
      <c r="F149" s="48">
        <v>1</v>
      </c>
      <c r="G149" s="48">
        <v>146564</v>
      </c>
      <c r="H149" s="48">
        <v>0</v>
      </c>
      <c r="I149" s="48">
        <v>2</v>
      </c>
      <c r="J149" s="48">
        <v>1.5</v>
      </c>
      <c r="K149" s="48">
        <v>106537</v>
      </c>
      <c r="L149" s="48">
        <v>0</v>
      </c>
    </row>
    <row r="150" spans="1:12">
      <c r="A150">
        <v>221847</v>
      </c>
      <c r="B150" t="s">
        <v>227</v>
      </c>
      <c r="C150" t="s">
        <v>285</v>
      </c>
      <c r="D150" t="s">
        <v>284</v>
      </c>
      <c r="E150">
        <v>1</v>
      </c>
      <c r="F150">
        <v>1</v>
      </c>
      <c r="G150">
        <v>105357</v>
      </c>
      <c r="H150">
        <v>0</v>
      </c>
      <c r="I150">
        <v>2</v>
      </c>
      <c r="J150">
        <v>1.73</v>
      </c>
      <c r="K150">
        <v>114713</v>
      </c>
      <c r="L150">
        <v>0</v>
      </c>
    </row>
    <row r="151" spans="1:12">
      <c r="A151">
        <v>228778</v>
      </c>
      <c r="B151" t="s">
        <v>228</v>
      </c>
      <c r="C151" t="s">
        <v>285</v>
      </c>
      <c r="D151" t="s">
        <v>284</v>
      </c>
      <c r="E151">
        <v>1</v>
      </c>
      <c r="F151">
        <v>1</v>
      </c>
      <c r="G151">
        <v>1204342</v>
      </c>
      <c r="H151">
        <v>0</v>
      </c>
      <c r="I151">
        <v>3</v>
      </c>
      <c r="J151">
        <v>2.0499999999999998</v>
      </c>
      <c r="K151">
        <v>618979</v>
      </c>
      <c r="L151">
        <v>0</v>
      </c>
    </row>
    <row r="152" spans="1:12">
      <c r="A152">
        <v>228723</v>
      </c>
      <c r="B152" t="s">
        <v>229</v>
      </c>
      <c r="C152" t="s">
        <v>285</v>
      </c>
      <c r="D152" t="s">
        <v>284</v>
      </c>
      <c r="E152">
        <v>1</v>
      </c>
      <c r="F152">
        <v>1</v>
      </c>
      <c r="G152">
        <v>475857</v>
      </c>
      <c r="H152">
        <v>0</v>
      </c>
      <c r="I152">
        <v>2</v>
      </c>
      <c r="J152">
        <v>2</v>
      </c>
      <c r="K152">
        <v>454185</v>
      </c>
      <c r="L152">
        <v>0</v>
      </c>
    </row>
    <row r="153" spans="1:12">
      <c r="A153">
        <v>224147</v>
      </c>
      <c r="B153" t="s">
        <v>230</v>
      </c>
      <c r="C153" t="s">
        <v>285</v>
      </c>
      <c r="D153" t="s">
        <v>284</v>
      </c>
      <c r="E153" s="48">
        <v>1</v>
      </c>
      <c r="F153" s="48">
        <v>1</v>
      </c>
      <c r="G153" s="48">
        <v>144889</v>
      </c>
      <c r="H153" s="48">
        <v>0</v>
      </c>
      <c r="I153" s="48">
        <v>2</v>
      </c>
      <c r="J153" s="48">
        <v>2</v>
      </c>
      <c r="K153" s="48">
        <v>102340</v>
      </c>
      <c r="L153" s="48">
        <v>0</v>
      </c>
    </row>
    <row r="154" spans="1:12">
      <c r="A154">
        <v>228769</v>
      </c>
      <c r="B154" t="s">
        <v>231</v>
      </c>
      <c r="C154" t="s">
        <v>285</v>
      </c>
      <c r="D154" t="s">
        <v>284</v>
      </c>
      <c r="E154" s="23">
        <v>1</v>
      </c>
      <c r="F154" s="23">
        <v>1</v>
      </c>
      <c r="G154" s="23">
        <v>180780</v>
      </c>
      <c r="H154" s="23">
        <v>0</v>
      </c>
      <c r="I154" s="23">
        <v>2</v>
      </c>
      <c r="J154" s="23">
        <v>2</v>
      </c>
      <c r="K154" s="23">
        <v>117054</v>
      </c>
      <c r="L154" s="23">
        <v>0</v>
      </c>
    </row>
    <row r="155" spans="1:12">
      <c r="A155">
        <v>229063</v>
      </c>
      <c r="B155" t="s">
        <v>232</v>
      </c>
      <c r="C155" t="s">
        <v>285</v>
      </c>
      <c r="D155" t="s">
        <v>284</v>
      </c>
      <c r="E155">
        <v>1</v>
      </c>
      <c r="F155">
        <v>1</v>
      </c>
      <c r="G155">
        <v>70807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228459</v>
      </c>
      <c r="B156" t="s">
        <v>233</v>
      </c>
      <c r="C156" t="s">
        <v>285</v>
      </c>
      <c r="D156" t="s">
        <v>284</v>
      </c>
      <c r="E156">
        <v>1</v>
      </c>
      <c r="F156">
        <v>1</v>
      </c>
      <c r="G156">
        <v>134465</v>
      </c>
      <c r="H156">
        <v>0</v>
      </c>
      <c r="I156">
        <v>2</v>
      </c>
      <c r="J156">
        <v>2</v>
      </c>
      <c r="K156">
        <v>153461</v>
      </c>
      <c r="L156">
        <v>0</v>
      </c>
    </row>
    <row r="157" spans="1:12">
      <c r="A157">
        <v>229115</v>
      </c>
      <c r="B157" t="s">
        <v>234</v>
      </c>
      <c r="C157" t="s">
        <v>285</v>
      </c>
      <c r="D157" t="s">
        <v>284</v>
      </c>
      <c r="E157">
        <v>1</v>
      </c>
      <c r="F157">
        <v>1</v>
      </c>
      <c r="G157">
        <v>233840</v>
      </c>
      <c r="H157">
        <v>0</v>
      </c>
      <c r="I157">
        <v>2</v>
      </c>
      <c r="J157">
        <v>2</v>
      </c>
      <c r="K157">
        <v>209009</v>
      </c>
      <c r="L157">
        <v>0</v>
      </c>
    </row>
    <row r="158" spans="1:12">
      <c r="A158">
        <v>206084</v>
      </c>
      <c r="B158" t="s">
        <v>235</v>
      </c>
      <c r="C158" t="s">
        <v>285</v>
      </c>
      <c r="D158" t="s">
        <v>284</v>
      </c>
      <c r="E158">
        <v>1</v>
      </c>
      <c r="F158">
        <v>1</v>
      </c>
      <c r="G158">
        <v>146763</v>
      </c>
      <c r="H158">
        <v>0</v>
      </c>
      <c r="I158">
        <v>2</v>
      </c>
      <c r="J158">
        <v>2</v>
      </c>
      <c r="K158">
        <v>131373</v>
      </c>
      <c r="L158">
        <v>0</v>
      </c>
    </row>
    <row r="159" spans="1:12">
      <c r="A159">
        <v>164076</v>
      </c>
      <c r="B159" t="s">
        <v>236</v>
      </c>
      <c r="C159" t="s">
        <v>285</v>
      </c>
      <c r="D159" t="s">
        <v>284</v>
      </c>
      <c r="E159">
        <v>1</v>
      </c>
      <c r="F159">
        <v>1</v>
      </c>
      <c r="G159">
        <v>186355</v>
      </c>
      <c r="H159">
        <v>0</v>
      </c>
      <c r="I159">
        <v>2</v>
      </c>
      <c r="J159">
        <v>2</v>
      </c>
      <c r="K159">
        <v>147765</v>
      </c>
      <c r="L159">
        <v>0</v>
      </c>
    </row>
    <row r="160" spans="1:12">
      <c r="A160">
        <v>100663</v>
      </c>
      <c r="B160" t="s">
        <v>238</v>
      </c>
      <c r="C160" t="s">
        <v>285</v>
      </c>
      <c r="D160" t="s">
        <v>284</v>
      </c>
      <c r="E160">
        <v>1</v>
      </c>
      <c r="F160">
        <v>1</v>
      </c>
      <c r="G160">
        <v>114719</v>
      </c>
      <c r="H160">
        <v>0</v>
      </c>
      <c r="I160">
        <v>2</v>
      </c>
      <c r="J160">
        <v>2</v>
      </c>
      <c r="K160">
        <v>125788</v>
      </c>
      <c r="L160">
        <v>0</v>
      </c>
    </row>
    <row r="161" spans="1:12">
      <c r="A161">
        <v>110644</v>
      </c>
      <c r="B161" t="s">
        <v>239</v>
      </c>
      <c r="C161" t="s">
        <v>285</v>
      </c>
      <c r="D161" t="s">
        <v>284</v>
      </c>
      <c r="E161">
        <v>1</v>
      </c>
      <c r="F161">
        <v>1</v>
      </c>
      <c r="G161">
        <v>198194</v>
      </c>
      <c r="H161">
        <v>0</v>
      </c>
      <c r="I161">
        <v>2</v>
      </c>
      <c r="J161">
        <v>1.9</v>
      </c>
      <c r="K161">
        <v>140535</v>
      </c>
      <c r="L161">
        <v>0</v>
      </c>
    </row>
    <row r="162" spans="1:12">
      <c r="A162">
        <v>110653</v>
      </c>
      <c r="B162" t="s">
        <v>240</v>
      </c>
      <c r="C162" t="s">
        <v>285</v>
      </c>
      <c r="D162" t="s">
        <v>284</v>
      </c>
      <c r="E162">
        <v>1</v>
      </c>
      <c r="F162">
        <v>1</v>
      </c>
      <c r="G162">
        <v>185380</v>
      </c>
      <c r="H162">
        <v>0</v>
      </c>
      <c r="I162">
        <v>2</v>
      </c>
      <c r="J162">
        <v>2</v>
      </c>
      <c r="K162">
        <v>177523</v>
      </c>
      <c r="L162">
        <v>0</v>
      </c>
    </row>
    <row r="163" spans="1:12">
      <c r="A163">
        <v>110671</v>
      </c>
      <c r="B163" t="s">
        <v>241</v>
      </c>
      <c r="C163" t="s">
        <v>285</v>
      </c>
      <c r="D163" t="s">
        <v>284</v>
      </c>
      <c r="E163">
        <v>1</v>
      </c>
      <c r="F163">
        <v>1</v>
      </c>
      <c r="G163">
        <v>169612</v>
      </c>
      <c r="H163">
        <v>0</v>
      </c>
      <c r="I163">
        <v>2</v>
      </c>
      <c r="J163">
        <v>2</v>
      </c>
      <c r="K163">
        <v>101771</v>
      </c>
      <c r="L163">
        <v>0</v>
      </c>
    </row>
    <row r="164" spans="1:12">
      <c r="A164">
        <v>110705</v>
      </c>
      <c r="B164" t="s">
        <v>242</v>
      </c>
      <c r="C164" t="s">
        <v>285</v>
      </c>
      <c r="D164" t="s">
        <v>284</v>
      </c>
      <c r="E164">
        <v>1</v>
      </c>
      <c r="F164">
        <v>1</v>
      </c>
      <c r="G164">
        <v>210712</v>
      </c>
      <c r="H164">
        <v>0</v>
      </c>
      <c r="I164">
        <v>2</v>
      </c>
      <c r="J164">
        <v>2</v>
      </c>
      <c r="K164">
        <v>156477</v>
      </c>
      <c r="L164">
        <v>0</v>
      </c>
    </row>
    <row r="165" spans="1:12">
      <c r="A165">
        <v>132903</v>
      </c>
      <c r="B165" t="s">
        <v>243</v>
      </c>
      <c r="C165" t="s">
        <v>285</v>
      </c>
      <c r="D165" t="s">
        <v>284</v>
      </c>
      <c r="E165">
        <v>1</v>
      </c>
      <c r="F165">
        <v>1</v>
      </c>
      <c r="G165">
        <v>191013</v>
      </c>
      <c r="H165">
        <v>0</v>
      </c>
      <c r="I165">
        <v>2</v>
      </c>
      <c r="J165">
        <v>2</v>
      </c>
      <c r="K165">
        <v>236028</v>
      </c>
      <c r="L165">
        <v>0</v>
      </c>
    </row>
    <row r="166" spans="1:12">
      <c r="A166">
        <v>110662</v>
      </c>
      <c r="B166" t="s">
        <v>244</v>
      </c>
      <c r="C166" t="s">
        <v>285</v>
      </c>
      <c r="D166" t="s">
        <v>284</v>
      </c>
      <c r="E166">
        <v>1</v>
      </c>
      <c r="F166">
        <v>1</v>
      </c>
      <c r="G166">
        <v>414675</v>
      </c>
      <c r="H166">
        <v>0</v>
      </c>
      <c r="I166">
        <v>2</v>
      </c>
      <c r="J166">
        <v>2</v>
      </c>
      <c r="K166">
        <v>338983</v>
      </c>
      <c r="L166">
        <v>0</v>
      </c>
    </row>
    <row r="167" spans="1:12">
      <c r="A167">
        <v>182281</v>
      </c>
      <c r="B167" t="s">
        <v>245</v>
      </c>
      <c r="C167" t="s">
        <v>285</v>
      </c>
      <c r="D167" t="s">
        <v>284</v>
      </c>
      <c r="E167">
        <v>1</v>
      </c>
      <c r="F167">
        <v>1</v>
      </c>
      <c r="G167">
        <v>245649</v>
      </c>
      <c r="H167">
        <v>0</v>
      </c>
      <c r="I167">
        <v>1</v>
      </c>
      <c r="J167">
        <v>1</v>
      </c>
      <c r="K167">
        <v>187532</v>
      </c>
      <c r="L167">
        <v>0</v>
      </c>
    </row>
    <row r="168" spans="1:12">
      <c r="A168">
        <v>230764</v>
      </c>
      <c r="B168" t="s">
        <v>246</v>
      </c>
      <c r="C168" t="s">
        <v>285</v>
      </c>
      <c r="D168" t="s">
        <v>284</v>
      </c>
      <c r="E168">
        <v>1</v>
      </c>
      <c r="F168">
        <v>1</v>
      </c>
      <c r="G168">
        <v>281634</v>
      </c>
      <c r="H168">
        <v>0</v>
      </c>
      <c r="I168">
        <v>2</v>
      </c>
      <c r="J168">
        <v>2</v>
      </c>
      <c r="K168">
        <v>165843</v>
      </c>
      <c r="L168">
        <v>0</v>
      </c>
    </row>
    <row r="169" spans="1:12">
      <c r="A169">
        <v>230728</v>
      </c>
      <c r="B169" t="s">
        <v>247</v>
      </c>
      <c r="C169" t="s">
        <v>285</v>
      </c>
      <c r="D169" t="s">
        <v>284</v>
      </c>
      <c r="E169" s="77">
        <v>1</v>
      </c>
      <c r="F169" s="77">
        <v>1</v>
      </c>
      <c r="G169" s="77">
        <v>224605</v>
      </c>
      <c r="H169" s="77">
        <v>0</v>
      </c>
      <c r="I169" s="77">
        <v>2</v>
      </c>
      <c r="J169" s="77">
        <v>2</v>
      </c>
      <c r="K169" s="77">
        <v>246291</v>
      </c>
      <c r="L169" s="77">
        <v>0</v>
      </c>
    </row>
    <row r="170" spans="1:12">
      <c r="A170">
        <v>230737</v>
      </c>
      <c r="B170" t="s">
        <v>248</v>
      </c>
      <c r="C170" t="s">
        <v>285</v>
      </c>
      <c r="D170" t="s">
        <v>284</v>
      </c>
      <c r="E170">
        <v>1</v>
      </c>
      <c r="F170">
        <v>1</v>
      </c>
      <c r="G170">
        <v>144931</v>
      </c>
      <c r="H170">
        <v>0</v>
      </c>
      <c r="I170">
        <v>2</v>
      </c>
      <c r="J170">
        <v>2</v>
      </c>
      <c r="K170">
        <v>164257</v>
      </c>
      <c r="L170">
        <v>0</v>
      </c>
    </row>
    <row r="171" spans="1:12">
      <c r="A171">
        <v>228796</v>
      </c>
      <c r="B171" t="s">
        <v>249</v>
      </c>
      <c r="C171" t="s">
        <v>285</v>
      </c>
      <c r="D171" t="s">
        <v>284</v>
      </c>
      <c r="E171">
        <v>1</v>
      </c>
      <c r="F171">
        <v>0.5</v>
      </c>
      <c r="G171">
        <v>96002</v>
      </c>
      <c r="H171">
        <v>5013</v>
      </c>
      <c r="I171">
        <v>2</v>
      </c>
      <c r="J171">
        <v>1.5</v>
      </c>
      <c r="K171">
        <v>126293</v>
      </c>
      <c r="L171">
        <v>0</v>
      </c>
    </row>
    <row r="172" spans="1:12">
      <c r="A172">
        <v>227368</v>
      </c>
      <c r="B172" t="s">
        <v>250</v>
      </c>
      <c r="C172" t="s">
        <v>285</v>
      </c>
      <c r="D172" t="s">
        <v>284</v>
      </c>
      <c r="E172">
        <v>1</v>
      </c>
      <c r="F172">
        <v>1</v>
      </c>
      <c r="G172">
        <v>163670</v>
      </c>
      <c r="H172">
        <v>0</v>
      </c>
      <c r="I172">
        <v>2</v>
      </c>
      <c r="J172">
        <v>2</v>
      </c>
      <c r="K172">
        <v>107065</v>
      </c>
      <c r="L172">
        <v>0</v>
      </c>
    </row>
    <row r="173" spans="1:12">
      <c r="A173">
        <v>229027</v>
      </c>
      <c r="B173" t="s">
        <v>251</v>
      </c>
      <c r="C173" t="s">
        <v>285</v>
      </c>
      <c r="D173" t="s">
        <v>284</v>
      </c>
      <c r="E173">
        <v>1</v>
      </c>
      <c r="F173">
        <v>1</v>
      </c>
      <c r="G173">
        <v>168429</v>
      </c>
      <c r="H173">
        <v>0</v>
      </c>
      <c r="I173">
        <v>2</v>
      </c>
      <c r="J173">
        <v>2</v>
      </c>
      <c r="K173">
        <v>151402</v>
      </c>
      <c r="L173">
        <v>0</v>
      </c>
    </row>
    <row r="174" spans="1:12">
      <c r="A174">
        <v>234030</v>
      </c>
      <c r="B174" t="s">
        <v>252</v>
      </c>
      <c r="C174" t="s">
        <v>285</v>
      </c>
      <c r="D174" t="s">
        <v>284</v>
      </c>
      <c r="E174" s="48">
        <v>1</v>
      </c>
      <c r="F174" s="48">
        <v>1</v>
      </c>
      <c r="G174" s="48">
        <v>199087</v>
      </c>
      <c r="H174" s="48">
        <v>0</v>
      </c>
      <c r="I174" s="48">
        <v>2</v>
      </c>
      <c r="J174" s="48">
        <v>2</v>
      </c>
      <c r="K174" s="48">
        <v>169587</v>
      </c>
      <c r="L174" s="48">
        <v>0</v>
      </c>
    </row>
    <row r="175" spans="1:12">
      <c r="A175">
        <v>234076</v>
      </c>
      <c r="B175" t="s">
        <v>254</v>
      </c>
      <c r="C175" t="s">
        <v>285</v>
      </c>
      <c r="D175" t="s">
        <v>284</v>
      </c>
      <c r="E175" s="48">
        <v>1</v>
      </c>
      <c r="F175" s="48">
        <v>1</v>
      </c>
      <c r="G175" s="48">
        <v>228016</v>
      </c>
      <c r="H175" s="48">
        <v>0</v>
      </c>
      <c r="I175" s="48">
        <v>2</v>
      </c>
      <c r="J175" s="48">
        <v>2</v>
      </c>
      <c r="K175" s="48">
        <v>228197</v>
      </c>
      <c r="L175" s="48">
        <v>0</v>
      </c>
    </row>
    <row r="176" spans="1:12">
      <c r="A176">
        <v>233921</v>
      </c>
      <c r="B176" t="s">
        <v>255</v>
      </c>
      <c r="C176" t="s">
        <v>285</v>
      </c>
      <c r="D176" t="s">
        <v>284</v>
      </c>
      <c r="E176">
        <v>1</v>
      </c>
      <c r="F176">
        <v>1</v>
      </c>
      <c r="G176">
        <v>190825</v>
      </c>
      <c r="H176">
        <v>0</v>
      </c>
      <c r="I176">
        <v>2</v>
      </c>
      <c r="J176">
        <v>2</v>
      </c>
      <c r="K176">
        <v>203750</v>
      </c>
      <c r="L176">
        <v>0</v>
      </c>
    </row>
    <row r="177" spans="1:12">
      <c r="A177">
        <v>236948</v>
      </c>
      <c r="B177" t="s">
        <v>257</v>
      </c>
      <c r="C177" t="s">
        <v>285</v>
      </c>
      <c r="D177" t="s">
        <v>284</v>
      </c>
      <c r="E177">
        <v>1</v>
      </c>
      <c r="F177">
        <v>1</v>
      </c>
      <c r="G177">
        <v>310960</v>
      </c>
      <c r="H177">
        <v>0</v>
      </c>
      <c r="I177">
        <v>2</v>
      </c>
      <c r="J177">
        <v>2</v>
      </c>
      <c r="K177">
        <v>248239</v>
      </c>
      <c r="L177">
        <v>0</v>
      </c>
    </row>
    <row r="178" spans="1:12">
      <c r="A178">
        <v>236939</v>
      </c>
      <c r="B178" t="s">
        <v>258</v>
      </c>
      <c r="C178" t="s">
        <v>285</v>
      </c>
      <c r="D178" t="s">
        <v>284</v>
      </c>
      <c r="E178">
        <v>1</v>
      </c>
      <c r="F178">
        <v>1</v>
      </c>
      <c r="G178">
        <v>303929</v>
      </c>
      <c r="H178">
        <v>0</v>
      </c>
      <c r="I178">
        <v>2</v>
      </c>
      <c r="J178">
        <v>2</v>
      </c>
      <c r="K178">
        <v>300411</v>
      </c>
      <c r="L178">
        <v>0</v>
      </c>
    </row>
    <row r="179" spans="1:12">
      <c r="A179">
        <v>230782</v>
      </c>
      <c r="B179" t="s">
        <v>259</v>
      </c>
      <c r="C179" t="s">
        <v>285</v>
      </c>
      <c r="D179" t="s">
        <v>284</v>
      </c>
      <c r="E179">
        <v>1</v>
      </c>
      <c r="F179">
        <v>1</v>
      </c>
      <c r="G179">
        <v>187556</v>
      </c>
      <c r="H179">
        <v>0</v>
      </c>
      <c r="I179">
        <v>2</v>
      </c>
      <c r="J179">
        <v>2</v>
      </c>
      <c r="K179">
        <v>112033</v>
      </c>
      <c r="L179">
        <v>0</v>
      </c>
    </row>
    <row r="180" spans="1:12">
      <c r="A180">
        <v>238032</v>
      </c>
      <c r="B180" t="s">
        <v>260</v>
      </c>
      <c r="C180" t="s">
        <v>285</v>
      </c>
      <c r="D180" t="s">
        <v>284</v>
      </c>
      <c r="E180">
        <v>1</v>
      </c>
      <c r="F180">
        <v>1</v>
      </c>
      <c r="G180">
        <v>197199</v>
      </c>
      <c r="H180">
        <v>0</v>
      </c>
      <c r="I180">
        <v>2</v>
      </c>
      <c r="J180">
        <v>2</v>
      </c>
      <c r="K180">
        <v>207052</v>
      </c>
      <c r="L180">
        <v>0</v>
      </c>
    </row>
    <row r="181" spans="1:12">
      <c r="A181">
        <v>200004</v>
      </c>
      <c r="B181" t="s">
        <v>261</v>
      </c>
      <c r="C181" t="s">
        <v>285</v>
      </c>
      <c r="D181" t="s">
        <v>284</v>
      </c>
      <c r="E181">
        <v>1</v>
      </c>
      <c r="F181">
        <v>1</v>
      </c>
      <c r="G181">
        <v>87121</v>
      </c>
      <c r="H181">
        <v>0</v>
      </c>
      <c r="I181">
        <v>1</v>
      </c>
      <c r="J181">
        <v>1</v>
      </c>
      <c r="K181">
        <v>48417</v>
      </c>
      <c r="L181">
        <v>0</v>
      </c>
    </row>
    <row r="182" spans="1:12">
      <c r="A182">
        <v>149772</v>
      </c>
      <c r="B182" t="s">
        <v>262</v>
      </c>
      <c r="C182" t="s">
        <v>285</v>
      </c>
      <c r="D182" t="s">
        <v>284</v>
      </c>
      <c r="E182">
        <v>1</v>
      </c>
      <c r="F182">
        <v>1</v>
      </c>
      <c r="G182">
        <v>72230</v>
      </c>
      <c r="H182">
        <v>0</v>
      </c>
      <c r="I182">
        <v>2</v>
      </c>
      <c r="J182">
        <v>1.7</v>
      </c>
      <c r="K182">
        <v>58732</v>
      </c>
      <c r="L182">
        <v>0</v>
      </c>
    </row>
    <row r="183" spans="1:12">
      <c r="A183">
        <v>157951</v>
      </c>
      <c r="B183" t="s">
        <v>263</v>
      </c>
      <c r="C183" t="s">
        <v>285</v>
      </c>
      <c r="D183" t="s">
        <v>284</v>
      </c>
      <c r="E183">
        <v>1</v>
      </c>
      <c r="F183">
        <v>1</v>
      </c>
      <c r="G183">
        <v>206742</v>
      </c>
      <c r="H183">
        <v>0</v>
      </c>
      <c r="I183">
        <v>2</v>
      </c>
      <c r="J183">
        <v>2</v>
      </c>
      <c r="K183">
        <v>141683</v>
      </c>
      <c r="L183">
        <v>0</v>
      </c>
    </row>
    <row r="184" spans="1:12">
      <c r="A184">
        <v>172699</v>
      </c>
      <c r="B184" t="s">
        <v>264</v>
      </c>
      <c r="C184" t="s">
        <v>285</v>
      </c>
      <c r="D184" t="s">
        <v>284</v>
      </c>
      <c r="E184">
        <v>1</v>
      </c>
      <c r="F184">
        <v>1</v>
      </c>
      <c r="G184">
        <v>164689</v>
      </c>
      <c r="H184">
        <v>0</v>
      </c>
      <c r="I184">
        <v>2</v>
      </c>
      <c r="J184">
        <v>2</v>
      </c>
      <c r="K184">
        <v>204001</v>
      </c>
      <c r="L184">
        <v>0</v>
      </c>
    </row>
    <row r="185" spans="1:12">
      <c r="A185">
        <v>156125</v>
      </c>
      <c r="B185" t="s">
        <v>265</v>
      </c>
      <c r="C185" t="s">
        <v>285</v>
      </c>
      <c r="D185" t="s">
        <v>284</v>
      </c>
      <c r="E185">
        <v>1</v>
      </c>
      <c r="F185">
        <v>1</v>
      </c>
      <c r="G185">
        <v>286985</v>
      </c>
      <c r="H185">
        <v>0</v>
      </c>
      <c r="I185">
        <v>2</v>
      </c>
      <c r="J185">
        <v>2</v>
      </c>
      <c r="K185">
        <v>136900</v>
      </c>
      <c r="L185">
        <v>0</v>
      </c>
    </row>
    <row r="186" spans="1:12">
      <c r="A186">
        <v>231624</v>
      </c>
      <c r="B186" t="s">
        <v>266</v>
      </c>
      <c r="C186" t="s">
        <v>285</v>
      </c>
      <c r="D186" t="s">
        <v>284</v>
      </c>
      <c r="E186" s="48">
        <v>1</v>
      </c>
      <c r="F186" s="48">
        <v>1</v>
      </c>
      <c r="G186" s="48">
        <v>122658</v>
      </c>
      <c r="H186" s="48">
        <v>0</v>
      </c>
      <c r="I186" s="48">
        <v>2</v>
      </c>
      <c r="J186" s="48">
        <v>2</v>
      </c>
      <c r="K186" s="48">
        <v>107014</v>
      </c>
      <c r="L186" s="48">
        <v>0</v>
      </c>
    </row>
    <row r="187" spans="1:12">
      <c r="A187">
        <v>240444</v>
      </c>
      <c r="B187" t="s">
        <v>268</v>
      </c>
      <c r="C187" t="s">
        <v>285</v>
      </c>
      <c r="D187" t="s">
        <v>284</v>
      </c>
      <c r="E187">
        <v>1</v>
      </c>
      <c r="F187">
        <v>1</v>
      </c>
      <c r="G187">
        <v>684895</v>
      </c>
      <c r="H187">
        <v>0</v>
      </c>
      <c r="I187">
        <v>3</v>
      </c>
      <c r="J187">
        <v>2.33</v>
      </c>
      <c r="K187">
        <v>411313</v>
      </c>
      <c r="L187">
        <v>0</v>
      </c>
    </row>
    <row r="188" spans="1:12">
      <c r="A188">
        <v>240277</v>
      </c>
      <c r="B188" t="s">
        <v>269</v>
      </c>
      <c r="C188" t="s">
        <v>285</v>
      </c>
      <c r="D188" t="s">
        <v>284</v>
      </c>
      <c r="E188">
        <v>1</v>
      </c>
      <c r="F188">
        <v>1</v>
      </c>
      <c r="G188">
        <v>121898</v>
      </c>
      <c r="H188">
        <v>0</v>
      </c>
      <c r="I188">
        <v>2</v>
      </c>
      <c r="J188">
        <v>2</v>
      </c>
      <c r="K188">
        <v>83741</v>
      </c>
      <c r="L188">
        <v>0</v>
      </c>
    </row>
    <row r="189" spans="1:12">
      <c r="A189">
        <v>240453</v>
      </c>
      <c r="B189" t="s">
        <v>270</v>
      </c>
      <c r="C189" t="s">
        <v>285</v>
      </c>
      <c r="D189" t="s">
        <v>284</v>
      </c>
      <c r="E189">
        <v>1</v>
      </c>
      <c r="F189">
        <v>1</v>
      </c>
      <c r="G189">
        <v>127355</v>
      </c>
      <c r="H189">
        <v>0</v>
      </c>
      <c r="I189">
        <v>2</v>
      </c>
      <c r="J189">
        <v>2</v>
      </c>
      <c r="K189">
        <v>126470</v>
      </c>
      <c r="L189">
        <v>0</v>
      </c>
    </row>
    <row r="190" spans="1:12">
      <c r="A190">
        <v>206604</v>
      </c>
      <c r="B190" t="s">
        <v>271</v>
      </c>
      <c r="C190" t="s">
        <v>285</v>
      </c>
      <c r="D190" t="s">
        <v>284</v>
      </c>
      <c r="E190">
        <v>1</v>
      </c>
      <c r="F190">
        <v>1</v>
      </c>
      <c r="G190">
        <v>116131</v>
      </c>
      <c r="H190">
        <v>0</v>
      </c>
      <c r="I190">
        <v>1</v>
      </c>
      <c r="J190">
        <v>1</v>
      </c>
      <c r="K190">
        <v>60441</v>
      </c>
      <c r="L190">
        <v>0</v>
      </c>
    </row>
    <row r="191" spans="1:12">
      <c r="A191">
        <v>240727</v>
      </c>
      <c r="B191" t="s">
        <v>272</v>
      </c>
      <c r="C191" t="s">
        <v>285</v>
      </c>
      <c r="D191" t="s">
        <v>284</v>
      </c>
      <c r="E191">
        <v>1</v>
      </c>
      <c r="F191">
        <v>1</v>
      </c>
      <c r="G191">
        <v>280297</v>
      </c>
      <c r="H191">
        <v>0</v>
      </c>
      <c r="I191">
        <v>2</v>
      </c>
      <c r="J191">
        <v>2</v>
      </c>
      <c r="K191">
        <v>208506</v>
      </c>
      <c r="L191">
        <v>0</v>
      </c>
    </row>
    <row r="192" spans="1:12">
      <c r="A192">
        <v>206695</v>
      </c>
      <c r="B192" t="s">
        <v>273</v>
      </c>
      <c r="C192" t="s">
        <v>285</v>
      </c>
      <c r="D192" t="s">
        <v>284</v>
      </c>
      <c r="E192">
        <v>1</v>
      </c>
      <c r="F192">
        <v>1</v>
      </c>
      <c r="G192">
        <v>105571</v>
      </c>
      <c r="H192">
        <v>0</v>
      </c>
      <c r="I192">
        <v>1</v>
      </c>
      <c r="J192">
        <v>1</v>
      </c>
      <c r="K192">
        <v>80202</v>
      </c>
      <c r="L192">
        <v>0</v>
      </c>
    </row>
    <row r="193" spans="5:12">
      <c r="E193" s="48"/>
      <c r="F193" s="48"/>
      <c r="G193" s="48"/>
      <c r="H193" s="48"/>
      <c r="I193" s="48"/>
      <c r="J193" s="48"/>
      <c r="K193" s="48"/>
      <c r="L193" s="48"/>
    </row>
    <row r="197" spans="5:12">
      <c r="E197" s="48"/>
      <c r="F197" s="48"/>
      <c r="G197" s="48"/>
      <c r="H197" s="48"/>
      <c r="I197" s="48"/>
      <c r="J197" s="48"/>
      <c r="K197" s="48"/>
      <c r="L197" s="4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Variable Revenue</vt:lpstr>
      <vt:lpstr>CPI</vt:lpstr>
      <vt:lpstr>unitid</vt:lpstr>
      <vt:lpstr>2017</vt:lpstr>
      <vt:lpstr>2018</vt:lpstr>
      <vt:lpstr>2019</vt:lpstr>
      <vt:lpstr>2020</vt:lpstr>
      <vt:lpstr>2021</vt:lpstr>
      <vt:lpstr>2022</vt:lpstr>
      <vt:lpstr>2023</vt:lpstr>
      <vt:lpstr>2017 (2)</vt:lpstr>
      <vt:lpstr>2018 (2)</vt:lpstr>
      <vt:lpstr>2019 (2)</vt:lpstr>
      <vt:lpstr>2020 (2)</vt:lpstr>
      <vt:lpstr>2021 (2)</vt:lpstr>
      <vt:lpstr>2022 (2)</vt:lpstr>
      <vt:lpstr>2023 (2)</vt:lpstr>
    </vt:vector>
  </TitlesOfParts>
  <Company>University of Central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Brook</dc:creator>
  <cp:lastModifiedBy>Tyler Berry</cp:lastModifiedBy>
  <dcterms:created xsi:type="dcterms:W3CDTF">2023-09-26T16:17:40Z</dcterms:created>
  <dcterms:modified xsi:type="dcterms:W3CDTF">2025-11-05T18:39:45Z</dcterms:modified>
</cp:coreProperties>
</file>