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erry/Desktop/"/>
    </mc:Choice>
  </mc:AlternateContent>
  <xr:revisionPtr revIDLastSave="0" documentId="8_{ACDC3C0B-F405-254A-A2C8-9D0E8466B7F0}" xr6:coauthVersionLast="47" xr6:coauthVersionMax="47" xr10:uidLastSave="{00000000-0000-0000-0000-000000000000}"/>
  <bookViews>
    <workbookView xWindow="0" yWindow="860" windowWidth="34200" windowHeight="21380" tabRatio="833" xr2:uid="{095B5FF3-EABD-4D3A-BC6C-0C6AB19894EA}"/>
  </bookViews>
  <sheets>
    <sheet name="Sheet1" sheetId="1" r:id="rId1"/>
    <sheet name="TotalRev1" sheetId="11" r:id="rId2"/>
    <sheet name="TotalRev2" sheetId="12" r:id="rId3"/>
    <sheet name="TotalRevL" sheetId="13" r:id="rId4"/>
    <sheet name="Attendance1" sheetId="4" r:id="rId5"/>
    <sheet name="Attendance2" sheetId="5" r:id="rId6"/>
    <sheet name="Winpct1" sheetId="7" r:id="rId7"/>
    <sheet name="Winpct2" sheetId="8" r:id="rId8"/>
    <sheet name="Pop-Metro" sheetId="2" r:id="rId9"/>
    <sheet name="Pop-Micro" sheetId="3" r:id="rId10"/>
    <sheet name="PCI-Metro" sheetId="15" r:id="rId11"/>
    <sheet name="PCI-Micro" sheetId="16" r:id="rId12"/>
    <sheet name="Stadium Capacity" sheetId="14" r:id="rId13"/>
    <sheet name="Ra2W" sheetId="17" r:id="rId14"/>
    <sheet name="RA2L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I35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2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35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2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54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24" i="1"/>
  <c r="L125" i="1"/>
  <c r="L126" i="1"/>
  <c r="L127" i="1"/>
  <c r="L128" i="1"/>
  <c r="L129" i="1"/>
  <c r="L130" i="1"/>
  <c r="L131" i="1"/>
  <c r="L132" i="1"/>
  <c r="L133" i="1"/>
  <c r="L134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72" i="1"/>
  <c r="L73" i="1"/>
  <c r="F2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354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3" i="1"/>
  <c r="F4" i="1"/>
  <c r="F5" i="1"/>
  <c r="F6" i="1"/>
  <c r="F7" i="1"/>
  <c r="F8" i="1"/>
  <c r="F9" i="1"/>
  <c r="F11" i="1"/>
  <c r="F10" i="1"/>
  <c r="G10" i="1"/>
  <c r="G2" i="1"/>
  <c r="G3" i="1"/>
  <c r="G4" i="1"/>
  <c r="G5" i="1"/>
  <c r="G6" i="1"/>
  <c r="G7" i="1"/>
  <c r="G8" i="1"/>
  <c r="G9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354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2" i="1"/>
  <c r="J2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E353" i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<sst xmlns="http://schemas.openxmlformats.org/spreadsheetml/2006/main" count="12350" uniqueCount="1493">
  <si>
    <t>University</t>
  </si>
  <si>
    <t>unitid</t>
  </si>
  <si>
    <t>GeoFips</t>
  </si>
  <si>
    <t>Season</t>
  </si>
  <si>
    <t>A&amp;M-Corpus Christi</t>
  </si>
  <si>
    <t>Abilene Christian</t>
  </si>
  <si>
    <t>Akron</t>
  </si>
  <si>
    <t>Alabama</t>
  </si>
  <si>
    <t>Alabama A&amp;M</t>
  </si>
  <si>
    <t>Alabama St.</t>
  </si>
  <si>
    <t>Albany (NY)</t>
  </si>
  <si>
    <t>Alcorn</t>
  </si>
  <si>
    <t>Appalachian St.</t>
  </si>
  <si>
    <t>Arizona</t>
  </si>
  <si>
    <t>Arizona St.</t>
  </si>
  <si>
    <t>Ark.-Pine Bluff</t>
  </si>
  <si>
    <t>Arkansas</t>
  </si>
  <si>
    <t>Army West Point</t>
  </si>
  <si>
    <t>Auburn</t>
  </si>
  <si>
    <t>Austin Peay</t>
  </si>
  <si>
    <t>Ball St.</t>
  </si>
  <si>
    <t>Baylor</t>
  </si>
  <si>
    <t>Belmont</t>
  </si>
  <si>
    <t>Bethune-Cookman</t>
  </si>
  <si>
    <t>Binghamton</t>
  </si>
  <si>
    <t>Boise St.</t>
  </si>
  <si>
    <t>Boston College</t>
  </si>
  <si>
    <t>Boston U.</t>
  </si>
  <si>
    <t>Bowling Green</t>
  </si>
  <si>
    <t>Bradley</t>
  </si>
  <si>
    <t>Brown</t>
  </si>
  <si>
    <t>Bryant</t>
  </si>
  <si>
    <t>Bucknell</t>
  </si>
  <si>
    <t>Buffalo</t>
  </si>
  <si>
    <t>Butler</t>
  </si>
  <si>
    <t>BYU</t>
  </si>
  <si>
    <t>Cal Poly</t>
  </si>
  <si>
    <t>Cal St. Fullerton</t>
  </si>
  <si>
    <t>California</t>
  </si>
  <si>
    <t>Campbell</t>
  </si>
  <si>
    <t>Canisius</t>
  </si>
  <si>
    <t>Central Ark.</t>
  </si>
  <si>
    <t>Central Conn. St.</t>
  </si>
  <si>
    <t>Central Mich.</t>
  </si>
  <si>
    <t>Charleston So.</t>
  </si>
  <si>
    <t>Charlotte</t>
  </si>
  <si>
    <t>Chattanooga</t>
  </si>
  <si>
    <t>Clemson</t>
  </si>
  <si>
    <t>Cleveland St.</t>
  </si>
  <si>
    <t>Coastal Caro.</t>
  </si>
  <si>
    <t>Col. of Charleston</t>
  </si>
  <si>
    <t>Colgate</t>
  </si>
  <si>
    <t>Colorado St.</t>
  </si>
  <si>
    <t>Columbia</t>
  </si>
  <si>
    <t>Coppin St.</t>
  </si>
  <si>
    <t>Cornell</t>
  </si>
  <si>
    <t>Creighton</t>
  </si>
  <si>
    <t>CSU Bakersfield</t>
  </si>
  <si>
    <t>CSUN</t>
  </si>
  <si>
    <t>Dartmouth</t>
  </si>
  <si>
    <t>Dayton</t>
  </si>
  <si>
    <t>Delaware</t>
  </si>
  <si>
    <t>Delaware St.</t>
  </si>
  <si>
    <t>DePaul</t>
  </si>
  <si>
    <t>Detroit Mercy</t>
  </si>
  <si>
    <t>Drake</t>
  </si>
  <si>
    <t>Drexel</t>
  </si>
  <si>
    <t>Duke</t>
  </si>
  <si>
    <t>East Carolina</t>
  </si>
  <si>
    <t>Eastern Ill.</t>
  </si>
  <si>
    <t>Eastern Ky.</t>
  </si>
  <si>
    <t>Elon</t>
  </si>
  <si>
    <t>ETSU</t>
  </si>
  <si>
    <t>Evansville</t>
  </si>
  <si>
    <t>Fairfield</t>
  </si>
  <si>
    <t>Fairleigh Dickinson</t>
  </si>
  <si>
    <t>FGCU</t>
  </si>
  <si>
    <t>FIU</t>
  </si>
  <si>
    <t>Fla. Atlantic</t>
  </si>
  <si>
    <t>Florida</t>
  </si>
  <si>
    <t>Florida A&amp;M</t>
  </si>
  <si>
    <t>Florida St.</t>
  </si>
  <si>
    <t>Fordham</t>
  </si>
  <si>
    <t>Fresno St.</t>
  </si>
  <si>
    <t>Furman</t>
  </si>
  <si>
    <t>Ga. Southern</t>
  </si>
  <si>
    <t>Gardner-Webb</t>
  </si>
  <si>
    <t>George Mason</t>
  </si>
  <si>
    <t>George Washington</t>
  </si>
  <si>
    <t>Georgetown</t>
  </si>
  <si>
    <t>Georgia</t>
  </si>
  <si>
    <t>Georgia St.</t>
  </si>
  <si>
    <t>Georgia Tech</t>
  </si>
  <si>
    <t>Grambling</t>
  </si>
  <si>
    <t>Grand Canyon</t>
  </si>
  <si>
    <t>Green Bay</t>
  </si>
  <si>
    <t>Hampton</t>
  </si>
  <si>
    <t>Harvard</t>
  </si>
  <si>
    <t>Hawaii</t>
  </si>
  <si>
    <t>Hofstra</t>
  </si>
  <si>
    <t>Holy Cross</t>
  </si>
  <si>
    <t>Houston</t>
  </si>
  <si>
    <t>Houston Baptist</t>
  </si>
  <si>
    <t>Howard</t>
  </si>
  <si>
    <t>Idaho St.</t>
  </si>
  <si>
    <t>Illinois</t>
  </si>
  <si>
    <t>Illinois St.</t>
  </si>
  <si>
    <t>Incarnate Word</t>
  </si>
  <si>
    <t>Indiana</t>
  </si>
  <si>
    <t>Indiana St.</t>
  </si>
  <si>
    <t>Iona</t>
  </si>
  <si>
    <t>Iowa</t>
  </si>
  <si>
    <t>Iowa St.</t>
  </si>
  <si>
    <t>IUPUI</t>
  </si>
  <si>
    <t>Jackson St.</t>
  </si>
  <si>
    <t>Jacksonville</t>
  </si>
  <si>
    <t>Jacksonville St.</t>
  </si>
  <si>
    <t>James Madison</t>
  </si>
  <si>
    <t>Kansas</t>
  </si>
  <si>
    <t>Kennesaw St.</t>
  </si>
  <si>
    <t>Kent St.</t>
  </si>
  <si>
    <t>Kentucky</t>
  </si>
  <si>
    <t>La.-Monroe</t>
  </si>
  <si>
    <t>Lafayette</t>
  </si>
  <si>
    <t>Lamar University</t>
  </si>
  <si>
    <t>Lehigh</t>
  </si>
  <si>
    <t>Liberty</t>
  </si>
  <si>
    <t>Lipscomb</t>
  </si>
  <si>
    <t>LIU Brooklyn</t>
  </si>
  <si>
    <t>LMU (CA)</t>
  </si>
  <si>
    <t>Long Beach St.</t>
  </si>
  <si>
    <t>Longwood</t>
  </si>
  <si>
    <t>Louisiana</t>
  </si>
  <si>
    <t>Louisiana Tech</t>
  </si>
  <si>
    <t>Louisville</t>
  </si>
  <si>
    <t>Loyola Chicago</t>
  </si>
  <si>
    <t>LSU</t>
  </si>
  <si>
    <t>Maine</t>
  </si>
  <si>
    <t>Manhattan</t>
  </si>
  <si>
    <t>Marist</t>
  </si>
  <si>
    <t>Marshall</t>
  </si>
  <si>
    <t>Maryland</t>
  </si>
  <si>
    <t>Massachusetts</t>
  </si>
  <si>
    <t>McNeese</t>
  </si>
  <si>
    <t>Memphis</t>
  </si>
  <si>
    <t>Mercer</t>
  </si>
  <si>
    <t>Miami (OH)</t>
  </si>
  <si>
    <t>Michigan</t>
  </si>
  <si>
    <t>Michigan St.</t>
  </si>
  <si>
    <t>Middle Tenn.</t>
  </si>
  <si>
    <t>Minnesota</t>
  </si>
  <si>
    <t>Mississippi St.</t>
  </si>
  <si>
    <t>Mississippi Val.</t>
  </si>
  <si>
    <t>Missouri</t>
  </si>
  <si>
    <t>Missouri St.</t>
  </si>
  <si>
    <t>Monmouth</t>
  </si>
  <si>
    <t>Montana</t>
  </si>
  <si>
    <t>Morehead St.</t>
  </si>
  <si>
    <t>Morgan St.</t>
  </si>
  <si>
    <t>Mount St. Mary's</t>
  </si>
  <si>
    <t>Murray St.</t>
  </si>
  <si>
    <t>N.C. A&amp;T</t>
  </si>
  <si>
    <t>N.C. Central</t>
  </si>
  <si>
    <t>NC State</t>
  </si>
  <si>
    <t>Nebraska</t>
  </si>
  <si>
    <t>Nevada</t>
  </si>
  <si>
    <t>New Mexico</t>
  </si>
  <si>
    <t>New Mexico St.</t>
  </si>
  <si>
    <t>Niagara</t>
  </si>
  <si>
    <t>Nicholls St.</t>
  </si>
  <si>
    <t>Norfolk St.</t>
  </si>
  <si>
    <t>North Carolina</t>
  </si>
  <si>
    <t>North Dakota</t>
  </si>
  <si>
    <t>North Dakota St.</t>
  </si>
  <si>
    <t>North Florida</t>
  </si>
  <si>
    <t>North Texas</t>
  </si>
  <si>
    <t>Northern Colo.</t>
  </si>
  <si>
    <t>Northern Ill.</t>
  </si>
  <si>
    <t>Northern Ky.</t>
  </si>
  <si>
    <t>Northwestern</t>
  </si>
  <si>
    <t>Northwestern St.</t>
  </si>
  <si>
    <t>Notre Dame</t>
  </si>
  <si>
    <t>Oakland</t>
  </si>
  <si>
    <t>Ohio</t>
  </si>
  <si>
    <t>Ohio St.</t>
  </si>
  <si>
    <t>Oklahoma</t>
  </si>
  <si>
    <t>Oklahoma St.</t>
  </si>
  <si>
    <t>Ole Miss</t>
  </si>
  <si>
    <t>Omaha</t>
  </si>
  <si>
    <t>Oregon</t>
  </si>
  <si>
    <t>Oregon St.</t>
  </si>
  <si>
    <t>Pacific</t>
  </si>
  <si>
    <t>Penn</t>
  </si>
  <si>
    <t>Penn St.</t>
  </si>
  <si>
    <t>Pittsburgh</t>
  </si>
  <si>
    <t>Portland St.</t>
  </si>
  <si>
    <t>Prairie View</t>
  </si>
  <si>
    <t>Presbyterian</t>
  </si>
  <si>
    <t>Princeton</t>
  </si>
  <si>
    <t>Providence</t>
  </si>
  <si>
    <t>Purdue</t>
  </si>
  <si>
    <t>Purdue Fort Wayne</t>
  </si>
  <si>
    <t>Quinnipiac</t>
  </si>
  <si>
    <t>Radford</t>
  </si>
  <si>
    <t>Rhode Island</t>
  </si>
  <si>
    <t>Rider</t>
  </si>
  <si>
    <t>Robert Morris</t>
  </si>
  <si>
    <t>Rutgers</t>
  </si>
  <si>
    <t>Sacramento St.</t>
  </si>
  <si>
    <t>Sacred Heart</t>
  </si>
  <si>
    <t>Saint Francis (PA)</t>
  </si>
  <si>
    <t>Saint Joseph's</t>
  </si>
  <si>
    <t>Saint Louis</t>
  </si>
  <si>
    <t>Saint Mary's (CA)</t>
  </si>
  <si>
    <t>Saint Peter's</t>
  </si>
  <si>
    <t>Sam Houston St.</t>
  </si>
  <si>
    <t>Samford</t>
  </si>
  <si>
    <t>San Diego</t>
  </si>
  <si>
    <t>San Diego St.</t>
  </si>
  <si>
    <t>San Jose St.</t>
  </si>
  <si>
    <t>Santa Clara</t>
  </si>
  <si>
    <t>Seattle U</t>
  </si>
  <si>
    <t>Seton Hall</t>
  </si>
  <si>
    <t>SFA</t>
  </si>
  <si>
    <t>Siena</t>
  </si>
  <si>
    <t>SIUE</t>
  </si>
  <si>
    <t>South Alabama</t>
  </si>
  <si>
    <t>South Carolina</t>
  </si>
  <si>
    <t>South Carolina St.</t>
  </si>
  <si>
    <t>South Dakota</t>
  </si>
  <si>
    <t>South Dakota St.</t>
  </si>
  <si>
    <t>South Fla.</t>
  </si>
  <si>
    <t>Southeast Mo. St.</t>
  </si>
  <si>
    <t>Southeastern La.</t>
  </si>
  <si>
    <t>Southern Ill.</t>
  </si>
  <si>
    <t>Southern Miss.</t>
  </si>
  <si>
    <t>Southern U.</t>
  </si>
  <si>
    <t>Southern Utah</t>
  </si>
  <si>
    <t>St. Bonaventure</t>
  </si>
  <si>
    <t>St. John's (NY)</t>
  </si>
  <si>
    <t>Stanford</t>
  </si>
  <si>
    <t>Stetson</t>
  </si>
  <si>
    <t>Stony Brook</t>
  </si>
  <si>
    <t>Syracuse</t>
  </si>
  <si>
    <t>Tennessee</t>
  </si>
  <si>
    <t>Tennessee St.</t>
  </si>
  <si>
    <t>Tennessee Tech</t>
  </si>
  <si>
    <t>Texas</t>
  </si>
  <si>
    <t>Texas A&amp;M</t>
  </si>
  <si>
    <t>Texas Southern</t>
  </si>
  <si>
    <t>Texas St.</t>
  </si>
  <si>
    <t>Texas Tech</t>
  </si>
  <si>
    <t>Toledo</t>
  </si>
  <si>
    <t>Towson</t>
  </si>
  <si>
    <t>Troy</t>
  </si>
  <si>
    <t>Tulsa</t>
  </si>
  <si>
    <t>UAB</t>
  </si>
  <si>
    <t>UC Davis</t>
  </si>
  <si>
    <t>UC Riverside</t>
  </si>
  <si>
    <t>UC Santa Barbara</t>
  </si>
  <si>
    <t>UCF</t>
  </si>
  <si>
    <t>UCLA</t>
  </si>
  <si>
    <t>UConn</t>
  </si>
  <si>
    <t>UIC</t>
  </si>
  <si>
    <t>UMass Lowell</t>
  </si>
  <si>
    <t>UMBC</t>
  </si>
  <si>
    <t>UMES</t>
  </si>
  <si>
    <t>UMKC</t>
  </si>
  <si>
    <t>UNC Greensboro</t>
  </si>
  <si>
    <t>UNCW</t>
  </si>
  <si>
    <t>UNI</t>
  </si>
  <si>
    <t>UNLV</t>
  </si>
  <si>
    <t>USC Upstate</t>
  </si>
  <si>
    <t>UT Arlington</t>
  </si>
  <si>
    <t>UT Martin</t>
  </si>
  <si>
    <t>Utah</t>
  </si>
  <si>
    <t>Utah St.</t>
  </si>
  <si>
    <t>Utah Valley</t>
  </si>
  <si>
    <t>UTEP</t>
  </si>
  <si>
    <t>UTSA</t>
  </si>
  <si>
    <t>Valparaiso</t>
  </si>
  <si>
    <t>Villanova</t>
  </si>
  <si>
    <t>Virginia</t>
  </si>
  <si>
    <t>Virginia Tech</t>
  </si>
  <si>
    <t>Washington</t>
  </si>
  <si>
    <t>Weber St.</t>
  </si>
  <si>
    <t>Western Caro.</t>
  </si>
  <si>
    <t>Western Ill.</t>
  </si>
  <si>
    <t>Western Ky.</t>
  </si>
  <si>
    <t>Western Mich.</t>
  </si>
  <si>
    <t>Wichita St.</t>
  </si>
  <si>
    <t>Winthrop</t>
  </si>
  <si>
    <t>Wisconsin</t>
  </si>
  <si>
    <t>Wofford</t>
  </si>
  <si>
    <t>Yale</t>
  </si>
  <si>
    <t>Youngstown St.</t>
  </si>
  <si>
    <t>University2</t>
  </si>
  <si>
    <t>GeoName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</si>
  <si>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</si>
  <si>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</si>
  <si>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</si>
  <si>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</si>
  <si>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</si>
  <si>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</si>
  <si>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</si>
  <si>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</si>
  <si>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</si>
  <si>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</si>
  <si>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United States (Metropolitan Portion)</t>
  </si>
  <si>
    <t>Abilene, TX (Metropolitan Statistical Area)</t>
  </si>
  <si>
    <t>Akron, OH (Metropolitan Statistical Area)</t>
  </si>
  <si>
    <t>Albany, GA (Metropolitan Statistical Area)</t>
  </si>
  <si>
    <t>Albany-Lebanon, OR (Metropolitan Statistical Area)</t>
  </si>
  <si>
    <t>Albany-Schenectady-Troy, NY (Metropolitan Statistical Area)</t>
  </si>
  <si>
    <t>Albuquerque, NM (Metropolitan Statistical Area) *</t>
  </si>
  <si>
    <t>Alexandria, LA (Metropolitan Statistical Area)</t>
  </si>
  <si>
    <t>Allentown-Bethlehem-Easton, PA-NJ (Metropolitan Statistical Area)</t>
  </si>
  <si>
    <t>Altoona, PA (Metropolitan Statistical Area)</t>
  </si>
  <si>
    <t>Amarillo, TX (Metropolitan Statistical Area)</t>
  </si>
  <si>
    <t>Ames, IA (Metropolitan Statistical Area)</t>
  </si>
  <si>
    <t>Anchorage, AK (Metropolitan Statistical Area)</t>
  </si>
  <si>
    <t>Ann Arbor, MI (Metropolitan Statistical Area)</t>
  </si>
  <si>
    <t>Anniston-Oxford, AL (Metropolitan Statistical Area)</t>
  </si>
  <si>
    <t>Appleton, WI (Metropolitan Statistical Area)</t>
  </si>
  <si>
    <t>Asheville, NC (Metropolitan Statistical Area)</t>
  </si>
  <si>
    <t>Athens-Clarke County, GA (Metropolitan Statistical Area)</t>
  </si>
  <si>
    <t>Atlanta-Sandy Springs-Alpharetta, GA (Metropolitan Statistical Area)</t>
  </si>
  <si>
    <t>Atlantic City-Hammonton, NJ (Metropolitan Statistical Area)</t>
  </si>
  <si>
    <t>Auburn-Opelika, AL (Metropolitan Statistical Area)</t>
  </si>
  <si>
    <t>Augusta-Richmond County, GA-SC (Metropolitan Statistical Area)</t>
  </si>
  <si>
    <t>Austin-Round Rock-Georgetown, TX (Metropolitan Statistical Area)</t>
  </si>
  <si>
    <t>Bakersfield, CA (Metropolitan Statistical Area)</t>
  </si>
  <si>
    <t>Baltimore-Columbia-Towson, MD (Metropolitan Statistical Area)</t>
  </si>
  <si>
    <t>Bangor, ME (Metropolitan Statistical Area)</t>
  </si>
  <si>
    <t>Barnstable Town, MA (Metropolitan Statistical Area)</t>
  </si>
  <si>
    <t>Baton Rouge, LA (Metropolitan Statistical Area)</t>
  </si>
  <si>
    <t>Battle Creek, MI (Metropolitan Statistical Area)</t>
  </si>
  <si>
    <t>Bay City, MI (Metropolitan Statistical Area)</t>
  </si>
  <si>
    <t>Beaumont-Port Arthur, TX (Metropolitan Statistical Area)</t>
  </si>
  <si>
    <t>Beckley, WV (Metropolitan Statistical Area)</t>
  </si>
  <si>
    <t>Bellingham, WA (Metropolitan Statistical Area)</t>
  </si>
  <si>
    <t>Bend, OR (Metropolitan Statistical Area)</t>
  </si>
  <si>
    <t>Billings, MT (Metropolitan Statistical Area)</t>
  </si>
  <si>
    <t>Binghamton, NY (Metropolitan Statistical Area)</t>
  </si>
  <si>
    <t>Birmingham-Hoover, AL (Metropolitan Statistical Area)</t>
  </si>
  <si>
    <t>Bismarck, ND (Metropolitan Statistical Area)</t>
  </si>
  <si>
    <t>Blacksburg-Christiansburg, VA (Metropolitan Statistical Area) *</t>
  </si>
  <si>
    <t>Bloomington, IL (Metropolitan Statistical Area)</t>
  </si>
  <si>
    <t>Bloomington, IN (Metropolitan Statistical Area)</t>
  </si>
  <si>
    <t>Bloomsburg-Berwick, PA (Metropolitan Statistical Area)</t>
  </si>
  <si>
    <t>Boise City, ID (Metropolitan Statistical Area)</t>
  </si>
  <si>
    <t>Boston-Cambridge-Newton, MA-NH (Metropolitan Statistical Area)</t>
  </si>
  <si>
    <t>Boulder, CO (Metropolitan Statistical Area) *</t>
  </si>
  <si>
    <t>Bowling Green, KY (Metropolitan Statistical Area)</t>
  </si>
  <si>
    <t>Bremerton-Silverdale-Port Orchard, WA (Metropolitan Statistical Area)</t>
  </si>
  <si>
    <t>Bridgeport-Stamford-Norwalk, CT (Metropolitan Statistical Area)</t>
  </si>
  <si>
    <t>Brownsville-Harlingen, TX (Metropolitan Statistical Area)</t>
  </si>
  <si>
    <t>Brunswick, GA (Metropolitan Statistical Area)</t>
  </si>
  <si>
    <t>Buffalo-Cheektowaga, NY (Metropolitan Statistical Area)</t>
  </si>
  <si>
    <t>Burlington, NC (Metropolitan Statistical Area)</t>
  </si>
  <si>
    <t>Burlington-South Burlington, VT (Metropolitan Statistical Area)</t>
  </si>
  <si>
    <t>California-Lexington Park, MD (Metropolitan Statistical Area)</t>
  </si>
  <si>
    <t>Canton-Massillon, OH (Metropolitan Statistical Area)</t>
  </si>
  <si>
    <t>Cape Coral-Fort Myers, FL (Metropolitan Statistical Area)</t>
  </si>
  <si>
    <t>Cape Girardeau, MO-IL (Metropolitan Statistical Area)</t>
  </si>
  <si>
    <t>Carbondale-Marion, IL (Metropolitan Statistical Area)</t>
  </si>
  <si>
    <t>Carson City, NV (Metropolitan Statistical Area)</t>
  </si>
  <si>
    <t>Casper, WY (Metropolitan Statistical Area)</t>
  </si>
  <si>
    <t>Cedar Rapids, IA (Metropolitan Statistical Area)</t>
  </si>
  <si>
    <t>Chambersburg-Waynesboro, PA (Metropolitan Statistical Area)</t>
  </si>
  <si>
    <t>Champaign-Urbana, IL (Metropolitan Statistical Area)</t>
  </si>
  <si>
    <t>Charleston, WV (Metropolitan Statistical Area)</t>
  </si>
  <si>
    <t>Charleston-North Charleston, SC (Metropolitan Statistical Area)</t>
  </si>
  <si>
    <t>Charlotte-Concord-Gastonia, NC-SC (Metropolitan Statistical Area)</t>
  </si>
  <si>
    <t>Charlottesville, VA (Metropolitan Statistical Area) *</t>
  </si>
  <si>
    <t>Chattanooga, TN-GA (Metropolitan Statistical Area)</t>
  </si>
  <si>
    <t>Cheyenne, WY (Metropolitan Statistical Area)</t>
  </si>
  <si>
    <t>Chicago-Naperville-Elgin, IL-IN-WI (Metropolitan Statistical Area)</t>
  </si>
  <si>
    <t>Chico, CA (Metropolitan Statistical Area)</t>
  </si>
  <si>
    <t>Cincinnati, OH-KY-IN (Metropolitan Statistical Area)</t>
  </si>
  <si>
    <t>Clarksville, TN-KY (Metropolitan Statistical Area)</t>
  </si>
  <si>
    <t>Cleveland, TN (Metropolitan Statistical Area)</t>
  </si>
  <si>
    <t>Cleveland-Elyria, OH (Metropolitan Statistical Area)</t>
  </si>
  <si>
    <t>Coeur d'Alene, ID (Metropolitan Statistical Area)</t>
  </si>
  <si>
    <t>College Station-Bryan, TX (Metropolitan Statistical Area)</t>
  </si>
  <si>
    <t>Colorado Springs, CO (Metropolitan Statistical Area)</t>
  </si>
  <si>
    <t>Columbia, MO (Metropolitan Statistical Area)</t>
  </si>
  <si>
    <t>Columbia, SC (Metropolitan Statistical Area)</t>
  </si>
  <si>
    <t>Columbus, GA-AL (Metropolitan Statistical Area)</t>
  </si>
  <si>
    <t>Columbus, IN (Metropolitan Statistical Area)</t>
  </si>
  <si>
    <t>Columbus, OH (Metropolitan Statistical Area)</t>
  </si>
  <si>
    <t>Corpus Christi, TX (Metropolitan Statistical Area)</t>
  </si>
  <si>
    <t>Corvallis, OR (Metropolitan Statistical Area)</t>
  </si>
  <si>
    <t>Crestview-Fort Walton Beach-Destin, FL (Metropolitan Statistical Area)</t>
  </si>
  <si>
    <t>Cumberland, MD-WV (Metropolitan Statistical Area)</t>
  </si>
  <si>
    <t>Dallas-Fort Worth-Arlington, TX (Metropolitan Statistical Area)</t>
  </si>
  <si>
    <t>Dalton, GA (Metropolitan Statistical Area)</t>
  </si>
  <si>
    <t>Danville, IL (Metropolitan Statistical Area)</t>
  </si>
  <si>
    <t>Daphne-Fairhope-Foley, AL (Metropolitan Statistical Area)</t>
  </si>
  <si>
    <t>Davenport-Moline-Rock Island, IA-IL (Metropolitan Statistical Area)</t>
  </si>
  <si>
    <t>Dayton-Kettering, OH (Metropolitan Statistical Area)</t>
  </si>
  <si>
    <t>Decatur, AL (Metropolitan Statistical Area)</t>
  </si>
  <si>
    <t>Decatur, IL (Metropolitan Statistical Area)</t>
  </si>
  <si>
    <t>Deltona-Daytona Beach-Ormond Beach, FL (Metropolitan Statistical Area)</t>
  </si>
  <si>
    <t>Denver-Aurora-Lakewood, CO (Metropolitan Statistical Area) *</t>
  </si>
  <si>
    <t>Des Moines-West Des Moines, IA (Metropolitan Statistical Area)</t>
  </si>
  <si>
    <t>Detroit-Warren-Dearborn, MI (Metropolitan Statistical Area)</t>
  </si>
  <si>
    <t>Dothan, AL (Metropolitan Statistical Area)</t>
  </si>
  <si>
    <t>Dover, DE (Metropolitan Statistical Area)</t>
  </si>
  <si>
    <t>Dubuque, IA (Metropolitan Statistical Area)</t>
  </si>
  <si>
    <t>Duluth, MN-WI (Metropolitan Statistical Area)</t>
  </si>
  <si>
    <t>Durham-Chapel Hill, NC (Metropolitan Statistical Area)</t>
  </si>
  <si>
    <t>East Stroudsburg, PA (Metropolitan Statistical Area)</t>
  </si>
  <si>
    <t>Eau Claire, WI (Metropolitan Statistical Area)</t>
  </si>
  <si>
    <t>El Centro, CA (Metropolitan Statistical Area)</t>
  </si>
  <si>
    <t>Elizabethtown-Fort Knox, KY (Metropolitan Statistical Area)</t>
  </si>
  <si>
    <t>Elkhart-Goshen, IN (Metropolitan Statistical Area)</t>
  </si>
  <si>
    <t>Elmira, NY (Metropolitan Statistical Area)</t>
  </si>
  <si>
    <t>El Paso, TX (Metropolitan Statistical Area)</t>
  </si>
  <si>
    <t>Enid, OK (Metropolitan Statistical Area)</t>
  </si>
  <si>
    <t>Erie, PA (Metropolitan Statistical Area)</t>
  </si>
  <si>
    <t>Eugene-Springfield, OR (Metropolitan Statistical Area)</t>
  </si>
  <si>
    <t>Evansville, IN-KY (Metropolitan Statistical Area)</t>
  </si>
  <si>
    <t>Fairbanks, AK (Metropolitan Statistical Area)</t>
  </si>
  <si>
    <t>Fargo, ND-MN (Metropolitan Statistical Area)</t>
  </si>
  <si>
    <t>Farmington, NM (Metropolitan Statistical Area)</t>
  </si>
  <si>
    <t>Fayetteville, NC (Metropolitan Statistical Area)</t>
  </si>
  <si>
    <t>Fayetteville-Springdale-Rogers, AR (Metropolitan Statistical Area)</t>
  </si>
  <si>
    <t>Flagstaff, AZ (Metropolitan Statistical Area)</t>
  </si>
  <si>
    <t>Flint, MI (Metropolitan Statistical Area)</t>
  </si>
  <si>
    <t>Florence, SC (Metropolitan Statistical Area)</t>
  </si>
  <si>
    <t>Florence-Muscle Shoals, AL (Metropolitan Statistical Area)</t>
  </si>
  <si>
    <t>Fond du Lac, WI (Metropolitan Statistical Area)</t>
  </si>
  <si>
    <t>Fort Collins, CO (Metropolitan Statistical Area)</t>
  </si>
  <si>
    <t>Fort Smith, AR-OK (Metropolitan Statistical Area)</t>
  </si>
  <si>
    <t>Fort Wayne, IN (Metropolitan Statistical Area)</t>
  </si>
  <si>
    <t>Fresno, CA (Metropolitan Statistical Area)</t>
  </si>
  <si>
    <t>Gadsden, AL (Metropolitan Statistical Area)</t>
  </si>
  <si>
    <t>Gainesville, FL (Metropolitan Statistical Area)</t>
  </si>
  <si>
    <t>Gainesville, GA (Metropolitan Statistical Area)</t>
  </si>
  <si>
    <t>Gettysburg, PA (Metropolitan Statistical Area)</t>
  </si>
  <si>
    <t>Glens Falls, NY (Metropolitan Statistical Area)</t>
  </si>
  <si>
    <t>Goldsboro, NC (Metropolitan Statistical Area)</t>
  </si>
  <si>
    <t>Grand Forks, ND-MN (Metropolitan Statistical Area)</t>
  </si>
  <si>
    <t>Grand Island, NE (Metropolitan Statistical Area)</t>
  </si>
  <si>
    <t>Grand Junction, CO (Metropolitan Statistical Area)</t>
  </si>
  <si>
    <t>Grand Rapids-Kentwood, MI (Metropolitan Statistical Area)</t>
  </si>
  <si>
    <t>Grants Pass, OR (Metropolitan Statistical Area)</t>
  </si>
  <si>
    <t>Great Falls, MT (Metropolitan Statistical Area)</t>
  </si>
  <si>
    <t>Greeley, CO (Metropolitan Statistical Area) *</t>
  </si>
  <si>
    <t>Green Bay, WI (Metropolitan Statistical Area)</t>
  </si>
  <si>
    <t>Greensboro-High Point, NC (Metropolitan Statistical Area)</t>
  </si>
  <si>
    <t>Greenville, NC (Metropolitan Statistical Area)</t>
  </si>
  <si>
    <t>Greenville-Anderson, SC (Metropolitan Statistical Area)</t>
  </si>
  <si>
    <t>Gulfport-Biloxi, MS (Metropolitan Statistical Area)</t>
  </si>
  <si>
    <t>Hagerstown-Martinsburg, MD-WV (Metropolitan Statistical Area)</t>
  </si>
  <si>
    <t>Hammond, LA (Metropolitan Statistical Area)</t>
  </si>
  <si>
    <t>Hanford-Corcoran, CA (Metropolitan Statistical Area)</t>
  </si>
  <si>
    <t>Harrisburg-Carlisle, PA (Metropolitan Statistical Area)</t>
  </si>
  <si>
    <t>Harrisonburg, VA (Metropolitan Statistical Area) *</t>
  </si>
  <si>
    <t>Hartford-East Hartford-Middletown, CT (Metropolitan Statistical Area)</t>
  </si>
  <si>
    <t>Hattiesburg, MS (Metropolitan Statistical Area)</t>
  </si>
  <si>
    <t>Hickory-Lenoir-Morganton, NC (Metropolitan Statistical Area)</t>
  </si>
  <si>
    <t>Hilton Head Island-Bluffton, SC (Metropolitan Statistical Area)</t>
  </si>
  <si>
    <t>Hinesville, GA (Metropolitan Statistical Area)</t>
  </si>
  <si>
    <t>Homosassa Springs, FL (Metropolitan Statistical Area)</t>
  </si>
  <si>
    <t>Hot Springs, AR (Metropolitan Statistical Area)</t>
  </si>
  <si>
    <t>Houma-Thibodaux, LA (Metropolitan Statistical Area)</t>
  </si>
  <si>
    <t>Houston-The Woodlands-Sugar Land, TX (Metropolitan Statistical Area)</t>
  </si>
  <si>
    <t>Huntington-Ashland, WV-KY-OH (Metropolitan Statistical Area)</t>
  </si>
  <si>
    <t>Huntsville, AL (Metropolitan Statistical Area)</t>
  </si>
  <si>
    <t>Idaho Falls, ID (Metropolitan Statistical Area)</t>
  </si>
  <si>
    <t>Indianapolis-Carmel-Anderson, IN (Metropolitan Statistical Area)</t>
  </si>
  <si>
    <t>Iowa City, IA (Metropolitan Statistical Area)</t>
  </si>
  <si>
    <t>Ithaca, NY (Metropolitan Statistical Area)</t>
  </si>
  <si>
    <t>Jackson, MI (Metropolitan Statistical Area)</t>
  </si>
  <si>
    <t>Jackson, MS (Metropolitan Statistical Area)</t>
  </si>
  <si>
    <t>Jackson, TN (Metropolitan Statistical Area)</t>
  </si>
  <si>
    <t>Jacksonville, FL (Metropolitan Statistical Area)</t>
  </si>
  <si>
    <t>Jacksonville, NC (Metropolitan Statistical Area)</t>
  </si>
  <si>
    <t>Janesville-Beloit, WI (Metropolitan Statistical Area)</t>
  </si>
  <si>
    <t>Jefferson City, MO (Metropolitan Statistical Area)</t>
  </si>
  <si>
    <t>Johnson City, TN (Metropolitan Statistical Area)</t>
  </si>
  <si>
    <t>Johnstown, PA (Metropolitan Statistical Area)</t>
  </si>
  <si>
    <t>Jonesboro, AR (Metropolitan Statistical Area)</t>
  </si>
  <si>
    <t>Joplin, MO (Metropolitan Statistical Area)</t>
  </si>
  <si>
    <t>Kahului-Wailuku-Lahaina, HI (Metropolitan Statistical Area)</t>
  </si>
  <si>
    <t>Kalamazoo-Portage, MI (Metropolitan Statistical Area)</t>
  </si>
  <si>
    <t>Kankakee, IL (Metropolitan Statistical Area)</t>
  </si>
  <si>
    <t>Kansas City, MO-KS (Metropolitan Statistical Area)</t>
  </si>
  <si>
    <t>Kennewick-Richland, WA (Metropolitan Statistical Area)</t>
  </si>
  <si>
    <t>Killeen-Temple, TX (Metropolitan Statistical Area)</t>
  </si>
  <si>
    <t>Kingsport-Bristol, TN-VA (Metropolitan Statistical Area) *</t>
  </si>
  <si>
    <t>Kingston, NY (Metropolitan Statistical Area)</t>
  </si>
  <si>
    <t>Knoxville, TN (Metropolitan Statistical Area)</t>
  </si>
  <si>
    <t>Kokomo, IN (Metropolitan Statistical Area)</t>
  </si>
  <si>
    <t>La Crosse-Onalaska, WI-MN (Metropolitan Statistical Area)</t>
  </si>
  <si>
    <t>Lafayette, LA (Metropolitan Statistical Area)</t>
  </si>
  <si>
    <t>Lafayette-West Lafayette, IN (Metropolitan Statistical Area)</t>
  </si>
  <si>
    <t>Lake Charles, LA (Metropolitan Statistical Area)</t>
  </si>
  <si>
    <t>Lake Havasu City-Kingman, AZ (Metropolitan Statistical Area)</t>
  </si>
  <si>
    <t>Lakeland-Winter Haven, FL (Metropolitan Statistical Area)</t>
  </si>
  <si>
    <t>Lancaster, PA (Metropolitan Statistical Area)</t>
  </si>
  <si>
    <t>Lansing-East Lansing, MI (Metropolitan Statistical Area)</t>
  </si>
  <si>
    <t>Laredo, TX (Metropolitan Statistical Area)</t>
  </si>
  <si>
    <t>Las Cruces, NM (Metropolitan Statistical Area)</t>
  </si>
  <si>
    <t>Las Vegas-Henderson-Paradise, NV (Metropolitan Statistical Area)</t>
  </si>
  <si>
    <t>Lawrence, KS (Metropolitan Statistical Area)</t>
  </si>
  <si>
    <t>Lawton, OK (Metropolitan Statistical Area)</t>
  </si>
  <si>
    <t>Lebanon, PA (Metropolitan Statistical Area)</t>
  </si>
  <si>
    <t>Lewiston, ID-WA (Metropolitan Statistical Area)</t>
  </si>
  <si>
    <t>Lewiston-Auburn, ME (Metropolitan Statistical Area)</t>
  </si>
  <si>
    <t>Lexington-Fayette, KY (Metropolitan Statistical Area)</t>
  </si>
  <si>
    <t>Lima, OH (Metropolitan Statistical Area)</t>
  </si>
  <si>
    <t>Lincoln, NE (Metropolitan Statistical Area)</t>
  </si>
  <si>
    <t>Little Rock-North Little Rock-Conway, AR (Metropolitan Statistical Area)</t>
  </si>
  <si>
    <t>Logan, UT-ID (Metropolitan Statistical Area)</t>
  </si>
  <si>
    <t>Longview, TX (Metropolitan Statistical Area)</t>
  </si>
  <si>
    <t>Longview, WA (Metropolitan Statistical Area)</t>
  </si>
  <si>
    <t>Los Angeles-Long Beach-Anaheim, CA (Metropolitan Statistical Area)</t>
  </si>
  <si>
    <t>Louisville/Jefferson County, KY-IN (Metropolitan Statistical Area)</t>
  </si>
  <si>
    <t>Lubbock, TX (Metropolitan Statistical Area)</t>
  </si>
  <si>
    <t>Lynchburg, VA (Metropolitan Statistical Area) *</t>
  </si>
  <si>
    <t>Macon-Bibb County, GA (Metropolitan Statistical Area)</t>
  </si>
  <si>
    <t>Madera, CA (Metropolitan Statistical Area)</t>
  </si>
  <si>
    <t>Madison, WI (Metropolitan Statistical Area)</t>
  </si>
  <si>
    <t>Manchester-Nashua, NH (Metropolitan Statistical Area)</t>
  </si>
  <si>
    <t>Manhattan, KS (Metropolitan Statistical Area)</t>
  </si>
  <si>
    <t>Mankato, MN (Metropolitan Statistical Area)</t>
  </si>
  <si>
    <t>Mansfield, OH (Metropolitan Statistical Area)</t>
  </si>
  <si>
    <t>McAllen-Edinburg-Mission, TX (Metropolitan Statistical Area)</t>
  </si>
  <si>
    <t>Medford, OR (Metropolitan Statistical Area)</t>
  </si>
  <si>
    <t>Memphis, TN-MS-AR (Metropolitan Statistical Area)</t>
  </si>
  <si>
    <t>Merced, CA (Metropolitan Statistical Area)</t>
  </si>
  <si>
    <t>Miami-Fort Lauderdale-Pompano Beach, FL (Metropolitan Statistical Area)</t>
  </si>
  <si>
    <t>Michigan City-La Porte, IN (Metropolitan Statistical Area)</t>
  </si>
  <si>
    <t>Midland, MI (Metropolitan Statistical Area)</t>
  </si>
  <si>
    <t>Midland, TX (Metropolitan Statistical Area)</t>
  </si>
  <si>
    <t>Milwaukee-Waukesha, WI (Metropolitan Statistical Area)</t>
  </si>
  <si>
    <t>Minneapolis-St. Paul-Bloomington, MN-WI (Metropolitan Statistical Area)</t>
  </si>
  <si>
    <t>Missoula, MT (Metropolitan Statistical Area)</t>
  </si>
  <si>
    <t>Mobile, AL (Metropolitan Statistical Area)</t>
  </si>
  <si>
    <t>Modesto, CA (Metropolitan Statistical Area)</t>
  </si>
  <si>
    <t>Monroe, LA (Metropolitan Statistical Area)</t>
  </si>
  <si>
    <t>Monroe, MI (Metropolitan Statistical Area)</t>
  </si>
  <si>
    <t>Montgomery, AL (Metropolitan Statistical Area)</t>
  </si>
  <si>
    <t>Morgantown, WV (Metropolitan Statistical Area)</t>
  </si>
  <si>
    <t>Morristown, TN (Metropolitan Statistical Area)</t>
  </si>
  <si>
    <t>Mount Vernon-Anacortes, WA (Metropolitan Statistical Area)</t>
  </si>
  <si>
    <t>Muncie, IN (Metropolitan Statistical Area)</t>
  </si>
  <si>
    <t>Muskegon, MI (Metropolitan Statistical Area)</t>
  </si>
  <si>
    <t>Myrtle Beach-Conway-North Myrtle Beach, SC-NC (Metropolitan Statistical Area)</t>
  </si>
  <si>
    <t>Napa, CA (Metropolitan Statistical Area)</t>
  </si>
  <si>
    <t>Naples-Marco Island, FL (Metropolitan Statistical Area)</t>
  </si>
  <si>
    <t>Nashville-Davidson--Murfreesboro--Franklin, TN (Metropolitan Statistical Area)</t>
  </si>
  <si>
    <t>New Bern, NC (Metropolitan Statistical Area)</t>
  </si>
  <si>
    <t>New Haven-Milford, CT (Metropolitan Statistical Area)</t>
  </si>
  <si>
    <t>New Orleans-Metairie, LA (Metropolitan Statistical Area)</t>
  </si>
  <si>
    <t>New York-Newark-Jersey City, NY-NJ-PA (Metropolitan Statistical Area)</t>
  </si>
  <si>
    <t>Niles, MI (Metropolitan Statistical Area)</t>
  </si>
  <si>
    <t>North Port-Sarasota-Bradenton, FL (Metropolitan Statistical Area)</t>
  </si>
  <si>
    <t>Norwich-New London, CT (Metropolitan Statistical Area)</t>
  </si>
  <si>
    <t>Ocala, FL (Metropolitan Statistical Area)</t>
  </si>
  <si>
    <t>Ocean City, NJ (Metropolitan Statistical Area)</t>
  </si>
  <si>
    <t>Odessa, TX (Metropolitan Statistical Area)</t>
  </si>
  <si>
    <t>Ogden-Clearfield, UT (Metropolitan Statistical Area)</t>
  </si>
  <si>
    <t>Oklahoma City, OK (Metropolitan Statistical Area)</t>
  </si>
  <si>
    <t>Olympia-Lacey-Tumwater, WA (Metropolitan Statistical Area)</t>
  </si>
  <si>
    <t>Omaha-Council Bluffs, NE-IA (Metropolitan Statistical Area)</t>
  </si>
  <si>
    <t>Orlando-Kissimmee-Sanford, FL (Metropolitan Statistical Area)</t>
  </si>
  <si>
    <t>Oshkosh-Neenah, WI (Metropolitan Statistical Area)</t>
  </si>
  <si>
    <t>Owensboro, KY (Metropolitan Statistical Area)</t>
  </si>
  <si>
    <t>Oxnard-Thousand Oaks-Ventura, CA (Metropolitan Statistical Area)</t>
  </si>
  <si>
    <t>Palm Bay-Melbourne-Titusville, FL (Metropolitan Statistical Area)</t>
  </si>
  <si>
    <t>Panama City, FL (Metropolitan Statistical Area)</t>
  </si>
  <si>
    <t>Parkersburg-Vienna, WV (Metropolitan Statistical Area)</t>
  </si>
  <si>
    <t>Pensacola-Ferry Pass-Brent, FL (Metropolitan Statistical Area)</t>
  </si>
  <si>
    <t>Peoria, IL (Metropolitan Statistical Area)</t>
  </si>
  <si>
    <t>Philadelphia-Camden-Wilmington, PA-NJ-DE-MD (Metropolitan Statistical Area)</t>
  </si>
  <si>
    <t>Phoenix-Mesa-Chandler, AZ (Metropolitan Statistical Area)</t>
  </si>
  <si>
    <t>Pine Bluff, AR (Metropolitan Statistical Area)</t>
  </si>
  <si>
    <t>Pittsburgh, PA (Metropolitan Statistical Area)</t>
  </si>
  <si>
    <t>Pittsfield, MA (Metropolitan Statistical Area)</t>
  </si>
  <si>
    <t>Pocatello, ID (Metropolitan Statistical Area)</t>
  </si>
  <si>
    <t>Portland-South Portland, ME (Metropolitan Statistical Area)</t>
  </si>
  <si>
    <t>Portland-Vancouver-Hillsboro, OR-WA (Metropolitan Statistical Area)</t>
  </si>
  <si>
    <t>Port St. Lucie, FL (Metropolitan Statistical Area)</t>
  </si>
  <si>
    <t>Poughkeepsie-Newburgh-Middletown, NY (Metropolitan Statistical Area)</t>
  </si>
  <si>
    <t>Prescott Valley-Prescott, AZ (Metropolitan Statistical Area)</t>
  </si>
  <si>
    <t>Providence-Warwick, RI-MA (Metropolitan Statistical Area)</t>
  </si>
  <si>
    <t>Provo-Orem, UT (Metropolitan Statistical Area)</t>
  </si>
  <si>
    <t>Pueblo, CO (Metropolitan Statistical Area)</t>
  </si>
  <si>
    <t>Punta Gorda, FL (Metropolitan Statistical Area)</t>
  </si>
  <si>
    <t>Racine, WI (Metropolitan Statistical Area)</t>
  </si>
  <si>
    <t>Raleigh-Cary, NC (Metropolitan Statistical Area)</t>
  </si>
  <si>
    <t>Rapid City, SD (Metropolitan Statistical Area)</t>
  </si>
  <si>
    <t>Reading, PA (Metropolitan Statistical Area)</t>
  </si>
  <si>
    <t>Redding, CA (Metropolitan Statistical Area)</t>
  </si>
  <si>
    <t>Reno, NV (Metropolitan Statistical Area)</t>
  </si>
  <si>
    <t>Richmond, VA (Metropolitan Statistical Area) *</t>
  </si>
  <si>
    <t>Riverside-San Bernardino-Ontario, CA (Metropolitan Statistical Area)</t>
  </si>
  <si>
    <t>Roanoke, VA (Metropolitan Statistical Area) *</t>
  </si>
  <si>
    <t>Rochester, MN (Metropolitan Statistical Area)</t>
  </si>
  <si>
    <t>Rochester, NY (Metropolitan Statistical Area)</t>
  </si>
  <si>
    <t>Rockford, IL (Metropolitan Statistical Area)</t>
  </si>
  <si>
    <t>Rocky Mount, NC (Metropolitan Statistical Area)</t>
  </si>
  <si>
    <t>Rome, GA (Metropolitan Statistical Area)</t>
  </si>
  <si>
    <t>Sacramento-Roseville-Folsom, CA (Metropolitan Statistical Area)</t>
  </si>
  <si>
    <t>Saginaw, MI (Metropolitan Statistical Area)</t>
  </si>
  <si>
    <t>St. Cloud, MN (Metropolitan Statistical Area)</t>
  </si>
  <si>
    <t>St. George, UT (Metropolitan Statistical Area)</t>
  </si>
  <si>
    <t>St. Joseph, MO-KS (Metropolitan Statistical Area)</t>
  </si>
  <si>
    <t>St. Louis, MO-IL (Metropolitan Statistical Area)</t>
  </si>
  <si>
    <t>Salem, OR (Metropolitan Statistical Area)</t>
  </si>
  <si>
    <t>Salinas, CA (Metropolitan Statistical Area)</t>
  </si>
  <si>
    <t>Salisbury, MD-DE (Metropolitan Statistical Area)</t>
  </si>
  <si>
    <t>Salt Lake City, UT (Metropolitan Statistical Area)</t>
  </si>
  <si>
    <t>San Angelo, TX (Metropolitan Statistical Area)</t>
  </si>
  <si>
    <t>San Antonio-New Braunfels, TX (Metropolitan Statistical Area)</t>
  </si>
  <si>
    <t>San Diego-Chula Vista-Carlsbad, CA (Metropolitan Statistical Area)</t>
  </si>
  <si>
    <t>San Francisco-Oakland-Berkeley, CA (Metropolitan Statistical Area)</t>
  </si>
  <si>
    <t>San Jose-Sunnyvale-Santa Clara, CA (Metropolitan Statistical Area)</t>
  </si>
  <si>
    <t>San Luis Obispo-Paso Robles, CA (Metropolitan Statistical Area)</t>
  </si>
  <si>
    <t>Santa Cruz-Watsonville, CA (Metropolitan Statistical Area)</t>
  </si>
  <si>
    <t>Santa Fe, NM (Metropolitan Statistical Area)</t>
  </si>
  <si>
    <t>Santa Maria-Santa Barbara, CA (Metropolitan Statistical Area)</t>
  </si>
  <si>
    <t>Santa Rosa-Petaluma, CA (Metropolitan Statistical Area)</t>
  </si>
  <si>
    <t>Savannah, GA (Metropolitan Statistical Area)</t>
  </si>
  <si>
    <t>Scranton--Wilkes-Barre, PA (Metropolitan Statistical Area)</t>
  </si>
  <si>
    <t>Seattle-Tacoma-Bellevue, WA (Metropolitan Statistical Area)</t>
  </si>
  <si>
    <t>Sebastian-Vero Beach, FL (Metropolitan Statistical Area)</t>
  </si>
  <si>
    <t>Sebring-Avon Park, FL (Metropolitan Statistical Area)</t>
  </si>
  <si>
    <t>Sheboygan, WI (Metropolitan Statistical Area)</t>
  </si>
  <si>
    <t>Sherman-Denison, TX (Metropolitan Statistical Area)</t>
  </si>
  <si>
    <t>Shreveport-Bossier City, LA (Metropolitan Statistical Area)</t>
  </si>
  <si>
    <t>Sierra Vista-Douglas, AZ (Metropolitan Statistical Area)</t>
  </si>
  <si>
    <t>Sioux City, IA-NE-SD (Metropolitan Statistical Area)</t>
  </si>
  <si>
    <t>Sioux Falls, SD (Metropolitan Statistical Area)</t>
  </si>
  <si>
    <t>South Bend-Mishawaka, IN-MI (Metropolitan Statistical Area)</t>
  </si>
  <si>
    <t>Spartanburg, SC (Metropolitan Statistical Area)</t>
  </si>
  <si>
    <t>Spokane-Spokane Valley, WA (Metropolitan Statistical Area)</t>
  </si>
  <si>
    <t>Springfield, IL (Metropolitan Statistical Area)</t>
  </si>
  <si>
    <t>Springfield, MA (Metropolitan Statistical Area)</t>
  </si>
  <si>
    <t>Springfield, MO (Metropolitan Statistical Area)</t>
  </si>
  <si>
    <t>Springfield, OH (Metropolitan Statistical Area)</t>
  </si>
  <si>
    <t>State College, PA (Metropolitan Statistical Area)</t>
  </si>
  <si>
    <t>Staunton, VA (Metropolitan Statistical Area) *</t>
  </si>
  <si>
    <t>Stockton, CA (Metropolitan Statistical Area)</t>
  </si>
  <si>
    <t>Sumter, SC (Metropolitan Statistical Area)</t>
  </si>
  <si>
    <t>Syracuse, NY (Metropolitan Statistical Area)</t>
  </si>
  <si>
    <t>Tallahassee, FL (Metropolitan Statistical Area)</t>
  </si>
  <si>
    <t>Tampa-St. Petersburg-Clearwater, FL (Metropolitan Statistical Area)</t>
  </si>
  <si>
    <t>Terre Haute, IN (Metropolitan Statistical Area)</t>
  </si>
  <si>
    <t>Texarkana, TX-AR (Metropolitan Statistical Area)</t>
  </si>
  <si>
    <t>The Villages, FL (Metropolitan Statistical Area)</t>
  </si>
  <si>
    <t>Toledo, OH (Metropolitan Statistical Area)</t>
  </si>
  <si>
    <t>Topeka, KS (Metropolitan Statistical Area)</t>
  </si>
  <si>
    <t>Trenton-Princeton, NJ (Metropolitan Statistical Area)</t>
  </si>
  <si>
    <t>Tucson, AZ (Metropolitan Statistical Area)</t>
  </si>
  <si>
    <t>Tulsa, OK (Metropolitan Statistical Area)</t>
  </si>
  <si>
    <t>Tuscaloosa, AL (Metropolitan Statistical Area)</t>
  </si>
  <si>
    <t>Twin Falls, ID (Metropolitan Statistical Area)</t>
  </si>
  <si>
    <t>Tyler, TX (Metropolitan Statistical Area)</t>
  </si>
  <si>
    <t>Urban Honolulu, HI (Metropolitan Statistical Area)</t>
  </si>
  <si>
    <t>Utica-Rome, NY (Metropolitan Statistical Area)</t>
  </si>
  <si>
    <t>Valdosta, GA (Metropolitan Statistical Area)</t>
  </si>
  <si>
    <t>Vallejo, CA (Metropolitan Statistical Area)</t>
  </si>
  <si>
    <t>Victoria, TX (Metropolitan Statistical Area)</t>
  </si>
  <si>
    <t>Vineland-Bridgeton, NJ (Metropolitan Statistical Area)</t>
  </si>
  <si>
    <t>Virginia Beach-Norfolk-Newport News, VA-NC (Metropolitan Statistical Area) *</t>
  </si>
  <si>
    <t>Visalia, CA (Metropolitan Statistical Area)</t>
  </si>
  <si>
    <t>Waco, TX (Metropolitan Statistical Area)</t>
  </si>
  <si>
    <t>Walla Walla, WA (Metropolitan Statistical Area)</t>
  </si>
  <si>
    <t>Warner Robins, GA (Metropolitan Statistical Area)</t>
  </si>
  <si>
    <t>Washington-Arlington-Alexandria, DC-VA-MD-WV (Metropolitan Statistical Area) *</t>
  </si>
  <si>
    <t>Waterloo-Cedar Falls, IA (Metropolitan Statistical Area)</t>
  </si>
  <si>
    <t>Watertown-Fort Drum, NY (Metropolitan Statistical Area)</t>
  </si>
  <si>
    <t>Wausau-Weston, WI (Metropolitan Statistical Area)</t>
  </si>
  <si>
    <t>Weirton-Steubenville, WV-OH (Metropolitan Statistical Area)</t>
  </si>
  <si>
    <t>Wenatchee, WA (Metropolitan Statistical Area)</t>
  </si>
  <si>
    <t>Wheeling, WV-OH (Metropolitan Statistical Area)</t>
  </si>
  <si>
    <t>Wichita, KS (Metropolitan Statistical Area)</t>
  </si>
  <si>
    <t>Wichita Falls, TX (Metropolitan Statistical Area)</t>
  </si>
  <si>
    <t>Williamsport, PA (Metropolitan Statistical Area)</t>
  </si>
  <si>
    <t>Wilmington, NC (Metropolitan Statistical Area)</t>
  </si>
  <si>
    <t>Winchester, VA-WV (Metropolitan Statistical Area) *</t>
  </si>
  <si>
    <t>Winston-Salem, NC (Metropolitan Statistical Area)</t>
  </si>
  <si>
    <t>Worcester, MA-CT (Metropolitan Statistical Area)</t>
  </si>
  <si>
    <t>Yakima, WA (Metropolitan Statistical Area)</t>
  </si>
  <si>
    <t>York-Hanover, PA (Metropolitan Statistical Area)</t>
  </si>
  <si>
    <t>Youngstown-Warren-Boardman, OH-PA (Metropolitan Statistical Area)</t>
  </si>
  <si>
    <t>Yuba City, CA (Metropolitan Statistical Area)</t>
  </si>
  <si>
    <t>Yuma, AZ (Metropolitan Statistical Area) *</t>
  </si>
  <si>
    <t>Aberdeen, SD (Micropolitan Statistical Area)</t>
  </si>
  <si>
    <t>Aberdeen, WA (Micropolitan Statistical Area)</t>
  </si>
  <si>
    <t>Ada, OK (Micropolitan Statistical Area)</t>
  </si>
  <si>
    <t>Adrian, MI (Micropolitan Statistical Area)</t>
  </si>
  <si>
    <t>Alamogordo, NM (Micropolitan Statistical Area)</t>
  </si>
  <si>
    <t>Albemarle, NC (Micropolitan Statistical Area)</t>
  </si>
  <si>
    <t>Albert Lea, MN (Micropolitan Statistical Area)</t>
  </si>
  <si>
    <t>Albertville, AL (Micropolitan Statistical Area)</t>
  </si>
  <si>
    <t>Alexander City, AL (Micropolitan Statistical Area)</t>
  </si>
  <si>
    <t>Alexandria, MN (Micropolitan Statistical Area)</t>
  </si>
  <si>
    <t>Alice, TX (Micropolitan Statistical Area)</t>
  </si>
  <si>
    <t>Alma, MI (Micropolitan Statistical Area)</t>
  </si>
  <si>
    <t>Alpena, MI (Micropolitan Statistical Area)</t>
  </si>
  <si>
    <t>Altus, OK (Micropolitan Statistical Area)</t>
  </si>
  <si>
    <t>Americus, GA (Micropolitan Statistical Area)</t>
  </si>
  <si>
    <t>Amsterdam, NY (Micropolitan Statistical Area)</t>
  </si>
  <si>
    <t>Andrews, TX (Micropolitan Statistical Area)</t>
  </si>
  <si>
    <t>Angola, IN (Micropolitan Statistical Area)</t>
  </si>
  <si>
    <t>Arcadia, FL (Micropolitan Statistical Area)</t>
  </si>
  <si>
    <t>Ardmore, OK (Micropolitan Statistical Area)</t>
  </si>
  <si>
    <t>Arkadelphia, AR (Micropolitan Statistical Area)</t>
  </si>
  <si>
    <t>Ashland, OH (Micropolitan Statistical Area)</t>
  </si>
  <si>
    <t>Ashtabula, OH (Micropolitan Statistical Area)</t>
  </si>
  <si>
    <t>Astoria, OR (Micropolitan Statistical Area)</t>
  </si>
  <si>
    <t>Atchison, KS (Micropolitan Statistical Area)</t>
  </si>
  <si>
    <t>Athens, OH (Micropolitan Statistical Area)</t>
  </si>
  <si>
    <t>Athens, TN (Micropolitan Statistical Area)</t>
  </si>
  <si>
    <t>Athens, TX (Micropolitan Statistical Area)</t>
  </si>
  <si>
    <t>Atmore, AL (Micropolitan Statistical Area)</t>
  </si>
  <si>
    <t>Auburn, IN (Micropolitan Statistical Area)</t>
  </si>
  <si>
    <t>Auburn, NY (Micropolitan Statistical Area)</t>
  </si>
  <si>
    <t>Augusta-Waterville, ME (Micropolitan Statistical Area)</t>
  </si>
  <si>
    <t>Austin, MN (Micropolitan Statistical Area)</t>
  </si>
  <si>
    <t>Bainbridge, GA (Micropolitan Statistical Area)</t>
  </si>
  <si>
    <t>Baraboo, WI (Micropolitan Statistical Area)</t>
  </si>
  <si>
    <t>Bardstown, KY (Micropolitan Statistical Area)</t>
  </si>
  <si>
    <t>Barre, VT (Micropolitan Statistical Area)</t>
  </si>
  <si>
    <t>Bartlesville, OK (Micropolitan Statistical Area)</t>
  </si>
  <si>
    <t>Batavia, NY (Micropolitan Statistical Area)</t>
  </si>
  <si>
    <t>Batesville, AR (Micropolitan Statistical Area)</t>
  </si>
  <si>
    <t>Bay City, TX (Micropolitan Statistical Area)</t>
  </si>
  <si>
    <t>Beatrice, NE (Micropolitan Statistical Area)</t>
  </si>
  <si>
    <t>Beaver Dam, WI (Micropolitan Statistical Area)</t>
  </si>
  <si>
    <t>Bedford, IN (Micropolitan Statistical Area)</t>
  </si>
  <si>
    <t>Beeville, TX (Micropolitan Statistical Area)</t>
  </si>
  <si>
    <t>Bellefontaine, OH (Micropolitan Statistical Area)</t>
  </si>
  <si>
    <t>Bemidji, MN (Micropolitan Statistical Area)</t>
  </si>
  <si>
    <t>Bennettsville, SC (Micropolitan Statistical Area)</t>
  </si>
  <si>
    <t>Bennington, VT (Micropolitan Statistical Area)</t>
  </si>
  <si>
    <t>Berlin, NH (Micropolitan Statistical Area)</t>
  </si>
  <si>
    <t>Big Rapids, MI (Micropolitan Statistical Area)</t>
  </si>
  <si>
    <t>Big Spring, TX (Micropolitan Statistical Area)</t>
  </si>
  <si>
    <t>Big Stone Gap, VA (Micropolitan Statistical Area) *</t>
  </si>
  <si>
    <t>Blackfoot, ID (Micropolitan Statistical Area)</t>
  </si>
  <si>
    <t>Bluefield, WV-VA (Micropolitan Statistical Area) *</t>
  </si>
  <si>
    <t>Bluffton, IN (Micropolitan Statistical Area)</t>
  </si>
  <si>
    <t>Blytheville, AR (Micropolitan Statistical Area)</t>
  </si>
  <si>
    <t>Bogalusa, LA (Micropolitan Statistical Area)</t>
  </si>
  <si>
    <t>Bonham, TX (Micropolitan Statistical Area)</t>
  </si>
  <si>
    <t>Boone, NC (Micropolitan Statistical Area)</t>
  </si>
  <si>
    <t>Borger, TX (Micropolitan Statistical Area)</t>
  </si>
  <si>
    <t>Bozeman, MT (Micropolitan Statistical Area)</t>
  </si>
  <si>
    <t>Bradford, PA (Micropolitan Statistical Area)</t>
  </si>
  <si>
    <t>Brainerd, MN (Micropolitan Statistical Area)</t>
  </si>
  <si>
    <t>Branson, MO (Micropolitan Statistical Area)</t>
  </si>
  <si>
    <t>Breckenridge, CO (Micropolitan Statistical Area)</t>
  </si>
  <si>
    <t>Brenham, TX (Micropolitan Statistical Area)</t>
  </si>
  <si>
    <t>Brevard, NC (Micropolitan Statistical Area)</t>
  </si>
  <si>
    <t>Brookhaven, MS (Micropolitan Statistical Area)</t>
  </si>
  <si>
    <t>Brookings, OR (Micropolitan Statistical Area)</t>
  </si>
  <si>
    <t>Brookings, SD (Micropolitan Statistical Area)</t>
  </si>
  <si>
    <t>Brownsville, TN (Micropolitan Statistical Area)</t>
  </si>
  <si>
    <t>Brownwood, TX (Micropolitan Statistical Area)</t>
  </si>
  <si>
    <t>Bucyrus-Galion, OH (Micropolitan Statistical Area)</t>
  </si>
  <si>
    <t>Burley, ID (Micropolitan Statistical Area)</t>
  </si>
  <si>
    <t>Burlington, IA-IL (Micropolitan Statistical Area)</t>
  </si>
  <si>
    <t>Butte-Silver Bow, MT (Micropolitan Statistical Area)</t>
  </si>
  <si>
    <t>Cadillac, MI (Micropolitan Statistical Area)</t>
  </si>
  <si>
    <t>Calhoun, GA (Micropolitan Statistical Area)</t>
  </si>
  <si>
    <t>Cambridge, MD (Micropolitan Statistical Area)</t>
  </si>
  <si>
    <t>Cambridge, OH (Micropolitan Statistical Area)</t>
  </si>
  <si>
    <t>Camden, AR (Micropolitan Statistical Area)</t>
  </si>
  <si>
    <t>Campbellsville, KY (Micropolitan Statistical Area)</t>
  </si>
  <si>
    <t>Cañon City, CO (Micropolitan Statistical Area)</t>
  </si>
  <si>
    <t>Carlsbad-Artesia, NM (Micropolitan Statistical Area)</t>
  </si>
  <si>
    <t>Carroll, IA (Micropolitan Statistical Area)</t>
  </si>
  <si>
    <t>Cedar City, UT (Micropolitan Statistical Area)</t>
  </si>
  <si>
    <t>Cedartown, GA (Micropolitan Statistical Area)</t>
  </si>
  <si>
    <t>Celina, OH (Micropolitan Statistical Area)</t>
  </si>
  <si>
    <t>Central City, KY (Micropolitan Statistical Area)</t>
  </si>
  <si>
    <t>Centralia, IL (Micropolitan Statistical Area)</t>
  </si>
  <si>
    <t>Centralia, WA (Micropolitan Statistical Area)</t>
  </si>
  <si>
    <t>Charleston-Mattoon, IL (Micropolitan Statistical Area)</t>
  </si>
  <si>
    <t>Chillicothe, OH (Micropolitan Statistical Area)</t>
  </si>
  <si>
    <t>Clarksburg, WV (Micropolitan Statistical Area)</t>
  </si>
  <si>
    <t>Clarksdale, MS (Micropolitan Statistical Area)</t>
  </si>
  <si>
    <t>Clearlake, CA (Micropolitan Statistical Area)</t>
  </si>
  <si>
    <t>Cleveland, MS (Micropolitan Statistical Area)</t>
  </si>
  <si>
    <t>Clewiston, FL (Micropolitan Statistical Area)</t>
  </si>
  <si>
    <t>Clinton, IA (Micropolitan Statistical Area)</t>
  </si>
  <si>
    <t>Clovis, NM (Micropolitan Statistical Area)</t>
  </si>
  <si>
    <t>Coffeyville, KS (Micropolitan Statistical Area)</t>
  </si>
  <si>
    <t>Coldwater, MI (Micropolitan Statistical Area)</t>
  </si>
  <si>
    <t>Columbus, MS (Micropolitan Statistical Area)</t>
  </si>
  <si>
    <t>Columbus, NE (Micropolitan Statistical Area)</t>
  </si>
  <si>
    <t>Concord, NH (Micropolitan Statistical Area)</t>
  </si>
  <si>
    <t>Connersville, IN (Micropolitan Statistical Area)</t>
  </si>
  <si>
    <t>Cookeville, TN (Micropolitan Statistical Area)</t>
  </si>
  <si>
    <t>Coos Bay, OR (Micropolitan Statistical Area)</t>
  </si>
  <si>
    <t>Cordele, GA (Micropolitan Statistical Area)</t>
  </si>
  <si>
    <t>Corinth, MS (Micropolitan Statistical Area)</t>
  </si>
  <si>
    <t>Cornelia, GA (Micropolitan Statistical Area)</t>
  </si>
  <si>
    <t>Corning, NY (Micropolitan Statistical Area)</t>
  </si>
  <si>
    <t>Corsicana, TX (Micropolitan Statistical Area)</t>
  </si>
  <si>
    <t>Cortland, NY (Micropolitan Statistical Area)</t>
  </si>
  <si>
    <t>Coshocton, OH (Micropolitan Statistical Area)</t>
  </si>
  <si>
    <t>Craig, CO (Micropolitan Statistical Area)</t>
  </si>
  <si>
    <t>Crawfordsville, IN (Micropolitan Statistical Area)</t>
  </si>
  <si>
    <t>Crescent City, CA (Micropolitan Statistical Area)</t>
  </si>
  <si>
    <t>Crossville, TN (Micropolitan Statistical Area)</t>
  </si>
  <si>
    <t>Cullman, AL (Micropolitan Statistical Area)</t>
  </si>
  <si>
    <t>Cullowhee, NC (Micropolitan Statistical Area)</t>
  </si>
  <si>
    <t>Danville, KY (Micropolitan Statistical Area)</t>
  </si>
  <si>
    <t>Danville, VA (Micropolitan Statistical Area) *</t>
  </si>
  <si>
    <t>Dayton, TN (Micropolitan Statistical Area)</t>
  </si>
  <si>
    <t>Decatur, IN (Micropolitan Statistical Area)</t>
  </si>
  <si>
    <t>Defiance, OH (Micropolitan Statistical Area)</t>
  </si>
  <si>
    <t>Del Rio, TX (Micropolitan Statistical Area)</t>
  </si>
  <si>
    <t>Deming, NM (Micropolitan Statistical Area)</t>
  </si>
  <si>
    <t>DeRidder, LA (Micropolitan Statistical Area)</t>
  </si>
  <si>
    <t>Dickinson, ND (Micropolitan Statistical Area)</t>
  </si>
  <si>
    <t>Dixon, IL (Micropolitan Statistical Area)</t>
  </si>
  <si>
    <t>Dodge City, KS (Micropolitan Statistical Area)</t>
  </si>
  <si>
    <t>Douglas, GA (Micropolitan Statistical Area)</t>
  </si>
  <si>
    <t>Dublin, GA (Micropolitan Statistical Area)</t>
  </si>
  <si>
    <t>DuBois, PA (Micropolitan Statistical Area)</t>
  </si>
  <si>
    <t>Dumas, TX (Micropolitan Statistical Area)</t>
  </si>
  <si>
    <t>Duncan, OK (Micropolitan Statistical Area)</t>
  </si>
  <si>
    <t>Durango, CO (Micropolitan Statistical Area)</t>
  </si>
  <si>
    <t>Durant, OK (Micropolitan Statistical Area)</t>
  </si>
  <si>
    <t>Dyersburg, TN (Micropolitan Statistical Area)</t>
  </si>
  <si>
    <t>Eagle Pass, TX (Micropolitan Statistical Area)</t>
  </si>
  <si>
    <t>Easton, MD (Micropolitan Statistical Area)</t>
  </si>
  <si>
    <t>Edwards, CO (Micropolitan Statistical Area)</t>
  </si>
  <si>
    <t>Effingham, IL (Micropolitan Statistical Area)</t>
  </si>
  <si>
    <t>El Campo, TX (Micropolitan Statistical Area)</t>
  </si>
  <si>
    <t>El Dorado, AR (Micropolitan Statistical Area)</t>
  </si>
  <si>
    <t>Elizabeth City, NC (Micropolitan Statistical Area)</t>
  </si>
  <si>
    <t>Elk City, OK (Micropolitan Statistical Area)</t>
  </si>
  <si>
    <t>Elkins, WV (Micropolitan Statistical Area)</t>
  </si>
  <si>
    <t>Elko, NV (Micropolitan Statistical Area)</t>
  </si>
  <si>
    <t>Ellensburg, WA (Micropolitan Statistical Area)</t>
  </si>
  <si>
    <t>Emporia, KS (Micropolitan Statistical Area)</t>
  </si>
  <si>
    <t>Enterprise, AL (Micropolitan Statistical Area)</t>
  </si>
  <si>
    <t>Escanaba, MI (Micropolitan Statistical Area)</t>
  </si>
  <si>
    <t>Española, NM (Micropolitan Statistical Area)</t>
  </si>
  <si>
    <t>Eufaula, AL-GA (Micropolitan Statistical Area)</t>
  </si>
  <si>
    <t>Eureka-Arcata, CA (Micropolitan Statistical Area)</t>
  </si>
  <si>
    <t>Evanston, WY (Micropolitan Statistical Area)</t>
  </si>
  <si>
    <t>Fairfield, IA (Micropolitan Statistical Area)</t>
  </si>
  <si>
    <t>Fairmont, MN (Micropolitan Statistical Area)</t>
  </si>
  <si>
    <t>Fairmont, WV (Micropolitan Statistical Area)</t>
  </si>
  <si>
    <t>Fallon, NV (Micropolitan Statistical Area)</t>
  </si>
  <si>
    <t>Faribault-Northfield, MN (Micropolitan Statistical Area)</t>
  </si>
  <si>
    <t>Farmington, MO (Micropolitan Statistical Area)</t>
  </si>
  <si>
    <t>Fergus Falls, MN (Micropolitan Statistical Area)</t>
  </si>
  <si>
    <t>Fernley, NV (Micropolitan Statistical Area)</t>
  </si>
  <si>
    <t>Findlay, OH (Micropolitan Statistical Area)</t>
  </si>
  <si>
    <t>Fitzgerald, GA (Micropolitan Statistical Area)</t>
  </si>
  <si>
    <t>Forest City, NC (Micropolitan Statistical Area)</t>
  </si>
  <si>
    <t>Forrest City, AR (Micropolitan Statistical Area)</t>
  </si>
  <si>
    <t>Fort Dodge, IA (Micropolitan Statistical Area)</t>
  </si>
  <si>
    <t>Fort Leonard Wood, MO (Micropolitan Statistical Area)</t>
  </si>
  <si>
    <t>Fort Madison-Keokuk, IA-IL-MO (Micropolitan Statistical Area)</t>
  </si>
  <si>
    <t>Fort Morgan, CO (Micropolitan Statistical Area)</t>
  </si>
  <si>
    <t>Fort Payne, AL (Micropolitan Statistical Area)</t>
  </si>
  <si>
    <t>Fort Polk South, LA (Micropolitan Statistical Area)</t>
  </si>
  <si>
    <t>Frankfort, IN (Micropolitan Statistical Area)</t>
  </si>
  <si>
    <t>Frankfort, KY (Micropolitan Statistical Area)</t>
  </si>
  <si>
    <t>Fredericksburg, TX (Micropolitan Statistical Area)</t>
  </si>
  <si>
    <t>Freeport, IL (Micropolitan Statistical Area)</t>
  </si>
  <si>
    <t>Fremont, NE (Micropolitan Statistical Area)</t>
  </si>
  <si>
    <t>Fremont, OH (Micropolitan Statistical Area)</t>
  </si>
  <si>
    <t>Gaffney, SC (Micropolitan Statistical Area)</t>
  </si>
  <si>
    <t>Gainesville, TX (Micropolitan Statistical Area)</t>
  </si>
  <si>
    <t>Galesburg, IL (Micropolitan Statistical Area)</t>
  </si>
  <si>
    <t>Gallup, NM (Micropolitan Statistical Area)</t>
  </si>
  <si>
    <t>Garden City, KS (Micropolitan Statistical Area)</t>
  </si>
  <si>
    <t>Gardnerville Ranchos, NV (Micropolitan Statistical Area)</t>
  </si>
  <si>
    <t>Georgetown, SC (Micropolitan Statistical Area)</t>
  </si>
  <si>
    <t>Gillette, WY (Micropolitan Statistical Area)</t>
  </si>
  <si>
    <t>Glasgow, KY (Micropolitan Statistical Area)</t>
  </si>
  <si>
    <t>Glenwood Springs, CO (Micropolitan Statistical Area)</t>
  </si>
  <si>
    <t>Gloversville, NY (Micropolitan Statistical Area)</t>
  </si>
  <si>
    <t>Granbury, TX (Micropolitan Statistical Area)</t>
  </si>
  <si>
    <t>Grand Rapids, MN (Micropolitan Statistical Area)</t>
  </si>
  <si>
    <t>Grants, NM (Micropolitan Statistical Area) *</t>
  </si>
  <si>
    <t>Great Bend, KS (Micropolitan Statistical Area)</t>
  </si>
  <si>
    <t>Greeneville, TN (Micropolitan Statistical Area)</t>
  </si>
  <si>
    <t>Greensburg, IN (Micropolitan Statistical Area)</t>
  </si>
  <si>
    <t>Greenville, MS (Micropolitan Statistical Area)</t>
  </si>
  <si>
    <t>Greenville, OH (Micropolitan Statistical Area)</t>
  </si>
  <si>
    <t>Greenwood, MS (Micropolitan Statistical Area)</t>
  </si>
  <si>
    <t>Greenwood, SC (Micropolitan Statistical Area)</t>
  </si>
  <si>
    <t>Grenada, MS (Micropolitan Statistical Area)</t>
  </si>
  <si>
    <t>Guymon, OK (Micropolitan Statistical Area)</t>
  </si>
  <si>
    <t>Hailey, ID (Micropolitan Statistical Area)</t>
  </si>
  <si>
    <t>Hannibal, MO (Micropolitan Statistical Area)</t>
  </si>
  <si>
    <t>Harrison, AR (Micropolitan Statistical Area)</t>
  </si>
  <si>
    <t>Hastings, NE (Micropolitan Statistical Area)</t>
  </si>
  <si>
    <t>Hays, KS (Micropolitan Statistical Area)</t>
  </si>
  <si>
    <t>Heber, UT (Micropolitan Statistical Area)</t>
  </si>
  <si>
    <t>Helena, MT (Micropolitan Statistical Area)</t>
  </si>
  <si>
    <t>Helena-West Helena, AR (Micropolitan Statistical Area)</t>
  </si>
  <si>
    <t>Henderson, NC (Micropolitan Statistical Area)</t>
  </si>
  <si>
    <t>Hereford, TX (Micropolitan Statistical Area)</t>
  </si>
  <si>
    <t>Hermiston-Pendleton, OR (Micropolitan Statistical Area)</t>
  </si>
  <si>
    <t>Hillsdale, MI (Micropolitan Statistical Area)</t>
  </si>
  <si>
    <t>Hilo, HI (Micropolitan Statistical Area)</t>
  </si>
  <si>
    <t>Hobbs, NM (Micropolitan Statistical Area)</t>
  </si>
  <si>
    <t>Holland, MI (Micropolitan Statistical Area)</t>
  </si>
  <si>
    <t>Hood River, OR (Micropolitan Statistical Area)</t>
  </si>
  <si>
    <t>Hope, AR (Micropolitan Statistical Area)</t>
  </si>
  <si>
    <t>Houghton, MI (Micropolitan Statistical Area)</t>
  </si>
  <si>
    <t>Hudson, NY (Micropolitan Statistical Area)</t>
  </si>
  <si>
    <t>Huntingdon, PA (Micropolitan Statistical Area)</t>
  </si>
  <si>
    <t>Huntington, IN (Micropolitan Statistical Area)</t>
  </si>
  <si>
    <t>Huntsville, TX (Micropolitan Statistical Area)</t>
  </si>
  <si>
    <t>Huron, SD (Micropolitan Statistical Area)</t>
  </si>
  <si>
    <t>Hutchinson, KS (Micropolitan Statistical Area)</t>
  </si>
  <si>
    <t>Hutchinson, MN (Micropolitan Statistical Area)</t>
  </si>
  <si>
    <t>Indiana, PA (Micropolitan Statistical Area)</t>
  </si>
  <si>
    <t>Indianola, MS (Micropolitan Statistical Area)</t>
  </si>
  <si>
    <t>Iron Mountain, MI-WI (Micropolitan Statistical Area)</t>
  </si>
  <si>
    <t>Jackson, OH (Micropolitan Statistical Area)</t>
  </si>
  <si>
    <t>Jackson, WY-ID (Micropolitan Statistical Area)</t>
  </si>
  <si>
    <t>Jacksonville, IL (Micropolitan Statistical Area)</t>
  </si>
  <si>
    <t>Jacksonville, TX (Micropolitan Statistical Area)</t>
  </si>
  <si>
    <t>Jamestown, ND (Micropolitan Statistical Area)</t>
  </si>
  <si>
    <t>Jamestown-Dunkirk-Fredonia, NY (Micropolitan Statistical Area)</t>
  </si>
  <si>
    <t>Jasper, AL (Micropolitan Statistical Area)</t>
  </si>
  <si>
    <t>Jasper, IN (Micropolitan Statistical Area)</t>
  </si>
  <si>
    <t>Jefferson, GA (Micropolitan Statistical Area)</t>
  </si>
  <si>
    <t>Jennings, LA (Micropolitan Statistical Area)</t>
  </si>
  <si>
    <t>Jesup, GA (Micropolitan Statistical Area)</t>
  </si>
  <si>
    <t>Juneau, AK (Micropolitan Statistical Area)</t>
  </si>
  <si>
    <t>Kalispell, MT (Micropolitan Statistical Area)</t>
  </si>
  <si>
    <t>Kapaa, HI (Micropolitan Statistical Area)</t>
  </si>
  <si>
    <t>Kearney, NE (Micropolitan Statistical Area)</t>
  </si>
  <si>
    <t>Keene, NH (Micropolitan Statistical Area)</t>
  </si>
  <si>
    <t>Kendallville, IN (Micropolitan Statistical Area)</t>
  </si>
  <si>
    <t>Kennett, MO (Micropolitan Statistical Area)</t>
  </si>
  <si>
    <t>Kerrville, TX (Micropolitan Statistical Area)</t>
  </si>
  <si>
    <t>Ketchikan, AK (Micropolitan Statistical Area) *</t>
  </si>
  <si>
    <t>Key West, FL (Micropolitan Statistical Area)</t>
  </si>
  <si>
    <t>Kill Devil Hills, NC (Micropolitan Statistical Area)</t>
  </si>
  <si>
    <t>Kingsville, TX (Micropolitan Statistical Area)</t>
  </si>
  <si>
    <t>Kinston, NC (Micropolitan Statistical Area)</t>
  </si>
  <si>
    <t>Kirksville, MO (Micropolitan Statistical Area)</t>
  </si>
  <si>
    <t>Klamath Falls, OR (Micropolitan Statistical Area)</t>
  </si>
  <si>
    <t>Laconia, NH (Micropolitan Statistical Area)</t>
  </si>
  <si>
    <t>La Grande, OR (Micropolitan Statistical Area)</t>
  </si>
  <si>
    <t>LaGrange, GA-AL (Micropolitan Statistical Area)</t>
  </si>
  <si>
    <t>Lake City, FL (Micropolitan Statistical Area)</t>
  </si>
  <si>
    <t>Lamesa, TX (Micropolitan Statistical Area)</t>
  </si>
  <si>
    <t>Laramie, WY (Micropolitan Statistical Area)</t>
  </si>
  <si>
    <t>Las Vegas, NM (Micropolitan Statistical Area)</t>
  </si>
  <si>
    <t>Laurel, MS (Micropolitan Statistical Area)</t>
  </si>
  <si>
    <t>Laurinburg, NC (Micropolitan Statistical Area)</t>
  </si>
  <si>
    <t>Lawrenceburg, TN (Micropolitan Statistical Area)</t>
  </si>
  <si>
    <t>Lebanon, MO (Micropolitan Statistical Area)</t>
  </si>
  <si>
    <t>Lebanon, NH-VT (Micropolitan Statistical Area)</t>
  </si>
  <si>
    <t>Levelland, TX (Micropolitan Statistical Area)</t>
  </si>
  <si>
    <t>Lewisburg, PA (Micropolitan Statistical Area)</t>
  </si>
  <si>
    <t>Lewisburg, TN (Micropolitan Statistical Area)</t>
  </si>
  <si>
    <t>Lewistown, PA (Micropolitan Statistical Area)</t>
  </si>
  <si>
    <t>Lexington, NE (Micropolitan Statistical Area)</t>
  </si>
  <si>
    <t>Liberal, KS (Micropolitan Statistical Area)</t>
  </si>
  <si>
    <t>Lincoln, IL (Micropolitan Statistical Area)</t>
  </si>
  <si>
    <t>Lock Haven, PA (Micropolitan Statistical Area)</t>
  </si>
  <si>
    <t>Logansport, IN (Micropolitan Statistical Area)</t>
  </si>
  <si>
    <t>London, KY (Micropolitan Statistical Area)</t>
  </si>
  <si>
    <t>Los Alamos, NM (Micropolitan Statistical Area)</t>
  </si>
  <si>
    <t>Ludington, MI (Micropolitan Statistical Area)</t>
  </si>
  <si>
    <t>Lufkin, TX (Micropolitan Statistical Area)</t>
  </si>
  <si>
    <t>Lumberton, NC (Micropolitan Statistical Area)</t>
  </si>
  <si>
    <t>Macomb, IL (Micropolitan Statistical Area)</t>
  </si>
  <si>
    <t>Madison, IN (Micropolitan Statistical Area)</t>
  </si>
  <si>
    <t>Madisonville, KY (Micropolitan Statistical Area)</t>
  </si>
  <si>
    <t>Magnolia, AR (Micropolitan Statistical Area)</t>
  </si>
  <si>
    <t>Malone, NY (Micropolitan Statistical Area)</t>
  </si>
  <si>
    <t>Malvern, AR (Micropolitan Statistical Area)</t>
  </si>
  <si>
    <t>Manitowoc, WI (Micropolitan Statistical Area)</t>
  </si>
  <si>
    <t>Marietta, OH (Micropolitan Statistical Area)</t>
  </si>
  <si>
    <t>Marinette, WI-MI (Micropolitan Statistical Area)</t>
  </si>
  <si>
    <t>Marion, IN (Micropolitan Statistical Area)</t>
  </si>
  <si>
    <t>Marion, NC (Micropolitan Statistical Area)</t>
  </si>
  <si>
    <t>Marion, OH (Micropolitan Statistical Area)</t>
  </si>
  <si>
    <t>Marquette, MI (Micropolitan Statistical Area)</t>
  </si>
  <si>
    <t>Marshall, MN (Micropolitan Statistical Area)</t>
  </si>
  <si>
    <t>Marshall, MO (Micropolitan Statistical Area)</t>
  </si>
  <si>
    <t>Marshalltown, IA (Micropolitan Statistical Area)</t>
  </si>
  <si>
    <t>Martin, TN (Micropolitan Statistical Area)</t>
  </si>
  <si>
    <t>Martinsville, VA (Micropolitan Statistical Area) *</t>
  </si>
  <si>
    <t>Maryville, MO (Micropolitan Statistical Area)</t>
  </si>
  <si>
    <t>Mason City, IA (Micropolitan Statistical Area)</t>
  </si>
  <si>
    <t>Mayfield, KY (Micropolitan Statistical Area)</t>
  </si>
  <si>
    <t>Maysville, KY (Micropolitan Statistical Area)</t>
  </si>
  <si>
    <t>McAlester, OK (Micropolitan Statistical Area)</t>
  </si>
  <si>
    <t>McComb, MS (Micropolitan Statistical Area)</t>
  </si>
  <si>
    <t>McMinnville, TN (Micropolitan Statistical Area)</t>
  </si>
  <si>
    <t>McPherson, KS (Micropolitan Statistical Area)</t>
  </si>
  <si>
    <t>Meadville, PA (Micropolitan Statistical Area)</t>
  </si>
  <si>
    <t>Menomonie, WI (Micropolitan Statistical Area)</t>
  </si>
  <si>
    <t>Meridian, MS (Micropolitan Statistical Area)</t>
  </si>
  <si>
    <t>Mexico, MO (Micropolitan Statistical Area)</t>
  </si>
  <si>
    <t>Miami, OK (Micropolitan Statistical Area)</t>
  </si>
  <si>
    <t>Middlesborough, KY (Micropolitan Statistical Area)</t>
  </si>
  <si>
    <t>Milledgeville, GA (Micropolitan Statistical Area)</t>
  </si>
  <si>
    <t>Minden, LA (Micropolitan Statistical Area)</t>
  </si>
  <si>
    <t>Mineral Wells, TX (Micropolitan Statistical Area)</t>
  </si>
  <si>
    <t>Minot, ND (Micropolitan Statistical Area)</t>
  </si>
  <si>
    <t>Mitchell, SD (Micropolitan Statistical Area)</t>
  </si>
  <si>
    <t>Moberly, MO (Micropolitan Statistical Area)</t>
  </si>
  <si>
    <t>Montrose, CO (Micropolitan Statistical Area)</t>
  </si>
  <si>
    <t>Morehead City, NC (Micropolitan Statistical Area)</t>
  </si>
  <si>
    <t>Morgan City, LA (Micropolitan Statistical Area)</t>
  </si>
  <si>
    <t>Moscow, ID (Micropolitan Statistical Area)</t>
  </si>
  <si>
    <t>Moses Lake, WA (Micropolitan Statistical Area)</t>
  </si>
  <si>
    <t>Moultrie, GA (Micropolitan Statistical Area)</t>
  </si>
  <si>
    <t>Mountain Home, AR (Micropolitan Statistical Area)</t>
  </si>
  <si>
    <t>Mountain Home, ID (Micropolitan Statistical Area)</t>
  </si>
  <si>
    <t>Mount Airy, NC (Micropolitan Statistical Area)</t>
  </si>
  <si>
    <t>Mount Gay-Shamrock, WV (Micropolitan Statistical Area)</t>
  </si>
  <si>
    <t>Mount Pleasant, MI (Micropolitan Statistical Area)</t>
  </si>
  <si>
    <t>Mount Pleasant, TX (Micropolitan Statistical Area)</t>
  </si>
  <si>
    <t>Mount Sterling, KY (Micropolitan Statistical Area)</t>
  </si>
  <si>
    <t>Mount Vernon, IL (Micropolitan Statistical Area)</t>
  </si>
  <si>
    <t>Mount Vernon, OH (Micropolitan Statistical Area)</t>
  </si>
  <si>
    <t>Murray, KY (Micropolitan Statistical Area)</t>
  </si>
  <si>
    <t>Muscatine, IA (Micropolitan Statistical Area)</t>
  </si>
  <si>
    <t>Muskogee, OK (Micropolitan Statistical Area)</t>
  </si>
  <si>
    <t>Nacogdoches, TX (Micropolitan Statistical Area)</t>
  </si>
  <si>
    <t>Natchez, MS-LA (Micropolitan Statistical Area)</t>
  </si>
  <si>
    <t>Natchitoches, LA (Micropolitan Statistical Area)</t>
  </si>
  <si>
    <t>Newberry, SC (Micropolitan Statistical Area)</t>
  </si>
  <si>
    <t>New Castle, IN (Micropolitan Statistical Area)</t>
  </si>
  <si>
    <t>New Castle, PA (Micropolitan Statistical Area)</t>
  </si>
  <si>
    <t>New Philadelphia-Dover, OH (Micropolitan Statistical Area)</t>
  </si>
  <si>
    <t>Newport, OR (Micropolitan Statistical Area)</t>
  </si>
  <si>
    <t>Newport, TN (Micropolitan Statistical Area)</t>
  </si>
  <si>
    <t>New Ulm, MN (Micropolitan Statistical Area)</t>
  </si>
  <si>
    <t>Nogales, AZ (Micropolitan Statistical Area)</t>
  </si>
  <si>
    <t>Norfolk, NE (Micropolitan Statistical Area)</t>
  </si>
  <si>
    <t>North Platte, NE (Micropolitan Statistical Area)</t>
  </si>
  <si>
    <t>North Vernon, IN (Micropolitan Statistical Area)</t>
  </si>
  <si>
    <t>North Wilkesboro, NC (Micropolitan Statistical Area)</t>
  </si>
  <si>
    <t>Norwalk, OH (Micropolitan Statistical Area)</t>
  </si>
  <si>
    <t>Oak Harbor, WA (Micropolitan Statistical Area)</t>
  </si>
  <si>
    <t>Ogdensburg-Massena, NY (Micropolitan Statistical Area)</t>
  </si>
  <si>
    <t>Oil City, PA (Micropolitan Statistical Area)</t>
  </si>
  <si>
    <t>Okeechobee, FL (Micropolitan Statistical Area)</t>
  </si>
  <si>
    <t>Olean, NY (Micropolitan Statistical Area)</t>
  </si>
  <si>
    <t>Oneonta, NY (Micropolitan Statistical Area)</t>
  </si>
  <si>
    <t>Ontario, OR-ID (Micropolitan Statistical Area)</t>
  </si>
  <si>
    <t>Opelousas, LA (Micropolitan Statistical Area)</t>
  </si>
  <si>
    <t>Orangeburg, SC (Micropolitan Statistical Area)</t>
  </si>
  <si>
    <t>Oskaloosa, IA (Micropolitan Statistical Area)</t>
  </si>
  <si>
    <t>Othello, WA (Micropolitan Statistical Area)</t>
  </si>
  <si>
    <t>Ottawa, IL (Micropolitan Statistical Area)</t>
  </si>
  <si>
    <t>Ottawa, KS (Micropolitan Statistical Area)</t>
  </si>
  <si>
    <t>Ottumwa, IA (Micropolitan Statistical Area)</t>
  </si>
  <si>
    <t>Owatonna, MN (Micropolitan Statistical Area)</t>
  </si>
  <si>
    <t>Oxford, MS (Micropolitan Statistical Area)</t>
  </si>
  <si>
    <t>Ozark, AL (Micropolitan Statistical Area)</t>
  </si>
  <si>
    <t>Paducah, KY-IL (Micropolitan Statistical Area)</t>
  </si>
  <si>
    <t>Pahrump, NV (Micropolitan Statistical Area)</t>
  </si>
  <si>
    <t>Palatka, FL (Micropolitan Statistical Area)</t>
  </si>
  <si>
    <t>Palestine, TX (Micropolitan Statistical Area)</t>
  </si>
  <si>
    <t>Pampa, TX (Micropolitan Statistical Area)</t>
  </si>
  <si>
    <t>Paragould, AR (Micropolitan Statistical Area)</t>
  </si>
  <si>
    <t>Paris, TN (Micropolitan Statistical Area)</t>
  </si>
  <si>
    <t>Paris, TX (Micropolitan Statistical Area)</t>
  </si>
  <si>
    <t>Parsons, KS (Micropolitan Statistical Area)</t>
  </si>
  <si>
    <t>Payson, AZ (Micropolitan Statistical Area)</t>
  </si>
  <si>
    <t>Pearsall, TX (Micropolitan Statistical Area)</t>
  </si>
  <si>
    <t>Pecos, TX (Micropolitan Statistical Area)</t>
  </si>
  <si>
    <t>Pella, IA (Micropolitan Statistical Area)</t>
  </si>
  <si>
    <t>Peru, IN (Micropolitan Statistical Area)</t>
  </si>
  <si>
    <t>Picayune, MS (Micropolitan Statistical Area)</t>
  </si>
  <si>
    <t>Pierre, SD (Micropolitan Statistical Area)</t>
  </si>
  <si>
    <t>Pinehurst-Southern Pines, NC (Micropolitan Statistical Area)</t>
  </si>
  <si>
    <t>Pittsburg, KS (Micropolitan Statistical Area)</t>
  </si>
  <si>
    <t>Plainview, TX (Micropolitan Statistical Area)</t>
  </si>
  <si>
    <t>Platteville, WI (Micropolitan Statistical Area)</t>
  </si>
  <si>
    <t>Plattsburgh, NY (Micropolitan Statistical Area)</t>
  </si>
  <si>
    <t>Plymouth, IN (Micropolitan Statistical Area)</t>
  </si>
  <si>
    <t>Point Pleasant, WV-OH (Micropolitan Statistical Area)</t>
  </si>
  <si>
    <t>Ponca City, OK (Micropolitan Statistical Area)</t>
  </si>
  <si>
    <t>Pontiac, IL (Micropolitan Statistical Area)</t>
  </si>
  <si>
    <t>Poplar Bluff, MO (Micropolitan Statistical Area)</t>
  </si>
  <si>
    <t>Portales, NM (Micropolitan Statistical Area)</t>
  </si>
  <si>
    <t>Port Angeles, WA (Micropolitan Statistical Area)</t>
  </si>
  <si>
    <t>Port Lavaca, TX (Micropolitan Statistical Area)</t>
  </si>
  <si>
    <t>Portsmouth, OH (Micropolitan Statistical Area)</t>
  </si>
  <si>
    <t>Pottsville, PA (Micropolitan Statistical Area)</t>
  </si>
  <si>
    <t>Price, UT (Micropolitan Statistical Area)</t>
  </si>
  <si>
    <t>Prineville, OR (Micropolitan Statistical Area)</t>
  </si>
  <si>
    <t>Pullman, WA (Micropolitan Statistical Area)</t>
  </si>
  <si>
    <t>Quincy, IL-MO (Micropolitan Statistical Area)</t>
  </si>
  <si>
    <t>Raymondville, TX (Micropolitan Statistical Area)</t>
  </si>
  <si>
    <t>Red Bluff, CA (Micropolitan Statistical Area)</t>
  </si>
  <si>
    <t>Red Wing, MN (Micropolitan Statistical Area)</t>
  </si>
  <si>
    <t>Rexburg, ID (Micropolitan Statistical Area)</t>
  </si>
  <si>
    <t>Richmond, IN (Micropolitan Statistical Area)</t>
  </si>
  <si>
    <t>Richmond-Berea, KY (Micropolitan Statistical Area)</t>
  </si>
  <si>
    <t>Rio Grande City-Roma, TX (Micropolitan Statistical Area)</t>
  </si>
  <si>
    <t>Riverton, WY (Micropolitan Statistical Area)</t>
  </si>
  <si>
    <t>Roanoke Rapids, NC (Micropolitan Statistical Area)</t>
  </si>
  <si>
    <t>Rochelle, IL (Micropolitan Statistical Area)</t>
  </si>
  <si>
    <t>Rockingham, NC (Micropolitan Statistical Area)</t>
  </si>
  <si>
    <t>Rockport, TX (Micropolitan Statistical Area)</t>
  </si>
  <si>
    <t>Rock Springs, WY (Micropolitan Statistical Area)</t>
  </si>
  <si>
    <t>Rolla, MO (Micropolitan Statistical Area)</t>
  </si>
  <si>
    <t>Roseburg, OR (Micropolitan Statistical Area)</t>
  </si>
  <si>
    <t>Roswell, NM (Micropolitan Statistical Area)</t>
  </si>
  <si>
    <t>Ruidoso, NM (Micropolitan Statistical Area)</t>
  </si>
  <si>
    <t>Russellville, AR (Micropolitan Statistical Area)</t>
  </si>
  <si>
    <t>Ruston, LA (Micropolitan Statistical Area)</t>
  </si>
  <si>
    <t>Rutland, VT (Micropolitan Statistical Area)</t>
  </si>
  <si>
    <t>Safford, AZ (Micropolitan Statistical Area)</t>
  </si>
  <si>
    <t>St. Marys, GA (Micropolitan Statistical Area)</t>
  </si>
  <si>
    <t>St. Marys, PA (Micropolitan Statistical Area)</t>
  </si>
  <si>
    <t>Salem, OH (Micropolitan Statistical Area)</t>
  </si>
  <si>
    <t>Salina, KS (Micropolitan Statistical Area)</t>
  </si>
  <si>
    <t>Sandpoint, ID (Micropolitan Statistical Area)</t>
  </si>
  <si>
    <t>Sandusky, OH (Micropolitan Statistical Area)</t>
  </si>
  <si>
    <t>Sanford, NC (Micropolitan Statistical Area)</t>
  </si>
  <si>
    <t>Sault Ste. Marie, MI (Micropolitan Statistical Area)</t>
  </si>
  <si>
    <t>Sayre, PA (Micropolitan Statistical Area)</t>
  </si>
  <si>
    <t>Scottsbluff, NE (Micropolitan Statistical Area)</t>
  </si>
  <si>
    <t>Scottsboro, AL (Micropolitan Statistical Area)</t>
  </si>
  <si>
    <t>Scottsburg, IN (Micropolitan Statistical Area)</t>
  </si>
  <si>
    <t>Searcy, AR (Micropolitan Statistical Area)</t>
  </si>
  <si>
    <t>Sedalia, MO (Micropolitan Statistical Area)</t>
  </si>
  <si>
    <t>Selinsgrove, PA (Micropolitan Statistical Area)</t>
  </si>
  <si>
    <t>Selma, AL (Micropolitan Statistical Area)</t>
  </si>
  <si>
    <t>Seneca, SC (Micropolitan Statistical Area)</t>
  </si>
  <si>
    <t>Seneca Falls, NY (Micropolitan Statistical Area)</t>
  </si>
  <si>
    <t>Sevierville, TN (Micropolitan Statistical Area)</t>
  </si>
  <si>
    <t>Seymour, IN (Micropolitan Statistical Area)</t>
  </si>
  <si>
    <t>Shawano, WI (Micropolitan Statistical Area)</t>
  </si>
  <si>
    <t>Shawnee, OK (Micropolitan Statistical Area)</t>
  </si>
  <si>
    <t>Shelby, NC (Micropolitan Statistical Area)</t>
  </si>
  <si>
    <t>Shelbyville, TN (Micropolitan Statistical Area)</t>
  </si>
  <si>
    <t>Shelton, WA (Micropolitan Statistical Area)</t>
  </si>
  <si>
    <t>Sheridan, WY (Micropolitan Statistical Area)</t>
  </si>
  <si>
    <t>Show Low, AZ (Micropolitan Statistical Area)</t>
  </si>
  <si>
    <t>Sidney, OH (Micropolitan Statistical Area)</t>
  </si>
  <si>
    <t>Sikeston, MO (Micropolitan Statistical Area)</t>
  </si>
  <si>
    <t>Silver City, NM (Micropolitan Statistical Area)</t>
  </si>
  <si>
    <t>Snyder, TX (Micropolitan Statistical Area)</t>
  </si>
  <si>
    <t>Somerset, KY (Micropolitan Statistical Area)</t>
  </si>
  <si>
    <t>Somerset, PA (Micropolitan Statistical Area)</t>
  </si>
  <si>
    <t>Sonora, CA (Micropolitan Statistical Area)</t>
  </si>
  <si>
    <t>Spearfish, SD (Micropolitan Statistical Area)</t>
  </si>
  <si>
    <t>Spencer, IA (Micropolitan Statistical Area)</t>
  </si>
  <si>
    <t>Spirit Lake, IA (Micropolitan Statistical Area)</t>
  </si>
  <si>
    <t>Starkville, MS (Micropolitan Statistical Area)</t>
  </si>
  <si>
    <t>Statesboro, GA (Micropolitan Statistical Area)</t>
  </si>
  <si>
    <t>Steamboat Springs, CO (Micropolitan Statistical Area)</t>
  </si>
  <si>
    <t>Stephenville, TX (Micropolitan Statistical Area)</t>
  </si>
  <si>
    <t>Sterling, CO (Micropolitan Statistical Area)</t>
  </si>
  <si>
    <t>Sterling, IL (Micropolitan Statistical Area)</t>
  </si>
  <si>
    <t>Stevens Point, WI (Micropolitan Statistical Area)</t>
  </si>
  <si>
    <t>Stillwater, OK (Micropolitan Statistical Area)</t>
  </si>
  <si>
    <t>Storm Lake, IA (Micropolitan Statistical Area)</t>
  </si>
  <si>
    <t>Sturgis, MI (Micropolitan Statistical Area)</t>
  </si>
  <si>
    <t>Sulphur Springs, TX (Micropolitan Statistical Area)</t>
  </si>
  <si>
    <t>Summerville, GA (Micropolitan Statistical Area)</t>
  </si>
  <si>
    <t>Sunbury, PA (Micropolitan Statistical Area)</t>
  </si>
  <si>
    <t>Susanville, CA (Micropolitan Statistical Area)</t>
  </si>
  <si>
    <t>Sweetwater, TX (Micropolitan Statistical Area)</t>
  </si>
  <si>
    <t>Tahlequah, OK (Micropolitan Statistical Area)</t>
  </si>
  <si>
    <t>Talladega-Sylacauga, AL (Micropolitan Statistical Area)</t>
  </si>
  <si>
    <t>Taos, NM (Micropolitan Statistical Area)</t>
  </si>
  <si>
    <t>Taylorville, IL (Micropolitan Statistical Area)</t>
  </si>
  <si>
    <t>The Dalles, OR (Micropolitan Statistical Area)</t>
  </si>
  <si>
    <t>Thomaston, GA (Micropolitan Statistical Area)</t>
  </si>
  <si>
    <t>Thomasville, GA (Micropolitan Statistical Area)</t>
  </si>
  <si>
    <t>Tiffin, OH (Micropolitan Statistical Area)</t>
  </si>
  <si>
    <t>Tifton, GA (Micropolitan Statistical Area)</t>
  </si>
  <si>
    <t>Toccoa, GA (Micropolitan Statistical Area)</t>
  </si>
  <si>
    <t>Torrington, CT (Micropolitan Statistical Area)</t>
  </si>
  <si>
    <t>Traverse City, MI (Micropolitan Statistical Area)</t>
  </si>
  <si>
    <t>Troy, AL (Micropolitan Statistical Area)</t>
  </si>
  <si>
    <t>Truckee-Grass Valley, CA (Micropolitan Statistical Area)</t>
  </si>
  <si>
    <t>Tullahoma-Manchester, TN (Micropolitan Statistical Area)</t>
  </si>
  <si>
    <t>Tupelo, MS (Micropolitan Statistical Area)</t>
  </si>
  <si>
    <t>Ukiah, CA (Micropolitan Statistical Area)</t>
  </si>
  <si>
    <t>Union, SC (Micropolitan Statistical Area)</t>
  </si>
  <si>
    <t>Union City, TN (Micropolitan Statistical Area)</t>
  </si>
  <si>
    <t>Urbana, OH (Micropolitan Statistical Area)</t>
  </si>
  <si>
    <t>Uvalde, TX (Micropolitan Statistical Area)</t>
  </si>
  <si>
    <t>Van Wert, OH (Micropolitan Statistical Area)</t>
  </si>
  <si>
    <t>Vermillion, SD (Micropolitan Statistical Area)</t>
  </si>
  <si>
    <t>Vernal, UT (Micropolitan Statistical Area)</t>
  </si>
  <si>
    <t>Vernon, TX (Micropolitan Statistical Area)</t>
  </si>
  <si>
    <t>Vicksburg, MS (Micropolitan Statistical Area)</t>
  </si>
  <si>
    <t>Vidalia, GA (Micropolitan Statistical Area)</t>
  </si>
  <si>
    <t>Vincennes, IN (Micropolitan Statistical Area)</t>
  </si>
  <si>
    <t>Vineyard Haven, MA (Micropolitan Statistical Area)</t>
  </si>
  <si>
    <t>Wabash, IN (Micropolitan Statistical Area)</t>
  </si>
  <si>
    <t>Wahpeton, ND-MN (Micropolitan Statistical Area)</t>
  </si>
  <si>
    <t>Wapakoneta, OH (Micropolitan Statistical Area)</t>
  </si>
  <si>
    <t>Warren, PA (Micropolitan Statistical Area)</t>
  </si>
  <si>
    <t>Warrensburg, MO (Micropolitan Statistical Area)</t>
  </si>
  <si>
    <t>Warsaw, IN (Micropolitan Statistical Area)</t>
  </si>
  <si>
    <t>Washington, IN (Micropolitan Statistical Area)</t>
  </si>
  <si>
    <t>Washington, NC (Micropolitan Statistical Area)</t>
  </si>
  <si>
    <t>Washington Court House, OH (Micropolitan Statistical Area)</t>
  </si>
  <si>
    <t>Watertown, SD (Micropolitan Statistical Area)</t>
  </si>
  <si>
    <t>Watertown-Fort Atkinson, WI (Micropolitan Statistical Area)</t>
  </si>
  <si>
    <t>Wauchula, FL (Micropolitan Statistical Area)</t>
  </si>
  <si>
    <t>Waycross, GA (Micropolitan Statistical Area)</t>
  </si>
  <si>
    <t>Weatherford, OK (Micropolitan Statistical Area)</t>
  </si>
  <si>
    <t>West Plains, MO (Micropolitan Statistical Area)</t>
  </si>
  <si>
    <t>West Point, MS (Micropolitan Statistical Area)</t>
  </si>
  <si>
    <t>Whitewater, WI (Micropolitan Statistical Area)</t>
  </si>
  <si>
    <t>Williston, ND (Micropolitan Statistical Area)</t>
  </si>
  <si>
    <t>Willmar, MN (Micropolitan Statistical Area)</t>
  </si>
  <si>
    <t>Wilmington, OH (Micropolitan Statistical Area)</t>
  </si>
  <si>
    <t>Wilson, NC (Micropolitan Statistical Area)</t>
  </si>
  <si>
    <t>Winfield, KS (Micropolitan Statistical Area)</t>
  </si>
  <si>
    <t>Winnemucca, NV (Micropolitan Statistical Area)</t>
  </si>
  <si>
    <t>Winona, MN (Micropolitan Statistical Area)</t>
  </si>
  <si>
    <t>Wisconsin Rapids-Marshfield, WI (Micropolitan Statistical Area)</t>
  </si>
  <si>
    <t>Woodward, OK (Micropolitan Statistical Area)</t>
  </si>
  <si>
    <t>Wooster, OH (Micropolitan Statistical Area)</t>
  </si>
  <si>
    <t>Worthington, MN (Micropolitan Statistical Area)</t>
  </si>
  <si>
    <t>Yankton, SD (Micropolitan Statistical Area)</t>
  </si>
  <si>
    <t>Zanesville, OH (Micropolitan Statistical Area)</t>
  </si>
  <si>
    <t>Zapata, TX (Micropolitan Statistical Area)</t>
  </si>
  <si>
    <t>Attendance</t>
  </si>
  <si>
    <t>Winpct</t>
  </si>
  <si>
    <t>Population</t>
  </si>
  <si>
    <t>UAlbany</t>
  </si>
  <si>
    <t>App State</t>
  </si>
  <si>
    <t>Coastal Carolina</t>
  </si>
  <si>
    <t>FDU</t>
  </si>
  <si>
    <t>Houston Christian</t>
  </si>
  <si>
    <t>UIW</t>
  </si>
  <si>
    <t>ULM</t>
  </si>
  <si>
    <t>LIU</t>
  </si>
  <si>
    <t>Nicholls</t>
  </si>
  <si>
    <t>NIU</t>
  </si>
  <si>
    <t>Sam Houston</t>
  </si>
  <si>
    <t>Kansas City</t>
  </si>
  <si>
    <t>Description</t>
  </si>
  <si>
    <t>2011</t>
  </si>
  <si>
    <t>2022</t>
  </si>
  <si>
    <t>Population (persons) 1</t>
  </si>
  <si>
    <t>California Baptist</t>
  </si>
  <si>
    <t>North Ala.</t>
  </si>
  <si>
    <t>North Alabama</t>
  </si>
  <si>
    <t>Wagner</t>
  </si>
  <si>
    <t>LMU CA</t>
  </si>
  <si>
    <t>Miami OH</t>
  </si>
  <si>
    <t>2</t>
  </si>
  <si>
    <t>LineCode</t>
  </si>
  <si>
    <t>2010</t>
  </si>
  <si>
    <t>2023</t>
  </si>
  <si>
    <t>Air Force</t>
  </si>
  <si>
    <t>American</t>
  </si>
  <si>
    <t>Arkansas St.</t>
  </si>
  <si>
    <t>Chicago St.</t>
  </si>
  <si>
    <t>Cincinnati</t>
  </si>
  <si>
    <t>Colorado</t>
  </si>
  <si>
    <t>Davidson</t>
  </si>
  <si>
    <t>Denver</t>
  </si>
  <si>
    <t>Duquesne</t>
  </si>
  <si>
    <t>Eastern Mich.</t>
  </si>
  <si>
    <t>Eastern Wash.</t>
  </si>
  <si>
    <t>Gonzaga</t>
  </si>
  <si>
    <t>Hartford</t>
  </si>
  <si>
    <t>High Point</t>
  </si>
  <si>
    <t>Idaho</t>
  </si>
  <si>
    <t>Kansas St.</t>
  </si>
  <si>
    <t>La Salle</t>
  </si>
  <si>
    <t>Little Rock</t>
  </si>
  <si>
    <t>Loyola Maryland</t>
  </si>
  <si>
    <t>Marquette</t>
  </si>
  <si>
    <t>Miami (FL)</t>
  </si>
  <si>
    <t>Miami FL</t>
  </si>
  <si>
    <t>Milwaukee</t>
  </si>
  <si>
    <t>Montana St.</t>
  </si>
  <si>
    <t>Navy</t>
  </si>
  <si>
    <t>New Hampshire</t>
  </si>
  <si>
    <t>New Orleans</t>
  </si>
  <si>
    <t>NJIT</t>
  </si>
  <si>
    <t>Northeastern</t>
  </si>
  <si>
    <t>Northern Ariz.</t>
  </si>
  <si>
    <t>Old Dominion</t>
  </si>
  <si>
    <t>Oral Roberts</t>
  </si>
  <si>
    <t>Pepperdine</t>
  </si>
  <si>
    <t>Portland</t>
  </si>
  <si>
    <t>Rice</t>
  </si>
  <si>
    <t>Richmond</t>
  </si>
  <si>
    <t>San Francisco</t>
  </si>
  <si>
    <t>SMU</t>
  </si>
  <si>
    <t>Southern California</t>
  </si>
  <si>
    <t>St. Francis Brooklyn</t>
  </si>
  <si>
    <t>TCU</t>
  </si>
  <si>
    <t>Temple</t>
  </si>
  <si>
    <t>Citadel</t>
  </si>
  <si>
    <t>The Citadel</t>
  </si>
  <si>
    <t>Tulane</t>
  </si>
  <si>
    <t>UC Irvine</t>
  </si>
  <si>
    <t>UNC Asheville</t>
  </si>
  <si>
    <t>UTRGV</t>
  </si>
  <si>
    <t>Vanderbilt</t>
  </si>
  <si>
    <t>VCU</t>
  </si>
  <si>
    <t>Vermont</t>
  </si>
  <si>
    <t>VMI</t>
  </si>
  <si>
    <t>Wake Forest</t>
  </si>
  <si>
    <t>Washington St.</t>
  </si>
  <si>
    <t>West Virginia</t>
  </si>
  <si>
    <t>William &amp; Mary</t>
  </si>
  <si>
    <t>Wright St.</t>
  </si>
  <si>
    <t>Wyoming</t>
  </si>
  <si>
    <t>Xavier</t>
  </si>
  <si>
    <t>Total Revenue</t>
  </si>
  <si>
    <t>Lagged Total Revenue</t>
  </si>
  <si>
    <t>PCI</t>
  </si>
  <si>
    <t>Stadium Capacity</t>
  </si>
  <si>
    <t/>
  </si>
  <si>
    <t>Alabama State</t>
  </si>
  <si>
    <t>Albany</t>
  </si>
  <si>
    <t>Alcorn State</t>
  </si>
  <si>
    <t>Appalachian State</t>
  </si>
  <si>
    <t>Arizona State</t>
  </si>
  <si>
    <t>Arkansas Little Rock</t>
  </si>
  <si>
    <t>Arkansas Pine Bluff</t>
  </si>
  <si>
    <t>Arkansas State</t>
  </si>
  <si>
    <t>Austin Peay State</t>
  </si>
  <si>
    <t>Ball State</t>
  </si>
  <si>
    <t>Boise State</t>
  </si>
  <si>
    <t>Cal State Bakersfield</t>
  </si>
  <si>
    <t>Cal State Fullerton</t>
  </si>
  <si>
    <t>Cal State Northridge</t>
  </si>
  <si>
    <t>Central Arkansas</t>
  </si>
  <si>
    <t>Central Connecticut State</t>
  </si>
  <si>
    <t>Central Michigan</t>
  </si>
  <si>
    <t>Chicago State</t>
  </si>
  <si>
    <t>Cleveland State</t>
  </si>
  <si>
    <t>College of Charleston</t>
  </si>
  <si>
    <t>Colorado State</t>
  </si>
  <si>
    <t>Connecticut</t>
  </si>
  <si>
    <t>Coppin State</t>
  </si>
  <si>
    <t>East Tennessee State</t>
  </si>
  <si>
    <t>Eastern Illinois</t>
  </si>
  <si>
    <t>Eastern Kentucky</t>
  </si>
  <si>
    <t>Eastern Michigan</t>
  </si>
  <si>
    <t>Eastern Washington</t>
  </si>
  <si>
    <t>Florida Atlantic</t>
  </si>
  <si>
    <t>Florida Gulf Coast</t>
  </si>
  <si>
    <t>Florida International</t>
  </si>
  <si>
    <t>Florida State</t>
  </si>
  <si>
    <t>Fresno State</t>
  </si>
  <si>
    <t>Georgia Southern</t>
  </si>
  <si>
    <t>Georgia State</t>
  </si>
  <si>
    <t>Grambling State</t>
  </si>
  <si>
    <t>Idaho State</t>
  </si>
  <si>
    <t>Illinois Chicago</t>
  </si>
  <si>
    <t>Illinois State</t>
  </si>
  <si>
    <t>Indiana State</t>
  </si>
  <si>
    <t>Iowa State</t>
  </si>
  <si>
    <t>Kansas State</t>
  </si>
  <si>
    <t>Kennesaw State</t>
  </si>
  <si>
    <t>Kent State</t>
  </si>
  <si>
    <t>Lamar</t>
  </si>
  <si>
    <t>Long Beach State</t>
  </si>
  <si>
    <t>Louisiana Lafayette</t>
  </si>
  <si>
    <t>Louisiana Monroe</t>
  </si>
  <si>
    <t>Maryland Eastern Shore</t>
  </si>
  <si>
    <t>Massachusetts Lowell</t>
  </si>
  <si>
    <t>McNeese State</t>
  </si>
  <si>
    <t>Miami (Ohio)</t>
  </si>
  <si>
    <t>Michigan State</t>
  </si>
  <si>
    <t>Middle Tennessee State</t>
  </si>
  <si>
    <t>Mississippi</t>
  </si>
  <si>
    <t>Mississippi State</t>
  </si>
  <si>
    <t>Missouri State</t>
  </si>
  <si>
    <t>Montana State</t>
  </si>
  <si>
    <t>Morehead State</t>
  </si>
  <si>
    <t>Morgan State</t>
  </si>
  <si>
    <t>Murray State</t>
  </si>
  <si>
    <t>Nebraska Omaha</t>
  </si>
  <si>
    <t>New Mexico State</t>
  </si>
  <si>
    <t>Nicholls State</t>
  </si>
  <si>
    <t>Norfolk State</t>
  </si>
  <si>
    <t>North Carolina A&amp;T</t>
  </si>
  <si>
    <t>North Carolina Asheville</t>
  </si>
  <si>
    <t>North Carolina Central</t>
  </si>
  <si>
    <t>North Carolina Greensboro</t>
  </si>
  <si>
    <t>North Carolina State</t>
  </si>
  <si>
    <t>North Carolina Wilmington</t>
  </si>
  <si>
    <t>North Dakota State</t>
  </si>
  <si>
    <t>Northern Arizona</t>
  </si>
  <si>
    <t>Northern Colorado</t>
  </si>
  <si>
    <t>Northern Iowa</t>
  </si>
  <si>
    <t>Northwestern State</t>
  </si>
  <si>
    <t>Ohio State</t>
  </si>
  <si>
    <t>Oregon State</t>
  </si>
  <si>
    <t>Penn State</t>
  </si>
  <si>
    <t>Portland State</t>
  </si>
  <si>
    <t>Prairie View A&amp;M</t>
  </si>
  <si>
    <t>Sacramento State</t>
  </si>
  <si>
    <t>Sam Houston State</t>
  </si>
  <si>
    <t>San Diego State</t>
  </si>
  <si>
    <t>San Jose State</t>
  </si>
  <si>
    <t>Savannah State</t>
  </si>
  <si>
    <t>South Carolina Upstate</t>
  </si>
  <si>
    <t>South Dakota State</t>
  </si>
  <si>
    <t>South Florida</t>
  </si>
  <si>
    <t>Southeast Missouri State</t>
  </si>
  <si>
    <t>Southern</t>
  </si>
  <si>
    <t>Southern Illinois</t>
  </si>
  <si>
    <t>Southern Illinois Edwardsville</t>
  </si>
  <si>
    <t>Southern Mississippi</t>
  </si>
  <si>
    <t>Stephen F. Austin</t>
  </si>
  <si>
    <t>Tennessee Chattanooga</t>
  </si>
  <si>
    <t>Tennessee Martin</t>
  </si>
  <si>
    <t>Texas A&amp;M Corpus Christi</t>
  </si>
  <si>
    <t>Texas Arlington</t>
  </si>
  <si>
    <t>Texas State</t>
  </si>
  <si>
    <t>Utah State</t>
  </si>
  <si>
    <t>Washington State</t>
  </si>
  <si>
    <t>Weber State</t>
  </si>
  <si>
    <t>Western Carolina</t>
  </si>
  <si>
    <t>Western Illinois</t>
  </si>
  <si>
    <t>Western Kentucky</t>
  </si>
  <si>
    <t>Western Michigan</t>
  </si>
  <si>
    <t>Wichita State</t>
  </si>
  <si>
    <t>Wisconsin Green Bay</t>
  </si>
  <si>
    <t>Wisconsin Milwaukee</t>
  </si>
  <si>
    <t>Wright State</t>
  </si>
  <si>
    <t>Youngstown State</t>
  </si>
  <si>
    <t>Army</t>
  </si>
  <si>
    <t>College Of Charleston</t>
  </si>
  <si>
    <t>Kennessaw State</t>
  </si>
  <si>
    <t>Northern Illinois</t>
  </si>
  <si>
    <t>Maryland Baltimore County</t>
  </si>
  <si>
    <t>Missouri Kansas City</t>
  </si>
  <si>
    <t>Jackson State</t>
  </si>
  <si>
    <t>3</t>
  </si>
  <si>
    <t>Per capita personal income (dollars) 2</t>
  </si>
  <si>
    <t>Rank</t>
  </si>
  <si>
    <t>Institution</t>
  </si>
  <si>
    <t>Conference</t>
  </si>
  <si>
    <t>Accum Attendance</t>
  </si>
  <si>
    <t>Avg Attendance</t>
  </si>
  <si>
    <t>Pct Capacity</t>
  </si>
  <si>
    <t>Games</t>
  </si>
  <si>
    <t>Big Ten</t>
  </si>
  <si>
    <t>Big West</t>
  </si>
  <si>
    <t>Pac-12</t>
  </si>
  <si>
    <t>Mountain West</t>
  </si>
  <si>
    <t>SEC</t>
  </si>
  <si>
    <t>MVC</t>
  </si>
  <si>
    <t>Big 12</t>
  </si>
  <si>
    <t>ACC</t>
  </si>
  <si>
    <t>MAC</t>
  </si>
  <si>
    <t>Inf</t>
  </si>
  <si>
    <t>WCC</t>
  </si>
  <si>
    <t>Big East</t>
  </si>
  <si>
    <t>Sun Belt</t>
  </si>
  <si>
    <t>Big Sky</t>
  </si>
  <si>
    <t>Atlantic 10</t>
  </si>
  <si>
    <t>MEAC</t>
  </si>
  <si>
    <t>CUSA</t>
  </si>
  <si>
    <t>WAC</t>
  </si>
  <si>
    <t>OVC</t>
  </si>
  <si>
    <t>Patriot</t>
  </si>
  <si>
    <t>Horizon</t>
  </si>
  <si>
    <t>SoCon</t>
  </si>
  <si>
    <t>ASUN</t>
  </si>
  <si>
    <t>CAA</t>
  </si>
  <si>
    <t>Summit League</t>
  </si>
  <si>
    <t>Southland</t>
  </si>
  <si>
    <t>Big South</t>
  </si>
  <si>
    <t>America East</t>
  </si>
  <si>
    <t>IU Indy</t>
  </si>
  <si>
    <t>Ivy League</t>
  </si>
  <si>
    <t>NEC</t>
  </si>
  <si>
    <t>SWAC</t>
  </si>
  <si>
    <t>MAAC</t>
  </si>
  <si>
    <t>Independent</t>
  </si>
  <si>
    <t>Saint Francis</t>
  </si>
  <si>
    <t>Savannah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</si>
</sst>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1"/>
      <color rgb="FF231F2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Helv"/>
    </font>
    <font>
      <sz val="12"/>
      <color rgb="FF231F20"/>
      <name val="Times New Roman"/>
      <family val="1"/>
    </font>
    <font>
      <b/>
      <sz val="11"/>
      <color theme="1"/>
      <name val="Helvetica Neue"/>
      <family val="2"/>
    </font>
    <font>
      <sz val="8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darkGray">
        <bgColor indexed="12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rgb="FFDDDDDD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</cellStyleXfs>
  <cellXfs count="2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0" fillId="0" borderId="0" xfId="2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3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0" fillId="0" borderId="0" xfId="1" applyNumberFormat="1" applyFont="1"/>
    <xf numFmtId="0" fontId="0" fillId="0" borderId="2" xfId="1" applyNumberFormat="1" applyFont="1" applyBorder="1"/>
    <xf numFmtId="0" fontId="0" fillId="0" borderId="2" xfId="0" applyBorder="1" applyAlignment="1">
      <alignment vertical="center" wrapText="1"/>
    </xf>
    <xf numFmtId="0" fontId="0" fillId="0" borderId="2" xfId="2" applyNumberFormat="1" applyFont="1" applyBorder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16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Normal 2" xfId="3" xr:uid="{43D4DE0E-753F-9F4D-80DD-8D7834CF6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770B-D430-4FF7-9906-8AC1B35101B8}">
  <dimension ref="A1:L70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8.6640625" bestFit="1" customWidth="1"/>
    <col min="3" max="3" width="7" bestFit="1" customWidth="1"/>
    <col min="4" max="4" width="8.1640625" bestFit="1" customWidth="1"/>
    <col min="5" max="5" width="7" customWidth="1"/>
    <col min="6" max="6" width="13.83203125" bestFit="1" customWidth="1"/>
    <col min="7" max="7" width="20.5" bestFit="1" customWidth="1"/>
    <col min="8" max="8" width="7.33203125" style="26" bestFit="1" customWidth="1"/>
    <col min="9" max="9" width="11.33203125" bestFit="1" customWidth="1"/>
    <col min="10" max="10" width="10.6640625" bestFit="1" customWidth="1"/>
    <col min="11" max="11" width="9.6640625" customWidth="1"/>
    <col min="12" max="12" width="16.33203125" bestFit="1" customWidth="1"/>
    <col min="13" max="13" width="11.1640625" customWidth="1"/>
  </cols>
  <sheetData>
    <row r="1" spans="1:12">
      <c r="A1" t="s">
        <v>0</v>
      </c>
      <c r="B1" t="s">
        <v>296</v>
      </c>
      <c r="C1" t="s">
        <v>1</v>
      </c>
      <c r="D1" t="s">
        <v>2</v>
      </c>
      <c r="E1" t="s">
        <v>3</v>
      </c>
      <c r="F1" t="s">
        <v>1324</v>
      </c>
      <c r="G1" t="s">
        <v>1325</v>
      </c>
      <c r="H1" s="26" t="s">
        <v>1237</v>
      </c>
      <c r="I1" t="s">
        <v>1236</v>
      </c>
      <c r="J1" t="s">
        <v>1238</v>
      </c>
      <c r="K1" t="s">
        <v>1326</v>
      </c>
      <c r="L1" t="s">
        <v>1327</v>
      </c>
    </row>
    <row r="2" spans="1:12">
      <c r="A2" t="s">
        <v>4</v>
      </c>
      <c r="B2" t="s">
        <v>4</v>
      </c>
      <c r="C2">
        <v>224147</v>
      </c>
      <c r="D2">
        <v>18580</v>
      </c>
      <c r="E2" s="1">
        <v>2015</v>
      </c>
      <c r="F2">
        <f>IFERROR(IF(VLOOKUP(C2,TotalRev1!A:C,3,FALSE)="","",VLOOKUP(C2,TotalRev1!A:C,3,FALSE)),"")</f>
        <v>577051</v>
      </c>
      <c r="G2">
        <f>IFERROR(IF(VLOOKUP(C2,TotalRevL!A:C,3,FALSE)="","",VLOOKUP(C2,TotalRevL!A:C,3,FALSE)),"")</f>
        <v>561786</v>
      </c>
      <c r="H2" s="26">
        <f>IFERROR(IFERROR(VLOOKUP($A2,Winpct1!$A:$K,9,FALSE),VLOOKUP($B2,Winpct1!$A:$K,9,FALSE)),"")</f>
        <v>0.54300000000000004</v>
      </c>
      <c r="I2">
        <f>IFERROR(IFERROR(VLOOKUP($A2,Attendance1!$B:$H,3,FALSE),VLOOKUP($B2,Attendance1!$B:$H,3,FALSE)),"")</f>
        <v>6833</v>
      </c>
      <c r="J2">
        <f>IFERROR(VLOOKUP(D2,'Pop-Metro'!A:R,E2-2005,FALSE),VLOOKUP(D2,'Pop-Micro'!A:R,E2-2005,FALSE))</f>
        <v>423451</v>
      </c>
      <c r="K2">
        <f>IFERROR(VLOOKUP(D2,'PCI-Metro'!A:R,E2-2005,FALSE),VLOOKUP(D2,'PCI-Micro'!A:R,E2-2005,FALSE))</f>
        <v>42801</v>
      </c>
      <c r="L2">
        <f>IFERROR(IF(IFERROR(VLOOKUP($A2,Attendance1!$B:$H,5,FALSE),VLOOKUP($B2,Attendance1!$B:$H,5,FALSE))="","",IFERROR(VLOOKUP($A2,Attendance1!$B:$H,5,FALSE),VLOOKUP($B2,Attendance1!$B:$H,5,FALSE))),"")</f>
        <v>1200</v>
      </c>
    </row>
    <row r="3" spans="1:12">
      <c r="A3" t="s">
        <v>5</v>
      </c>
      <c r="B3" t="s">
        <v>5</v>
      </c>
      <c r="C3">
        <v>222178</v>
      </c>
      <c r="D3">
        <v>10180</v>
      </c>
      <c r="E3">
        <f>E$2</f>
        <v>2015</v>
      </c>
      <c r="F3" t="str">
        <f>IFERROR(IF(VLOOKUP(C3,TotalRev1!A:C,3,FALSE)="","",VLOOKUP(C3,TotalRev1!A:C,3,FALSE)),"")</f>
        <v/>
      </c>
      <c r="G3" t="str">
        <f>IFERROR(IF(VLOOKUP(C3,TotalRevL!A:C,3,FALSE)="","",VLOOKUP(C3,TotalRevL!A:C,3,FALSE)),"")</f>
        <v/>
      </c>
      <c r="H3" s="26" t="str">
        <f>IFERROR(IFERROR(VLOOKUP($A3,Winpct1!$A:$K,9,FALSE),VLOOKUP($B3,Winpct1!$A:$K,9,FALSE)),"")</f>
        <v/>
      </c>
      <c r="I3">
        <f>IFERROR(IFERROR(VLOOKUP($A3,Attendance1!$B:$H,3,FALSE),VLOOKUP($B3,Attendance1!$B:$H,3,FALSE)),"")</f>
        <v>3859</v>
      </c>
      <c r="J3">
        <f>IFERROR(VLOOKUP(D3,'Pop-Metro'!A:R,E3-2005,FALSE),VLOOKUP(D3,'Pop-Micro'!A:R,E3-2005,FALSE))</f>
        <v>171579</v>
      </c>
      <c r="K3">
        <f>IFERROR(VLOOKUP(D3,'PCI-Metro'!A:R,E3-2005,FALSE),VLOOKUP(D3,'PCI-Micro'!A:R,E3-2005,FALSE))</f>
        <v>39866</v>
      </c>
      <c r="L3">
        <f>IFERROR(IF(IFERROR(VLOOKUP($A3,Attendance1!$B:$H,5,FALSE),VLOOKUP($B3,Attendance1!$B:$H,5,FALSE))="","",IFERROR(VLOOKUP($A3,Attendance1!$B:$H,5,FALSE),VLOOKUP($B3,Attendance1!$B:$H,5,FALSE))),"")</f>
        <v>4600</v>
      </c>
    </row>
    <row r="4" spans="1:12">
      <c r="A4" t="s">
        <v>1265</v>
      </c>
      <c r="B4" t="s">
        <v>1265</v>
      </c>
      <c r="C4">
        <v>500002</v>
      </c>
      <c r="D4">
        <v>17820</v>
      </c>
      <c r="E4">
        <f t="shared" ref="E4:E67" si="0">E$2</f>
        <v>2015</v>
      </c>
      <c r="F4" t="str">
        <f>IFERROR(IF(VLOOKUP(C4,TotalRev1!A:C,3,FALSE)="","",VLOOKUP(C4,TotalRev1!A:C,3,FALSE)),"")</f>
        <v/>
      </c>
      <c r="G4" t="str">
        <f>IFERROR(IF(VLOOKUP(C4,TotalRevL!A:C,3,FALSE)="","",VLOOKUP(C4,TotalRevL!A:C,3,FALSE)),"")</f>
        <v/>
      </c>
      <c r="H4" s="26">
        <f>IFERROR(IFERROR(VLOOKUP($A4,Winpct1!$A:$K,9,FALSE),VLOOKUP($B4,Winpct1!$A:$K,9,FALSE)),"")</f>
        <v>0.40600000000000003</v>
      </c>
      <c r="I4">
        <f>IFERROR(IFERROR(VLOOKUP($A4,Attendance1!$B:$H,3,FALSE),VLOOKUP($B4,Attendance1!$B:$H,3,FALSE)),"")</f>
        <v>5422</v>
      </c>
      <c r="J4">
        <f>IFERROR(VLOOKUP(D4,'Pop-Metro'!A:R,E4-2005,FALSE),VLOOKUP(D4,'Pop-Micro'!A:R,E4-2005,FALSE))</f>
        <v>698671</v>
      </c>
      <c r="K4">
        <f>IFERROR(VLOOKUP(D4,'PCI-Metro'!A:R,E4-2005,FALSE),VLOOKUP(D4,'PCI-Micro'!A:R,E4-2005,FALSE))</f>
        <v>44235</v>
      </c>
      <c r="L4">
        <f>IFERROR(IF(IFERROR(VLOOKUP($A4,Attendance1!$B:$H,5,FALSE),VLOOKUP($B4,Attendance1!$B:$H,5,FALSE))="","",IFERROR(VLOOKUP($A4,Attendance1!$B:$H,5,FALSE),VLOOKUP($B4,Attendance1!$B:$H,5,FALSE))),"")</f>
        <v>1000</v>
      </c>
    </row>
    <row r="5" spans="1:12">
      <c r="A5" t="s">
        <v>6</v>
      </c>
      <c r="B5" t="s">
        <v>6</v>
      </c>
      <c r="C5">
        <v>200800</v>
      </c>
      <c r="D5">
        <v>10420</v>
      </c>
      <c r="E5">
        <f t="shared" si="0"/>
        <v>2015</v>
      </c>
      <c r="F5">
        <f>IFERROR(IF(VLOOKUP(C5,TotalRev1!A:C,3,FALSE)="","",VLOOKUP(C5,TotalRev1!A:C,3,FALSE)),"")</f>
        <v>38063</v>
      </c>
      <c r="G5">
        <f>IFERROR(IF(VLOOKUP(C5,TotalRevL!A:C,3,FALSE)="","",VLOOKUP(C5,TotalRevL!A:C,3,FALSE)),"")</f>
        <v>41564</v>
      </c>
      <c r="H5" s="26">
        <f>IFERROR(IFERROR(VLOOKUP($A5,Winpct1!$A:$K,9,FALSE),VLOOKUP($B5,Winpct1!$A:$K,9,FALSE)),"")</f>
        <v>0.25800000000000001</v>
      </c>
      <c r="I5">
        <f>IFERROR(IFERROR(VLOOKUP($A5,Attendance1!$B:$H,3,FALSE),VLOOKUP($B5,Attendance1!$B:$H,3,FALSE)),"")</f>
        <v>2889</v>
      </c>
      <c r="J5">
        <f>IFERROR(VLOOKUP(D5,'Pop-Metro'!A:R,E5-2005,FALSE),VLOOKUP(D5,'Pop-Micro'!A:R,E5-2005,FALSE))</f>
        <v>704664</v>
      </c>
      <c r="K5">
        <f>IFERROR(VLOOKUP(D5,'PCI-Metro'!A:R,E5-2005,FALSE),VLOOKUP(D5,'PCI-Micro'!A:R,E5-2005,FALSE))</f>
        <v>44674</v>
      </c>
      <c r="L5">
        <f>IFERROR(IF(IFERROR(VLOOKUP($A5,Attendance1!$B:$H,5,FALSE),VLOOKUP($B5,Attendance1!$B:$H,5,FALSE))="","",IFERROR(VLOOKUP($A5,Attendance1!$B:$H,5,FALSE),VLOOKUP($B5,Attendance1!$B:$H,5,FALSE))),"")</f>
        <v>5500</v>
      </c>
    </row>
    <row r="6" spans="1:12">
      <c r="A6" t="s">
        <v>7</v>
      </c>
      <c r="B6" t="s">
        <v>7</v>
      </c>
      <c r="C6">
        <v>100751</v>
      </c>
      <c r="D6">
        <v>46220</v>
      </c>
      <c r="E6">
        <f t="shared" si="0"/>
        <v>2015</v>
      </c>
      <c r="F6">
        <f>IFERROR(IF(VLOOKUP(C6,TotalRev1!A:C,3,FALSE)="","",VLOOKUP(C6,TotalRev1!A:C,3,FALSE)),"")</f>
        <v>677222</v>
      </c>
      <c r="G6">
        <f>IFERROR(IF(VLOOKUP(C6,TotalRevL!A:C,3,FALSE)="","",VLOOKUP(C6,TotalRevL!A:C,3,FALSE)),"")</f>
        <v>627654</v>
      </c>
      <c r="H6" s="26">
        <f>IFERROR(IFERROR(VLOOKUP($A6,Winpct1!$A:$K,9,FALSE),VLOOKUP($B6,Winpct1!$A:$K,9,FALSE)),"")</f>
        <v>0.76500000000000001</v>
      </c>
      <c r="I6">
        <f>IFERROR(IFERROR(VLOOKUP($A6,Attendance1!$B:$H,3,FALSE),VLOOKUP($B6,Attendance1!$B:$H,3,FALSE)),"")</f>
        <v>12289</v>
      </c>
      <c r="J6">
        <f>IFERROR(VLOOKUP(D6,'Pop-Metro'!A:R,E6-2005,FALSE),VLOOKUP(D6,'Pop-Micro'!A:R,E6-2005,FALSE))</f>
        <v>256895</v>
      </c>
      <c r="K6">
        <f>IFERROR(VLOOKUP(D6,'PCI-Metro'!A:R,E6-2005,FALSE),VLOOKUP(D6,'PCI-Micro'!A:R,E6-2005,FALSE))</f>
        <v>34113</v>
      </c>
      <c r="L6">
        <f>IFERROR(IF(IFERROR(VLOOKUP($A6,Attendance1!$B:$H,5,FALSE),VLOOKUP($B6,Attendance1!$B:$H,5,FALSE))="","",IFERROR(VLOOKUP($A6,Attendance1!$B:$H,5,FALSE),VLOOKUP($B6,Attendance1!$B:$H,5,FALSE))),"")</f>
        <v>3800</v>
      </c>
    </row>
    <row r="7" spans="1:12">
      <c r="A7" t="s">
        <v>8</v>
      </c>
      <c r="B7" t="s">
        <v>8</v>
      </c>
      <c r="C7">
        <v>100654</v>
      </c>
      <c r="D7">
        <v>26620</v>
      </c>
      <c r="E7">
        <f t="shared" si="0"/>
        <v>2015</v>
      </c>
      <c r="F7" t="str">
        <f>IFERROR(IF(VLOOKUP(C7,TotalRev1!A:C,3,FALSE)="","",VLOOKUP(C7,TotalRev1!A:C,3,FALSE)),"")</f>
        <v/>
      </c>
      <c r="G7" t="str">
        <f>IFERROR(IF(VLOOKUP(C7,TotalRevL!A:C,3,FALSE)="","",VLOOKUP(C7,TotalRevL!A:C,3,FALSE)),"")</f>
        <v/>
      </c>
      <c r="H7" s="26">
        <f>IFERROR(IFERROR(VLOOKUP($A7,Winpct1!$A:$K,9,FALSE),VLOOKUP($B7,Winpct1!$A:$K,9,FALSE)),"")</f>
        <v>0.39400000000000002</v>
      </c>
      <c r="I7">
        <f>IFERROR(IFERROR(VLOOKUP($A7,Attendance1!$B:$H,3,FALSE),VLOOKUP($B7,Attendance1!$B:$H,3,FALSE)),"")</f>
        <v>1335</v>
      </c>
      <c r="J7">
        <f>IFERROR(VLOOKUP(D7,'Pop-Metro'!A:R,E7-2005,FALSE),VLOOKUP(D7,'Pop-Micro'!A:R,E7-2005,FALSE))</f>
        <v>450781</v>
      </c>
      <c r="K7">
        <f>IFERROR(VLOOKUP(D7,'PCI-Metro'!A:R,E7-2005,FALSE),VLOOKUP(D7,'PCI-Micro'!A:R,E7-2005,FALSE))</f>
        <v>44403</v>
      </c>
      <c r="L7">
        <f>IFERROR(IF(IFERROR(VLOOKUP($A7,Attendance1!$B:$H,5,FALSE),VLOOKUP($B7,Attendance1!$B:$H,5,FALSE))="","",IFERROR(VLOOKUP($A7,Attendance1!$B:$H,5,FALSE),VLOOKUP($B7,Attendance1!$B:$H,5,FALSE))),"")</f>
        <v>5500</v>
      </c>
    </row>
    <row r="8" spans="1:12">
      <c r="A8" t="s">
        <v>9</v>
      </c>
      <c r="B8" t="s">
        <v>9</v>
      </c>
      <c r="C8">
        <v>100724</v>
      </c>
      <c r="D8">
        <v>33860</v>
      </c>
      <c r="E8">
        <f t="shared" si="0"/>
        <v>2015</v>
      </c>
      <c r="F8" t="str">
        <f>IFERROR(IF(VLOOKUP(C8,TotalRev1!A:C,3,FALSE)="","",VLOOKUP(C8,TotalRev1!A:C,3,FALSE)),"")</f>
        <v/>
      </c>
      <c r="G8">
        <f>IFERROR(IF(VLOOKUP(C8,TotalRevL!A:C,3,FALSE)="","",VLOOKUP(C8,TotalRevL!A:C,3,FALSE)),"")</f>
        <v>21370</v>
      </c>
      <c r="H8" s="26">
        <f>IFERROR(IFERROR(VLOOKUP($A8,Winpct1!$A:$K,9,FALSE),VLOOKUP($B8,Winpct1!$A:$K,9,FALSE)),"")</f>
        <v>0.51300000000000001</v>
      </c>
      <c r="I8">
        <f>IFERROR(IFERROR(VLOOKUP($A8,Attendance1!$B:$H,3,FALSE),VLOOKUP($B8,Attendance1!$B:$H,3,FALSE)),"")</f>
        <v>3495</v>
      </c>
      <c r="J8">
        <f>IFERROR(VLOOKUP(D8,'Pop-Metro'!A:R,E8-2005,FALSE),VLOOKUP(D8,'Pop-Micro'!A:R,E8-2005,FALSE))</f>
        <v>380358</v>
      </c>
      <c r="K8">
        <f>IFERROR(VLOOKUP(D8,'PCI-Metro'!A:R,E8-2005,FALSE),VLOOKUP(D8,'PCI-Micro'!A:R,E8-2005,FALSE))</f>
        <v>38885</v>
      </c>
      <c r="L8">
        <f>IFERROR(IF(IFERROR(VLOOKUP($A8,Attendance1!$B:$H,5,FALSE),VLOOKUP($B8,Attendance1!$B:$H,5,FALSE))="","",IFERROR(VLOOKUP($A8,Attendance1!$B:$H,5,FALSE),VLOOKUP($B8,Attendance1!$B:$H,5,FALSE))),"")</f>
        <v>700</v>
      </c>
    </row>
    <row r="9" spans="1:12">
      <c r="A9" t="s">
        <v>11</v>
      </c>
      <c r="B9" t="s">
        <v>11</v>
      </c>
      <c r="C9">
        <v>175342</v>
      </c>
      <c r="D9">
        <v>35020</v>
      </c>
      <c r="E9">
        <f t="shared" si="0"/>
        <v>2015</v>
      </c>
      <c r="F9" t="str">
        <f>IFERROR(IF(VLOOKUP(C9,TotalRev1!A:C,3,FALSE)="","",VLOOKUP(C9,TotalRev1!A:C,3,FALSE)),"")</f>
        <v/>
      </c>
      <c r="G9" t="str">
        <f>IFERROR(IF(VLOOKUP(C9,TotalRevL!A:C,3,FALSE)="","",VLOOKUP(C9,TotalRevL!A:C,3,FALSE)),"")</f>
        <v/>
      </c>
      <c r="H9" s="26">
        <f>IFERROR(IFERROR(VLOOKUP($A9,Winpct1!$A:$K,9,FALSE),VLOOKUP($B9,Winpct1!$A:$K,9,FALSE)),"")</f>
        <v>0.28599999999999998</v>
      </c>
      <c r="I9">
        <f>IFERROR(IFERROR(VLOOKUP($A9,Attendance1!$B:$H,3,FALSE),VLOOKUP($B9,Attendance1!$B:$H,3,FALSE)),"")</f>
        <v>1053</v>
      </c>
      <c r="J9">
        <f>IFERROR(VLOOKUP(D9,'Pop-Metro'!A:R,E9-2005,FALSE),VLOOKUP(D9,'Pop-Micro'!A:R,E9-2005,FALSE))</f>
        <v>51163</v>
      </c>
      <c r="K9">
        <f>IFERROR(VLOOKUP(D9,'PCI-Metro'!A:R,E9-2005,FALSE),VLOOKUP(D9,'PCI-Micro'!A:R,E9-2005,FALSE))</f>
        <v>31235</v>
      </c>
      <c r="L9">
        <f>IFERROR(IF(IFERROR(VLOOKUP($A9,Attendance1!$B:$H,5,FALSE),VLOOKUP($B9,Attendance1!$B:$H,5,FALSE))="","",IFERROR(VLOOKUP($A9,Attendance1!$B:$H,5,FALSE),VLOOKUP($B9,Attendance1!$B:$H,5,FALSE))),"")</f>
        <v>10000</v>
      </c>
    </row>
    <row r="10" spans="1:12">
      <c r="A10" t="s">
        <v>1266</v>
      </c>
      <c r="B10" t="s">
        <v>1266</v>
      </c>
      <c r="C10">
        <v>131159</v>
      </c>
      <c r="D10">
        <v>47900</v>
      </c>
      <c r="E10">
        <f t="shared" si="0"/>
        <v>2015</v>
      </c>
      <c r="F10" t="str">
        <f>IFERROR(IF(VLOOKUP(C10,TotalRev1!A:C,3,FALSE)="","",VLOOKUP(C10,TotalRev1!A:C,3,FALSE)),"")</f>
        <v/>
      </c>
      <c r="G10" t="str">
        <f>IFERROR(IF(VLOOKUP(C10,TotalRevL!A:C,3,FALSE)="","",VLOOKUP(C10,TotalRevL!A:C,3,FALSE)),"")</f>
        <v/>
      </c>
      <c r="H10" s="26">
        <f>IFERROR(IFERROR(VLOOKUP($A10,Winpct1!$A:$K,9,FALSE),VLOOKUP($B10,Winpct1!$A:$K,9,FALSE)),"")</f>
        <v>0.78800000000000003</v>
      </c>
      <c r="I10">
        <f>IFERROR(IFERROR(VLOOKUP($A10,Attendance1!$B:$H,3,FALSE),VLOOKUP($B10,Attendance1!$B:$H,3,FALSE)),"")</f>
        <v>7923</v>
      </c>
      <c r="J10">
        <f>IFERROR(VLOOKUP(D10,'Pop-Metro'!A:R,E10-2005,FALSE),VLOOKUP(D10,'Pop-Micro'!A:R,E10-2005,FALSE))</f>
        <v>6131237</v>
      </c>
      <c r="K10">
        <f>IFERROR(VLOOKUP(D10,'PCI-Metro'!A:R,E10-2005,FALSE),VLOOKUP(D10,'PCI-Micro'!A:R,E10-2005,FALSE))</f>
        <v>64476</v>
      </c>
      <c r="L10">
        <f>IFERROR(IF(IFERROR(VLOOKUP($A10,Attendance1!$B:$H,5,FALSE),VLOOKUP($B10,Attendance1!$B:$H,5,FALSE))="","",IFERROR(VLOOKUP($A10,Attendance1!$B:$H,5,FALSE),VLOOKUP($B10,Attendance1!$B:$H,5,FALSE))),"")</f>
        <v>2000</v>
      </c>
    </row>
    <row r="11" spans="1:12">
      <c r="A11" t="s">
        <v>1240</v>
      </c>
      <c r="B11" t="s">
        <v>12</v>
      </c>
      <c r="C11">
        <v>197869</v>
      </c>
      <c r="D11">
        <v>14380</v>
      </c>
      <c r="E11">
        <f t="shared" si="0"/>
        <v>2015</v>
      </c>
      <c r="F11">
        <f>IFERROR(IF(VLOOKUP(C11,TotalRev1!A:C,3,FALSE)="","",VLOOKUP(C11,TotalRev1!A:C,3,FALSE)),"")</f>
        <v>29840</v>
      </c>
      <c r="G11">
        <f>IFERROR(IF(VLOOKUP(C11,TotalRevL!A:C,3,FALSE)="","",VLOOKUP(C11,TotalRevL!A:C,3,FALSE)),"")</f>
        <v>22400</v>
      </c>
      <c r="H11" s="26">
        <f>IFERROR(IFERROR(VLOOKUP($A11,Winpct1!$A:$K,9,FALSE),VLOOKUP($B11,Winpct1!$A:$K,9,FALSE)),"")</f>
        <v>0.67700000000000005</v>
      </c>
      <c r="I11">
        <f>IFERROR(IFERROR(VLOOKUP($A11,Attendance1!$B:$H,3,FALSE),VLOOKUP($B11,Attendance1!$B:$H,3,FALSE)),"")</f>
        <v>5174</v>
      </c>
      <c r="J11">
        <f>IFERROR(VLOOKUP(D11,'Pop-Metro'!A:R,E11-2005,FALSE),VLOOKUP(D11,'Pop-Micro'!A:R,E11-2005,FALSE))</f>
        <v>51985</v>
      </c>
      <c r="K11">
        <f>IFERROR(VLOOKUP(D11,'PCI-Metro'!A:R,E11-2005,FALSE),VLOOKUP(D11,'PCI-Micro'!A:R,E11-2005,FALSE))</f>
        <v>33170</v>
      </c>
      <c r="L11">
        <f>IFERROR(IF(IFERROR(VLOOKUP($A11,Attendance1!$B:$H,5,FALSE),VLOOKUP($B11,Attendance1!$B:$H,5,FALSE))="","",IFERROR(VLOOKUP($A11,Attendance1!$B:$H,5,FALSE),VLOOKUP($B11,Attendance1!$B:$H,5,FALSE))),"")</f>
        <v>8325</v>
      </c>
    </row>
    <row r="12" spans="1:12">
      <c r="A12" t="s">
        <v>13</v>
      </c>
      <c r="B12" t="s">
        <v>13</v>
      </c>
      <c r="C12">
        <v>104179</v>
      </c>
      <c r="D12">
        <v>46060</v>
      </c>
      <c r="E12">
        <f t="shared" si="0"/>
        <v>2015</v>
      </c>
      <c r="F12">
        <f>IFERROR(IF(VLOOKUP(C12,TotalRev1!A:C,3,FALSE)="","",VLOOKUP(C12,TotalRev1!A:C,3,FALSE)),"")</f>
        <v>485291</v>
      </c>
      <c r="G12">
        <f>IFERROR(IF(VLOOKUP(C12,TotalRevL!A:C,3,FALSE)="","",VLOOKUP(C12,TotalRevL!A:C,3,FALSE)),"")</f>
        <v>451431</v>
      </c>
      <c r="H12" s="26">
        <f>IFERROR(IFERROR(VLOOKUP($A12,Winpct1!$A:$K,9,FALSE),VLOOKUP($B12,Winpct1!$A:$K,9,FALSE)),"")</f>
        <v>0.70599999999999996</v>
      </c>
      <c r="I12">
        <f>IFERROR(IFERROR(VLOOKUP($A12,Attendance1!$B:$H,3,FALSE),VLOOKUP($B12,Attendance1!$B:$H,3,FALSE)),"")</f>
        <v>27266</v>
      </c>
      <c r="J12">
        <f>IFERROR(VLOOKUP(D12,'Pop-Metro'!A:R,E12-2005,FALSE),VLOOKUP(D12,'Pop-Micro'!A:R,E12-2005,FALSE))</f>
        <v>1001271</v>
      </c>
      <c r="K12">
        <f>IFERROR(VLOOKUP(D12,'PCI-Metro'!A:R,E12-2005,FALSE),VLOOKUP(D12,'PCI-Micro'!A:R,E12-2005,FALSE))</f>
        <v>38571</v>
      </c>
      <c r="L12">
        <f>IFERROR(IF(IFERROR(VLOOKUP($A12,Attendance1!$B:$H,5,FALSE),VLOOKUP($B12,Attendance1!$B:$H,5,FALSE))="","",IFERROR(VLOOKUP($A12,Attendance1!$B:$H,5,FALSE),VLOOKUP($B12,Attendance1!$B:$H,5,FALSE))),"")</f>
        <v>14545</v>
      </c>
    </row>
    <row r="13" spans="1:12">
      <c r="A13" t="s">
        <v>14</v>
      </c>
      <c r="B13" t="s">
        <v>14</v>
      </c>
      <c r="C13">
        <v>104151</v>
      </c>
      <c r="D13">
        <v>38060</v>
      </c>
      <c r="E13">
        <f t="shared" si="0"/>
        <v>2015</v>
      </c>
      <c r="F13">
        <f>IFERROR(IF(VLOOKUP(C13,TotalRev1!A:C,3,FALSE)="","",VLOOKUP(C13,TotalRev1!A:C,3,FALSE)),"")</f>
        <v>248561</v>
      </c>
      <c r="G13">
        <f>IFERROR(IF(VLOOKUP(C13,TotalRevL!A:C,3,FALSE)="","",VLOOKUP(C13,TotalRevL!A:C,3,FALSE)),"")</f>
        <v>146802</v>
      </c>
      <c r="H13" s="26">
        <f>IFERROR(IFERROR(VLOOKUP($A13,Winpct1!$A:$K,9,FALSE),VLOOKUP($B13,Winpct1!$A:$K,9,FALSE)),"")</f>
        <v>0.58799999999999997</v>
      </c>
      <c r="I13">
        <f>IFERROR(IFERROR(VLOOKUP($A13,Attendance1!$B:$H,3,FALSE),VLOOKUP($B13,Attendance1!$B:$H,3,FALSE)),"")</f>
        <v>22373</v>
      </c>
      <c r="J13">
        <f>IFERROR(VLOOKUP(D13,'Pop-Metro'!A:R,E13-2005,FALSE),VLOOKUP(D13,'Pop-Micro'!A:R,E13-2005,FALSE))</f>
        <v>4488678</v>
      </c>
      <c r="K13">
        <f>IFERROR(VLOOKUP(D13,'PCI-Metro'!A:R,E13-2005,FALSE),VLOOKUP(D13,'PCI-Micro'!A:R,E13-2005,FALSE))</f>
        <v>41828</v>
      </c>
      <c r="L13">
        <f>IFERROR(IF(IFERROR(VLOOKUP($A13,Attendance1!$B:$H,5,FALSE),VLOOKUP($B13,Attendance1!$B:$H,5,FALSE))="","",IFERROR(VLOOKUP($A13,Attendance1!$B:$H,5,FALSE),VLOOKUP($B13,Attendance1!$B:$H,5,FALSE))),"")</f>
        <v>10734</v>
      </c>
    </row>
    <row r="14" spans="1:12">
      <c r="A14" t="s">
        <v>15</v>
      </c>
      <c r="B14" t="s">
        <v>15</v>
      </c>
      <c r="C14">
        <v>106412</v>
      </c>
      <c r="D14">
        <v>38220</v>
      </c>
      <c r="E14">
        <f t="shared" si="0"/>
        <v>2015</v>
      </c>
      <c r="F14">
        <f>IFERROR(IF(VLOOKUP(C14,TotalRev1!A:C,3,FALSE)="","",VLOOKUP(C14,TotalRev1!A:C,3,FALSE)),"")</f>
        <v>250</v>
      </c>
      <c r="G14">
        <f>IFERROR(IF(VLOOKUP(C14,TotalRevL!A:C,3,FALSE)="","",VLOOKUP(C14,TotalRevL!A:C,3,FALSE)),"")</f>
        <v>0</v>
      </c>
      <c r="H14" s="26">
        <f>IFERROR(IFERROR(VLOOKUP($A14,Winpct1!$A:$K,9,FALSE),VLOOKUP($B14,Winpct1!$A:$K,9,FALSE)),"")</f>
        <v>0.35499999999999998</v>
      </c>
      <c r="I14">
        <f>IFERROR(IFERROR(VLOOKUP($A14,Attendance1!$B:$H,3,FALSE),VLOOKUP($B14,Attendance1!$B:$H,3,FALSE)),"")</f>
        <v>774</v>
      </c>
      <c r="J14">
        <f>IFERROR(VLOOKUP(D14,'Pop-Metro'!A:R,E14-2005,FALSE),VLOOKUP(D14,'Pop-Micro'!A:R,E14-2005,FALSE))</f>
        <v>94630</v>
      </c>
      <c r="K14">
        <f>IFERROR(VLOOKUP(D14,'PCI-Metro'!A:R,E14-2005,FALSE),VLOOKUP(D14,'PCI-Micro'!A:R,E14-2005,FALSE))</f>
        <v>31002</v>
      </c>
      <c r="L14">
        <f>IFERROR(IF(IFERROR(VLOOKUP($A14,Attendance1!$B:$H,5,FALSE),VLOOKUP($B14,Attendance1!$B:$H,5,FALSE))="","",IFERROR(VLOOKUP($A14,Attendance1!$B:$H,5,FALSE),VLOOKUP($B14,Attendance1!$B:$H,5,FALSE))),"")</f>
        <v>4500</v>
      </c>
    </row>
    <row r="15" spans="1:12">
      <c r="A15" t="s">
        <v>16</v>
      </c>
      <c r="B15" t="s">
        <v>16</v>
      </c>
      <c r="C15">
        <v>106397</v>
      </c>
      <c r="D15">
        <v>22220</v>
      </c>
      <c r="E15">
        <f t="shared" si="0"/>
        <v>2015</v>
      </c>
      <c r="F15">
        <f>IFERROR(IF(VLOOKUP(C15,TotalRev1!A:C,3,FALSE)="","",VLOOKUP(C15,TotalRev1!A:C,3,FALSE)),"")</f>
        <v>26259</v>
      </c>
      <c r="G15">
        <f>IFERROR(IF(VLOOKUP(C15,TotalRevL!A:C,3,FALSE)="","",VLOOKUP(C15,TotalRevL!A:C,3,FALSE)),"")</f>
        <v>206965</v>
      </c>
      <c r="H15" s="26">
        <f>IFERROR(IFERROR(VLOOKUP($A15,Winpct1!$A:$K,9,FALSE),VLOOKUP($B15,Winpct1!$A:$K,9,FALSE)),"")</f>
        <v>0.48399999999999999</v>
      </c>
      <c r="I15">
        <f>IFERROR(IFERROR(VLOOKUP($A15,Attendance1!$B:$H,3,FALSE),VLOOKUP($B15,Attendance1!$B:$H,3,FALSE)),"")</f>
        <v>15265</v>
      </c>
      <c r="J15">
        <f>IFERROR(VLOOKUP(D15,'Pop-Metro'!A:R,E15-2005,FALSE),VLOOKUP(D15,'Pop-Micro'!A:R,E15-2005,FALSE))</f>
        <v>492594</v>
      </c>
      <c r="K15">
        <f>IFERROR(VLOOKUP(D15,'PCI-Metro'!A:R,E15-2005,FALSE),VLOOKUP(D15,'PCI-Micro'!A:R,E15-2005,FALSE))</f>
        <v>57357</v>
      </c>
      <c r="L15">
        <f>IFERROR(IF(IFERROR(VLOOKUP($A15,Attendance1!$B:$H,5,FALSE),VLOOKUP($B15,Attendance1!$B:$H,5,FALSE))="","",IFERROR(VLOOKUP($A15,Attendance1!$B:$H,5,FALSE),VLOOKUP($B15,Attendance1!$B:$H,5,FALSE))),"")</f>
        <v>8500</v>
      </c>
    </row>
    <row r="16" spans="1:12">
      <c r="A16" t="s">
        <v>1267</v>
      </c>
      <c r="B16" t="s">
        <v>1267</v>
      </c>
      <c r="C16">
        <v>106458</v>
      </c>
      <c r="D16">
        <v>27860</v>
      </c>
      <c r="E16">
        <f t="shared" si="0"/>
        <v>2015</v>
      </c>
      <c r="F16">
        <f>IFERROR(IF(VLOOKUP(C16,TotalRev1!A:C,3,FALSE)="","",VLOOKUP(C16,TotalRev1!A:C,3,FALSE)),"")</f>
        <v>381665</v>
      </c>
      <c r="G16">
        <f>IFERROR(IF(VLOOKUP(C16,TotalRevL!A:C,3,FALSE)="","",VLOOKUP(C16,TotalRevL!A:C,3,FALSE)),"")</f>
        <v>388553</v>
      </c>
      <c r="H16" s="26">
        <f>IFERROR(IFERROR(VLOOKUP($A16,Winpct1!$A:$K,9,FALSE),VLOOKUP($B16,Winpct1!$A:$K,9,FALSE)),"")</f>
        <v>0.67700000000000005</v>
      </c>
      <c r="I16">
        <f>IFERROR(IFERROR(VLOOKUP($A16,Attendance1!$B:$H,3,FALSE),VLOOKUP($B16,Attendance1!$B:$H,3,FALSE)),"")</f>
        <v>3742</v>
      </c>
      <c r="J16">
        <f>IFERROR(VLOOKUP(D16,'Pop-Metro'!A:R,E16-2005,FALSE),VLOOKUP(D16,'Pop-Micro'!A:R,E16-2005,FALSE))</f>
        <v>127992</v>
      </c>
      <c r="K16">
        <f>IFERROR(VLOOKUP(D16,'PCI-Metro'!A:R,E16-2005,FALSE),VLOOKUP(D16,'PCI-Micro'!A:R,E16-2005,FALSE))</f>
        <v>34055</v>
      </c>
      <c r="L16">
        <f>IFERROR(IF(IFERROR(VLOOKUP($A16,Attendance1!$B:$H,5,FALSE),VLOOKUP($B16,Attendance1!$B:$H,5,FALSE))="","",IFERROR(VLOOKUP($A16,Attendance1!$B:$H,5,FALSE),VLOOKUP($B16,Attendance1!$B:$H,5,FALSE))),"")</f>
        <v>10563</v>
      </c>
    </row>
    <row r="17" spans="1:12">
      <c r="A17" t="s">
        <v>17</v>
      </c>
      <c r="B17" t="s">
        <v>17</v>
      </c>
      <c r="C17">
        <v>500001</v>
      </c>
      <c r="D17">
        <v>35620</v>
      </c>
      <c r="E17">
        <f t="shared" si="0"/>
        <v>2015</v>
      </c>
      <c r="F17">
        <f>IFERROR(IF(VLOOKUP(C17,TotalRev1!A:C,3,FALSE)="","",VLOOKUP(C17,TotalRev1!A:C,3,FALSE)),"")</f>
        <v>352123</v>
      </c>
      <c r="G17" t="str">
        <f>IFERROR(IF(VLOOKUP(C17,TotalRevL!A:C,3,FALSE)="","",VLOOKUP(C17,TotalRevL!A:C,3,FALSE)),"")</f>
        <v/>
      </c>
      <c r="H17" s="26">
        <f>IFERROR(IFERROR(VLOOKUP($A17,Winpct1!$A:$K,9,FALSE),VLOOKUP($B17,Winpct1!$A:$K,9,FALSE)),"")</f>
        <v>0.46700000000000003</v>
      </c>
      <c r="I17">
        <f>IFERROR(IFERROR(VLOOKUP($A17,Attendance1!$B:$H,3,FALSE),VLOOKUP($B17,Attendance1!$B:$H,3,FALSE)),"")</f>
        <v>1921</v>
      </c>
      <c r="J17">
        <f>IFERROR(VLOOKUP(D17,'Pop-Metro'!A:R,E17-2005,FALSE),VLOOKUP(D17,'Pop-Micro'!A:R,E17-2005,FALSE))</f>
        <v>19830288</v>
      </c>
      <c r="K17">
        <f>IFERROR(VLOOKUP(D17,'PCI-Metro'!A:R,E17-2005,FALSE),VLOOKUP(D17,'PCI-Micro'!A:R,E17-2005,FALSE))</f>
        <v>62877</v>
      </c>
      <c r="L17">
        <f>IFERROR(IF(IFERROR(VLOOKUP($A17,Attendance1!$B:$H,5,FALSE),VLOOKUP($B17,Attendance1!$B:$H,5,FALSE))="","",IFERROR(VLOOKUP($A17,Attendance1!$B:$H,5,FALSE),VLOOKUP($B17,Attendance1!$B:$H,5,FALSE))),"")</f>
        <v>500</v>
      </c>
    </row>
    <row r="18" spans="1:12">
      <c r="A18" t="s">
        <v>18</v>
      </c>
      <c r="B18" t="s">
        <v>18</v>
      </c>
      <c r="C18">
        <v>100858</v>
      </c>
      <c r="D18">
        <v>12220</v>
      </c>
      <c r="E18">
        <f t="shared" si="0"/>
        <v>2015</v>
      </c>
      <c r="F18">
        <f>IFERROR(IF(VLOOKUP(C18,TotalRev1!A:C,3,FALSE)="","",VLOOKUP(C18,TotalRev1!A:C,3,FALSE)),"")</f>
        <v>133233</v>
      </c>
      <c r="G18">
        <f>IFERROR(IF(VLOOKUP(C18,TotalRevL!A:C,3,FALSE)="","",VLOOKUP(C18,TotalRevL!A:C,3,FALSE)),"")</f>
        <v>4599</v>
      </c>
      <c r="H18" s="26">
        <f>IFERROR(IFERROR(VLOOKUP($A18,Winpct1!$A:$K,9,FALSE),VLOOKUP($B18,Winpct1!$A:$K,9,FALSE)),"")</f>
        <v>0.41899999999999998</v>
      </c>
      <c r="I18">
        <f>IFERROR(IFERROR(VLOOKUP($A18,Attendance1!$B:$H,3,FALSE),VLOOKUP($B18,Attendance1!$B:$H,3,FALSE)),"")</f>
        <v>11835</v>
      </c>
      <c r="J18">
        <f>IFERROR(VLOOKUP(D18,'Pop-Metro'!A:R,E18-2005,FALSE),VLOOKUP(D18,'Pop-Micro'!A:R,E18-2005,FALSE))</f>
        <v>160934</v>
      </c>
      <c r="K18">
        <f>IFERROR(VLOOKUP(D18,'PCI-Metro'!A:R,E18-2005,FALSE),VLOOKUP(D18,'PCI-Micro'!A:R,E18-2005,FALSE))</f>
        <v>33834</v>
      </c>
      <c r="L18">
        <f>IFERROR(IF(IFERROR(VLOOKUP($A18,Attendance1!$B:$H,5,FALSE),VLOOKUP($B18,Attendance1!$B:$H,5,FALSE))="","",IFERROR(VLOOKUP($A18,Attendance1!$B:$H,5,FALSE),VLOOKUP($B18,Attendance1!$B:$H,5,FALSE))),"")</f>
        <v>2000</v>
      </c>
    </row>
    <row r="19" spans="1:12">
      <c r="A19" t="s">
        <v>19</v>
      </c>
      <c r="B19" t="s">
        <v>19</v>
      </c>
      <c r="C19">
        <v>219602</v>
      </c>
      <c r="D19">
        <v>17300</v>
      </c>
      <c r="E19">
        <f t="shared" si="0"/>
        <v>2015</v>
      </c>
      <c r="F19">
        <f>IFERROR(IF(VLOOKUP(C19,TotalRev1!A:C,3,FALSE)="","",VLOOKUP(C19,TotalRev1!A:C,3,FALSE)),"")</f>
        <v>8424</v>
      </c>
      <c r="G19">
        <f>IFERROR(IF(VLOOKUP(C19,TotalRevL!A:C,3,FALSE)="","",VLOOKUP(C19,TotalRevL!A:C,3,FALSE)),"")</f>
        <v>8217</v>
      </c>
      <c r="H19" s="26">
        <f>IFERROR(IFERROR(VLOOKUP($A19,Winpct1!$A:$K,9,FALSE),VLOOKUP($B19,Winpct1!$A:$K,9,FALSE)),"")</f>
        <v>0.42399999999999999</v>
      </c>
      <c r="I19">
        <f>IFERROR(IFERROR(VLOOKUP($A19,Attendance1!$B:$H,3,FALSE),VLOOKUP($B19,Attendance1!$B:$H,3,FALSE)),"")</f>
        <v>2860</v>
      </c>
      <c r="J19">
        <f>IFERROR(VLOOKUP(D19,'Pop-Metro'!A:R,E19-2005,FALSE),VLOOKUP(D19,'Pop-Micro'!A:R,E19-2005,FALSE))</f>
        <v>296839</v>
      </c>
      <c r="K19">
        <f>IFERROR(VLOOKUP(D19,'PCI-Metro'!A:R,E19-2005,FALSE),VLOOKUP(D19,'PCI-Micro'!A:R,E19-2005,FALSE))</f>
        <v>38138</v>
      </c>
      <c r="L19">
        <f>IFERROR(IF(IFERROR(VLOOKUP($A19,Attendance1!$B:$H,5,FALSE),VLOOKUP($B19,Attendance1!$B:$H,5,FALSE))="","",IFERROR(VLOOKUP($A19,Attendance1!$B:$H,5,FALSE),VLOOKUP($B19,Attendance1!$B:$H,5,FALSE))),"")</f>
        <v>7257</v>
      </c>
    </row>
    <row r="20" spans="1:12">
      <c r="A20" t="s">
        <v>20</v>
      </c>
      <c r="B20" t="s">
        <v>20</v>
      </c>
      <c r="C20">
        <v>150136</v>
      </c>
      <c r="D20">
        <v>34620</v>
      </c>
      <c r="E20">
        <f t="shared" si="0"/>
        <v>2015</v>
      </c>
      <c r="F20">
        <f>IFERROR(IF(VLOOKUP(C20,TotalRev1!A:C,3,FALSE)="","",VLOOKUP(C20,TotalRev1!A:C,3,FALSE)),"")</f>
        <v>113074</v>
      </c>
      <c r="G20">
        <f>IFERROR(IF(VLOOKUP(C20,TotalRevL!A:C,3,FALSE)="","",VLOOKUP(C20,TotalRevL!A:C,3,FALSE)),"")</f>
        <v>102331</v>
      </c>
      <c r="H20" s="26">
        <f>IFERROR(IFERROR(VLOOKUP($A20,Winpct1!$A:$K,9,FALSE),VLOOKUP($B20,Winpct1!$A:$K,9,FALSE)),"")</f>
        <v>0.56699999999999995</v>
      </c>
      <c r="I20">
        <f>IFERROR(IFERROR(VLOOKUP($A20,Attendance1!$B:$H,3,FALSE),VLOOKUP($B20,Attendance1!$B:$H,3,FALSE)),"")</f>
        <v>6403</v>
      </c>
      <c r="J20">
        <f>IFERROR(VLOOKUP(D20,'Pop-Metro'!A:R,E20-2005,FALSE),VLOOKUP(D20,'Pop-Micro'!A:R,E20-2005,FALSE))</f>
        <v>114914</v>
      </c>
      <c r="K20">
        <f>IFERROR(VLOOKUP(D20,'PCI-Metro'!A:R,E20-2005,FALSE),VLOOKUP(D20,'PCI-Micro'!A:R,E20-2005,FALSE))</f>
        <v>33696</v>
      </c>
      <c r="L20">
        <f>IFERROR(IF(IFERROR(VLOOKUP($A20,Attendance1!$B:$H,5,FALSE),VLOOKUP($B20,Attendance1!$B:$H,5,FALSE))="","",IFERROR(VLOOKUP($A20,Attendance1!$B:$H,5,FALSE),VLOOKUP($B20,Attendance1!$B:$H,5,FALSE))),"")</f>
        <v>11500</v>
      </c>
    </row>
    <row r="21" spans="1:12">
      <c r="A21" t="s">
        <v>21</v>
      </c>
      <c r="B21" t="s">
        <v>21</v>
      </c>
      <c r="C21">
        <v>223232</v>
      </c>
      <c r="D21">
        <v>47380</v>
      </c>
      <c r="E21">
        <f t="shared" si="0"/>
        <v>2015</v>
      </c>
      <c r="F21" t="str">
        <f>IFERROR(IF(VLOOKUP(C21,TotalRev1!A:C,3,FALSE)="","",VLOOKUP(C21,TotalRev1!A:C,3,FALSE)),"")</f>
        <v/>
      </c>
      <c r="G21" t="str">
        <f>IFERROR(IF(VLOOKUP(C21,TotalRevL!A:C,3,FALSE)="","",VLOOKUP(C21,TotalRevL!A:C,3,FALSE)),"")</f>
        <v/>
      </c>
      <c r="H21" s="26">
        <f>IFERROR(IFERROR(VLOOKUP($A21,Winpct1!$A:$K,9,FALSE),VLOOKUP($B21,Winpct1!$A:$K,9,FALSE)),"")</f>
        <v>0.45200000000000001</v>
      </c>
      <c r="I21">
        <f>IFERROR(IFERROR(VLOOKUP($A21,Attendance1!$B:$H,3,FALSE),VLOOKUP($B21,Attendance1!$B:$H,3,FALSE)),"")</f>
        <v>9660</v>
      </c>
      <c r="J21">
        <f>IFERROR(VLOOKUP(D21,'Pop-Metro'!A:R,E21-2005,FALSE),VLOOKUP(D21,'Pop-Micro'!A:R,E21-2005,FALSE))</f>
        <v>263166</v>
      </c>
      <c r="K21">
        <f>IFERROR(VLOOKUP(D21,'PCI-Metro'!A:R,E21-2005,FALSE),VLOOKUP(D21,'PCI-Micro'!A:R,E21-2005,FALSE))</f>
        <v>37209</v>
      </c>
      <c r="L21">
        <f>IFERROR(IF(IFERROR(VLOOKUP($A21,Attendance1!$B:$H,5,FALSE),VLOOKUP($B21,Attendance1!$B:$H,5,FALSE))="","",IFERROR(VLOOKUP($A21,Attendance1!$B:$H,5,FALSE),VLOOKUP($B21,Attendance1!$B:$H,5,FALSE))),"")</f>
        <v>10080</v>
      </c>
    </row>
    <row r="22" spans="1:12">
      <c r="A22" t="s">
        <v>22</v>
      </c>
      <c r="B22" t="s">
        <v>22</v>
      </c>
      <c r="C22">
        <v>219709</v>
      </c>
      <c r="D22">
        <v>34980</v>
      </c>
      <c r="E22">
        <f t="shared" si="0"/>
        <v>2015</v>
      </c>
      <c r="F22" t="str">
        <f>IFERROR(IF(VLOOKUP(C22,TotalRev1!A:C,3,FALSE)="","",VLOOKUP(C22,TotalRev1!A:C,3,FALSE)),"")</f>
        <v/>
      </c>
      <c r="G22" t="str">
        <f>IFERROR(IF(VLOOKUP(C22,TotalRevL!A:C,3,FALSE)="","",VLOOKUP(C22,TotalRevL!A:C,3,FALSE)),"")</f>
        <v/>
      </c>
      <c r="H22" s="26">
        <f>IFERROR(IFERROR(VLOOKUP($A22,Winpct1!$A:$K,9,FALSE),VLOOKUP($B22,Winpct1!$A:$K,9,FALSE)),"")</f>
        <v>0.57599999999999996</v>
      </c>
      <c r="I22">
        <f>IFERROR(IFERROR(VLOOKUP($A22,Attendance1!$B:$H,3,FALSE),VLOOKUP($B22,Attendance1!$B:$H,3,FALSE)),"")</f>
        <v>4978</v>
      </c>
      <c r="J22">
        <f>IFERROR(VLOOKUP(D22,'Pop-Metro'!A:R,E22-2005,FALSE),VLOOKUP(D22,'Pop-Micro'!A:R,E22-2005,FALSE))</f>
        <v>1822874</v>
      </c>
      <c r="K22">
        <f>IFERROR(VLOOKUP(D22,'PCI-Metro'!A:R,E22-2005,FALSE),VLOOKUP(D22,'PCI-Micro'!A:R,E22-2005,FALSE))</f>
        <v>50712</v>
      </c>
      <c r="L22">
        <f>IFERROR(IF(IFERROR(VLOOKUP($A22,Attendance1!$B:$H,5,FALSE),VLOOKUP($B22,Attendance1!$B:$H,5,FALSE))="","",IFERROR(VLOOKUP($A22,Attendance1!$B:$H,5,FALSE),VLOOKUP($B22,Attendance1!$B:$H,5,FALSE))),"")</f>
        <v>5000</v>
      </c>
    </row>
    <row r="23" spans="1:12">
      <c r="A23" t="s">
        <v>23</v>
      </c>
      <c r="B23" t="s">
        <v>23</v>
      </c>
      <c r="C23">
        <v>132602</v>
      </c>
      <c r="D23">
        <v>19660</v>
      </c>
      <c r="E23">
        <f t="shared" si="0"/>
        <v>2015</v>
      </c>
      <c r="F23" t="str">
        <f>IFERROR(IF(VLOOKUP(C23,TotalRev1!A:C,3,FALSE)="","",VLOOKUP(C23,TotalRev1!A:C,3,FALSE)),"")</f>
        <v/>
      </c>
      <c r="G23" t="str">
        <f>IFERROR(IF(VLOOKUP(C23,TotalRevL!A:C,3,FALSE)="","",VLOOKUP(C23,TotalRevL!A:C,3,FALSE)),"")</f>
        <v/>
      </c>
      <c r="H23" s="26">
        <f>IFERROR(IFERROR(VLOOKUP($A23,Winpct1!$A:$K,9,FALSE),VLOOKUP($B23,Winpct1!$A:$K,9,FALSE)),"")</f>
        <v>0.33300000000000002</v>
      </c>
      <c r="I23">
        <f>IFERROR(IFERROR(VLOOKUP($A23,Attendance1!$B:$H,3,FALSE),VLOOKUP($B23,Attendance1!$B:$H,3,FALSE)),"")</f>
        <v>2281</v>
      </c>
      <c r="J23">
        <f>IFERROR(VLOOKUP(D23,'Pop-Metro'!A:R,E23-2005,FALSE),VLOOKUP(D23,'Pop-Micro'!A:R,E23-2005,FALSE))</f>
        <v>617539</v>
      </c>
      <c r="K23">
        <f>IFERROR(VLOOKUP(D23,'PCI-Metro'!A:R,E23-2005,FALSE),VLOOKUP(D23,'PCI-Micro'!A:R,E23-2005,FALSE))</f>
        <v>38482</v>
      </c>
      <c r="L23">
        <f>IFERROR(IF(IFERROR(VLOOKUP($A23,Attendance1!$B:$H,5,FALSE),VLOOKUP($B23,Attendance1!$B:$H,5,FALSE))="","",IFERROR(VLOOKUP($A23,Attendance1!$B:$H,5,FALSE),VLOOKUP($B23,Attendance1!$B:$H,5,FALSE))),"")</f>
        <v>3000</v>
      </c>
    </row>
    <row r="24" spans="1:12">
      <c r="A24" t="s">
        <v>24</v>
      </c>
      <c r="B24" t="s">
        <v>24</v>
      </c>
      <c r="C24">
        <v>196079</v>
      </c>
      <c r="D24">
        <v>13780</v>
      </c>
      <c r="E24">
        <f t="shared" si="0"/>
        <v>2015</v>
      </c>
      <c r="F24">
        <f>IFERROR(IF(VLOOKUP(C24,TotalRev1!A:C,3,FALSE)="","",VLOOKUP(C24,TotalRev1!A:C,3,FALSE)),"")</f>
        <v>633340</v>
      </c>
      <c r="G24">
        <f>IFERROR(IF(VLOOKUP(C24,TotalRevL!A:C,3,FALSE)="","",VLOOKUP(C24,TotalRevL!A:C,3,FALSE)),"")</f>
        <v>558956</v>
      </c>
      <c r="H24" s="26">
        <f>IFERROR(IFERROR(VLOOKUP($A24,Winpct1!$A:$K,9,FALSE),VLOOKUP($B24,Winpct1!$A:$K,9,FALSE)),"")</f>
        <v>0.31</v>
      </c>
      <c r="I24">
        <f>IFERROR(IFERROR(VLOOKUP($A24,Attendance1!$B:$H,3,FALSE),VLOOKUP($B24,Attendance1!$B:$H,3,FALSE)),"")</f>
        <v>1382</v>
      </c>
      <c r="J24">
        <f>IFERROR(VLOOKUP(D24,'Pop-Metro'!A:R,E24-2005,FALSE),VLOOKUP(D24,'Pop-Micro'!A:R,E24-2005,FALSE))</f>
        <v>250330</v>
      </c>
      <c r="K24">
        <f>IFERROR(VLOOKUP(D24,'PCI-Metro'!A:R,E24-2005,FALSE),VLOOKUP(D24,'PCI-Micro'!A:R,E24-2005,FALSE))</f>
        <v>38483</v>
      </c>
      <c r="L24">
        <f>IFERROR(IF(IFERROR(VLOOKUP($A24,Attendance1!$B:$H,5,FALSE),VLOOKUP($B24,Attendance1!$B:$H,5,FALSE))="","",IFERROR(VLOOKUP($A24,Attendance1!$B:$H,5,FALSE),VLOOKUP($B24,Attendance1!$B:$H,5,FALSE))),"")</f>
        <v>1135</v>
      </c>
    </row>
    <row r="25" spans="1:12">
      <c r="A25" t="s">
        <v>25</v>
      </c>
      <c r="B25" t="s">
        <v>25</v>
      </c>
      <c r="C25">
        <v>142115</v>
      </c>
      <c r="D25">
        <v>14260</v>
      </c>
      <c r="E25">
        <f t="shared" si="0"/>
        <v>2015</v>
      </c>
      <c r="F25">
        <f>IFERROR(IF(VLOOKUP(C25,TotalRev1!A:C,3,FALSE)="","",VLOOKUP(C25,TotalRev1!A:C,3,FALSE)),"")</f>
        <v>307432</v>
      </c>
      <c r="G25">
        <f>IFERROR(IF(VLOOKUP(C25,TotalRevL!A:C,3,FALSE)="","",VLOOKUP(C25,TotalRevL!A:C,3,FALSE)),"")</f>
        <v>412975</v>
      </c>
      <c r="H25" s="26">
        <f>IFERROR(IFERROR(VLOOKUP($A25,Winpct1!$A:$K,9,FALSE),VLOOKUP($B25,Winpct1!$A:$K,9,FALSE)),"")</f>
        <v>0.6</v>
      </c>
      <c r="I25">
        <f>IFERROR(IFERROR(VLOOKUP($A25,Attendance1!$B:$H,3,FALSE),VLOOKUP($B25,Attendance1!$B:$H,3,FALSE)),"")</f>
        <v>7150</v>
      </c>
      <c r="J25">
        <f>IFERROR(VLOOKUP(D25,'Pop-Metro'!A:R,E25-2005,FALSE),VLOOKUP(D25,'Pop-Micro'!A:R,E25-2005,FALSE))</f>
        <v>674981</v>
      </c>
      <c r="K25">
        <f>IFERROR(VLOOKUP(D25,'PCI-Metro'!A:R,E25-2005,FALSE),VLOOKUP(D25,'PCI-Micro'!A:R,E25-2005,FALSE))</f>
        <v>40694</v>
      </c>
      <c r="L25">
        <f>IFERROR(IF(IFERROR(VLOOKUP($A25,Attendance1!$B:$H,5,FALSE),VLOOKUP($B25,Attendance1!$B:$H,5,FALSE))="","",IFERROR(VLOOKUP($A25,Attendance1!$B:$H,5,FALSE),VLOOKUP($B25,Attendance1!$B:$H,5,FALSE))),"")</f>
        <v>1400</v>
      </c>
    </row>
    <row r="26" spans="1:12">
      <c r="A26" t="s">
        <v>26</v>
      </c>
      <c r="B26" t="s">
        <v>26</v>
      </c>
      <c r="C26">
        <v>164924</v>
      </c>
      <c r="D26">
        <v>14460</v>
      </c>
      <c r="E26">
        <f t="shared" si="0"/>
        <v>2015</v>
      </c>
      <c r="F26" t="str">
        <f>IFERROR(IF(VLOOKUP(C26,TotalRev1!A:C,3,FALSE)="","",VLOOKUP(C26,TotalRev1!A:C,3,FALSE)),"")</f>
        <v/>
      </c>
      <c r="G26" t="str">
        <f>IFERROR(IF(VLOOKUP(C26,TotalRevL!A:C,3,FALSE)="","",VLOOKUP(C26,TotalRevL!A:C,3,FALSE)),"")</f>
        <v/>
      </c>
      <c r="H26" s="26">
        <f>IFERROR(IFERROR(VLOOKUP($A26,Winpct1!$A:$K,9,FALSE),VLOOKUP($B26,Winpct1!$A:$K,9,FALSE)),"")</f>
        <v>0.379</v>
      </c>
      <c r="I26">
        <f>IFERROR(IFERROR(VLOOKUP($A26,Attendance1!$B:$H,3,FALSE),VLOOKUP($B26,Attendance1!$B:$H,3,FALSE)),"")</f>
        <v>3921</v>
      </c>
      <c r="J26">
        <f>IFERROR(VLOOKUP(D26,'Pop-Metro'!A:R,E26-2005,FALSE),VLOOKUP(D26,'Pop-Micro'!A:R,E26-2005,FALSE))</f>
        <v>4812312</v>
      </c>
      <c r="K26">
        <f>IFERROR(VLOOKUP(D26,'PCI-Metro'!A:R,E26-2005,FALSE),VLOOKUP(D26,'PCI-Micro'!A:R,E26-2005,FALSE))</f>
        <v>67506</v>
      </c>
      <c r="L26">
        <f>IFERROR(IF(IFERROR(VLOOKUP($A26,Attendance1!$B:$H,5,FALSE),VLOOKUP($B26,Attendance1!$B:$H,5,FALSE))="","",IFERROR(VLOOKUP($A26,Attendance1!$B:$H,5,FALSE),VLOOKUP($B26,Attendance1!$B:$H,5,FALSE))),"")</f>
        <v>1000</v>
      </c>
    </row>
    <row r="27" spans="1:12">
      <c r="A27" t="s">
        <v>27</v>
      </c>
      <c r="B27" t="s">
        <v>27</v>
      </c>
      <c r="C27">
        <v>164988</v>
      </c>
      <c r="D27">
        <v>14380</v>
      </c>
      <c r="E27">
        <f t="shared" si="0"/>
        <v>2015</v>
      </c>
      <c r="F27" t="str">
        <f>IFERROR(IF(VLOOKUP(C27,TotalRev1!A:C,3,FALSE)="","",VLOOKUP(C27,TotalRev1!A:C,3,FALSE)),"")</f>
        <v/>
      </c>
      <c r="G27" t="str">
        <f>IFERROR(IF(VLOOKUP(C27,TotalRevL!A:C,3,FALSE)="","",VLOOKUP(C27,TotalRevL!A:C,3,FALSE)),"")</f>
        <v/>
      </c>
      <c r="H27" s="26" t="str">
        <f>IFERROR(IFERROR(VLOOKUP($A27,Winpct1!$A:$K,9,FALSE),VLOOKUP($B27,Winpct1!$A:$K,9,FALSE)),"")</f>
        <v/>
      </c>
      <c r="I27" t="str">
        <f>IFERROR(IFERROR(VLOOKUP($A27,Attendance1!$B:$H,3,FALSE),VLOOKUP($B27,Attendance1!$B:$H,3,FALSE)),"")</f>
        <v/>
      </c>
      <c r="J27">
        <f>IFERROR(VLOOKUP(D27,'Pop-Metro'!A:R,E27-2005,FALSE),VLOOKUP(D27,'Pop-Micro'!A:R,E27-2005,FALSE))</f>
        <v>51985</v>
      </c>
      <c r="K27">
        <f>IFERROR(VLOOKUP(D27,'PCI-Metro'!A:R,E27-2005,FALSE),VLOOKUP(D27,'PCI-Micro'!A:R,E27-2005,FALSE))</f>
        <v>33170</v>
      </c>
      <c r="L27" t="str">
        <f>IFERROR(IF(IFERROR(VLOOKUP($A27,Attendance1!$B:$H,5,FALSE),VLOOKUP($B27,Attendance1!$B:$H,5,FALSE))="","",IFERROR(VLOOKUP($A27,Attendance1!$B:$H,5,FALSE),VLOOKUP($B27,Attendance1!$B:$H,5,FALSE))),"")</f>
        <v/>
      </c>
    </row>
    <row r="28" spans="1:12">
      <c r="A28" t="s">
        <v>28</v>
      </c>
      <c r="B28" t="s">
        <v>28</v>
      </c>
      <c r="C28">
        <v>201441</v>
      </c>
      <c r="D28">
        <v>45780</v>
      </c>
      <c r="E28">
        <f t="shared" si="0"/>
        <v>2015</v>
      </c>
      <c r="F28">
        <f>IFERROR(IF(VLOOKUP(C28,TotalRev1!A:C,3,FALSE)="","",VLOOKUP(C28,TotalRev1!A:C,3,FALSE)),"")</f>
        <v>21666</v>
      </c>
      <c r="G28">
        <f>IFERROR(IF(VLOOKUP(C28,TotalRevL!A:C,3,FALSE)="","",VLOOKUP(C28,TotalRevL!A:C,3,FALSE)),"")</f>
        <v>94957</v>
      </c>
      <c r="H28" s="26">
        <f>IFERROR(IFERROR(VLOOKUP($A28,Winpct1!$A:$K,9,FALSE),VLOOKUP($B28,Winpct1!$A:$K,9,FALSE)),"")</f>
        <v>0.25</v>
      </c>
      <c r="I28">
        <f>IFERROR(IFERROR(VLOOKUP($A28,Attendance1!$B:$H,3,FALSE),VLOOKUP($B28,Attendance1!$B:$H,3,FALSE)),"")</f>
        <v>7651</v>
      </c>
      <c r="J28">
        <f>IFERROR(VLOOKUP(D28,'Pop-Metro'!A:R,E28-2005,FALSE),VLOOKUP(D28,'Pop-Micro'!A:R,E28-2005,FALSE))</f>
        <v>648575</v>
      </c>
      <c r="K28">
        <f>IFERROR(VLOOKUP(D28,'PCI-Metro'!A:R,E28-2005,FALSE),VLOOKUP(D28,'PCI-Micro'!A:R,E28-2005,FALSE))</f>
        <v>42269</v>
      </c>
      <c r="L28">
        <f>IFERROR(IF(IFERROR(VLOOKUP($A28,Attendance1!$B:$H,5,FALSE),VLOOKUP($B28,Attendance1!$B:$H,5,FALSE))="","",IFERROR(VLOOKUP($A28,Attendance1!$B:$H,5,FALSE),VLOOKUP($B28,Attendance1!$B:$H,5,FALSE))),"")</f>
        <v>4387</v>
      </c>
    </row>
    <row r="29" spans="1:12">
      <c r="A29" t="s">
        <v>29</v>
      </c>
      <c r="B29" t="s">
        <v>29</v>
      </c>
      <c r="C29">
        <v>143358</v>
      </c>
      <c r="D29">
        <v>37900</v>
      </c>
      <c r="E29">
        <f t="shared" si="0"/>
        <v>2015</v>
      </c>
      <c r="F29" t="str">
        <f>IFERROR(IF(VLOOKUP(C29,TotalRev1!A:C,3,FALSE)="","",VLOOKUP(C29,TotalRev1!A:C,3,FALSE)),"")</f>
        <v/>
      </c>
      <c r="G29" t="str">
        <f>IFERROR(IF(VLOOKUP(C29,TotalRevL!A:C,3,FALSE)="","",VLOOKUP(C29,TotalRevL!A:C,3,FALSE)),"")</f>
        <v/>
      </c>
      <c r="H29" s="26">
        <f>IFERROR(IFERROR(VLOOKUP($A29,Winpct1!$A:$K,9,FALSE),VLOOKUP($B29,Winpct1!$A:$K,9,FALSE)),"")</f>
        <v>7.0999999999999994E-2</v>
      </c>
      <c r="I29">
        <f>IFERROR(IFERROR(VLOOKUP($A29,Attendance1!$B:$H,3,FALSE),VLOOKUP($B29,Attendance1!$B:$H,3,FALSE)),"")</f>
        <v>4115</v>
      </c>
      <c r="J29">
        <f>IFERROR(VLOOKUP(D29,'Pop-Metro'!A:R,E29-2005,FALSE),VLOOKUP(D29,'Pop-Micro'!A:R,E29-2005,FALSE))</f>
        <v>415407</v>
      </c>
      <c r="K29">
        <f>IFERROR(VLOOKUP(D29,'PCI-Metro'!A:R,E29-2005,FALSE),VLOOKUP(D29,'PCI-Micro'!A:R,E29-2005,FALSE))</f>
        <v>44462</v>
      </c>
      <c r="L29">
        <f>IFERROR(IF(IFERROR(VLOOKUP($A29,Attendance1!$B:$H,5,FALSE),VLOOKUP($B29,Attendance1!$B:$H,5,FALSE))="","",IFERROR(VLOOKUP($A29,Attendance1!$B:$H,5,FALSE),VLOOKUP($B29,Attendance1!$B:$H,5,FALSE))),"")</f>
        <v>4200</v>
      </c>
    </row>
    <row r="30" spans="1:12">
      <c r="A30" t="s">
        <v>30</v>
      </c>
      <c r="B30" t="s">
        <v>30</v>
      </c>
      <c r="C30">
        <v>217156</v>
      </c>
      <c r="D30">
        <v>39300</v>
      </c>
      <c r="E30">
        <f t="shared" si="0"/>
        <v>2015</v>
      </c>
      <c r="F30" t="str">
        <f>IFERROR(IF(VLOOKUP(C30,TotalRev1!A:C,3,FALSE)="","",VLOOKUP(C30,TotalRev1!A:C,3,FALSE)),"")</f>
        <v/>
      </c>
      <c r="G30" t="str">
        <f>IFERROR(IF(VLOOKUP(C30,TotalRevL!A:C,3,FALSE)="","",VLOOKUP(C30,TotalRevL!A:C,3,FALSE)),"")</f>
        <v/>
      </c>
      <c r="H30" s="26">
        <f>IFERROR(IFERROR(VLOOKUP($A30,Winpct1!$A:$K,9,FALSE),VLOOKUP($B30,Winpct1!$A:$K,9,FALSE)),"")</f>
        <v>0.46200000000000002</v>
      </c>
      <c r="I30">
        <f>IFERROR(IFERROR(VLOOKUP($A30,Attendance1!$B:$H,3,FALSE),VLOOKUP($B30,Attendance1!$B:$H,3,FALSE)),"")</f>
        <v>1631</v>
      </c>
      <c r="J30">
        <f>IFERROR(VLOOKUP(D30,'Pop-Metro'!A:R,E30-2005,FALSE),VLOOKUP(D30,'Pop-Micro'!A:R,E30-2005,FALSE))</f>
        <v>1640944</v>
      </c>
      <c r="K30">
        <f>IFERROR(VLOOKUP(D30,'PCI-Metro'!A:R,E30-2005,FALSE),VLOOKUP(D30,'PCI-Micro'!A:R,E30-2005,FALSE))</f>
        <v>47714</v>
      </c>
      <c r="L30">
        <f>IFERROR(IF(IFERROR(VLOOKUP($A30,Attendance1!$B:$H,5,FALSE),VLOOKUP($B30,Attendance1!$B:$H,5,FALSE))="","",IFERROR(VLOOKUP($A30,Attendance1!$B:$H,5,FALSE),VLOOKUP($B30,Attendance1!$B:$H,5,FALSE))),"")</f>
        <v>3100</v>
      </c>
    </row>
    <row r="31" spans="1:12">
      <c r="A31" t="s">
        <v>31</v>
      </c>
      <c r="B31" t="s">
        <v>31</v>
      </c>
      <c r="C31">
        <v>217165</v>
      </c>
      <c r="D31">
        <v>39300</v>
      </c>
      <c r="E31">
        <f t="shared" si="0"/>
        <v>2015</v>
      </c>
      <c r="F31" t="str">
        <f>IFERROR(IF(VLOOKUP(C31,TotalRev1!A:C,3,FALSE)="","",VLOOKUP(C31,TotalRev1!A:C,3,FALSE)),"")</f>
        <v/>
      </c>
      <c r="G31" t="str">
        <f>IFERROR(IF(VLOOKUP(C31,TotalRevL!A:C,3,FALSE)="","",VLOOKUP(C31,TotalRevL!A:C,3,FALSE)),"")</f>
        <v/>
      </c>
      <c r="H31" s="26">
        <f>IFERROR(IFERROR(VLOOKUP($A31,Winpct1!$A:$K,9,FALSE),VLOOKUP($B31,Winpct1!$A:$K,9,FALSE)),"")</f>
        <v>0.35299999999999998</v>
      </c>
      <c r="I31">
        <f>IFERROR(IFERROR(VLOOKUP($A31,Attendance1!$B:$H,3,FALSE),VLOOKUP($B31,Attendance1!$B:$H,3,FALSE)),"")</f>
        <v>4157</v>
      </c>
      <c r="J31">
        <f>IFERROR(VLOOKUP(D31,'Pop-Metro'!A:R,E31-2005,FALSE),VLOOKUP(D31,'Pop-Micro'!A:R,E31-2005,FALSE))</f>
        <v>1640944</v>
      </c>
      <c r="K31">
        <f>IFERROR(VLOOKUP(D31,'PCI-Metro'!A:R,E31-2005,FALSE),VLOOKUP(D31,'PCI-Micro'!A:R,E31-2005,FALSE))</f>
        <v>47714</v>
      </c>
      <c r="L31">
        <f>IFERROR(IF(IFERROR(VLOOKUP($A31,Attendance1!$B:$H,5,FALSE),VLOOKUP($B31,Attendance1!$B:$H,5,FALSE))="","",IFERROR(VLOOKUP($A31,Attendance1!$B:$H,5,FALSE),VLOOKUP($B31,Attendance1!$B:$H,5,FALSE))),"")</f>
        <v>2800</v>
      </c>
    </row>
    <row r="32" spans="1:12">
      <c r="A32" t="s">
        <v>32</v>
      </c>
      <c r="B32" t="s">
        <v>32</v>
      </c>
      <c r="C32">
        <v>211291</v>
      </c>
      <c r="D32">
        <v>30260</v>
      </c>
      <c r="E32">
        <f t="shared" si="0"/>
        <v>2015</v>
      </c>
      <c r="F32" t="str">
        <f>IFERROR(IF(VLOOKUP(C32,TotalRev1!A:C,3,FALSE)="","",VLOOKUP(C32,TotalRev1!A:C,3,FALSE)),"")</f>
        <v/>
      </c>
      <c r="G32" t="str">
        <f>IFERROR(IF(VLOOKUP(C32,TotalRevL!A:C,3,FALSE)="","",VLOOKUP(C32,TotalRevL!A:C,3,FALSE)),"")</f>
        <v/>
      </c>
      <c r="H32" s="26">
        <f>IFERROR(IFERROR(VLOOKUP($A32,Winpct1!$A:$K,9,FALSE),VLOOKUP($B32,Winpct1!$A:$K,9,FALSE)),"")</f>
        <v>0.28000000000000003</v>
      </c>
      <c r="I32">
        <f>IFERROR(IFERROR(VLOOKUP($A32,Attendance1!$B:$H,3,FALSE),VLOOKUP($B32,Attendance1!$B:$H,3,FALSE)),"")</f>
        <v>1800</v>
      </c>
      <c r="J32">
        <f>IFERROR(VLOOKUP(D32,'Pop-Metro'!A:R,E32-2005,FALSE),VLOOKUP(D32,'Pop-Micro'!A:R,E32-2005,FALSE))</f>
        <v>44700</v>
      </c>
      <c r="K32">
        <f>IFERROR(VLOOKUP(D32,'PCI-Metro'!A:R,E32-2005,FALSE),VLOOKUP(D32,'PCI-Micro'!A:R,E32-2005,FALSE))</f>
        <v>35688</v>
      </c>
      <c r="L32">
        <f>IFERROR(IF(IFERROR(VLOOKUP($A32,Attendance1!$B:$H,5,FALSE),VLOOKUP($B32,Attendance1!$B:$H,5,FALSE))="","",IFERROR(VLOOKUP($A32,Attendance1!$B:$H,5,FALSE),VLOOKUP($B32,Attendance1!$B:$H,5,FALSE))),"")</f>
        <v>2300</v>
      </c>
    </row>
    <row r="33" spans="1:12">
      <c r="A33" t="s">
        <v>33</v>
      </c>
      <c r="B33" t="s">
        <v>33</v>
      </c>
      <c r="C33">
        <v>196088</v>
      </c>
      <c r="D33">
        <v>15380</v>
      </c>
      <c r="E33">
        <f t="shared" si="0"/>
        <v>2015</v>
      </c>
      <c r="F33">
        <f>IFERROR(IF(VLOOKUP(C33,TotalRev1!A:C,3,FALSE)="","",VLOOKUP(C33,TotalRev1!A:C,3,FALSE)),"")</f>
        <v>891145</v>
      </c>
      <c r="G33">
        <f>IFERROR(IF(VLOOKUP(C33,TotalRevL!A:C,3,FALSE)="","",VLOOKUP(C33,TotalRevL!A:C,3,FALSE)),"")</f>
        <v>781367</v>
      </c>
      <c r="H33" s="26">
        <f>IFERROR(IFERROR(VLOOKUP($A33,Winpct1!$A:$K,9,FALSE),VLOOKUP($B33,Winpct1!$A:$K,9,FALSE)),"")</f>
        <v>0.53100000000000003</v>
      </c>
      <c r="I33">
        <f>IFERROR(IFERROR(VLOOKUP($A33,Attendance1!$B:$H,3,FALSE),VLOOKUP($B33,Attendance1!$B:$H,3,FALSE)),"")</f>
        <v>3338</v>
      </c>
      <c r="J33">
        <f>IFERROR(VLOOKUP(D33,'Pop-Metro'!A:R,E33-2005,FALSE),VLOOKUP(D33,'Pop-Micro'!A:R,E33-2005,FALSE))</f>
        <v>1154153</v>
      </c>
      <c r="K33">
        <f>IFERROR(VLOOKUP(D33,'PCI-Metro'!A:R,E33-2005,FALSE),VLOOKUP(D33,'PCI-Micro'!A:R,E33-2005,FALSE))</f>
        <v>43594</v>
      </c>
      <c r="L33">
        <f>IFERROR(IF(IFERROR(VLOOKUP($A33,Attendance1!$B:$H,5,FALSE),VLOOKUP($B33,Attendance1!$B:$H,5,FALSE))="","",IFERROR(VLOOKUP($A33,Attendance1!$B:$H,5,FALSE),VLOOKUP($B33,Attendance1!$B:$H,5,FALSE))),"")</f>
        <v>6100</v>
      </c>
    </row>
    <row r="34" spans="1:12">
      <c r="A34" t="s">
        <v>34</v>
      </c>
      <c r="B34" t="s">
        <v>34</v>
      </c>
      <c r="C34">
        <v>150163</v>
      </c>
      <c r="D34">
        <v>26900</v>
      </c>
      <c r="E34">
        <f t="shared" si="0"/>
        <v>2015</v>
      </c>
      <c r="F34" t="str">
        <f>IFERROR(IF(VLOOKUP(C34,TotalRev1!A:C,3,FALSE)="","",VLOOKUP(C34,TotalRev1!A:C,3,FALSE)),"")</f>
        <v/>
      </c>
      <c r="G34" t="str">
        <f>IFERROR(IF(VLOOKUP(C34,TotalRevL!A:C,3,FALSE)="","",VLOOKUP(C34,TotalRevL!A:C,3,FALSE)),"")</f>
        <v/>
      </c>
      <c r="H34" s="26">
        <f>IFERROR(IFERROR(VLOOKUP($A34,Winpct1!$A:$K,9,FALSE),VLOOKUP($B34,Winpct1!$A:$K,9,FALSE)),"")</f>
        <v>0.66700000000000004</v>
      </c>
      <c r="I34">
        <f>IFERROR(IFERROR(VLOOKUP($A34,Attendance1!$B:$H,3,FALSE),VLOOKUP($B34,Attendance1!$B:$H,3,FALSE)),"")</f>
        <v>4356</v>
      </c>
      <c r="J34">
        <f>IFERROR(VLOOKUP(D34,'Pop-Metro'!A:R,E34-2005,FALSE),VLOOKUP(D34,'Pop-Micro'!A:R,E34-2005,FALSE))</f>
        <v>1998456</v>
      </c>
      <c r="K34">
        <f>IFERROR(VLOOKUP(D34,'PCI-Metro'!A:R,E34-2005,FALSE),VLOOKUP(D34,'PCI-Micro'!A:R,E34-2005,FALSE))</f>
        <v>48593</v>
      </c>
      <c r="L34">
        <f>IFERROR(IF(IFERROR(VLOOKUP($A34,Attendance1!$B:$H,5,FALSE),VLOOKUP($B34,Attendance1!$B:$H,5,FALSE))="","",IFERROR(VLOOKUP($A34,Attendance1!$B:$H,5,FALSE),VLOOKUP($B34,Attendance1!$B:$H,5,FALSE))),"")</f>
        <v>10000</v>
      </c>
    </row>
    <row r="35" spans="1:12">
      <c r="A35" t="s">
        <v>35</v>
      </c>
      <c r="B35" t="s">
        <v>35</v>
      </c>
      <c r="C35">
        <v>230038</v>
      </c>
      <c r="D35">
        <v>39340</v>
      </c>
      <c r="E35">
        <f t="shared" si="0"/>
        <v>2015</v>
      </c>
      <c r="F35" t="str">
        <f>IFERROR(IF(VLOOKUP(C35,TotalRev1!A:C,3,FALSE)="","",VLOOKUP(C35,TotalRev1!A:C,3,FALSE)),"")</f>
        <v/>
      </c>
      <c r="G35" t="str">
        <f>IFERROR(IF(VLOOKUP(C35,TotalRevL!A:C,3,FALSE)="","",VLOOKUP(C35,TotalRevL!A:C,3,FALSE)),"")</f>
        <v/>
      </c>
      <c r="H35" s="26">
        <f>IFERROR(IFERROR(VLOOKUP($A35,Winpct1!$A:$K,9,FALSE),VLOOKUP($B35,Winpct1!$A:$K,9,FALSE)),"")</f>
        <v>0.85699999999999998</v>
      </c>
      <c r="I35">
        <f>IFERROR(IFERROR(VLOOKUP($A35,Attendance1!$B:$H,3,FALSE),VLOOKUP($B35,Attendance1!$B:$H,3,FALSE)),"")</f>
        <v>20649</v>
      </c>
      <c r="J35">
        <f>IFERROR(VLOOKUP(D35,'Pop-Metro'!A:R,E35-2005,FALSE),VLOOKUP(D35,'Pop-Micro'!A:R,E35-2005,FALSE))</f>
        <v>589239</v>
      </c>
      <c r="K35">
        <f>IFERROR(VLOOKUP(D35,'PCI-Metro'!A:R,E35-2005,FALSE),VLOOKUP(D35,'PCI-Micro'!A:R,E35-2005,FALSE))</f>
        <v>34752</v>
      </c>
      <c r="L35">
        <f>IFERROR(IF(IFERROR(VLOOKUP($A35,Attendance1!$B:$H,5,FALSE),VLOOKUP($B35,Attendance1!$B:$H,5,FALSE))="","",IFERROR(VLOOKUP($A35,Attendance1!$B:$H,5,FALSE),VLOOKUP($B35,Attendance1!$B:$H,5,FALSE))),"")</f>
        <v>5000</v>
      </c>
    </row>
    <row r="36" spans="1:12">
      <c r="A36" t="s">
        <v>36</v>
      </c>
      <c r="B36" t="s">
        <v>36</v>
      </c>
      <c r="C36">
        <v>110422</v>
      </c>
      <c r="D36">
        <v>42020</v>
      </c>
      <c r="E36">
        <f t="shared" si="0"/>
        <v>2015</v>
      </c>
      <c r="F36">
        <f>IFERROR(IF(VLOOKUP(C36,TotalRev1!A:C,3,FALSE)="","",VLOOKUP(C36,TotalRev1!A:C,3,FALSE)),"")</f>
        <v>72889</v>
      </c>
      <c r="G36">
        <f>IFERROR(IF(VLOOKUP(C36,TotalRevL!A:C,3,FALSE)="","",VLOOKUP(C36,TotalRevL!A:C,3,FALSE)),"")</f>
        <v>97042</v>
      </c>
      <c r="H36" s="26">
        <f>IFERROR(IFERROR(VLOOKUP($A36,Winpct1!$A:$K,9,FALSE),VLOOKUP($B36,Winpct1!$A:$K,9,FALSE)),"")</f>
        <v>0.34599999999999997</v>
      </c>
      <c r="I36">
        <f>IFERROR(IFERROR(VLOOKUP($A36,Attendance1!$B:$H,3,FALSE),VLOOKUP($B36,Attendance1!$B:$H,3,FALSE)),"")</f>
        <v>6217</v>
      </c>
      <c r="J36">
        <f>IFERROR(VLOOKUP(D36,'Pop-Metro'!A:R,E36-2005,FALSE),VLOOKUP(D36,'Pop-Micro'!A:R,E36-2005,FALSE))</f>
        <v>280088</v>
      </c>
      <c r="K36">
        <f>IFERROR(VLOOKUP(D36,'PCI-Metro'!A:R,E36-2005,FALSE),VLOOKUP(D36,'PCI-Micro'!A:R,E36-2005,FALSE))</f>
        <v>49914</v>
      </c>
      <c r="L36">
        <f>IFERROR(IF(IFERROR(VLOOKUP($A36,Attendance1!$B:$H,5,FALSE),VLOOKUP($B36,Attendance1!$B:$H,5,FALSE))="","",IFERROR(VLOOKUP($A36,Attendance1!$B:$H,5,FALSE),VLOOKUP($B36,Attendance1!$B:$H,5,FALSE))),"")</f>
        <v>3032</v>
      </c>
    </row>
    <row r="37" spans="1:12">
      <c r="A37" t="s">
        <v>37</v>
      </c>
      <c r="B37" t="s">
        <v>37</v>
      </c>
      <c r="C37">
        <v>110565</v>
      </c>
      <c r="D37">
        <v>31080</v>
      </c>
      <c r="E37">
        <f t="shared" si="0"/>
        <v>2015</v>
      </c>
      <c r="F37">
        <f>IFERROR(IF(VLOOKUP(C37,TotalRev1!A:C,3,FALSE)="","",VLOOKUP(C37,TotalRev1!A:C,3,FALSE)),"")</f>
        <v>626540</v>
      </c>
      <c r="G37">
        <f>IFERROR(IF(VLOOKUP(C37,TotalRevL!A:C,3,FALSE)="","",VLOOKUP(C37,TotalRevL!A:C,3,FALSE)),"")</f>
        <v>579557</v>
      </c>
      <c r="H37" s="26">
        <f>IFERROR(IFERROR(VLOOKUP($A37,Winpct1!$A:$K,9,FALSE),VLOOKUP($B37,Winpct1!$A:$K,9,FALSE)),"")</f>
        <v>0.27600000000000002</v>
      </c>
      <c r="I37">
        <f>IFERROR(IFERROR(VLOOKUP($A37,Attendance1!$B:$H,3,FALSE),VLOOKUP($B37,Attendance1!$B:$H,3,FALSE)),"")</f>
        <v>5110</v>
      </c>
      <c r="J37">
        <f>IFERROR(VLOOKUP(D37,'Pop-Metro'!A:R,E37-2005,FALSE),VLOOKUP(D37,'Pop-Micro'!A:R,E37-2005,FALSE))</f>
        <v>13256931</v>
      </c>
      <c r="K37">
        <f>IFERROR(VLOOKUP(D37,'PCI-Metro'!A:R,E37-2005,FALSE),VLOOKUP(D37,'PCI-Micro'!A:R,E37-2005,FALSE))</f>
        <v>54538</v>
      </c>
      <c r="L37">
        <f>IFERROR(IF(IFERROR(VLOOKUP($A37,Attendance1!$B:$H,5,FALSE),VLOOKUP($B37,Attendance1!$B:$H,5,FALSE))="","",IFERROR(VLOOKUP($A37,Attendance1!$B:$H,5,FALSE),VLOOKUP($B37,Attendance1!$B:$H,5,FALSE))),"")</f>
        <v>4000</v>
      </c>
    </row>
    <row r="38" spans="1:12">
      <c r="A38" t="s">
        <v>38</v>
      </c>
      <c r="B38" t="s">
        <v>38</v>
      </c>
      <c r="C38">
        <v>110635</v>
      </c>
      <c r="D38">
        <v>41860</v>
      </c>
      <c r="E38">
        <f t="shared" si="0"/>
        <v>2015</v>
      </c>
      <c r="F38">
        <f>IFERROR(IF(VLOOKUP(C38,TotalRev1!A:C,3,FALSE)="","",VLOOKUP(C38,TotalRev1!A:C,3,FALSE)),"")</f>
        <v>603826</v>
      </c>
      <c r="G38">
        <f>IFERROR(IF(VLOOKUP(C38,TotalRevL!A:C,3,FALSE)="","",VLOOKUP(C38,TotalRevL!A:C,3,FALSE)),"")</f>
        <v>898719</v>
      </c>
      <c r="H38" s="26">
        <f>IFERROR(IFERROR(VLOOKUP($A38,Winpct1!$A:$K,9,FALSE),VLOOKUP($B38,Winpct1!$A:$K,9,FALSE)),"")</f>
        <v>0.33300000000000002</v>
      </c>
      <c r="I38">
        <f>IFERROR(IFERROR(VLOOKUP($A38,Attendance1!$B:$H,3,FALSE),VLOOKUP($B38,Attendance1!$B:$H,3,FALSE)),"")</f>
        <v>9197</v>
      </c>
      <c r="J38">
        <f>IFERROR(VLOOKUP(D38,'Pop-Metro'!A:R,E38-2005,FALSE),VLOOKUP(D38,'Pop-Micro'!A:R,E38-2005,FALSE))</f>
        <v>4669035</v>
      </c>
      <c r="K38">
        <f>IFERROR(VLOOKUP(D38,'PCI-Metro'!A:R,E38-2005,FALSE),VLOOKUP(D38,'PCI-Micro'!A:R,E38-2005,FALSE))</f>
        <v>79560</v>
      </c>
      <c r="L38">
        <f>IFERROR(IF(IFERROR(VLOOKUP($A38,Attendance1!$B:$H,5,FALSE),VLOOKUP($B38,Attendance1!$B:$H,5,FALSE))="","",IFERROR(VLOOKUP($A38,Attendance1!$B:$H,5,FALSE),VLOOKUP($B38,Attendance1!$B:$H,5,FALSE))),"")</f>
        <v>11877</v>
      </c>
    </row>
    <row r="39" spans="1:12">
      <c r="A39" t="s">
        <v>1255</v>
      </c>
      <c r="B39" t="s">
        <v>1255</v>
      </c>
      <c r="C39">
        <v>110361</v>
      </c>
      <c r="D39">
        <v>40140</v>
      </c>
      <c r="E39">
        <f t="shared" si="0"/>
        <v>2015</v>
      </c>
      <c r="F39" t="str">
        <f>IFERROR(IF(VLOOKUP(C39,TotalRev1!A:C,3,FALSE)="","",VLOOKUP(C39,TotalRev1!A:C,3,FALSE)),"")</f>
        <v/>
      </c>
      <c r="G39" t="str">
        <f>IFERROR(IF(VLOOKUP(C39,TotalRevL!A:C,3,FALSE)="","",VLOOKUP(C39,TotalRevL!A:C,3,FALSE)),"")</f>
        <v/>
      </c>
      <c r="H39" s="26" t="str">
        <f>IFERROR(IFERROR(VLOOKUP($A39,Winpct1!$A:$K,9,FALSE),VLOOKUP($B39,Winpct1!$A:$K,9,FALSE)),"")</f>
        <v/>
      </c>
      <c r="I39" t="str">
        <f>IFERROR(IFERROR(VLOOKUP($A39,Attendance1!$B:$H,3,FALSE),VLOOKUP($B39,Attendance1!$B:$H,3,FALSE)),"")</f>
        <v/>
      </c>
      <c r="J39">
        <f>IFERROR(VLOOKUP(D39,'Pop-Metro'!A:R,E39-2005,FALSE),VLOOKUP(D39,'Pop-Micro'!A:R,E39-2005,FALSE))</f>
        <v>4422911</v>
      </c>
      <c r="K39">
        <f>IFERROR(VLOOKUP(D39,'PCI-Metro'!A:R,E39-2005,FALSE),VLOOKUP(D39,'PCI-Micro'!A:R,E39-2005,FALSE))</f>
        <v>35917</v>
      </c>
      <c r="L39" t="str">
        <f>IFERROR(IF(IFERROR(VLOOKUP($A39,Attendance1!$B:$H,5,FALSE),VLOOKUP($B39,Attendance1!$B:$H,5,FALSE))="","",IFERROR(VLOOKUP($A39,Attendance1!$B:$H,5,FALSE),VLOOKUP($B39,Attendance1!$B:$H,5,FALSE))),"")</f>
        <v/>
      </c>
    </row>
    <row r="40" spans="1:12">
      <c r="A40" t="s">
        <v>39</v>
      </c>
      <c r="B40" t="s">
        <v>39</v>
      </c>
      <c r="C40">
        <v>198136</v>
      </c>
      <c r="D40">
        <v>15820</v>
      </c>
      <c r="E40">
        <f t="shared" si="0"/>
        <v>2015</v>
      </c>
      <c r="F40" t="str">
        <f>IFERROR(IF(VLOOKUP(C40,TotalRev1!A:C,3,FALSE)="","",VLOOKUP(C40,TotalRev1!A:C,3,FALSE)),"")</f>
        <v/>
      </c>
      <c r="G40" t="str">
        <f>IFERROR(IF(VLOOKUP(C40,TotalRevL!A:C,3,FALSE)="","",VLOOKUP(C40,TotalRevL!A:C,3,FALSE)),"")</f>
        <v/>
      </c>
      <c r="H40" s="26">
        <f>IFERROR(IFERROR(VLOOKUP($A40,Winpct1!$A:$K,9,FALSE),VLOOKUP($B40,Winpct1!$A:$K,9,FALSE)),"")</f>
        <v>0.438</v>
      </c>
      <c r="I40">
        <f>IFERROR(IFERROR(VLOOKUP($A40,Attendance1!$B:$H,3,FALSE),VLOOKUP($B40,Attendance1!$B:$H,3,FALSE)),"")</f>
        <v>5375</v>
      </c>
      <c r="J40">
        <f>IFERROR(VLOOKUP(D40,'Pop-Metro'!A:R,E40-2005,FALSE),VLOOKUP(D40,'Pop-Micro'!A:R,E40-2005,FALSE))</f>
        <v>36763</v>
      </c>
      <c r="K40">
        <f>IFERROR(VLOOKUP(D40,'PCI-Metro'!A:R,E40-2005,FALSE),VLOOKUP(D40,'PCI-Micro'!A:R,E40-2005,FALSE))</f>
        <v>31812</v>
      </c>
      <c r="L40">
        <f>IFERROR(IF(IFERROR(VLOOKUP($A40,Attendance1!$B:$H,5,FALSE),VLOOKUP($B40,Attendance1!$B:$H,5,FALSE))="","",IFERROR(VLOOKUP($A40,Attendance1!$B:$H,5,FALSE),VLOOKUP($B40,Attendance1!$B:$H,5,FALSE))),"")</f>
        <v>3095</v>
      </c>
    </row>
    <row r="41" spans="1:12">
      <c r="A41" t="s">
        <v>40</v>
      </c>
      <c r="B41" t="s">
        <v>40</v>
      </c>
      <c r="C41">
        <v>189705</v>
      </c>
      <c r="D41">
        <v>15380</v>
      </c>
      <c r="E41">
        <f t="shared" si="0"/>
        <v>2015</v>
      </c>
      <c r="F41" t="str">
        <f>IFERROR(IF(VLOOKUP(C41,TotalRev1!A:C,3,FALSE)="","",VLOOKUP(C41,TotalRev1!A:C,3,FALSE)),"")</f>
        <v/>
      </c>
      <c r="G41" t="str">
        <f>IFERROR(IF(VLOOKUP(C41,TotalRevL!A:C,3,FALSE)="","",VLOOKUP(C41,TotalRevL!A:C,3,FALSE)),"")</f>
        <v/>
      </c>
      <c r="H41" s="26">
        <f>IFERROR(IFERROR(VLOOKUP($A41,Winpct1!$A:$K,9,FALSE),VLOOKUP($B41,Winpct1!$A:$K,9,FALSE)),"")</f>
        <v>0.375</v>
      </c>
      <c r="I41">
        <f>IFERROR(IFERROR(VLOOKUP($A41,Attendance1!$B:$H,3,FALSE),VLOOKUP($B41,Attendance1!$B:$H,3,FALSE)),"")</f>
        <v>1888</v>
      </c>
      <c r="J41">
        <f>IFERROR(VLOOKUP(D41,'Pop-Metro'!A:R,E41-2005,FALSE),VLOOKUP(D41,'Pop-Micro'!A:R,E41-2005,FALSE))</f>
        <v>1154153</v>
      </c>
      <c r="K41">
        <f>IFERROR(VLOOKUP(D41,'PCI-Metro'!A:R,E41-2005,FALSE),VLOOKUP(D41,'PCI-Micro'!A:R,E41-2005,FALSE))</f>
        <v>43594</v>
      </c>
      <c r="L41">
        <f>IFERROR(IF(IFERROR(VLOOKUP($A41,Attendance1!$B:$H,5,FALSE),VLOOKUP($B41,Attendance1!$B:$H,5,FALSE))="","",IFERROR(VLOOKUP($A41,Attendance1!$B:$H,5,FALSE),VLOOKUP($B41,Attendance1!$B:$H,5,FALSE))),"")</f>
        <v>1800</v>
      </c>
    </row>
    <row r="42" spans="1:12">
      <c r="A42" t="s">
        <v>41</v>
      </c>
      <c r="B42" t="s">
        <v>41</v>
      </c>
      <c r="C42">
        <v>106704</v>
      </c>
      <c r="D42">
        <v>30780</v>
      </c>
      <c r="E42">
        <f t="shared" si="0"/>
        <v>2015</v>
      </c>
      <c r="F42">
        <f>IFERROR(IF(VLOOKUP(C42,TotalRev1!A:C,3,FALSE)="","",VLOOKUP(C42,TotalRev1!A:C,3,FALSE)),"")</f>
        <v>436227</v>
      </c>
      <c r="G42">
        <f>IFERROR(IF(VLOOKUP(C42,TotalRevL!A:C,3,FALSE)="","",VLOOKUP(C42,TotalRevL!A:C,3,FALSE)),"")</f>
        <v>424391</v>
      </c>
      <c r="H42" s="26">
        <f>IFERROR(IFERROR(VLOOKUP($A42,Winpct1!$A:$K,9,FALSE),VLOOKUP($B42,Winpct1!$A:$K,9,FALSE)),"")</f>
        <v>0.625</v>
      </c>
      <c r="I42">
        <f>IFERROR(IFERROR(VLOOKUP($A42,Attendance1!$B:$H,3,FALSE),VLOOKUP($B42,Attendance1!$B:$H,3,FALSE)),"")</f>
        <v>4821</v>
      </c>
      <c r="J42">
        <f>IFERROR(VLOOKUP(D42,'Pop-Metro'!A:R,E42-2005,FALSE),VLOOKUP(D42,'Pop-Micro'!A:R,E42-2005,FALSE))</f>
        <v>732417</v>
      </c>
      <c r="K42">
        <f>IFERROR(VLOOKUP(D42,'PCI-Metro'!A:R,E42-2005,FALSE),VLOOKUP(D42,'PCI-Micro'!A:R,E42-2005,FALSE))</f>
        <v>42283</v>
      </c>
      <c r="L42">
        <f>IFERROR(IF(IFERROR(VLOOKUP($A42,Attendance1!$B:$H,5,FALSE),VLOOKUP($B42,Attendance1!$B:$H,5,FALSE))="","",IFERROR(VLOOKUP($A42,Attendance1!$B:$H,5,FALSE),VLOOKUP($B42,Attendance1!$B:$H,5,FALSE))),"")</f>
        <v>350</v>
      </c>
    </row>
    <row r="43" spans="1:12">
      <c r="A43" t="s">
        <v>42</v>
      </c>
      <c r="B43" t="s">
        <v>42</v>
      </c>
      <c r="C43">
        <v>128771</v>
      </c>
      <c r="D43">
        <v>25540</v>
      </c>
      <c r="E43">
        <f t="shared" si="0"/>
        <v>2015</v>
      </c>
      <c r="F43">
        <f>IFERROR(IF(VLOOKUP(C43,TotalRev1!A:C,3,FALSE)="","",VLOOKUP(C43,TotalRev1!A:C,3,FALSE)),"")</f>
        <v>629785</v>
      </c>
      <c r="G43">
        <f>IFERROR(IF(VLOOKUP(C43,TotalRevL!A:C,3,FALSE)="","",VLOOKUP(C43,TotalRevL!A:C,3,FALSE)),"")</f>
        <v>588924</v>
      </c>
      <c r="H43" s="26">
        <f>IFERROR(IFERROR(VLOOKUP($A43,Winpct1!$A:$K,9,FALSE),VLOOKUP($B43,Winpct1!$A:$K,9,FALSE)),"")</f>
        <v>0.40699999999999997</v>
      </c>
      <c r="I43">
        <f>IFERROR(IFERROR(VLOOKUP($A43,Attendance1!$B:$H,3,FALSE),VLOOKUP($B43,Attendance1!$B:$H,3,FALSE)),"")</f>
        <v>1580</v>
      </c>
      <c r="J43">
        <f>IFERROR(VLOOKUP(D43,'Pop-Metro'!A:R,E43-2005,FALSE),VLOOKUP(D43,'Pop-Micro'!A:R,E43-2005,FALSE))</f>
        <v>1217737</v>
      </c>
      <c r="K43">
        <f>IFERROR(VLOOKUP(D43,'PCI-Metro'!A:R,E43-2005,FALSE),VLOOKUP(D43,'PCI-Micro'!A:R,E43-2005,FALSE))</f>
        <v>57378</v>
      </c>
      <c r="L43">
        <f>IFERROR(IF(IFERROR(VLOOKUP($A43,Attendance1!$B:$H,5,FALSE),VLOOKUP($B43,Attendance1!$B:$H,5,FALSE))="","",IFERROR(VLOOKUP($A43,Attendance1!$B:$H,5,FALSE),VLOOKUP($B43,Attendance1!$B:$H,5,FALSE))),"")</f>
        <v>2654</v>
      </c>
    </row>
    <row r="44" spans="1:12">
      <c r="A44" t="s">
        <v>43</v>
      </c>
      <c r="B44" t="s">
        <v>43</v>
      </c>
      <c r="C44">
        <v>169248</v>
      </c>
      <c r="D44">
        <v>34380</v>
      </c>
      <c r="E44">
        <f t="shared" si="0"/>
        <v>2015</v>
      </c>
      <c r="F44">
        <f>IFERROR(IF(VLOOKUP(C44,TotalRev1!A:C,3,FALSE)="","",VLOOKUP(C44,TotalRev1!A:C,3,FALSE)),"")</f>
        <v>72687</v>
      </c>
      <c r="G44">
        <f>IFERROR(IF(VLOOKUP(C44,TotalRevL!A:C,3,FALSE)="","",VLOOKUP(C44,TotalRevL!A:C,3,FALSE)),"")</f>
        <v>87739</v>
      </c>
      <c r="H44" s="26">
        <f>IFERROR(IFERROR(VLOOKUP($A44,Winpct1!$A:$K,9,FALSE),VLOOKUP($B44,Winpct1!$A:$K,9,FALSE)),"")</f>
        <v>0.35699999999999998</v>
      </c>
      <c r="I44">
        <f>IFERROR(IFERROR(VLOOKUP($A44,Attendance1!$B:$H,3,FALSE),VLOOKUP($B44,Attendance1!$B:$H,3,FALSE)),"")</f>
        <v>3540</v>
      </c>
      <c r="J44">
        <f>IFERROR(VLOOKUP(D44,'Pop-Metro'!A:R,E44-2005,FALSE),VLOOKUP(D44,'Pop-Micro'!A:R,E44-2005,FALSE))</f>
        <v>68141</v>
      </c>
      <c r="K44">
        <f>IFERROR(VLOOKUP(D44,'PCI-Metro'!A:R,E44-2005,FALSE),VLOOKUP(D44,'PCI-Micro'!A:R,E44-2005,FALSE))</f>
        <v>33362</v>
      </c>
      <c r="L44">
        <f>IFERROR(IF(IFERROR(VLOOKUP($A44,Attendance1!$B:$H,5,FALSE),VLOOKUP($B44,Attendance1!$B:$H,5,FALSE))="","",IFERROR(VLOOKUP($A44,Attendance1!$B:$H,5,FALSE),VLOOKUP($B44,Attendance1!$B:$H,5,FALSE))),"")</f>
        <v>5500</v>
      </c>
    </row>
    <row r="45" spans="1:12">
      <c r="A45" t="s">
        <v>44</v>
      </c>
      <c r="B45" t="s">
        <v>44</v>
      </c>
      <c r="C45">
        <v>217688</v>
      </c>
      <c r="D45">
        <v>16700</v>
      </c>
      <c r="E45">
        <f t="shared" si="0"/>
        <v>2015</v>
      </c>
      <c r="F45" t="str">
        <f>IFERROR(IF(VLOOKUP(C45,TotalRev1!A:C,3,FALSE)="","",VLOOKUP(C45,TotalRev1!A:C,3,FALSE)),"")</f>
        <v/>
      </c>
      <c r="G45" t="str">
        <f>IFERROR(IF(VLOOKUP(C45,TotalRevL!A:C,3,FALSE)="","",VLOOKUP(C45,TotalRevL!A:C,3,FALSE)),"")</f>
        <v/>
      </c>
      <c r="H45" s="26">
        <f>IFERROR(IFERROR(VLOOKUP($A45,Winpct1!$A:$K,9,FALSE),VLOOKUP($B45,Winpct1!$A:$K,9,FALSE)),"")</f>
        <v>0.33300000000000002</v>
      </c>
      <c r="I45">
        <f>IFERROR(IFERROR(VLOOKUP($A45,Attendance1!$B:$H,3,FALSE),VLOOKUP($B45,Attendance1!$B:$H,3,FALSE)),"")</f>
        <v>3413</v>
      </c>
      <c r="J45">
        <f>IFERROR(VLOOKUP(D45,'Pop-Metro'!A:R,E45-2005,FALSE),VLOOKUP(D45,'Pop-Micro'!A:R,E45-2005,FALSE))</f>
        <v>738057</v>
      </c>
      <c r="K45">
        <f>IFERROR(VLOOKUP(D45,'PCI-Metro'!A:R,E45-2005,FALSE),VLOOKUP(D45,'PCI-Micro'!A:R,E45-2005,FALSE))</f>
        <v>45617</v>
      </c>
      <c r="L45">
        <f>IFERROR(IF(IFERROR(VLOOKUP($A45,Attendance1!$B:$H,5,FALSE),VLOOKUP($B45,Attendance1!$B:$H,5,FALSE))="","",IFERROR(VLOOKUP($A45,Attendance1!$B:$H,5,FALSE),VLOOKUP($B45,Attendance1!$B:$H,5,FALSE))),"")</f>
        <v>881</v>
      </c>
    </row>
    <row r="46" spans="1:12">
      <c r="A46" t="s">
        <v>45</v>
      </c>
      <c r="B46" t="s">
        <v>45</v>
      </c>
      <c r="C46">
        <v>199139</v>
      </c>
      <c r="D46">
        <v>16740</v>
      </c>
      <c r="E46">
        <f t="shared" si="0"/>
        <v>2015</v>
      </c>
      <c r="F46">
        <f>IFERROR(IF(VLOOKUP(C46,TotalRev1!A:C,3,FALSE)="","",VLOOKUP(C46,TotalRev1!A:C,3,FALSE)),"")</f>
        <v>692855</v>
      </c>
      <c r="G46">
        <f>IFERROR(IF(VLOOKUP(C46,TotalRevL!A:C,3,FALSE)="","",VLOOKUP(C46,TotalRevL!A:C,3,FALSE)),"")</f>
        <v>623170</v>
      </c>
      <c r="H46" s="26">
        <f>IFERROR(IFERROR(VLOOKUP($A46,Winpct1!$A:$K,9,FALSE),VLOOKUP($B46,Winpct1!$A:$K,9,FALSE)),"")</f>
        <v>0.5</v>
      </c>
      <c r="I46">
        <f>IFERROR(IFERROR(VLOOKUP($A46,Attendance1!$B:$H,3,FALSE),VLOOKUP($B46,Attendance1!$B:$H,3,FALSE)),"")</f>
        <v>6439</v>
      </c>
      <c r="J46">
        <f>IFERROR(VLOOKUP(D46,'Pop-Metro'!A:R,E46-2005,FALSE),VLOOKUP(D46,'Pop-Micro'!A:R,E46-2005,FALSE))</f>
        <v>2443016</v>
      </c>
      <c r="K46">
        <f>IFERROR(VLOOKUP(D46,'PCI-Metro'!A:R,E46-2005,FALSE),VLOOKUP(D46,'PCI-Micro'!A:R,E46-2005,FALSE))</f>
        <v>46408</v>
      </c>
      <c r="L46">
        <f>IFERROR(IF(IFERROR(VLOOKUP($A46,Attendance1!$B:$H,5,FALSE),VLOOKUP($B46,Attendance1!$B:$H,5,FALSE))="","",IFERROR(VLOOKUP($A46,Attendance1!$B:$H,5,FALSE),VLOOKUP($B46,Attendance1!$B:$H,5,FALSE))),"")</f>
        <v>9105</v>
      </c>
    </row>
    <row r="47" spans="1:12">
      <c r="A47" t="s">
        <v>46</v>
      </c>
      <c r="B47" t="s">
        <v>46</v>
      </c>
      <c r="C47">
        <v>221740</v>
      </c>
      <c r="D47">
        <v>16860</v>
      </c>
      <c r="E47">
        <f t="shared" si="0"/>
        <v>2015</v>
      </c>
      <c r="F47">
        <f>IFERROR(IF(VLOOKUP(C47,TotalRev1!A:C,3,FALSE)="","",VLOOKUP(C47,TotalRev1!A:C,3,FALSE)),"")</f>
        <v>716035</v>
      </c>
      <c r="G47">
        <f>IFERROR(IF(VLOOKUP(C47,TotalRevL!A:C,3,FALSE)="","",VLOOKUP(C47,TotalRevL!A:C,3,FALSE)),"")</f>
        <v>635184</v>
      </c>
      <c r="H47" s="26">
        <f>IFERROR(IFERROR(VLOOKUP($A47,Winpct1!$A:$K,9,FALSE),VLOOKUP($B47,Winpct1!$A:$K,9,FALSE)),"")</f>
        <v>0.40600000000000003</v>
      </c>
      <c r="I47">
        <f>IFERROR(IFERROR(VLOOKUP($A47,Attendance1!$B:$H,3,FALSE),VLOOKUP($B47,Attendance1!$B:$H,3,FALSE)),"")</f>
        <v>2625</v>
      </c>
      <c r="J47">
        <f>IFERROR(VLOOKUP(D47,'Pop-Metro'!A:R,E47-2005,FALSE),VLOOKUP(D47,'Pop-Micro'!A:R,E47-2005,FALSE))</f>
        <v>544658</v>
      </c>
      <c r="K47">
        <f>IFERROR(VLOOKUP(D47,'PCI-Metro'!A:R,E47-2005,FALSE),VLOOKUP(D47,'PCI-Micro'!A:R,E47-2005,FALSE))</f>
        <v>41668</v>
      </c>
      <c r="L47">
        <f>IFERROR(IF(IFERROR(VLOOKUP($A47,Attendance1!$B:$H,5,FALSE),VLOOKUP($B47,Attendance1!$B:$H,5,FALSE))="","",IFERROR(VLOOKUP($A47,Attendance1!$B:$H,5,FALSE),VLOOKUP($B47,Attendance1!$B:$H,5,FALSE))),"")</f>
        <v>4177</v>
      </c>
    </row>
    <row r="48" spans="1:12">
      <c r="A48" t="s">
        <v>1268</v>
      </c>
      <c r="B48" t="s">
        <v>1268</v>
      </c>
      <c r="C48">
        <v>144005</v>
      </c>
      <c r="D48">
        <v>16980</v>
      </c>
      <c r="E48">
        <f t="shared" si="0"/>
        <v>2015</v>
      </c>
      <c r="F48" t="str">
        <f>IFERROR(IF(VLOOKUP(C48,TotalRev1!A:C,3,FALSE)="","",VLOOKUP(C48,TotalRev1!A:C,3,FALSE)),"")</f>
        <v/>
      </c>
      <c r="G48">
        <f>IFERROR(IF(VLOOKUP(C48,TotalRevL!A:C,3,FALSE)="","",VLOOKUP(C48,TotalRevL!A:C,3,FALSE)),"")</f>
        <v>101127</v>
      </c>
      <c r="H48" s="26">
        <f>IFERROR(IFERROR(VLOOKUP($A48,Winpct1!$A:$K,9,FALSE),VLOOKUP($B48,Winpct1!$A:$K,9,FALSE)),"")</f>
        <v>0.2</v>
      </c>
      <c r="I48">
        <f>IFERROR(IFERROR(VLOOKUP($A48,Attendance1!$B:$H,3,FALSE),VLOOKUP($B48,Attendance1!$B:$H,3,FALSE)),"")</f>
        <v>1988</v>
      </c>
      <c r="J48">
        <f>IFERROR(VLOOKUP(D48,'Pop-Metro'!A:R,E48-2005,FALSE),VLOOKUP(D48,'Pop-Micro'!A:R,E48-2005,FALSE))</f>
        <v>9655619</v>
      </c>
      <c r="K48">
        <f>IFERROR(VLOOKUP(D48,'PCI-Metro'!A:R,E48-2005,FALSE),VLOOKUP(D48,'PCI-Micro'!A:R,E48-2005,FALSE))</f>
        <v>54358</v>
      </c>
      <c r="L48">
        <f>IFERROR(IF(IFERROR(VLOOKUP($A48,Attendance1!$B:$H,5,FALSE),VLOOKUP($B48,Attendance1!$B:$H,5,FALSE))="","",IFERROR(VLOOKUP($A48,Attendance1!$B:$H,5,FALSE),VLOOKUP($B48,Attendance1!$B:$H,5,FALSE))),"")</f>
        <v>2500</v>
      </c>
    </row>
    <row r="49" spans="1:12">
      <c r="A49" t="s">
        <v>1269</v>
      </c>
      <c r="B49" t="s">
        <v>1269</v>
      </c>
      <c r="C49">
        <v>201885</v>
      </c>
      <c r="D49">
        <v>17140</v>
      </c>
      <c r="E49">
        <f t="shared" si="0"/>
        <v>2015</v>
      </c>
      <c r="F49">
        <f>IFERROR(IF(VLOOKUP(C49,TotalRev1!A:C,3,FALSE)="","",VLOOKUP(C49,TotalRev1!A:C,3,FALSE)),"")</f>
        <v>12143</v>
      </c>
      <c r="G49">
        <f>IFERROR(IF(VLOOKUP(C49,TotalRevL!A:C,3,FALSE)="","",VLOOKUP(C49,TotalRevL!A:C,3,FALSE)),"")</f>
        <v>12276</v>
      </c>
      <c r="H49" s="26">
        <f>IFERROR(IFERROR(VLOOKUP($A49,Winpct1!$A:$K,9,FALSE),VLOOKUP($B49,Winpct1!$A:$K,9,FALSE)),"")</f>
        <v>0.46899999999999997</v>
      </c>
      <c r="I49">
        <f>IFERROR(IFERROR(VLOOKUP($A49,Attendance1!$B:$H,3,FALSE),VLOOKUP($B49,Attendance1!$B:$H,3,FALSE)),"")</f>
        <v>6470</v>
      </c>
      <c r="J49">
        <f>IFERROR(VLOOKUP(D49,'Pop-Metro'!A:R,E49-2005,FALSE),VLOOKUP(D49,'Pop-Micro'!A:R,E49-2005,FALSE))</f>
        <v>2195796</v>
      </c>
      <c r="K49">
        <f>IFERROR(VLOOKUP(D49,'PCI-Metro'!A:R,E49-2005,FALSE),VLOOKUP(D49,'PCI-Micro'!A:R,E49-2005,FALSE))</f>
        <v>47906</v>
      </c>
      <c r="L49">
        <f>IFERROR(IF(IFERROR(VLOOKUP($A49,Attendance1!$B:$H,5,FALSE),VLOOKUP($B49,Attendance1!$B:$H,5,FALSE))="","",IFERROR(VLOOKUP($A49,Attendance1!$B:$H,5,FALSE),VLOOKUP($B49,Attendance1!$B:$H,5,FALSE))),"")</f>
        <v>13176</v>
      </c>
    </row>
    <row r="50" spans="1:12">
      <c r="A50" t="s">
        <v>47</v>
      </c>
      <c r="B50" t="s">
        <v>47</v>
      </c>
      <c r="C50">
        <v>217882</v>
      </c>
      <c r="D50">
        <v>42860</v>
      </c>
      <c r="E50">
        <f t="shared" si="0"/>
        <v>2015</v>
      </c>
      <c r="F50">
        <f>IFERROR(IF(VLOOKUP(C50,TotalRev1!A:C,3,FALSE)="","",VLOOKUP(C50,TotalRev1!A:C,3,FALSE)),"")</f>
        <v>686221</v>
      </c>
      <c r="G50">
        <f>IFERROR(IF(VLOOKUP(C50,TotalRevL!A:C,3,FALSE)="","",VLOOKUP(C50,TotalRevL!A:C,3,FALSE)),"")</f>
        <v>673850</v>
      </c>
      <c r="H50" s="26">
        <f>IFERROR(IFERROR(VLOOKUP($A50,Winpct1!$A:$K,9,FALSE),VLOOKUP($B50,Winpct1!$A:$K,9,FALSE)),"")</f>
        <v>0.56299999999999994</v>
      </c>
      <c r="I50">
        <f>IFERROR(IFERROR(VLOOKUP($A50,Attendance1!$B:$H,3,FALSE),VLOOKUP($B50,Attendance1!$B:$H,3,FALSE)),"")</f>
        <v>14559</v>
      </c>
      <c r="J50">
        <f>IFERROR(VLOOKUP(D50,'Pop-Metro'!A:R,E50-2005,FALSE),VLOOKUP(D50,'Pop-Micro'!A:R,E50-2005,FALSE))</f>
        <v>75212</v>
      </c>
      <c r="K50">
        <f>IFERROR(VLOOKUP(D50,'PCI-Metro'!A:R,E50-2005,FALSE),VLOOKUP(D50,'PCI-Micro'!A:R,E50-2005,FALSE))</f>
        <v>39068</v>
      </c>
      <c r="L50">
        <f>IFERROR(IF(IFERROR(VLOOKUP($A50,Attendance1!$B:$H,5,FALSE),VLOOKUP($B50,Attendance1!$B:$H,5,FALSE))="","",IFERROR(VLOOKUP($A50,Attendance1!$B:$H,5,FALSE),VLOOKUP($B50,Attendance1!$B:$H,5,FALSE))),"")</f>
        <v>2000</v>
      </c>
    </row>
    <row r="51" spans="1:12">
      <c r="A51" t="s">
        <v>48</v>
      </c>
      <c r="B51" t="s">
        <v>48</v>
      </c>
      <c r="C51">
        <v>202134</v>
      </c>
      <c r="D51">
        <v>17460</v>
      </c>
      <c r="E51">
        <f t="shared" si="0"/>
        <v>2015</v>
      </c>
      <c r="F51">
        <f>IFERROR(IF(VLOOKUP(C51,TotalRev1!A:C,3,FALSE)="","",VLOOKUP(C51,TotalRev1!A:C,3,FALSE)),"")</f>
        <v>522299</v>
      </c>
      <c r="G51">
        <f>IFERROR(IF(VLOOKUP(C51,TotalRevL!A:C,3,FALSE)="","",VLOOKUP(C51,TotalRevL!A:C,3,FALSE)),"")</f>
        <v>535786</v>
      </c>
      <c r="H51" s="26">
        <f>IFERROR(IFERROR(VLOOKUP($A51,Winpct1!$A:$K,9,FALSE),VLOOKUP($B51,Winpct1!$A:$K,9,FALSE)),"")</f>
        <v>0.5</v>
      </c>
      <c r="I51">
        <f>IFERROR(IFERROR(VLOOKUP($A51,Attendance1!$B:$H,3,FALSE),VLOOKUP($B51,Attendance1!$B:$H,3,FALSE)),"")</f>
        <v>3266</v>
      </c>
      <c r="J51">
        <f>IFERROR(VLOOKUP(D51,'Pop-Metro'!A:R,E51-2005,FALSE),VLOOKUP(D51,'Pop-Micro'!A:R,E51-2005,FALSE))</f>
        <v>2086509</v>
      </c>
      <c r="K51">
        <f>IFERROR(VLOOKUP(D51,'PCI-Metro'!A:R,E51-2005,FALSE),VLOOKUP(D51,'PCI-Micro'!A:R,E51-2005,FALSE))</f>
        <v>47631</v>
      </c>
      <c r="L51">
        <f>IFERROR(IF(IFERROR(VLOOKUP($A51,Attendance1!$B:$H,5,FALSE),VLOOKUP($B51,Attendance1!$B:$H,5,FALSE))="","",IFERROR(VLOOKUP($A51,Attendance1!$B:$H,5,FALSE),VLOOKUP($B51,Attendance1!$B:$H,5,FALSE))),"")</f>
        <v>3000</v>
      </c>
    </row>
    <row r="52" spans="1:12">
      <c r="A52" t="s">
        <v>1241</v>
      </c>
      <c r="B52" t="s">
        <v>49</v>
      </c>
      <c r="C52">
        <v>218724</v>
      </c>
      <c r="D52">
        <v>34820</v>
      </c>
      <c r="E52">
        <f t="shared" si="0"/>
        <v>2015</v>
      </c>
      <c r="F52">
        <f>IFERROR(IF(VLOOKUP(C52,TotalRev1!A:C,3,FALSE)="","",VLOOKUP(C52,TotalRev1!A:C,3,FALSE)),"")</f>
        <v>976071</v>
      </c>
      <c r="G52" t="str">
        <f>IFERROR(IF(VLOOKUP(C52,TotalRevL!A:C,3,FALSE)="","",VLOOKUP(C52,TotalRevL!A:C,3,FALSE)),"")</f>
        <v/>
      </c>
      <c r="H52" s="26">
        <f>IFERROR(IFERROR(VLOOKUP($A52,Winpct1!$A:$K,9,FALSE),VLOOKUP($B52,Winpct1!$A:$K,9,FALSE)),"")</f>
        <v>0.78100000000000003</v>
      </c>
      <c r="I52">
        <f>IFERROR(IFERROR(VLOOKUP($A52,Attendance1!$B:$H,3,FALSE),VLOOKUP($B52,Attendance1!$B:$H,3,FALSE)),"")</f>
        <v>3997</v>
      </c>
      <c r="J52">
        <f>IFERROR(VLOOKUP(D52,'Pop-Metro'!A:R,E52-2005,FALSE),VLOOKUP(D52,'Pop-Micro'!A:R,E52-2005,FALSE))</f>
        <v>421689</v>
      </c>
      <c r="K52">
        <f>IFERROR(VLOOKUP(D52,'PCI-Metro'!A:R,E52-2005,FALSE),VLOOKUP(D52,'PCI-Micro'!A:R,E52-2005,FALSE))</f>
        <v>36645</v>
      </c>
      <c r="L52">
        <f>IFERROR(IF(IFERROR(VLOOKUP($A52,Attendance1!$B:$H,5,FALSE),VLOOKUP($B52,Attendance1!$B:$H,5,FALSE))="","",IFERROR(VLOOKUP($A52,Attendance1!$B:$H,5,FALSE),VLOOKUP($B52,Attendance1!$B:$H,5,FALSE))),"")</f>
        <v>3212</v>
      </c>
    </row>
    <row r="53" spans="1:12">
      <c r="A53" t="s">
        <v>50</v>
      </c>
      <c r="B53" t="s">
        <v>50</v>
      </c>
      <c r="C53">
        <v>217819</v>
      </c>
      <c r="D53">
        <v>16700</v>
      </c>
      <c r="E53">
        <f t="shared" si="0"/>
        <v>2015</v>
      </c>
      <c r="F53">
        <f>IFERROR(IF(VLOOKUP(C53,TotalRev1!A:C,3,FALSE)="","",VLOOKUP(C53,TotalRev1!A:C,3,FALSE)),"")</f>
        <v>37158</v>
      </c>
      <c r="G53">
        <f>IFERROR(IF(VLOOKUP(C53,TotalRevL!A:C,3,FALSE)="","",VLOOKUP(C53,TotalRevL!A:C,3,FALSE)),"")</f>
        <v>49200</v>
      </c>
      <c r="H53" s="26">
        <f>IFERROR(IFERROR(VLOOKUP($A53,Winpct1!$A:$K,9,FALSE),VLOOKUP($B53,Winpct1!$A:$K,9,FALSE)),"")</f>
        <v>0.69699999999999995</v>
      </c>
      <c r="I53">
        <f>IFERROR(IFERROR(VLOOKUP($A53,Attendance1!$B:$H,3,FALSE),VLOOKUP($B53,Attendance1!$B:$H,3,FALSE)),"")</f>
        <v>6929</v>
      </c>
      <c r="J53">
        <f>IFERROR(VLOOKUP(D53,'Pop-Metro'!A:R,E53-2005,FALSE),VLOOKUP(D53,'Pop-Micro'!A:R,E53-2005,FALSE))</f>
        <v>738057</v>
      </c>
      <c r="K53">
        <f>IFERROR(VLOOKUP(D53,'PCI-Metro'!A:R,E53-2005,FALSE),VLOOKUP(D53,'PCI-Micro'!A:R,E53-2005,FALSE))</f>
        <v>45617</v>
      </c>
      <c r="L53">
        <f>IFERROR(IF(IFERROR(VLOOKUP($A53,Attendance1!$B:$H,5,FALSE),VLOOKUP($B53,Attendance1!$B:$H,5,FALSE))="","",IFERROR(VLOOKUP($A53,Attendance1!$B:$H,5,FALSE),VLOOKUP($B53,Attendance1!$B:$H,5,FALSE))),"")</f>
        <v>5100</v>
      </c>
    </row>
    <row r="54" spans="1:12">
      <c r="A54" t="s">
        <v>51</v>
      </c>
      <c r="B54" t="s">
        <v>51</v>
      </c>
      <c r="C54">
        <v>190099</v>
      </c>
      <c r="D54">
        <v>45060</v>
      </c>
      <c r="E54">
        <f t="shared" si="0"/>
        <v>2015</v>
      </c>
      <c r="F54" t="str">
        <f>IFERROR(IF(VLOOKUP(C54,TotalRev1!A:C,3,FALSE)="","",VLOOKUP(C54,TotalRev1!A:C,3,FALSE)),"")</f>
        <v/>
      </c>
      <c r="G54" t="str">
        <f>IFERROR(IF(VLOOKUP(C54,TotalRevL!A:C,3,FALSE)="","",VLOOKUP(C54,TotalRevL!A:C,3,FALSE)),"")</f>
        <v/>
      </c>
      <c r="H54" s="26">
        <f>IFERROR(IFERROR(VLOOKUP($A54,Winpct1!$A:$K,9,FALSE),VLOOKUP($B54,Winpct1!$A:$K,9,FALSE)),"")</f>
        <v>0.57699999999999996</v>
      </c>
      <c r="I54">
        <f>IFERROR(IFERROR(VLOOKUP($A54,Attendance1!$B:$H,3,FALSE),VLOOKUP($B54,Attendance1!$B:$H,3,FALSE)),"")</f>
        <v>1593</v>
      </c>
      <c r="J54">
        <f>IFERROR(VLOOKUP(D54,'Pop-Metro'!A:R,E54-2005,FALSE),VLOOKUP(D54,'Pop-Micro'!A:R,E54-2005,FALSE))</f>
        <v>665829</v>
      </c>
      <c r="K54">
        <f>IFERROR(VLOOKUP(D54,'PCI-Metro'!A:R,E54-2005,FALSE),VLOOKUP(D54,'PCI-Micro'!A:R,E54-2005,FALSE))</f>
        <v>43533</v>
      </c>
      <c r="L54">
        <f>IFERROR(IF(IFERROR(VLOOKUP($A54,Attendance1!$B:$H,5,FALSE),VLOOKUP($B54,Attendance1!$B:$H,5,FALSE))="","",IFERROR(VLOOKUP($A54,Attendance1!$B:$H,5,FALSE),VLOOKUP($B54,Attendance1!$B:$H,5,FALSE))),"")</f>
        <v>3000</v>
      </c>
    </row>
    <row r="55" spans="1:12">
      <c r="A55" t="s">
        <v>1270</v>
      </c>
      <c r="B55" t="s">
        <v>1270</v>
      </c>
      <c r="C55">
        <v>126614</v>
      </c>
      <c r="D55">
        <v>14500</v>
      </c>
      <c r="E55">
        <f t="shared" si="0"/>
        <v>2015</v>
      </c>
      <c r="F55">
        <f>IFERROR(IF(VLOOKUP(C55,TotalRev1!A:C,3,FALSE)="","",VLOOKUP(C55,TotalRev1!A:C,3,FALSE)),"")</f>
        <v>485792</v>
      </c>
      <c r="G55">
        <f>IFERROR(IF(VLOOKUP(C55,TotalRevL!A:C,3,FALSE)="","",VLOOKUP(C55,TotalRevL!A:C,3,FALSE)),"")</f>
        <v>270024</v>
      </c>
      <c r="H55" s="26">
        <f>IFERROR(IFERROR(VLOOKUP($A55,Winpct1!$A:$K,9,FALSE),VLOOKUP($B55,Winpct1!$A:$K,9,FALSE)),"")</f>
        <v>0.58799999999999997</v>
      </c>
      <c r="I55">
        <f>IFERROR(IFERROR(VLOOKUP($A55,Attendance1!$B:$H,3,FALSE),VLOOKUP($B55,Attendance1!$B:$H,3,FALSE)),"")</f>
        <v>18378</v>
      </c>
      <c r="J55">
        <f>IFERROR(VLOOKUP(D55,'Pop-Metro'!A:R,E55-2005,FALSE),VLOOKUP(D55,'Pop-Micro'!A:R,E55-2005,FALSE))</f>
        <v>320154</v>
      </c>
      <c r="K55">
        <f>IFERROR(VLOOKUP(D55,'PCI-Metro'!A:R,E55-2005,FALSE),VLOOKUP(D55,'PCI-Micro'!A:R,E55-2005,FALSE))</f>
        <v>63274</v>
      </c>
      <c r="L55">
        <f>IFERROR(IF(IFERROR(VLOOKUP($A55,Attendance1!$B:$H,5,FALSE),VLOOKUP($B55,Attendance1!$B:$H,5,FALSE))="","",IFERROR(VLOOKUP($A55,Attendance1!$B:$H,5,FALSE),VLOOKUP($B55,Attendance1!$B:$H,5,FALSE))),"")</f>
        <v>11196</v>
      </c>
    </row>
    <row r="56" spans="1:12">
      <c r="A56" t="s">
        <v>52</v>
      </c>
      <c r="B56" t="s">
        <v>52</v>
      </c>
      <c r="C56">
        <v>126818</v>
      </c>
      <c r="D56">
        <v>22660</v>
      </c>
      <c r="E56">
        <f t="shared" si="0"/>
        <v>2015</v>
      </c>
      <c r="F56">
        <f>IFERROR(IF(VLOOKUP(C56,TotalRev1!A:C,3,FALSE)="","",VLOOKUP(C56,TotalRev1!A:C,3,FALSE)),"")</f>
        <v>813329</v>
      </c>
      <c r="G56">
        <f>IFERROR(IF(VLOOKUP(C56,TotalRevL!A:C,3,FALSE)="","",VLOOKUP(C56,TotalRevL!A:C,3,FALSE)),"")</f>
        <v>701863</v>
      </c>
      <c r="H56" s="26">
        <f>IFERROR(IFERROR(VLOOKUP($A56,Winpct1!$A:$K,9,FALSE),VLOOKUP($B56,Winpct1!$A:$K,9,FALSE)),"")</f>
        <v>0.91200000000000003</v>
      </c>
      <c r="I56">
        <f>IFERROR(IFERROR(VLOOKUP($A56,Attendance1!$B:$H,3,FALSE),VLOOKUP($B56,Attendance1!$B:$H,3,FALSE)),"")</f>
        <v>54926</v>
      </c>
      <c r="J56">
        <f>IFERROR(VLOOKUP(D56,'Pop-Metro'!A:R,E56-2005,FALSE),VLOOKUP(D56,'Pop-Micro'!A:R,E56-2005,FALSE))</f>
        <v>333219</v>
      </c>
      <c r="K56">
        <f>IFERROR(VLOOKUP(D56,'PCI-Metro'!A:R,E56-2005,FALSE),VLOOKUP(D56,'PCI-Micro'!A:R,E56-2005,FALSE))</f>
        <v>46451</v>
      </c>
      <c r="L56">
        <f>IFERROR(IF(IFERROR(VLOOKUP($A56,Attendance1!$B:$H,5,FALSE),VLOOKUP($B56,Attendance1!$B:$H,5,FALSE))="","",IFERROR(VLOOKUP($A56,Attendance1!$B:$H,5,FALSE),VLOOKUP($B56,Attendance1!$B:$H,5,FALSE))),"")</f>
        <v>8745</v>
      </c>
    </row>
    <row r="57" spans="1:12">
      <c r="A57" t="s">
        <v>53</v>
      </c>
      <c r="B57" t="s">
        <v>53</v>
      </c>
      <c r="C57">
        <v>190150</v>
      </c>
      <c r="D57">
        <v>35620</v>
      </c>
      <c r="E57">
        <f t="shared" si="0"/>
        <v>2015</v>
      </c>
      <c r="F57" t="str">
        <f>IFERROR(IF(VLOOKUP(C57,TotalRev1!A:C,3,FALSE)="","",VLOOKUP(C57,TotalRev1!A:C,3,FALSE)),"")</f>
        <v/>
      </c>
      <c r="G57" t="str">
        <f>IFERROR(IF(VLOOKUP(C57,TotalRevL!A:C,3,FALSE)="","",VLOOKUP(C57,TotalRevL!A:C,3,FALSE)),"")</f>
        <v/>
      </c>
      <c r="H57" s="26">
        <f>IFERROR(IFERROR(VLOOKUP($A57,Winpct1!$A:$K,9,FALSE),VLOOKUP($B57,Winpct1!$A:$K,9,FALSE)),"")</f>
        <v>0.34799999999999998</v>
      </c>
      <c r="I57">
        <f>IFERROR(IFERROR(VLOOKUP($A57,Attendance1!$B:$H,3,FALSE),VLOOKUP($B57,Attendance1!$B:$H,3,FALSE)),"")</f>
        <v>2477</v>
      </c>
      <c r="J57">
        <f>IFERROR(VLOOKUP(D57,'Pop-Metro'!A:R,E57-2005,FALSE),VLOOKUP(D57,'Pop-Micro'!A:R,E57-2005,FALSE))</f>
        <v>19830288</v>
      </c>
      <c r="K57">
        <f>IFERROR(VLOOKUP(D57,'PCI-Metro'!A:R,E57-2005,FALSE),VLOOKUP(D57,'PCI-Micro'!A:R,E57-2005,FALSE))</f>
        <v>62877</v>
      </c>
      <c r="L57">
        <f>IFERROR(IF(IFERROR(VLOOKUP($A57,Attendance1!$B:$H,5,FALSE),VLOOKUP($B57,Attendance1!$B:$H,5,FALSE))="","",IFERROR(VLOOKUP($A57,Attendance1!$B:$H,5,FALSE),VLOOKUP($B57,Attendance1!$B:$H,5,FALSE))),"")</f>
        <v>3408</v>
      </c>
    </row>
    <row r="58" spans="1:12">
      <c r="A58" t="s">
        <v>54</v>
      </c>
      <c r="B58" t="s">
        <v>54</v>
      </c>
      <c r="C58">
        <v>162283</v>
      </c>
      <c r="D58">
        <v>12580</v>
      </c>
      <c r="E58">
        <f t="shared" si="0"/>
        <v>2015</v>
      </c>
      <c r="F58">
        <f>IFERROR(IF(VLOOKUP(C58,TotalRev1!A:C,3,FALSE)="","",VLOOKUP(C58,TotalRev1!A:C,3,FALSE)),"")</f>
        <v>51700</v>
      </c>
      <c r="G58">
        <f>IFERROR(IF(VLOOKUP(C58,TotalRevL!A:C,3,FALSE)="","",VLOOKUP(C58,TotalRevL!A:C,3,FALSE)),"")</f>
        <v>51375</v>
      </c>
      <c r="H58" s="26">
        <f>IFERROR(IFERROR(VLOOKUP($A58,Winpct1!$A:$K,9,FALSE),VLOOKUP($B58,Winpct1!$A:$K,9,FALSE)),"")</f>
        <v>0.5</v>
      </c>
      <c r="I58">
        <f>IFERROR(IFERROR(VLOOKUP($A58,Attendance1!$B:$H,3,FALSE),VLOOKUP($B58,Attendance1!$B:$H,3,FALSE)),"")</f>
        <v>2375</v>
      </c>
      <c r="J58">
        <f>IFERROR(VLOOKUP(D58,'Pop-Metro'!A:R,E58-2005,FALSE),VLOOKUP(D58,'Pop-Micro'!A:R,E58-2005,FALSE))</f>
        <v>2812978</v>
      </c>
      <c r="K58">
        <f>IFERROR(VLOOKUP(D58,'PCI-Metro'!A:R,E58-2005,FALSE),VLOOKUP(D58,'PCI-Micro'!A:R,E58-2005,FALSE))</f>
        <v>54356</v>
      </c>
      <c r="L58">
        <f>IFERROR(IF(IFERROR(VLOOKUP($A58,Attendance1!$B:$H,5,FALSE),VLOOKUP($B58,Attendance1!$B:$H,5,FALSE))="","",IFERROR(VLOOKUP($A58,Attendance1!$B:$H,5,FALSE),VLOOKUP($B58,Attendance1!$B:$H,5,FALSE))),"")</f>
        <v>3000</v>
      </c>
    </row>
    <row r="59" spans="1:12">
      <c r="A59" t="s">
        <v>55</v>
      </c>
      <c r="B59" t="s">
        <v>55</v>
      </c>
      <c r="C59">
        <v>190415</v>
      </c>
      <c r="D59">
        <v>27060</v>
      </c>
      <c r="E59">
        <f t="shared" si="0"/>
        <v>2015</v>
      </c>
      <c r="F59" t="str">
        <f>IFERROR(IF(VLOOKUP(C59,TotalRev1!A:C,3,FALSE)="","",VLOOKUP(C59,TotalRev1!A:C,3,FALSE)),"")</f>
        <v/>
      </c>
      <c r="G59" t="str">
        <f>IFERROR(IF(VLOOKUP(C59,TotalRevL!A:C,3,FALSE)="","",VLOOKUP(C59,TotalRevL!A:C,3,FALSE)),"")</f>
        <v/>
      </c>
      <c r="H59" s="26">
        <f>IFERROR(IFERROR(VLOOKUP($A59,Winpct1!$A:$K,9,FALSE),VLOOKUP($B59,Winpct1!$A:$K,9,FALSE)),"")</f>
        <v>0.25</v>
      </c>
      <c r="I59">
        <f>IFERROR(IFERROR(VLOOKUP($A59,Attendance1!$B:$H,3,FALSE),VLOOKUP($B59,Attendance1!$B:$H,3,FALSE)),"")</f>
        <v>1814</v>
      </c>
      <c r="J59">
        <f>IFERROR(VLOOKUP(D59,'Pop-Metro'!A:R,E59-2005,FALSE),VLOOKUP(D59,'Pop-Micro'!A:R,E59-2005,FALSE))</f>
        <v>105487</v>
      </c>
      <c r="K59">
        <f>IFERROR(VLOOKUP(D59,'PCI-Metro'!A:R,E59-2005,FALSE),VLOOKUP(D59,'PCI-Micro'!A:R,E59-2005,FALSE))</f>
        <v>39575</v>
      </c>
      <c r="L59">
        <f>IFERROR(IF(IFERROR(VLOOKUP($A59,Attendance1!$B:$H,5,FALSE),VLOOKUP($B59,Attendance1!$B:$H,5,FALSE))="","",IFERROR(VLOOKUP($A59,Attendance1!$B:$H,5,FALSE),VLOOKUP($B59,Attendance1!$B:$H,5,FALSE))),"")</f>
        <v>4473</v>
      </c>
    </row>
    <row r="60" spans="1:12">
      <c r="A60" t="s">
        <v>56</v>
      </c>
      <c r="B60" t="s">
        <v>56</v>
      </c>
      <c r="C60">
        <v>181002</v>
      </c>
      <c r="D60">
        <v>36540</v>
      </c>
      <c r="E60">
        <f t="shared" si="0"/>
        <v>2015</v>
      </c>
      <c r="F60" t="str">
        <f>IFERROR(IF(VLOOKUP(C60,TotalRev1!A:C,3,FALSE)="","",VLOOKUP(C60,TotalRev1!A:C,3,FALSE)),"")</f>
        <v/>
      </c>
      <c r="G60" t="str">
        <f>IFERROR(IF(VLOOKUP(C60,TotalRevL!A:C,3,FALSE)="","",VLOOKUP(C60,TotalRevL!A:C,3,FALSE)),"")</f>
        <v/>
      </c>
      <c r="H60" s="26">
        <f>IFERROR(IFERROR(VLOOKUP($A60,Winpct1!$A:$K,9,FALSE),VLOOKUP($B60,Winpct1!$A:$K,9,FALSE)),"")</f>
        <v>0.73499999999999999</v>
      </c>
      <c r="I60">
        <f>IFERROR(IFERROR(VLOOKUP($A60,Attendance1!$B:$H,3,FALSE),VLOOKUP($B60,Attendance1!$B:$H,3,FALSE)),"")</f>
        <v>19239</v>
      </c>
      <c r="J60">
        <f>IFERROR(VLOOKUP(D60,'Pop-Metro'!A:R,E60-2005,FALSE),VLOOKUP(D60,'Pop-Micro'!A:R,E60-2005,FALSE))</f>
        <v>920790</v>
      </c>
      <c r="K60">
        <f>IFERROR(VLOOKUP(D60,'PCI-Metro'!A:R,E60-2005,FALSE),VLOOKUP(D60,'PCI-Micro'!A:R,E60-2005,FALSE))</f>
        <v>52947</v>
      </c>
      <c r="L60">
        <f>IFERROR(IF(IFERROR(VLOOKUP($A60,Attendance1!$B:$H,5,FALSE),VLOOKUP($B60,Attendance1!$B:$H,5,FALSE))="","",IFERROR(VLOOKUP($A60,Attendance1!$B:$H,5,FALSE),VLOOKUP($B60,Attendance1!$B:$H,5,FALSE))),"")</f>
        <v>2500</v>
      </c>
    </row>
    <row r="61" spans="1:12">
      <c r="A61" t="s">
        <v>57</v>
      </c>
      <c r="B61" t="s">
        <v>57</v>
      </c>
      <c r="C61">
        <v>110486</v>
      </c>
      <c r="D61">
        <v>12540</v>
      </c>
      <c r="E61">
        <f t="shared" si="0"/>
        <v>2015</v>
      </c>
      <c r="F61">
        <f>IFERROR(IF(VLOOKUP(C61,TotalRev1!A:C,3,FALSE)="","",VLOOKUP(C61,TotalRev1!A:C,3,FALSE)),"")</f>
        <v>35488</v>
      </c>
      <c r="G61">
        <f>IFERROR(IF(VLOOKUP(C61,TotalRevL!A:C,3,FALSE)="","",VLOOKUP(C61,TotalRevL!A:C,3,FALSE)),"")</f>
        <v>37218</v>
      </c>
      <c r="H61" s="26">
        <f>IFERROR(IFERROR(VLOOKUP($A61,Winpct1!$A:$K,9,FALSE),VLOOKUP($B61,Winpct1!$A:$K,9,FALSE)),"")</f>
        <v>0.51600000000000001</v>
      </c>
      <c r="I61">
        <f>IFERROR(IFERROR(VLOOKUP($A61,Attendance1!$B:$H,3,FALSE),VLOOKUP($B61,Attendance1!$B:$H,3,FALSE)),"")</f>
        <v>3766</v>
      </c>
      <c r="J61">
        <f>IFERROR(VLOOKUP(D61,'Pop-Metro'!A:R,E61-2005,FALSE),VLOOKUP(D61,'Pop-Micro'!A:R,E61-2005,FALSE))</f>
        <v>880708</v>
      </c>
      <c r="K61">
        <f>IFERROR(VLOOKUP(D61,'PCI-Metro'!A:R,E61-2005,FALSE),VLOOKUP(D61,'PCI-Micro'!A:R,E61-2005,FALSE))</f>
        <v>36532</v>
      </c>
      <c r="L61">
        <f>IFERROR(IF(IFERROR(VLOOKUP($A61,Attendance1!$B:$H,5,FALSE),VLOOKUP($B61,Attendance1!$B:$H,5,FALSE))="","",IFERROR(VLOOKUP($A61,Attendance1!$B:$H,5,FALSE),VLOOKUP($B61,Attendance1!$B:$H,5,FALSE))),"")</f>
        <v>3880</v>
      </c>
    </row>
    <row r="62" spans="1:12">
      <c r="A62" t="s">
        <v>58</v>
      </c>
      <c r="B62" t="s">
        <v>58</v>
      </c>
      <c r="C62">
        <v>110608</v>
      </c>
      <c r="D62">
        <v>31080</v>
      </c>
      <c r="E62">
        <f t="shared" si="0"/>
        <v>2015</v>
      </c>
      <c r="F62">
        <f>IFERROR(IF(VLOOKUP(C62,TotalRev1!A:C,3,FALSE)="","",VLOOKUP(C62,TotalRev1!A:C,3,FALSE)),"")</f>
        <v>15402</v>
      </c>
      <c r="G62">
        <f>IFERROR(IF(VLOOKUP(C62,TotalRevL!A:C,3,FALSE)="","",VLOOKUP(C62,TotalRevL!A:C,3,FALSE)),"")</f>
        <v>31336</v>
      </c>
      <c r="H62" s="26">
        <f>IFERROR(IFERROR(VLOOKUP($A62,Winpct1!$A:$K,9,FALSE),VLOOKUP($B62,Winpct1!$A:$K,9,FALSE)),"")</f>
        <v>0.67900000000000005</v>
      </c>
      <c r="I62">
        <f>IFERROR(IFERROR(VLOOKUP($A62,Attendance1!$B:$H,3,FALSE),VLOOKUP($B62,Attendance1!$B:$H,3,FALSE)),"")</f>
        <v>5134</v>
      </c>
      <c r="J62">
        <f>IFERROR(VLOOKUP(D62,'Pop-Metro'!A:R,E62-2005,FALSE),VLOOKUP(D62,'Pop-Micro'!A:R,E62-2005,FALSE))</f>
        <v>13256931</v>
      </c>
      <c r="K62">
        <f>IFERROR(VLOOKUP(D62,'PCI-Metro'!A:R,E62-2005,FALSE),VLOOKUP(D62,'PCI-Micro'!A:R,E62-2005,FALSE))</f>
        <v>54538</v>
      </c>
      <c r="L62">
        <f>IFERROR(IF(IFERROR(VLOOKUP($A62,Attendance1!$B:$H,5,FALSE),VLOOKUP($B62,Attendance1!$B:$H,5,FALSE))="","",IFERROR(VLOOKUP($A62,Attendance1!$B:$H,5,FALSE),VLOOKUP($B62,Attendance1!$B:$H,5,FALSE))),"")</f>
        <v>1600</v>
      </c>
    </row>
    <row r="63" spans="1:12">
      <c r="A63" t="s">
        <v>59</v>
      </c>
      <c r="B63" t="s">
        <v>59</v>
      </c>
      <c r="C63">
        <v>182670</v>
      </c>
      <c r="D63">
        <v>30100</v>
      </c>
      <c r="E63">
        <f t="shared" si="0"/>
        <v>2015</v>
      </c>
      <c r="F63" t="str">
        <f>IFERROR(IF(VLOOKUP(C63,TotalRev1!A:C,3,FALSE)="","",VLOOKUP(C63,TotalRev1!A:C,3,FALSE)),"")</f>
        <v/>
      </c>
      <c r="G63" t="str">
        <f>IFERROR(IF(VLOOKUP(C63,TotalRevL!A:C,3,FALSE)="","",VLOOKUP(C63,TotalRevL!A:C,3,FALSE)),"")</f>
        <v/>
      </c>
      <c r="H63" s="26">
        <f>IFERROR(IFERROR(VLOOKUP($A63,Winpct1!$A:$K,9,FALSE),VLOOKUP($B63,Winpct1!$A:$K,9,FALSE)),"")</f>
        <v>0.52</v>
      </c>
      <c r="I63">
        <f>IFERROR(IFERROR(VLOOKUP($A63,Attendance1!$B:$H,3,FALSE),VLOOKUP($B63,Attendance1!$B:$H,3,FALSE)),"")</f>
        <v>1298</v>
      </c>
      <c r="J63">
        <f>IFERROR(VLOOKUP(D63,'Pop-Metro'!A:R,E63-2005,FALSE),VLOOKUP(D63,'Pop-Micro'!A:R,E63-2005,FALSE))</f>
        <v>219006</v>
      </c>
      <c r="K63">
        <f>IFERROR(VLOOKUP(D63,'PCI-Metro'!A:R,E63-2005,FALSE),VLOOKUP(D63,'PCI-Micro'!A:R,E63-2005,FALSE))</f>
        <v>50428</v>
      </c>
      <c r="L63">
        <f>IFERROR(IF(IFERROR(VLOOKUP($A63,Attendance1!$B:$H,5,FALSE),VLOOKUP($B63,Attendance1!$B:$H,5,FALSE))="","",IFERROR(VLOOKUP($A63,Attendance1!$B:$H,5,FALSE),VLOOKUP($B63,Attendance1!$B:$H,5,FALSE))),"")</f>
        <v>2100</v>
      </c>
    </row>
    <row r="64" spans="1:12">
      <c r="A64" t="s">
        <v>1271</v>
      </c>
      <c r="B64" t="s">
        <v>1271</v>
      </c>
      <c r="C64">
        <v>198385</v>
      </c>
      <c r="D64">
        <v>16740</v>
      </c>
      <c r="E64">
        <f t="shared" si="0"/>
        <v>2015</v>
      </c>
      <c r="F64" t="str">
        <f>IFERROR(IF(VLOOKUP(C64,TotalRev1!A:C,3,FALSE)="","",VLOOKUP(C64,TotalRev1!A:C,3,FALSE)),"")</f>
        <v/>
      </c>
      <c r="G64" t="str">
        <f>IFERROR(IF(VLOOKUP(C64,TotalRevL!A:C,3,FALSE)="","",VLOOKUP(C64,TotalRevL!A:C,3,FALSE)),"")</f>
        <v/>
      </c>
      <c r="H64" s="26">
        <f>IFERROR(IFERROR(VLOOKUP($A64,Winpct1!$A:$K,9,FALSE),VLOOKUP($B64,Winpct1!$A:$K,9,FALSE)),"")</f>
        <v>0.16700000000000001</v>
      </c>
      <c r="I64">
        <f>IFERROR(IFERROR(VLOOKUP($A64,Attendance1!$B:$H,3,FALSE),VLOOKUP($B64,Attendance1!$B:$H,3,FALSE)),"")</f>
        <v>4320</v>
      </c>
      <c r="J64">
        <f>IFERROR(VLOOKUP(D64,'Pop-Metro'!A:R,E64-2005,FALSE),VLOOKUP(D64,'Pop-Micro'!A:R,E64-2005,FALSE))</f>
        <v>2443016</v>
      </c>
      <c r="K64">
        <f>IFERROR(VLOOKUP(D64,'PCI-Metro'!A:R,E64-2005,FALSE),VLOOKUP(D64,'PCI-Micro'!A:R,E64-2005,FALSE))</f>
        <v>46408</v>
      </c>
      <c r="L64">
        <f>IFERROR(IF(IFERROR(VLOOKUP($A64,Attendance1!$B:$H,5,FALSE),VLOOKUP($B64,Attendance1!$B:$H,5,FALSE))="","",IFERROR(VLOOKUP($A64,Attendance1!$B:$H,5,FALSE),VLOOKUP($B64,Attendance1!$B:$H,5,FALSE))),"")</f>
        <v>0</v>
      </c>
    </row>
    <row r="65" spans="1:12">
      <c r="A65" t="s">
        <v>60</v>
      </c>
      <c r="B65" t="s">
        <v>60</v>
      </c>
      <c r="C65">
        <v>202480</v>
      </c>
      <c r="D65">
        <v>19430</v>
      </c>
      <c r="E65">
        <f t="shared" si="0"/>
        <v>2015</v>
      </c>
      <c r="F65" t="str">
        <f>IFERROR(IF(VLOOKUP(C65,TotalRev1!A:C,3,FALSE)="","",VLOOKUP(C65,TotalRev1!A:C,3,FALSE)),"")</f>
        <v/>
      </c>
      <c r="G65" t="str">
        <f>IFERROR(IF(VLOOKUP(C65,TotalRevL!A:C,3,FALSE)="","",VLOOKUP(C65,TotalRevL!A:C,3,FALSE)),"")</f>
        <v/>
      </c>
      <c r="H65" s="26">
        <f>IFERROR(IFERROR(VLOOKUP($A65,Winpct1!$A:$K,9,FALSE),VLOOKUP($B65,Winpct1!$A:$K,9,FALSE)),"")</f>
        <v>0.83299999999999996</v>
      </c>
      <c r="I65">
        <f>IFERROR(IFERROR(VLOOKUP($A65,Attendance1!$B:$H,3,FALSE),VLOOKUP($B65,Attendance1!$B:$H,3,FALSE)),"")</f>
        <v>10567</v>
      </c>
      <c r="J65">
        <f>IFERROR(VLOOKUP(D65,'Pop-Metro'!A:R,E65-2005,FALSE),VLOOKUP(D65,'Pop-Micro'!A:R,E65-2005,FALSE))</f>
        <v>802897</v>
      </c>
      <c r="K65">
        <f>IFERROR(VLOOKUP(D65,'PCI-Metro'!A:R,E65-2005,FALSE),VLOOKUP(D65,'PCI-Micro'!A:R,E65-2005,FALSE))</f>
        <v>42619</v>
      </c>
      <c r="L65">
        <f>IFERROR(IF(IFERROR(VLOOKUP($A65,Attendance1!$B:$H,5,FALSE),VLOOKUP($B65,Attendance1!$B:$H,5,FALSE))="","",IFERROR(VLOOKUP($A65,Attendance1!$B:$H,5,FALSE),VLOOKUP($B65,Attendance1!$B:$H,5,FALSE))),"")</f>
        <v>5000</v>
      </c>
    </row>
    <row r="66" spans="1:12">
      <c r="A66" t="s">
        <v>61</v>
      </c>
      <c r="B66" t="s">
        <v>61</v>
      </c>
      <c r="C66">
        <v>130943</v>
      </c>
      <c r="D66">
        <v>37980</v>
      </c>
      <c r="E66">
        <f t="shared" si="0"/>
        <v>2015</v>
      </c>
      <c r="F66" t="str">
        <f>IFERROR(IF(VLOOKUP(C66,TotalRev1!A:C,3,FALSE)="","",VLOOKUP(C66,TotalRev1!A:C,3,FALSE)),"")</f>
        <v/>
      </c>
      <c r="G66" t="str">
        <f>IFERROR(IF(VLOOKUP(C66,TotalRevL!A:C,3,FALSE)="","",VLOOKUP(C66,TotalRevL!A:C,3,FALSE)),"")</f>
        <v/>
      </c>
      <c r="H66" s="26">
        <f>IFERROR(IFERROR(VLOOKUP($A66,Winpct1!$A:$K,9,FALSE),VLOOKUP($B66,Winpct1!$A:$K,9,FALSE)),"")</f>
        <v>0.46899999999999997</v>
      </c>
      <c r="I66">
        <f>IFERROR(IFERROR(VLOOKUP($A66,Attendance1!$B:$H,3,FALSE),VLOOKUP($B66,Attendance1!$B:$H,3,FALSE)),"")</f>
        <v>6038</v>
      </c>
      <c r="J66">
        <f>IFERROR(VLOOKUP(D66,'Pop-Metro'!A:R,E66-2005,FALSE),VLOOKUP(D66,'Pop-Micro'!A:R,E66-2005,FALSE))</f>
        <v>6129946</v>
      </c>
      <c r="K66">
        <f>IFERROR(VLOOKUP(D66,'PCI-Metro'!A:R,E66-2005,FALSE),VLOOKUP(D66,'PCI-Micro'!A:R,E66-2005,FALSE))</f>
        <v>56629</v>
      </c>
      <c r="L66">
        <f>IFERROR(IF(IFERROR(VLOOKUP($A66,Attendance1!$B:$H,5,FALSE),VLOOKUP($B66,Attendance1!$B:$H,5,FALSE))="","",IFERROR(VLOOKUP($A66,Attendance1!$B:$H,5,FALSE),VLOOKUP($B66,Attendance1!$B:$H,5,FALSE))),"")</f>
        <v>5000</v>
      </c>
    </row>
    <row r="67" spans="1:12">
      <c r="A67" t="s">
        <v>62</v>
      </c>
      <c r="B67" t="s">
        <v>62</v>
      </c>
      <c r="C67">
        <v>130934</v>
      </c>
      <c r="D67">
        <v>20100</v>
      </c>
      <c r="E67">
        <f t="shared" si="0"/>
        <v>2015</v>
      </c>
      <c r="F67" t="str">
        <f>IFERROR(IF(VLOOKUP(C67,TotalRev1!A:C,3,FALSE)="","",VLOOKUP(C67,TotalRev1!A:C,3,FALSE)),"")</f>
        <v/>
      </c>
      <c r="G67" t="str">
        <f>IFERROR(IF(VLOOKUP(C67,TotalRevL!A:C,3,FALSE)="","",VLOOKUP(C67,TotalRevL!A:C,3,FALSE)),"")</f>
        <v/>
      </c>
      <c r="H67" s="26">
        <f>IFERROR(IFERROR(VLOOKUP($A67,Winpct1!$A:$K,9,FALSE),VLOOKUP($B67,Winpct1!$A:$K,9,FALSE)),"")</f>
        <v>3.6999999999999998E-2</v>
      </c>
      <c r="I67">
        <f>IFERROR(IFERROR(VLOOKUP($A67,Attendance1!$B:$H,3,FALSE),VLOOKUP($B67,Attendance1!$B:$H,3,FALSE)),"")</f>
        <v>875</v>
      </c>
      <c r="J67">
        <f>IFERROR(VLOOKUP(D67,'Pop-Metro'!A:R,E67-2005,FALSE),VLOOKUP(D67,'Pop-Micro'!A:R,E67-2005,FALSE))</f>
        <v>172605</v>
      </c>
      <c r="K67">
        <f>IFERROR(VLOOKUP(D67,'PCI-Metro'!A:R,E67-2005,FALSE),VLOOKUP(D67,'PCI-Micro'!A:R,E67-2005,FALSE))</f>
        <v>37770</v>
      </c>
      <c r="L67">
        <f>IFERROR(IF(IFERROR(VLOOKUP($A67,Attendance1!$B:$H,5,FALSE),VLOOKUP($B67,Attendance1!$B:$H,5,FALSE))="","",IFERROR(VLOOKUP($A67,Attendance1!$B:$H,5,FALSE),VLOOKUP($B67,Attendance1!$B:$H,5,FALSE))),"")</f>
        <v>2000</v>
      </c>
    </row>
    <row r="68" spans="1:12">
      <c r="A68" t="s">
        <v>1272</v>
      </c>
      <c r="B68" t="s">
        <v>1272</v>
      </c>
      <c r="C68">
        <v>127060</v>
      </c>
      <c r="D68">
        <v>19740</v>
      </c>
      <c r="E68">
        <f t="shared" ref="E68:E131" si="1">E$2</f>
        <v>2015</v>
      </c>
      <c r="F68" t="str">
        <f>IFERROR(IF(VLOOKUP(C68,TotalRev1!A:C,3,FALSE)="","",VLOOKUP(C68,TotalRev1!A:C,3,FALSE)),"")</f>
        <v/>
      </c>
      <c r="G68" t="str">
        <f>IFERROR(IF(VLOOKUP(C68,TotalRevL!A:C,3,FALSE)="","",VLOOKUP(C68,TotalRevL!A:C,3,FALSE)),"")</f>
        <v/>
      </c>
      <c r="H68" s="26">
        <f>IFERROR(IFERROR(VLOOKUP($A68,Winpct1!$A:$K,9,FALSE),VLOOKUP($B68,Winpct1!$A:$K,9,FALSE)),"")</f>
        <v>0.79400000000000004</v>
      </c>
      <c r="I68">
        <f>IFERROR(IFERROR(VLOOKUP($A68,Attendance1!$B:$H,3,FALSE),VLOOKUP($B68,Attendance1!$B:$H,3,FALSE)),"")</f>
        <v>3836</v>
      </c>
      <c r="J68">
        <f>IFERROR(VLOOKUP(D68,'Pop-Metro'!A:R,E68-2005,FALSE),VLOOKUP(D68,'Pop-Micro'!A:R,E68-2005,FALSE))</f>
        <v>2803288</v>
      </c>
      <c r="K68">
        <f>IFERROR(VLOOKUP(D68,'PCI-Metro'!A:R,E68-2005,FALSE),VLOOKUP(D68,'PCI-Micro'!A:R,E68-2005,FALSE))</f>
        <v>55702</v>
      </c>
      <c r="L68">
        <f>IFERROR(IF(IFERROR(VLOOKUP($A68,Attendance1!$B:$H,5,FALSE),VLOOKUP($B68,Attendance1!$B:$H,5,FALSE))="","",IFERROR(VLOOKUP($A68,Attendance1!$B:$H,5,FALSE),VLOOKUP($B68,Attendance1!$B:$H,5,FALSE))),"")</f>
        <v>1800</v>
      </c>
    </row>
    <row r="69" spans="1:12">
      <c r="A69" t="s">
        <v>63</v>
      </c>
      <c r="B69" t="s">
        <v>63</v>
      </c>
      <c r="C69">
        <v>144740</v>
      </c>
      <c r="D69">
        <v>16980</v>
      </c>
      <c r="E69">
        <f t="shared" si="1"/>
        <v>2015</v>
      </c>
      <c r="F69" t="str">
        <f>IFERROR(IF(VLOOKUP(C69,TotalRev1!A:C,3,FALSE)="","",VLOOKUP(C69,TotalRev1!A:C,3,FALSE)),"")</f>
        <v/>
      </c>
      <c r="G69" t="str">
        <f>IFERROR(IF(VLOOKUP(C69,TotalRevL!A:C,3,FALSE)="","",VLOOKUP(C69,TotalRevL!A:C,3,FALSE)),"")</f>
        <v/>
      </c>
      <c r="H69" s="26">
        <f>IFERROR(IFERROR(VLOOKUP($A69,Winpct1!$A:$K,9,FALSE),VLOOKUP($B69,Winpct1!$A:$K,9,FALSE)),"")</f>
        <v>0.1</v>
      </c>
      <c r="I69">
        <f>IFERROR(IFERROR(VLOOKUP($A69,Attendance1!$B:$H,3,FALSE),VLOOKUP($B69,Attendance1!$B:$H,3,FALSE)),"")</f>
        <v>4520</v>
      </c>
      <c r="J69">
        <f>IFERROR(VLOOKUP(D69,'Pop-Metro'!A:R,E69-2005,FALSE),VLOOKUP(D69,'Pop-Micro'!A:R,E69-2005,FALSE))</f>
        <v>9655619</v>
      </c>
      <c r="K69">
        <f>IFERROR(VLOOKUP(D69,'PCI-Metro'!A:R,E69-2005,FALSE),VLOOKUP(D69,'PCI-Micro'!A:R,E69-2005,FALSE))</f>
        <v>54358</v>
      </c>
      <c r="L69">
        <f>IFERROR(IF(IFERROR(VLOOKUP($A69,Attendance1!$B:$H,5,FALSE),VLOOKUP($B69,Attendance1!$B:$H,5,FALSE))="","",IFERROR(VLOOKUP($A69,Attendance1!$B:$H,5,FALSE),VLOOKUP($B69,Attendance1!$B:$H,5,FALSE))),"")</f>
        <v>3000</v>
      </c>
    </row>
    <row r="70" spans="1:12">
      <c r="A70" t="s">
        <v>64</v>
      </c>
      <c r="B70" t="s">
        <v>64</v>
      </c>
      <c r="C70">
        <v>169716</v>
      </c>
      <c r="D70">
        <v>19820</v>
      </c>
      <c r="E70">
        <f t="shared" si="1"/>
        <v>2015</v>
      </c>
      <c r="F70" t="str">
        <f>IFERROR(IF(VLOOKUP(C70,TotalRev1!A:C,3,FALSE)="","",VLOOKUP(C70,TotalRev1!A:C,3,FALSE)),"")</f>
        <v/>
      </c>
      <c r="G70" t="str">
        <f>IFERROR(IF(VLOOKUP(C70,TotalRevL!A:C,3,FALSE)="","",VLOOKUP(C70,TotalRevL!A:C,3,FALSE)),"")</f>
        <v/>
      </c>
      <c r="H70" s="26" t="str">
        <f>IFERROR(IFERROR(VLOOKUP($A70,Winpct1!$A:$K,9,FALSE),VLOOKUP($B70,Winpct1!$A:$K,9,FALSE)),"")</f>
        <v/>
      </c>
      <c r="I70" t="str">
        <f>IFERROR(IFERROR(VLOOKUP($A70,Attendance1!$B:$H,3,FALSE),VLOOKUP($B70,Attendance1!$B:$H,3,FALSE)),"")</f>
        <v/>
      </c>
      <c r="J70">
        <f>IFERROR(VLOOKUP(D70,'Pop-Metro'!A:R,E70-2005,FALSE),VLOOKUP(D70,'Pop-Micro'!A:R,E70-2005,FALSE))</f>
        <v>4352394</v>
      </c>
      <c r="K70">
        <f>IFERROR(VLOOKUP(D70,'PCI-Metro'!A:R,E70-2005,FALSE),VLOOKUP(D70,'PCI-Micro'!A:R,E70-2005,FALSE))</f>
        <v>47063</v>
      </c>
      <c r="L70" t="str">
        <f>IFERROR(IF(IFERROR(VLOOKUP($A70,Attendance1!$B:$H,5,FALSE),VLOOKUP($B70,Attendance1!$B:$H,5,FALSE))="","",IFERROR(VLOOKUP($A70,Attendance1!$B:$H,5,FALSE),VLOOKUP($B70,Attendance1!$B:$H,5,FALSE))),"")</f>
        <v/>
      </c>
    </row>
    <row r="71" spans="1:12">
      <c r="A71" t="s">
        <v>65</v>
      </c>
      <c r="B71" t="s">
        <v>65</v>
      </c>
      <c r="C71">
        <v>153269</v>
      </c>
      <c r="D71">
        <v>19780</v>
      </c>
      <c r="E71">
        <f t="shared" si="1"/>
        <v>2015</v>
      </c>
      <c r="F71" t="str">
        <f>IFERROR(IF(VLOOKUP(C71,TotalRev1!A:C,3,FALSE)="","",VLOOKUP(C71,TotalRev1!A:C,3,FALSE)),"")</f>
        <v/>
      </c>
      <c r="G71" t="str">
        <f>IFERROR(IF(VLOOKUP(C71,TotalRevL!A:C,3,FALSE)="","",VLOOKUP(C71,TotalRevL!A:C,3,FALSE)),"")</f>
        <v/>
      </c>
      <c r="H71" s="26">
        <f>IFERROR(IFERROR(VLOOKUP($A71,Winpct1!$A:$K,9,FALSE),VLOOKUP($B71,Winpct1!$A:$K,9,FALSE)),"")</f>
        <v>0.379</v>
      </c>
      <c r="I71">
        <f>IFERROR(IFERROR(VLOOKUP($A71,Attendance1!$B:$H,3,FALSE),VLOOKUP($B71,Attendance1!$B:$H,3,FALSE)),"")</f>
        <v>3542</v>
      </c>
      <c r="J71">
        <f>IFERROR(VLOOKUP(D71,'Pop-Metro'!A:R,E71-2005,FALSE),VLOOKUP(D71,'Pop-Micro'!A:R,E71-2005,FALSE))</f>
        <v>661212</v>
      </c>
      <c r="K71">
        <f>IFERROR(VLOOKUP(D71,'PCI-Metro'!A:R,E71-2005,FALSE),VLOOKUP(D71,'PCI-Micro'!A:R,E71-2005,FALSE))</f>
        <v>49546</v>
      </c>
      <c r="L71">
        <f>IFERROR(IF(IFERROR(VLOOKUP($A71,Attendance1!$B:$H,5,FALSE),VLOOKUP($B71,Attendance1!$B:$H,5,FALSE))="","",IFERROR(VLOOKUP($A71,Attendance1!$B:$H,5,FALSE),VLOOKUP($B71,Attendance1!$B:$H,5,FALSE))),"")</f>
        <v>7000</v>
      </c>
    </row>
    <row r="72" spans="1:12">
      <c r="A72" t="s">
        <v>66</v>
      </c>
      <c r="B72" t="s">
        <v>66</v>
      </c>
      <c r="C72">
        <v>212054</v>
      </c>
      <c r="D72">
        <v>37980</v>
      </c>
      <c r="E72">
        <f t="shared" si="1"/>
        <v>2015</v>
      </c>
      <c r="F72" t="str">
        <f>IFERROR(IF(VLOOKUP(C72,TotalRev1!A:C,3,FALSE)="","",VLOOKUP(C72,TotalRev1!A:C,3,FALSE)),"")</f>
        <v/>
      </c>
      <c r="G72" t="str">
        <f>IFERROR(IF(VLOOKUP(C72,TotalRevL!A:C,3,FALSE)="","",VLOOKUP(C72,TotalRevL!A:C,3,FALSE)),"")</f>
        <v/>
      </c>
      <c r="H72" s="26" t="str">
        <f>IFERROR(IFERROR(VLOOKUP($A72,Winpct1!$A:$K,9,FALSE),VLOOKUP($B72,Winpct1!$A:$K,9,FALSE)),"")</f>
        <v/>
      </c>
      <c r="I72" t="str">
        <f>IFERROR(IFERROR(VLOOKUP($A72,Attendance1!$B:$H,3,FALSE),VLOOKUP($B72,Attendance1!$B:$H,3,FALSE)),"")</f>
        <v/>
      </c>
      <c r="J72">
        <f>IFERROR(VLOOKUP(D72,'Pop-Metro'!A:R,E72-2005,FALSE),VLOOKUP(D72,'Pop-Micro'!A:R,E72-2005,FALSE))</f>
        <v>6129946</v>
      </c>
      <c r="K72">
        <f>IFERROR(VLOOKUP(D72,'PCI-Metro'!A:R,E72-2005,FALSE),VLOOKUP(D72,'PCI-Micro'!A:R,E72-2005,FALSE))</f>
        <v>56629</v>
      </c>
      <c r="L72" t="str">
        <f>IFERROR(IF(IFERROR(VLOOKUP($A72,Attendance1!$B:$H,5,FALSE),VLOOKUP($B72,Attendance1!$B:$H,5,FALSE))="","",IFERROR(VLOOKUP($A72,Attendance1!$B:$H,5,FALSE),VLOOKUP($B72,Attendance1!$B:$H,5,FALSE))),"")</f>
        <v/>
      </c>
    </row>
    <row r="73" spans="1:12">
      <c r="A73" t="s">
        <v>67</v>
      </c>
      <c r="B73" t="s">
        <v>67</v>
      </c>
      <c r="C73">
        <v>198419</v>
      </c>
      <c r="D73">
        <v>20500</v>
      </c>
      <c r="E73">
        <f t="shared" si="1"/>
        <v>2015</v>
      </c>
      <c r="F73" t="str">
        <f>IFERROR(IF(VLOOKUP(C73,TotalRev1!A:C,3,FALSE)="","",VLOOKUP(C73,TotalRev1!A:C,3,FALSE)),"")</f>
        <v/>
      </c>
      <c r="G73" t="str">
        <f>IFERROR(IF(VLOOKUP(C73,TotalRevL!A:C,3,FALSE)="","",VLOOKUP(C73,TotalRevL!A:C,3,FALSE)),"")</f>
        <v/>
      </c>
      <c r="H73" s="26">
        <f>IFERROR(IFERROR(VLOOKUP($A73,Winpct1!$A:$K,9,FALSE),VLOOKUP($B73,Winpct1!$A:$K,9,FALSE)),"")</f>
        <v>0.73299999999999998</v>
      </c>
      <c r="I73">
        <f>IFERROR(IFERROR(VLOOKUP($A73,Attendance1!$B:$H,3,FALSE),VLOOKUP($B73,Attendance1!$B:$H,3,FALSE)),"")</f>
        <v>19943</v>
      </c>
      <c r="J73">
        <f>IFERROR(VLOOKUP(D73,'Pop-Metro'!A:R,E73-2005,FALSE),VLOOKUP(D73,'Pop-Micro'!A:R,E73-2005,FALSE))</f>
        <v>607634</v>
      </c>
      <c r="K73">
        <f>IFERROR(VLOOKUP(D73,'PCI-Metro'!A:R,E73-2005,FALSE),VLOOKUP(D73,'PCI-Micro'!A:R,E73-2005,FALSE))</f>
        <v>46887</v>
      </c>
      <c r="L73">
        <f>IFERROR(IF(IFERROR(VLOOKUP($A73,Attendance1!$B:$H,5,FALSE),VLOOKUP($B73,Attendance1!$B:$H,5,FALSE))="","",IFERROR(VLOOKUP($A73,Attendance1!$B:$H,5,FALSE),VLOOKUP($B73,Attendance1!$B:$H,5,FALSE))),"")</f>
        <v>9314</v>
      </c>
    </row>
    <row r="74" spans="1:12">
      <c r="A74" t="s">
        <v>1273</v>
      </c>
      <c r="B74" t="s">
        <v>1273</v>
      </c>
      <c r="C74">
        <v>212106</v>
      </c>
      <c r="D74">
        <v>38300</v>
      </c>
      <c r="E74">
        <f t="shared" si="1"/>
        <v>2015</v>
      </c>
      <c r="F74" t="str">
        <f>IFERROR(IF(VLOOKUP(C74,TotalRev1!A:C,3,FALSE)="","",VLOOKUP(C74,TotalRev1!A:C,3,FALSE)),"")</f>
        <v/>
      </c>
      <c r="G74" t="str">
        <f>IFERROR(IF(VLOOKUP(C74,TotalRevL!A:C,3,FALSE)="","",VLOOKUP(C74,TotalRevL!A:C,3,FALSE)),"")</f>
        <v/>
      </c>
      <c r="H74" s="26">
        <f>IFERROR(IFERROR(VLOOKUP($A74,Winpct1!$A:$K,9,FALSE),VLOOKUP($B74,Winpct1!$A:$K,9,FALSE)),"")</f>
        <v>0.57099999999999995</v>
      </c>
      <c r="I74">
        <f>IFERROR(IFERROR(VLOOKUP($A74,Attendance1!$B:$H,3,FALSE),VLOOKUP($B74,Attendance1!$B:$H,3,FALSE)),"")</f>
        <v>1762</v>
      </c>
      <c r="J74">
        <f>IFERROR(VLOOKUP(D74,'Pop-Metro'!A:R,E74-2005,FALSE),VLOOKUP(D74,'Pop-Micro'!A:R,E74-2005,FALSE))</f>
        <v>2379439</v>
      </c>
      <c r="K74">
        <f>IFERROR(VLOOKUP(D74,'PCI-Metro'!A:R,E74-2005,FALSE),VLOOKUP(D74,'PCI-Micro'!A:R,E74-2005,FALSE))</f>
        <v>49927</v>
      </c>
      <c r="L74">
        <f>IFERROR(IF(IFERROR(VLOOKUP($A74,Attendance1!$B:$H,5,FALSE),VLOOKUP($B74,Attendance1!$B:$H,5,FALSE))="","",IFERROR(VLOOKUP($A74,Attendance1!$B:$H,5,FALSE),VLOOKUP($B74,Attendance1!$B:$H,5,FALSE))),"")</f>
        <v>4406</v>
      </c>
    </row>
    <row r="75" spans="1:12">
      <c r="A75" t="s">
        <v>68</v>
      </c>
      <c r="B75" t="s">
        <v>68</v>
      </c>
      <c r="C75">
        <v>198464</v>
      </c>
      <c r="D75">
        <v>24780</v>
      </c>
      <c r="E75">
        <f t="shared" si="1"/>
        <v>2015</v>
      </c>
      <c r="F75">
        <f>IFERROR(IF(VLOOKUP(C75,TotalRev1!A:C,3,FALSE)="","",VLOOKUP(C75,TotalRev1!A:C,3,FALSE)),"")</f>
        <v>8980</v>
      </c>
      <c r="G75">
        <f>IFERROR(IF(VLOOKUP(C75,TotalRevL!A:C,3,FALSE)="","",VLOOKUP(C75,TotalRevL!A:C,3,FALSE)),"")</f>
        <v>23504</v>
      </c>
      <c r="H75" s="26">
        <f>IFERROR(IFERROR(VLOOKUP($A75,Winpct1!$A:$K,9,FALSE),VLOOKUP($B75,Winpct1!$A:$K,9,FALSE)),"")</f>
        <v>0.48399999999999999</v>
      </c>
      <c r="I75">
        <f>IFERROR(IFERROR(VLOOKUP($A75,Attendance1!$B:$H,3,FALSE),VLOOKUP($B75,Attendance1!$B:$H,3,FALSE)),"")</f>
        <v>5546</v>
      </c>
      <c r="J75">
        <f>IFERROR(VLOOKUP(D75,'Pop-Metro'!A:R,E75-2005,FALSE),VLOOKUP(D75,'Pop-Micro'!A:R,E75-2005,FALSE))</f>
        <v>170015</v>
      </c>
      <c r="K75">
        <f>IFERROR(VLOOKUP(D75,'PCI-Metro'!A:R,E75-2005,FALSE),VLOOKUP(D75,'PCI-Micro'!A:R,E75-2005,FALSE))</f>
        <v>38308</v>
      </c>
      <c r="L75">
        <f>IFERROR(IF(IFERROR(VLOOKUP($A75,Attendance1!$B:$H,5,FALSE),VLOOKUP($B75,Attendance1!$B:$H,5,FALSE))="","",IFERROR(VLOOKUP($A75,Attendance1!$B:$H,5,FALSE),VLOOKUP($B75,Attendance1!$B:$H,5,FALSE))),"")</f>
        <v>8000</v>
      </c>
    </row>
    <row r="76" spans="1:12">
      <c r="A76" t="s">
        <v>69</v>
      </c>
      <c r="B76" t="s">
        <v>69</v>
      </c>
      <c r="C76">
        <v>144892</v>
      </c>
      <c r="D76">
        <v>16660</v>
      </c>
      <c r="E76">
        <f t="shared" si="1"/>
        <v>2015</v>
      </c>
      <c r="F76">
        <f>IFERROR(IF(VLOOKUP(C76,TotalRev1!A:C,3,FALSE)="","",VLOOKUP(C76,TotalRev1!A:C,3,FALSE)),"")</f>
        <v>1177</v>
      </c>
      <c r="G76">
        <f>IFERROR(IF(VLOOKUP(C76,TotalRevL!A:C,3,FALSE)="","",VLOOKUP(C76,TotalRevL!A:C,3,FALSE)),"")</f>
        <v>376462</v>
      </c>
      <c r="H76" s="26">
        <f>IFERROR(IFERROR(VLOOKUP($A76,Winpct1!$A:$K,9,FALSE),VLOOKUP($B76,Winpct1!$A:$K,9,FALSE)),"")</f>
        <v>0.48399999999999999</v>
      </c>
      <c r="I76">
        <f>IFERROR(IFERROR(VLOOKUP($A76,Attendance1!$B:$H,3,FALSE),VLOOKUP($B76,Attendance1!$B:$H,3,FALSE)),"")</f>
        <v>2471</v>
      </c>
      <c r="J76">
        <f>IFERROR(VLOOKUP(D76,'Pop-Metro'!A:R,E76-2005,FALSE),VLOOKUP(D76,'Pop-Micro'!A:R,E76-2005,FALSE))</f>
        <v>61011</v>
      </c>
      <c r="K76">
        <f>IFERROR(VLOOKUP(D76,'PCI-Metro'!A:R,E76-2005,FALSE),VLOOKUP(D76,'PCI-Micro'!A:R,E76-2005,FALSE))</f>
        <v>41466</v>
      </c>
      <c r="L76">
        <f>IFERROR(IF(IFERROR(VLOOKUP($A76,Attendance1!$B:$H,5,FALSE),VLOOKUP($B76,Attendance1!$B:$H,5,FALSE))="","",IFERROR(VLOOKUP($A76,Attendance1!$B:$H,5,FALSE),VLOOKUP($B76,Attendance1!$B:$H,5,FALSE))),"")</f>
        <v>4200</v>
      </c>
    </row>
    <row r="77" spans="1:12">
      <c r="A77" t="s">
        <v>70</v>
      </c>
      <c r="B77" t="s">
        <v>70</v>
      </c>
      <c r="C77">
        <v>156620</v>
      </c>
      <c r="D77">
        <v>40080</v>
      </c>
      <c r="E77">
        <f t="shared" si="1"/>
        <v>2015</v>
      </c>
      <c r="F77" t="str">
        <f>IFERROR(IF(VLOOKUP(C77,TotalRev1!A:C,3,FALSE)="","",VLOOKUP(C77,TotalRev1!A:C,3,FALSE)),"")</f>
        <v/>
      </c>
      <c r="G77">
        <f>IFERROR(IF(VLOOKUP(C77,TotalRevL!A:C,3,FALSE)="","",VLOOKUP(C77,TotalRevL!A:C,3,FALSE)),"")</f>
        <v>554030</v>
      </c>
      <c r="H77" s="26">
        <f>IFERROR(IFERROR(VLOOKUP($A77,Winpct1!$A:$K,9,FALSE),VLOOKUP($B77,Winpct1!$A:$K,9,FALSE)),"")</f>
        <v>0.6</v>
      </c>
      <c r="I77">
        <f>IFERROR(IFERROR(VLOOKUP($A77,Attendance1!$B:$H,3,FALSE),VLOOKUP($B77,Attendance1!$B:$H,3,FALSE)),"")</f>
        <v>1510</v>
      </c>
      <c r="J77">
        <f>IFERROR(VLOOKUP(D77,'Pop-Metro'!A:R,E77-2005,FALSE),VLOOKUP(D77,'Pop-Micro'!A:R,E77-2005,FALSE))</f>
        <v>102037</v>
      </c>
      <c r="K77">
        <f>IFERROR(VLOOKUP(D77,'PCI-Metro'!A:R,E77-2005,FALSE),VLOOKUP(D77,'PCI-Micro'!A:R,E77-2005,FALSE))</f>
        <v>33152</v>
      </c>
      <c r="L77">
        <f>IFERROR(IF(IFERROR(VLOOKUP($A77,Attendance1!$B:$H,5,FALSE),VLOOKUP($B77,Attendance1!$B:$H,5,FALSE))="","",IFERROR(VLOOKUP($A77,Attendance1!$B:$H,5,FALSE),VLOOKUP($B77,Attendance1!$B:$H,5,FALSE))),"")</f>
        <v>6500</v>
      </c>
    </row>
    <row r="78" spans="1:12">
      <c r="A78" t="s">
        <v>1274</v>
      </c>
      <c r="B78" t="s">
        <v>1274</v>
      </c>
      <c r="C78">
        <v>169798</v>
      </c>
      <c r="D78">
        <v>11460</v>
      </c>
      <c r="E78">
        <f t="shared" si="1"/>
        <v>2015</v>
      </c>
      <c r="F78">
        <f>IFERROR(IF(VLOOKUP(C78,TotalRev1!A:C,3,FALSE)="","",VLOOKUP(C78,TotalRev1!A:C,3,FALSE)),"")</f>
        <v>856585</v>
      </c>
      <c r="G78">
        <f>IFERROR(IF(VLOOKUP(C78,TotalRevL!A:C,3,FALSE)="","",VLOOKUP(C78,TotalRevL!A:C,3,FALSE)),"")</f>
        <v>785908</v>
      </c>
      <c r="H78" s="26">
        <f>IFERROR(IFERROR(VLOOKUP($A78,Winpct1!$A:$K,9,FALSE),VLOOKUP($B78,Winpct1!$A:$K,9,FALSE)),"")</f>
        <v>0.58099999999999996</v>
      </c>
      <c r="I78">
        <f>IFERROR(IFERROR(VLOOKUP($A78,Attendance1!$B:$H,3,FALSE),VLOOKUP($B78,Attendance1!$B:$H,3,FALSE)),"")</f>
        <v>2072</v>
      </c>
      <c r="J78">
        <f>IFERROR(VLOOKUP(D78,'Pop-Metro'!A:R,E78-2005,FALSE),VLOOKUP(D78,'Pop-Micro'!A:R,E78-2005,FALSE))</f>
        <v>366217</v>
      </c>
      <c r="K78">
        <f>IFERROR(VLOOKUP(D78,'PCI-Metro'!A:R,E78-2005,FALSE),VLOOKUP(D78,'PCI-Micro'!A:R,E78-2005,FALSE))</f>
        <v>51527</v>
      </c>
      <c r="L78">
        <f>IFERROR(IF(IFERROR(VLOOKUP($A78,Attendance1!$B:$H,5,FALSE),VLOOKUP($B78,Attendance1!$B:$H,5,FALSE))="","",IFERROR(VLOOKUP($A78,Attendance1!$B:$H,5,FALSE),VLOOKUP($B78,Attendance1!$B:$H,5,FALSE))),"")</f>
        <v>8824</v>
      </c>
    </row>
    <row r="79" spans="1:12">
      <c r="A79" t="s">
        <v>1275</v>
      </c>
      <c r="B79" t="s">
        <v>1275</v>
      </c>
      <c r="C79">
        <v>235097</v>
      </c>
      <c r="D79">
        <v>44060</v>
      </c>
      <c r="E79">
        <f t="shared" si="1"/>
        <v>2015</v>
      </c>
      <c r="F79">
        <f>IFERROR(IF(VLOOKUP(C79,TotalRev1!A:C,3,FALSE)="","",VLOOKUP(C79,TotalRev1!A:C,3,FALSE)),"")</f>
        <v>774442</v>
      </c>
      <c r="G79">
        <f>IFERROR(IF(VLOOKUP(C79,TotalRevL!A:C,3,FALSE)="","",VLOOKUP(C79,TotalRevL!A:C,3,FALSE)),"")</f>
        <v>661392</v>
      </c>
      <c r="H79" s="26">
        <f>IFERROR(IFERROR(VLOOKUP($A79,Winpct1!$A:$K,9,FALSE),VLOOKUP($B79,Winpct1!$A:$K,9,FALSE)),"")</f>
        <v>0.31</v>
      </c>
      <c r="I79">
        <f>IFERROR(IFERROR(VLOOKUP($A79,Attendance1!$B:$H,3,FALSE),VLOOKUP($B79,Attendance1!$B:$H,3,FALSE)),"")</f>
        <v>5568</v>
      </c>
      <c r="J79">
        <f>IFERROR(VLOOKUP(D79,'Pop-Metro'!A:R,E79-2005,FALSE),VLOOKUP(D79,'Pop-Micro'!A:R,E79-2005,FALSE))</f>
        <v>538609</v>
      </c>
      <c r="K79">
        <f>IFERROR(VLOOKUP(D79,'PCI-Metro'!A:R,E79-2005,FALSE),VLOOKUP(D79,'PCI-Micro'!A:R,E79-2005,FALSE))</f>
        <v>39359</v>
      </c>
      <c r="L79">
        <f>IFERROR(IF(IFERROR(VLOOKUP($A79,Attendance1!$B:$H,5,FALSE),VLOOKUP($B79,Attendance1!$B:$H,5,FALSE))="","",IFERROR(VLOOKUP($A79,Attendance1!$B:$H,5,FALSE),VLOOKUP($B79,Attendance1!$B:$H,5,FALSE))),"")</f>
        <v>6000</v>
      </c>
    </row>
    <row r="80" spans="1:12">
      <c r="A80" t="s">
        <v>71</v>
      </c>
      <c r="B80" t="s">
        <v>71</v>
      </c>
      <c r="C80">
        <v>198516</v>
      </c>
      <c r="D80">
        <v>24660</v>
      </c>
      <c r="E80">
        <f t="shared" si="1"/>
        <v>2015</v>
      </c>
      <c r="F80" t="str">
        <f>IFERROR(IF(VLOOKUP(C80,TotalRev1!A:C,3,FALSE)="","",VLOOKUP(C80,TotalRev1!A:C,3,FALSE)),"")</f>
        <v/>
      </c>
      <c r="G80" t="str">
        <f>IFERROR(IF(VLOOKUP(C80,TotalRevL!A:C,3,FALSE)="","",VLOOKUP(C80,TotalRevL!A:C,3,FALSE)),"")</f>
        <v/>
      </c>
      <c r="H80" s="26">
        <f>IFERROR(IFERROR(VLOOKUP($A80,Winpct1!$A:$K,9,FALSE),VLOOKUP($B80,Winpct1!$A:$K,9,FALSE)),"")</f>
        <v>0.188</v>
      </c>
      <c r="I80">
        <f>IFERROR(IFERROR(VLOOKUP($A80,Attendance1!$B:$H,3,FALSE),VLOOKUP($B80,Attendance1!$B:$H,3,FALSE)),"")</f>
        <v>1795</v>
      </c>
      <c r="J80">
        <f>IFERROR(VLOOKUP(D80,'Pop-Metro'!A:R,E80-2005,FALSE),VLOOKUP(D80,'Pop-Micro'!A:R,E80-2005,FALSE))</f>
        <v>751869</v>
      </c>
      <c r="K80">
        <f>IFERROR(VLOOKUP(D80,'PCI-Metro'!A:R,E80-2005,FALSE),VLOOKUP(D80,'PCI-Micro'!A:R,E80-2005,FALSE))</f>
        <v>39613</v>
      </c>
      <c r="L80">
        <f>IFERROR(IF(IFERROR(VLOOKUP($A80,Attendance1!$B:$H,5,FALSE),VLOOKUP($B80,Attendance1!$B:$H,5,FALSE))="","",IFERROR(VLOOKUP($A80,Attendance1!$B:$H,5,FALSE),VLOOKUP($B80,Attendance1!$B:$H,5,FALSE))),"")</f>
        <v>1544</v>
      </c>
    </row>
    <row r="81" spans="1:12">
      <c r="A81" t="s">
        <v>72</v>
      </c>
      <c r="B81" t="s">
        <v>72</v>
      </c>
      <c r="C81">
        <v>220075</v>
      </c>
      <c r="D81">
        <v>27740</v>
      </c>
      <c r="E81">
        <f t="shared" si="1"/>
        <v>2015</v>
      </c>
      <c r="F81" t="str">
        <f>IFERROR(IF(VLOOKUP(C81,TotalRev1!A:C,3,FALSE)="","",VLOOKUP(C81,TotalRev1!A:C,3,FALSE)),"")</f>
        <v/>
      </c>
      <c r="G81">
        <f>IFERROR(IF(VLOOKUP(C81,TotalRevL!A:C,3,FALSE)="","",VLOOKUP(C81,TotalRevL!A:C,3,FALSE)),"")</f>
        <v>35836</v>
      </c>
      <c r="H81" s="26">
        <f>IFERROR(IFERROR(VLOOKUP($A81,Winpct1!$A:$K,9,FALSE),VLOOKUP($B81,Winpct1!$A:$K,9,FALSE)),"")</f>
        <v>0.51500000000000001</v>
      </c>
      <c r="I81">
        <f>IFERROR(IFERROR(VLOOKUP($A81,Attendance1!$B:$H,3,FALSE),VLOOKUP($B81,Attendance1!$B:$H,3,FALSE)),"")</f>
        <v>3149</v>
      </c>
      <c r="J81">
        <f>IFERROR(VLOOKUP(D81,'Pop-Metro'!A:R,E81-2005,FALSE),VLOOKUP(D81,'Pop-Micro'!A:R,E81-2005,FALSE))</f>
        <v>201857</v>
      </c>
      <c r="K81">
        <f>IFERROR(VLOOKUP(D81,'PCI-Metro'!A:R,E81-2005,FALSE),VLOOKUP(D81,'PCI-Micro'!A:R,E81-2005,FALSE))</f>
        <v>36355</v>
      </c>
      <c r="L81">
        <f>IFERROR(IF(IFERROR(VLOOKUP($A81,Attendance1!$B:$H,5,FALSE),VLOOKUP($B81,Attendance1!$B:$H,5,FALSE))="","",IFERROR(VLOOKUP($A81,Attendance1!$B:$H,5,FALSE),VLOOKUP($B81,Attendance1!$B:$H,5,FALSE))),"")</f>
        <v>3500</v>
      </c>
    </row>
    <row r="82" spans="1:12">
      <c r="A82" t="s">
        <v>73</v>
      </c>
      <c r="B82" t="s">
        <v>73</v>
      </c>
      <c r="C82">
        <v>150534</v>
      </c>
      <c r="D82">
        <v>21780</v>
      </c>
      <c r="E82">
        <f t="shared" si="1"/>
        <v>2015</v>
      </c>
      <c r="F82" t="str">
        <f>IFERROR(IF(VLOOKUP(C82,TotalRev1!A:C,3,FALSE)="","",VLOOKUP(C82,TotalRev1!A:C,3,FALSE)),"")</f>
        <v/>
      </c>
      <c r="G82" t="str">
        <f>IFERROR(IF(VLOOKUP(C82,TotalRevL!A:C,3,FALSE)="","",VLOOKUP(C82,TotalRevL!A:C,3,FALSE)),"")</f>
        <v/>
      </c>
      <c r="H82" s="26">
        <f>IFERROR(IFERROR(VLOOKUP($A82,Winpct1!$A:$K,9,FALSE),VLOOKUP($B82,Winpct1!$A:$K,9,FALSE)),"")</f>
        <v>0.26700000000000002</v>
      </c>
      <c r="I82">
        <f>IFERROR(IFERROR(VLOOKUP($A82,Attendance1!$B:$H,3,FALSE),VLOOKUP($B82,Attendance1!$B:$H,3,FALSE)),"")</f>
        <v>4666</v>
      </c>
      <c r="J82">
        <f>IFERROR(VLOOKUP(D82,'Pop-Metro'!A:R,E82-2005,FALSE),VLOOKUP(D82,'Pop-Micro'!A:R,E82-2005,FALSE))</f>
        <v>314320</v>
      </c>
      <c r="K82">
        <f>IFERROR(VLOOKUP(D82,'PCI-Metro'!A:R,E82-2005,FALSE),VLOOKUP(D82,'PCI-Micro'!A:R,E82-2005,FALSE))</f>
        <v>42984</v>
      </c>
      <c r="L82">
        <f>IFERROR(IF(IFERROR(VLOOKUP($A82,Attendance1!$B:$H,5,FALSE),VLOOKUP($B82,Attendance1!$B:$H,5,FALSE))="","",IFERROR(VLOOKUP($A82,Attendance1!$B:$H,5,FALSE),VLOOKUP($B82,Attendance1!$B:$H,5,FALSE))),"")</f>
        <v>1000</v>
      </c>
    </row>
    <row r="83" spans="1:12">
      <c r="A83" t="s">
        <v>74</v>
      </c>
      <c r="B83" t="s">
        <v>74</v>
      </c>
      <c r="C83">
        <v>129242</v>
      </c>
      <c r="D83">
        <v>35620</v>
      </c>
      <c r="E83">
        <f t="shared" si="1"/>
        <v>2015</v>
      </c>
      <c r="F83" t="str">
        <f>IFERROR(IF(VLOOKUP(C83,TotalRev1!A:C,3,FALSE)="","",VLOOKUP(C83,TotalRev1!A:C,3,FALSE)),"")</f>
        <v/>
      </c>
      <c r="G83" t="str">
        <f>IFERROR(IF(VLOOKUP(C83,TotalRevL!A:C,3,FALSE)="","",VLOOKUP(C83,TotalRevL!A:C,3,FALSE)),"")</f>
        <v/>
      </c>
      <c r="H83" s="26">
        <f>IFERROR(IFERROR(VLOOKUP($A83,Winpct1!$A:$K,9,FALSE),VLOOKUP($B83,Winpct1!$A:$K,9,FALSE)),"")</f>
        <v>0.61299999999999999</v>
      </c>
      <c r="I83">
        <f>IFERROR(IFERROR(VLOOKUP($A83,Attendance1!$B:$H,3,FALSE),VLOOKUP($B83,Attendance1!$B:$H,3,FALSE)),"")</f>
        <v>1672</v>
      </c>
      <c r="J83">
        <f>IFERROR(VLOOKUP(D83,'Pop-Metro'!A:R,E83-2005,FALSE),VLOOKUP(D83,'Pop-Micro'!A:R,E83-2005,FALSE))</f>
        <v>19830288</v>
      </c>
      <c r="K83">
        <f>IFERROR(VLOOKUP(D83,'PCI-Metro'!A:R,E83-2005,FALSE),VLOOKUP(D83,'PCI-Micro'!A:R,E83-2005,FALSE))</f>
        <v>62877</v>
      </c>
      <c r="L83">
        <f>IFERROR(IF(IFERROR(VLOOKUP($A83,Attendance1!$B:$H,5,FALSE),VLOOKUP($B83,Attendance1!$B:$H,5,FALSE))="","",IFERROR(VLOOKUP($A83,Attendance1!$B:$H,5,FALSE),VLOOKUP($B83,Attendance1!$B:$H,5,FALSE))),"")</f>
        <v>2479</v>
      </c>
    </row>
    <row r="84" spans="1:12">
      <c r="A84" t="s">
        <v>1242</v>
      </c>
      <c r="B84" t="s">
        <v>75</v>
      </c>
      <c r="C84">
        <v>184603</v>
      </c>
      <c r="D84">
        <v>35620</v>
      </c>
      <c r="E84">
        <f t="shared" si="1"/>
        <v>2015</v>
      </c>
      <c r="F84" t="str">
        <f>IFERROR(IF(VLOOKUP(C84,TotalRev1!A:C,3,FALSE)="","",VLOOKUP(C84,TotalRev1!A:C,3,FALSE)),"")</f>
        <v/>
      </c>
      <c r="G84" t="str">
        <f>IFERROR(IF(VLOOKUP(C84,TotalRevL!A:C,3,FALSE)="","",VLOOKUP(C84,TotalRevL!A:C,3,FALSE)),"")</f>
        <v/>
      </c>
      <c r="H84" s="26">
        <f>IFERROR(IFERROR(VLOOKUP($A84,Winpct1!$A:$K,9,FALSE),VLOOKUP($B84,Winpct1!$A:$K,9,FALSE)),"")</f>
        <v>0.20699999999999999</v>
      </c>
      <c r="I84">
        <f>IFERROR(IFERROR(VLOOKUP($A84,Attendance1!$B:$H,3,FALSE),VLOOKUP($B84,Attendance1!$B:$H,3,FALSE)),"")</f>
        <v>1828</v>
      </c>
      <c r="J84">
        <f>IFERROR(VLOOKUP(D84,'Pop-Metro'!A:R,E84-2005,FALSE),VLOOKUP(D84,'Pop-Micro'!A:R,E84-2005,FALSE))</f>
        <v>19830288</v>
      </c>
      <c r="K84">
        <f>IFERROR(VLOOKUP(D84,'PCI-Metro'!A:R,E84-2005,FALSE),VLOOKUP(D84,'PCI-Micro'!A:R,E84-2005,FALSE))</f>
        <v>62877</v>
      </c>
      <c r="L84">
        <f>IFERROR(IF(IFERROR(VLOOKUP($A84,Attendance1!$B:$H,5,FALSE),VLOOKUP($B84,Attendance1!$B:$H,5,FALSE))="","",IFERROR(VLOOKUP($A84,Attendance1!$B:$H,5,FALSE),VLOOKUP($B84,Attendance1!$B:$H,5,FALSE))),"")</f>
        <v>500</v>
      </c>
    </row>
    <row r="85" spans="1:12">
      <c r="A85" t="s">
        <v>76</v>
      </c>
      <c r="B85" t="s">
        <v>76</v>
      </c>
      <c r="C85">
        <v>433660</v>
      </c>
      <c r="D85">
        <v>15980</v>
      </c>
      <c r="E85">
        <f t="shared" si="1"/>
        <v>2015</v>
      </c>
      <c r="F85">
        <f>IFERROR(IF(VLOOKUP(C85,TotalRev1!A:C,3,FALSE)="","",VLOOKUP(C85,TotalRev1!A:C,3,FALSE)),"")</f>
        <v>219598</v>
      </c>
      <c r="G85">
        <f>IFERROR(IF(VLOOKUP(C85,TotalRevL!A:C,3,FALSE)="","",VLOOKUP(C85,TotalRevL!A:C,3,FALSE)),"")</f>
        <v>155847</v>
      </c>
      <c r="H85" s="26">
        <f>IFERROR(IFERROR(VLOOKUP($A85,Winpct1!$A:$K,9,FALSE),VLOOKUP($B85,Winpct1!$A:$K,9,FALSE)),"")</f>
        <v>0.63300000000000001</v>
      </c>
      <c r="I85">
        <f>IFERROR(IFERROR(VLOOKUP($A85,Attendance1!$B:$H,3,FALSE),VLOOKUP($B85,Attendance1!$B:$H,3,FALSE)),"")</f>
        <v>6940</v>
      </c>
      <c r="J85">
        <f>IFERROR(VLOOKUP(D85,'Pop-Metro'!A:R,E85-2005,FALSE),VLOOKUP(D85,'Pop-Micro'!A:R,E85-2005,FALSE))</f>
        <v>688440</v>
      </c>
      <c r="K85">
        <f>IFERROR(VLOOKUP(D85,'PCI-Metro'!A:R,E85-2005,FALSE),VLOOKUP(D85,'PCI-Micro'!A:R,E85-2005,FALSE))</f>
        <v>46576</v>
      </c>
      <c r="L85">
        <f>IFERROR(IF(IFERROR(VLOOKUP($A85,Attendance1!$B:$H,5,FALSE),VLOOKUP($B85,Attendance1!$B:$H,5,FALSE))="","",IFERROR(VLOOKUP($A85,Attendance1!$B:$H,5,FALSE),VLOOKUP($B85,Attendance1!$B:$H,5,FALSE))),"")</f>
        <v>4500</v>
      </c>
    </row>
    <row r="86" spans="1:12">
      <c r="A86" t="s">
        <v>77</v>
      </c>
      <c r="B86" t="s">
        <v>77</v>
      </c>
      <c r="C86">
        <v>133951</v>
      </c>
      <c r="D86">
        <v>33100</v>
      </c>
      <c r="E86">
        <f t="shared" si="1"/>
        <v>2015</v>
      </c>
      <c r="F86">
        <f>IFERROR(IF(VLOOKUP(C86,TotalRev1!A:C,3,FALSE)="","",VLOOKUP(C86,TotalRev1!A:C,3,FALSE)),"")</f>
        <v>563136</v>
      </c>
      <c r="G86">
        <f>IFERROR(IF(VLOOKUP(C86,TotalRevL!A:C,3,FALSE)="","",VLOOKUP(C86,TotalRevL!A:C,3,FALSE)),"")</f>
        <v>603932</v>
      </c>
      <c r="H86" s="26">
        <f>IFERROR(IFERROR(VLOOKUP($A86,Winpct1!$A:$K,9,FALSE),VLOOKUP($B86,Winpct1!$A:$K,9,FALSE)),"")</f>
        <v>0.23300000000000001</v>
      </c>
      <c r="I86">
        <f>IFERROR(IFERROR(VLOOKUP($A86,Attendance1!$B:$H,3,FALSE),VLOOKUP($B86,Attendance1!$B:$H,3,FALSE)),"")</f>
        <v>1545</v>
      </c>
      <c r="J86">
        <f>IFERROR(VLOOKUP(D86,'Pop-Metro'!A:R,E86-2005,FALSE),VLOOKUP(D86,'Pop-Micro'!A:R,E86-2005,FALSE))</f>
        <v>5947797</v>
      </c>
      <c r="K86">
        <f>IFERROR(VLOOKUP(D86,'PCI-Metro'!A:R,E86-2005,FALSE),VLOOKUP(D86,'PCI-Micro'!A:R,E86-2005,FALSE))</f>
        <v>50764</v>
      </c>
      <c r="L86">
        <f>IFERROR(IF(IFERROR(VLOOKUP($A86,Attendance1!$B:$H,5,FALSE),VLOOKUP($B86,Attendance1!$B:$H,5,FALSE))="","",IFERROR(VLOOKUP($A86,Attendance1!$B:$H,5,FALSE),VLOOKUP($B86,Attendance1!$B:$H,5,FALSE))),"")</f>
        <v>5000</v>
      </c>
    </row>
    <row r="87" spans="1:12">
      <c r="A87" t="s">
        <v>78</v>
      </c>
      <c r="B87" t="s">
        <v>78</v>
      </c>
      <c r="C87">
        <v>133669</v>
      </c>
      <c r="D87">
        <v>33100</v>
      </c>
      <c r="E87">
        <f t="shared" si="1"/>
        <v>2015</v>
      </c>
      <c r="F87">
        <f>IFERROR(IF(VLOOKUP(C87,TotalRev1!A:C,3,FALSE)="","",VLOOKUP(C87,TotalRev1!A:C,3,FALSE)),"")</f>
        <v>499887</v>
      </c>
      <c r="G87">
        <f>IFERROR(IF(VLOOKUP(C87,TotalRevL!A:C,3,FALSE)="","",VLOOKUP(C87,TotalRevL!A:C,3,FALSE)),"")</f>
        <v>493599</v>
      </c>
      <c r="H87" s="26">
        <f>IFERROR(IFERROR(VLOOKUP($A87,Winpct1!$A:$K,9,FALSE),VLOOKUP($B87,Winpct1!$A:$K,9,FALSE)),"")</f>
        <v>0.6</v>
      </c>
      <c r="I87">
        <f>IFERROR(IFERROR(VLOOKUP($A87,Attendance1!$B:$H,3,FALSE),VLOOKUP($B87,Attendance1!$B:$H,3,FALSE)),"")</f>
        <v>2883</v>
      </c>
      <c r="J87">
        <f>IFERROR(VLOOKUP(D87,'Pop-Metro'!A:R,E87-2005,FALSE),VLOOKUP(D87,'Pop-Micro'!A:R,E87-2005,FALSE))</f>
        <v>5947797</v>
      </c>
      <c r="K87">
        <f>IFERROR(VLOOKUP(D87,'PCI-Metro'!A:R,E87-2005,FALSE),VLOOKUP(D87,'PCI-Micro'!A:R,E87-2005,FALSE))</f>
        <v>50764</v>
      </c>
      <c r="L87">
        <f>IFERROR(IF(IFERROR(VLOOKUP($A87,Attendance1!$B:$H,5,FALSE),VLOOKUP($B87,Attendance1!$B:$H,5,FALSE))="","",IFERROR(VLOOKUP($A87,Attendance1!$B:$H,5,FALSE),VLOOKUP($B87,Attendance1!$B:$H,5,FALSE))),"")</f>
        <v>2980</v>
      </c>
    </row>
    <row r="88" spans="1:12">
      <c r="A88" t="s">
        <v>79</v>
      </c>
      <c r="B88" t="s">
        <v>79</v>
      </c>
      <c r="C88">
        <v>134130</v>
      </c>
      <c r="D88">
        <v>23540</v>
      </c>
      <c r="E88">
        <f t="shared" si="1"/>
        <v>2015</v>
      </c>
      <c r="F88">
        <f>IFERROR(IF(VLOOKUP(C88,TotalRev1!A:C,3,FALSE)="","",VLOOKUP(C88,TotalRev1!A:C,3,FALSE)),"")</f>
        <v>1476057</v>
      </c>
      <c r="G88">
        <f>IFERROR(IF(VLOOKUP(C88,TotalRevL!A:C,3,FALSE)="","",VLOOKUP(C88,TotalRevL!A:C,3,FALSE)),"")</f>
        <v>909025</v>
      </c>
      <c r="H88" s="26">
        <f>IFERROR(IFERROR(VLOOKUP($A88,Winpct1!$A:$K,9,FALSE),VLOOKUP($B88,Winpct1!$A:$K,9,FALSE)),"")</f>
        <v>0.875</v>
      </c>
      <c r="I88">
        <f>IFERROR(IFERROR(VLOOKUP($A88,Attendance1!$B:$H,3,FALSE),VLOOKUP($B88,Attendance1!$B:$H,3,FALSE)),"")</f>
        <v>40833</v>
      </c>
      <c r="J88">
        <f>IFERROR(VLOOKUP(D88,'Pop-Metro'!A:R,E88-2005,FALSE),VLOOKUP(D88,'Pop-Micro'!A:R,E88-2005,FALSE))</f>
        <v>319868</v>
      </c>
      <c r="K88">
        <f>IFERROR(VLOOKUP(D88,'PCI-Metro'!A:R,E88-2005,FALSE),VLOOKUP(D88,'PCI-Micro'!A:R,E88-2005,FALSE))</f>
        <v>37426</v>
      </c>
      <c r="L88">
        <f>IFERROR(IF(IFERROR(VLOOKUP($A88,Attendance1!$B:$H,5,FALSE),VLOOKUP($B88,Attendance1!$B:$H,5,FALSE))="","",IFERROR(VLOOKUP($A88,Attendance1!$B:$H,5,FALSE),VLOOKUP($B88,Attendance1!$B:$H,5,FALSE))),"")</f>
        <v>9777</v>
      </c>
    </row>
    <row r="89" spans="1:12">
      <c r="A89" t="s">
        <v>80</v>
      </c>
      <c r="B89" t="s">
        <v>80</v>
      </c>
      <c r="C89">
        <v>133650</v>
      </c>
      <c r="D89">
        <v>45220</v>
      </c>
      <c r="E89">
        <f t="shared" si="1"/>
        <v>2015</v>
      </c>
      <c r="F89" t="str">
        <f>IFERROR(IF(VLOOKUP(C89,TotalRev1!A:C,3,FALSE)="","",VLOOKUP(C89,TotalRev1!A:C,3,FALSE)),"")</f>
        <v/>
      </c>
      <c r="G89" t="str">
        <f>IFERROR(IF(VLOOKUP(C89,TotalRevL!A:C,3,FALSE)="","",VLOOKUP(C89,TotalRevL!A:C,3,FALSE)),"")</f>
        <v/>
      </c>
      <c r="H89" s="26">
        <f>IFERROR(IFERROR(VLOOKUP($A89,Winpct1!$A:$K,9,FALSE),VLOOKUP($B89,Winpct1!$A:$K,9,FALSE)),"")</f>
        <v>0.46400000000000002</v>
      </c>
      <c r="I89">
        <f>IFERROR(IFERROR(VLOOKUP($A89,Attendance1!$B:$H,3,FALSE),VLOOKUP($B89,Attendance1!$B:$H,3,FALSE)),"")</f>
        <v>804</v>
      </c>
      <c r="J89">
        <f>IFERROR(VLOOKUP(D89,'Pop-Metro'!A:R,E89-2005,FALSE),VLOOKUP(D89,'Pop-Micro'!A:R,E89-2005,FALSE))</f>
        <v>375326</v>
      </c>
      <c r="K89">
        <f>IFERROR(VLOOKUP(D89,'PCI-Metro'!A:R,E89-2005,FALSE),VLOOKUP(D89,'PCI-Micro'!A:R,E89-2005,FALSE))</f>
        <v>37848</v>
      </c>
      <c r="L89">
        <f>IFERROR(IF(IFERROR(VLOOKUP($A89,Attendance1!$B:$H,5,FALSE),VLOOKUP($B89,Attendance1!$B:$H,5,FALSE))="","",IFERROR(VLOOKUP($A89,Attendance1!$B:$H,5,FALSE),VLOOKUP($B89,Attendance1!$B:$H,5,FALSE))),"")</f>
        <v>8500</v>
      </c>
    </row>
    <row r="90" spans="1:12">
      <c r="A90" t="s">
        <v>81</v>
      </c>
      <c r="B90" t="s">
        <v>81</v>
      </c>
      <c r="C90">
        <v>134097</v>
      </c>
      <c r="D90">
        <v>45220</v>
      </c>
      <c r="E90">
        <f t="shared" si="1"/>
        <v>2015</v>
      </c>
      <c r="F90">
        <f>IFERROR(IF(VLOOKUP(C90,TotalRev1!A:C,3,FALSE)="","",VLOOKUP(C90,TotalRev1!A:C,3,FALSE)),"")</f>
        <v>912544</v>
      </c>
      <c r="G90">
        <f>IFERROR(IF(VLOOKUP(C90,TotalRevL!A:C,3,FALSE)="","",VLOOKUP(C90,TotalRevL!A:C,3,FALSE)),"")</f>
        <v>862999</v>
      </c>
      <c r="H90" s="26">
        <f>IFERROR(IFERROR(VLOOKUP($A90,Winpct1!$A:$K,9,FALSE),VLOOKUP($B90,Winpct1!$A:$K,9,FALSE)),"")</f>
        <v>0.90900000000000003</v>
      </c>
      <c r="I90">
        <f>IFERROR(IFERROR(VLOOKUP($A90,Attendance1!$B:$H,3,FALSE),VLOOKUP($B90,Attendance1!$B:$H,3,FALSE)),"")</f>
        <v>16268</v>
      </c>
      <c r="J90">
        <f>IFERROR(VLOOKUP(D90,'Pop-Metro'!A:R,E90-2005,FALSE),VLOOKUP(D90,'Pop-Micro'!A:R,E90-2005,FALSE))</f>
        <v>375326</v>
      </c>
      <c r="K90">
        <f>IFERROR(VLOOKUP(D90,'PCI-Metro'!A:R,E90-2005,FALSE),VLOOKUP(D90,'PCI-Micro'!A:R,E90-2005,FALSE))</f>
        <v>37848</v>
      </c>
      <c r="L90">
        <f>IFERROR(IF(IFERROR(VLOOKUP($A90,Attendance1!$B:$H,5,FALSE),VLOOKUP($B90,Attendance1!$B:$H,5,FALSE))="","",IFERROR(VLOOKUP($A90,Attendance1!$B:$H,5,FALSE),VLOOKUP($B90,Attendance1!$B:$H,5,FALSE))),"")</f>
        <v>1162</v>
      </c>
    </row>
    <row r="91" spans="1:12">
      <c r="A91" t="s">
        <v>82</v>
      </c>
      <c r="B91" t="s">
        <v>82</v>
      </c>
      <c r="C91">
        <v>191241</v>
      </c>
      <c r="D91">
        <v>35620</v>
      </c>
      <c r="E91">
        <f t="shared" si="1"/>
        <v>2015</v>
      </c>
      <c r="F91" t="str">
        <f>IFERROR(IF(VLOOKUP(C91,TotalRev1!A:C,3,FALSE)="","",VLOOKUP(C91,TotalRev1!A:C,3,FALSE)),"")</f>
        <v/>
      </c>
      <c r="G91" t="str">
        <f>IFERROR(IF(VLOOKUP(C91,TotalRevL!A:C,3,FALSE)="","",VLOOKUP(C91,TotalRevL!A:C,3,FALSE)),"")</f>
        <v/>
      </c>
      <c r="H91" s="26">
        <f>IFERROR(IFERROR(VLOOKUP($A91,Winpct1!$A:$K,9,FALSE),VLOOKUP($B91,Winpct1!$A:$K,9,FALSE)),"")</f>
        <v>0.107</v>
      </c>
      <c r="I91">
        <f>IFERROR(IFERROR(VLOOKUP($A91,Attendance1!$B:$H,3,FALSE),VLOOKUP($B91,Attendance1!$B:$H,3,FALSE)),"")</f>
        <v>1723</v>
      </c>
      <c r="J91">
        <f>IFERROR(VLOOKUP(D91,'Pop-Metro'!A:R,E91-2005,FALSE),VLOOKUP(D91,'Pop-Micro'!A:R,E91-2005,FALSE))</f>
        <v>19830288</v>
      </c>
      <c r="K91">
        <f>IFERROR(VLOOKUP(D91,'PCI-Metro'!A:R,E91-2005,FALSE),VLOOKUP(D91,'PCI-Micro'!A:R,E91-2005,FALSE))</f>
        <v>62877</v>
      </c>
      <c r="L91">
        <f>IFERROR(IF(IFERROR(VLOOKUP($A91,Attendance1!$B:$H,5,FALSE),VLOOKUP($B91,Attendance1!$B:$H,5,FALSE))="","",IFERROR(VLOOKUP($A91,Attendance1!$B:$H,5,FALSE),VLOOKUP($B91,Attendance1!$B:$H,5,FALSE))),"")</f>
        <v>3200</v>
      </c>
    </row>
    <row r="92" spans="1:12">
      <c r="A92" t="s">
        <v>83</v>
      </c>
      <c r="B92" t="s">
        <v>83</v>
      </c>
      <c r="C92">
        <v>110556</v>
      </c>
      <c r="D92">
        <v>23420</v>
      </c>
      <c r="E92">
        <f t="shared" si="1"/>
        <v>2015</v>
      </c>
      <c r="F92">
        <f>IFERROR(IF(VLOOKUP(C92,TotalRev1!A:C,3,FALSE)="","",VLOOKUP(C92,TotalRev1!A:C,3,FALSE)),"")</f>
        <v>725503</v>
      </c>
      <c r="G92">
        <f>IFERROR(IF(VLOOKUP(C92,TotalRevL!A:C,3,FALSE)="","",VLOOKUP(C92,TotalRevL!A:C,3,FALSE)),"")</f>
        <v>566431</v>
      </c>
      <c r="H92" s="26">
        <f>IFERROR(IFERROR(VLOOKUP($A92,Winpct1!$A:$K,9,FALSE),VLOOKUP($B92,Winpct1!$A:$K,9,FALSE)),"")</f>
        <v>0.25</v>
      </c>
      <c r="I92">
        <f>IFERROR(IFERROR(VLOOKUP($A92,Attendance1!$B:$H,3,FALSE),VLOOKUP($B92,Attendance1!$B:$H,3,FALSE)),"")</f>
        <v>7773</v>
      </c>
      <c r="J92">
        <f>IFERROR(VLOOKUP(D92,'Pop-Metro'!A:R,E92-2005,FALSE),VLOOKUP(D92,'Pop-Micro'!A:R,E92-2005,FALSE))</f>
        <v>972726</v>
      </c>
      <c r="K92">
        <f>IFERROR(VLOOKUP(D92,'PCI-Metro'!A:R,E92-2005,FALSE),VLOOKUP(D92,'PCI-Micro'!A:R,E92-2005,FALSE))</f>
        <v>38296</v>
      </c>
      <c r="L92">
        <f>IFERROR(IF(IFERROR(VLOOKUP($A92,Attendance1!$B:$H,5,FALSE),VLOOKUP($B92,Attendance1!$B:$H,5,FALSE))="","",IFERROR(VLOOKUP($A92,Attendance1!$B:$H,5,FALSE),VLOOKUP($B92,Attendance1!$B:$H,5,FALSE))),"")</f>
        <v>2024</v>
      </c>
    </row>
    <row r="93" spans="1:12">
      <c r="A93" t="s">
        <v>84</v>
      </c>
      <c r="B93" t="s">
        <v>84</v>
      </c>
      <c r="C93">
        <v>218070</v>
      </c>
      <c r="D93">
        <v>24860</v>
      </c>
      <c r="E93">
        <f t="shared" si="1"/>
        <v>2015</v>
      </c>
      <c r="F93" t="str">
        <f>IFERROR(IF(VLOOKUP(C93,TotalRev1!A:C,3,FALSE)="","",VLOOKUP(C93,TotalRev1!A:C,3,FALSE)),"")</f>
        <v/>
      </c>
      <c r="G93" t="str">
        <f>IFERROR(IF(VLOOKUP(C93,TotalRevL!A:C,3,FALSE)="","",VLOOKUP(C93,TotalRevL!A:C,3,FALSE)),"")</f>
        <v/>
      </c>
      <c r="H93" s="26">
        <f>IFERROR(IFERROR(VLOOKUP($A93,Winpct1!$A:$K,9,FALSE),VLOOKUP($B93,Winpct1!$A:$K,9,FALSE)),"")</f>
        <v>0.76700000000000002</v>
      </c>
      <c r="I93">
        <f>IFERROR(IFERROR(VLOOKUP($A93,Attendance1!$B:$H,3,FALSE),VLOOKUP($B93,Attendance1!$B:$H,3,FALSE)),"")</f>
        <v>4004</v>
      </c>
      <c r="J93">
        <f>IFERROR(VLOOKUP(D93,'Pop-Metro'!A:R,E93-2005,FALSE),VLOOKUP(D93,'Pop-Micro'!A:R,E93-2005,FALSE))</f>
        <v>871665</v>
      </c>
      <c r="K93">
        <f>IFERROR(VLOOKUP(D93,'PCI-Metro'!A:R,E93-2005,FALSE),VLOOKUP(D93,'PCI-Micro'!A:R,E93-2005,FALSE))</f>
        <v>39978</v>
      </c>
      <c r="L93">
        <f>IFERROR(IF(IFERROR(VLOOKUP($A93,Attendance1!$B:$H,5,FALSE),VLOOKUP($B93,Attendance1!$B:$H,5,FALSE))="","",IFERROR(VLOOKUP($A93,Attendance1!$B:$H,5,FALSE),VLOOKUP($B93,Attendance1!$B:$H,5,FALSE))),"")</f>
        <v>1000</v>
      </c>
    </row>
    <row r="94" spans="1:12">
      <c r="A94" t="s">
        <v>85</v>
      </c>
      <c r="B94" t="s">
        <v>85</v>
      </c>
      <c r="C94">
        <v>139931</v>
      </c>
      <c r="D94">
        <v>44340</v>
      </c>
      <c r="E94">
        <f t="shared" si="1"/>
        <v>2015</v>
      </c>
      <c r="F94">
        <f>IFERROR(IF(VLOOKUP(C94,TotalRev1!A:C,3,FALSE)="","",VLOOKUP(C94,TotalRev1!A:C,3,FALSE)),"")</f>
        <v>2007</v>
      </c>
      <c r="G94">
        <f>IFERROR(IF(VLOOKUP(C94,TotalRevL!A:C,3,FALSE)="","",VLOOKUP(C94,TotalRevL!A:C,3,FALSE)),"")</f>
        <v>9917</v>
      </c>
      <c r="H94" s="26">
        <f>IFERROR(IFERROR(VLOOKUP($A94,Winpct1!$A:$K,9,FALSE),VLOOKUP($B94,Winpct1!$A:$K,9,FALSE)),"")</f>
        <v>0.23300000000000001</v>
      </c>
      <c r="I94">
        <f>IFERROR(IFERROR(VLOOKUP($A94,Attendance1!$B:$H,3,FALSE),VLOOKUP($B94,Attendance1!$B:$H,3,FALSE)),"")</f>
        <v>1977</v>
      </c>
      <c r="J94">
        <f>IFERROR(VLOOKUP(D94,'Pop-Metro'!A:R,E94-2005,FALSE),VLOOKUP(D94,'Pop-Micro'!A:R,E94-2005,FALSE))</f>
        <v>73394</v>
      </c>
      <c r="K94">
        <f>IFERROR(VLOOKUP(D94,'PCI-Metro'!A:R,E94-2005,FALSE),VLOOKUP(D94,'PCI-Micro'!A:R,E94-2005,FALSE))</f>
        <v>29748</v>
      </c>
      <c r="L94">
        <f>IFERROR(IF(IFERROR(VLOOKUP($A94,Attendance1!$B:$H,5,FALSE),VLOOKUP($B94,Attendance1!$B:$H,5,FALSE))="","",IFERROR(VLOOKUP($A94,Attendance1!$B:$H,5,FALSE),VLOOKUP($B94,Attendance1!$B:$H,5,FALSE))),"")</f>
        <v>4358</v>
      </c>
    </row>
    <row r="95" spans="1:12">
      <c r="A95" t="s">
        <v>86</v>
      </c>
      <c r="B95" t="s">
        <v>86</v>
      </c>
      <c r="C95">
        <v>198561</v>
      </c>
      <c r="D95">
        <v>23500</v>
      </c>
      <c r="E95">
        <f t="shared" si="1"/>
        <v>2015</v>
      </c>
      <c r="F95" t="str">
        <f>IFERROR(IF(VLOOKUP(C95,TotalRev1!A:C,3,FALSE)="","",VLOOKUP(C95,TotalRev1!A:C,3,FALSE)),"")</f>
        <v/>
      </c>
      <c r="G95" t="str">
        <f>IFERROR(IF(VLOOKUP(C95,TotalRevL!A:C,3,FALSE)="","",VLOOKUP(C95,TotalRevL!A:C,3,FALSE)),"")</f>
        <v/>
      </c>
      <c r="H95" s="26">
        <f>IFERROR(IFERROR(VLOOKUP($A95,Winpct1!$A:$K,9,FALSE),VLOOKUP($B95,Winpct1!$A:$K,9,FALSE)),"")</f>
        <v>0.36399999999999999</v>
      </c>
      <c r="I95">
        <f>IFERROR(IFERROR(VLOOKUP($A95,Attendance1!$B:$H,3,FALSE),VLOOKUP($B95,Attendance1!$B:$H,3,FALSE)),"")</f>
        <v>5229</v>
      </c>
      <c r="J95">
        <f>IFERROR(VLOOKUP(D95,'Pop-Metro'!A:R,E95-2005,FALSE),VLOOKUP(D95,'Pop-Micro'!A:R,E95-2005,FALSE))</f>
        <v>55939</v>
      </c>
      <c r="K95">
        <f>IFERROR(VLOOKUP(D95,'PCI-Metro'!A:R,E95-2005,FALSE),VLOOKUP(D95,'PCI-Micro'!A:R,E95-2005,FALSE))</f>
        <v>29980</v>
      </c>
      <c r="L95">
        <f>IFERROR(IF(IFERROR(VLOOKUP($A95,Attendance1!$B:$H,5,FALSE),VLOOKUP($B95,Attendance1!$B:$H,5,FALSE))="","",IFERROR(VLOOKUP($A95,Attendance1!$B:$H,5,FALSE),VLOOKUP($B95,Attendance1!$B:$H,5,FALSE))),"")</f>
        <v>3500</v>
      </c>
    </row>
    <row r="96" spans="1:12">
      <c r="A96" t="s">
        <v>87</v>
      </c>
      <c r="B96" t="s">
        <v>87</v>
      </c>
      <c r="C96">
        <v>232186</v>
      </c>
      <c r="D96">
        <v>47900</v>
      </c>
      <c r="E96">
        <f t="shared" si="1"/>
        <v>2015</v>
      </c>
      <c r="F96" t="str">
        <f>IFERROR(IF(VLOOKUP(C96,TotalRev1!A:C,3,FALSE)="","",VLOOKUP(C96,TotalRev1!A:C,3,FALSE)),"")</f>
        <v/>
      </c>
      <c r="G96">
        <f>IFERROR(IF(VLOOKUP(C96,TotalRevL!A:C,3,FALSE)="","",VLOOKUP(C96,TotalRevL!A:C,3,FALSE)),"")</f>
        <v>8914</v>
      </c>
      <c r="H96" s="26">
        <f>IFERROR(IFERROR(VLOOKUP($A96,Winpct1!$A:$K,9,FALSE),VLOOKUP($B96,Winpct1!$A:$K,9,FALSE)),"")</f>
        <v>0.222</v>
      </c>
      <c r="I96">
        <f>IFERROR(IFERROR(VLOOKUP($A96,Attendance1!$B:$H,3,FALSE),VLOOKUP($B96,Attendance1!$B:$H,3,FALSE)),"")</f>
        <v>3200</v>
      </c>
      <c r="J96">
        <f>IFERROR(VLOOKUP(D96,'Pop-Metro'!A:R,E96-2005,FALSE),VLOOKUP(D96,'Pop-Micro'!A:R,E96-2005,FALSE))</f>
        <v>6131237</v>
      </c>
      <c r="K96">
        <f>IFERROR(VLOOKUP(D96,'PCI-Metro'!A:R,E96-2005,FALSE),VLOOKUP(D96,'PCI-Micro'!A:R,E96-2005,FALSE))</f>
        <v>64476</v>
      </c>
      <c r="L96">
        <f>IFERROR(IF(IFERROR(VLOOKUP($A96,Attendance1!$B:$H,5,FALSE),VLOOKUP($B96,Attendance1!$B:$H,5,FALSE))="","",IFERROR(VLOOKUP($A96,Attendance1!$B:$H,5,FALSE),VLOOKUP($B96,Attendance1!$B:$H,5,FALSE))),"")</f>
        <v>1500</v>
      </c>
    </row>
    <row r="97" spans="1:12">
      <c r="A97" t="s">
        <v>88</v>
      </c>
      <c r="B97" t="s">
        <v>88</v>
      </c>
      <c r="C97">
        <v>131469</v>
      </c>
      <c r="D97">
        <v>47900</v>
      </c>
      <c r="E97">
        <f t="shared" si="1"/>
        <v>2015</v>
      </c>
      <c r="F97" t="str">
        <f>IFERROR(IF(VLOOKUP(C97,TotalRev1!A:C,3,FALSE)="","",VLOOKUP(C97,TotalRev1!A:C,3,FALSE)),"")</f>
        <v/>
      </c>
      <c r="G97" t="str">
        <f>IFERROR(IF(VLOOKUP(C97,TotalRevL!A:C,3,FALSE)="","",VLOOKUP(C97,TotalRevL!A:C,3,FALSE)),"")</f>
        <v/>
      </c>
      <c r="H97" s="26">
        <f>IFERROR(IFERROR(VLOOKUP($A97,Winpct1!$A:$K,9,FALSE),VLOOKUP($B97,Winpct1!$A:$K,9,FALSE)),"")</f>
        <v>0.73299999999999998</v>
      </c>
      <c r="I97">
        <f>IFERROR(IFERROR(VLOOKUP($A97,Attendance1!$B:$H,3,FALSE),VLOOKUP($B97,Attendance1!$B:$H,3,FALSE)),"")</f>
        <v>3753</v>
      </c>
      <c r="J97">
        <f>IFERROR(VLOOKUP(D97,'Pop-Metro'!A:R,E97-2005,FALSE),VLOOKUP(D97,'Pop-Micro'!A:R,E97-2005,FALSE))</f>
        <v>6131237</v>
      </c>
      <c r="K97">
        <f>IFERROR(VLOOKUP(D97,'PCI-Metro'!A:R,E97-2005,FALSE),VLOOKUP(D97,'PCI-Micro'!A:R,E97-2005,FALSE))</f>
        <v>64476</v>
      </c>
      <c r="L97">
        <f>IFERROR(IF(IFERROR(VLOOKUP($A97,Attendance1!$B:$H,5,FALSE),VLOOKUP($B97,Attendance1!$B:$H,5,FALSE))="","",IFERROR(VLOOKUP($A97,Attendance1!$B:$H,5,FALSE),VLOOKUP($B97,Attendance1!$B:$H,5,FALSE))),"")</f>
        <v>4338</v>
      </c>
    </row>
    <row r="98" spans="1:12">
      <c r="A98" t="s">
        <v>89</v>
      </c>
      <c r="B98" t="s">
        <v>89</v>
      </c>
      <c r="C98">
        <v>131496</v>
      </c>
      <c r="D98">
        <v>47900</v>
      </c>
      <c r="E98">
        <f t="shared" si="1"/>
        <v>2015</v>
      </c>
      <c r="F98" t="str">
        <f>IFERROR(IF(VLOOKUP(C98,TotalRev1!A:C,3,FALSE)="","",VLOOKUP(C98,TotalRev1!A:C,3,FALSE)),"")</f>
        <v/>
      </c>
      <c r="G98" t="str">
        <f>IFERROR(IF(VLOOKUP(C98,TotalRevL!A:C,3,FALSE)="","",VLOOKUP(C98,TotalRevL!A:C,3,FALSE)),"")</f>
        <v/>
      </c>
      <c r="H98" s="26">
        <f>IFERROR(IFERROR(VLOOKUP($A98,Winpct1!$A:$K,9,FALSE),VLOOKUP($B98,Winpct1!$A:$K,9,FALSE)),"")</f>
        <v>0.32300000000000001</v>
      </c>
      <c r="I98">
        <f>IFERROR(IFERROR(VLOOKUP($A98,Attendance1!$B:$H,3,FALSE),VLOOKUP($B98,Attendance1!$B:$H,3,FALSE)),"")</f>
        <v>2400</v>
      </c>
      <c r="J98">
        <f>IFERROR(VLOOKUP(D98,'Pop-Metro'!A:R,E98-2005,FALSE),VLOOKUP(D98,'Pop-Micro'!A:R,E98-2005,FALSE))</f>
        <v>6131237</v>
      </c>
      <c r="K98">
        <f>IFERROR(VLOOKUP(D98,'PCI-Metro'!A:R,E98-2005,FALSE),VLOOKUP(D98,'PCI-Micro'!A:R,E98-2005,FALSE))</f>
        <v>64476</v>
      </c>
      <c r="L98">
        <f>IFERROR(IF(IFERROR(VLOOKUP($A98,Attendance1!$B:$H,5,FALSE),VLOOKUP($B98,Attendance1!$B:$H,5,FALSE))="","",IFERROR(VLOOKUP($A98,Attendance1!$B:$H,5,FALSE),VLOOKUP($B98,Attendance1!$B:$H,5,FALSE))),"")</f>
        <v>2200</v>
      </c>
    </row>
    <row r="99" spans="1:12">
      <c r="A99" t="s">
        <v>90</v>
      </c>
      <c r="B99" t="s">
        <v>90</v>
      </c>
      <c r="C99">
        <v>139959</v>
      </c>
      <c r="D99">
        <v>12020</v>
      </c>
      <c r="E99">
        <f t="shared" si="1"/>
        <v>2015</v>
      </c>
      <c r="F99">
        <f>IFERROR(IF(VLOOKUP(C99,TotalRev1!A:C,3,FALSE)="","",VLOOKUP(C99,TotalRev1!A:C,3,FALSE)),"")</f>
        <v>214103</v>
      </c>
      <c r="G99">
        <f>IFERROR(IF(VLOOKUP(C99,TotalRevL!A:C,3,FALSE)="","",VLOOKUP(C99,TotalRevL!A:C,3,FALSE)),"")</f>
        <v>326560</v>
      </c>
      <c r="H99" s="26">
        <f>IFERROR(IFERROR(VLOOKUP($A99,Winpct1!$A:$K,9,FALSE),VLOOKUP($B99,Winpct1!$A:$K,9,FALSE)),"")</f>
        <v>0.45200000000000001</v>
      </c>
      <c r="I99">
        <f>IFERROR(IFERROR(VLOOKUP($A99,Attendance1!$B:$H,3,FALSE),VLOOKUP($B99,Attendance1!$B:$H,3,FALSE)),"")</f>
        <v>15264</v>
      </c>
      <c r="J99">
        <f>IFERROR(VLOOKUP(D99,'Pop-Metro'!A:R,E99-2005,FALSE),VLOOKUP(D99,'Pop-Micro'!A:R,E99-2005,FALSE))</f>
        <v>203049</v>
      </c>
      <c r="K99">
        <f>IFERROR(VLOOKUP(D99,'PCI-Metro'!A:R,E99-2005,FALSE),VLOOKUP(D99,'PCI-Micro'!A:R,E99-2005,FALSE))</f>
        <v>36004</v>
      </c>
      <c r="L99">
        <f>IFERROR(IF(IFERROR(VLOOKUP($A99,Attendance1!$B:$H,5,FALSE),VLOOKUP($B99,Attendance1!$B:$H,5,FALSE))="","",IFERROR(VLOOKUP($A99,Attendance1!$B:$H,5,FALSE),VLOOKUP($B99,Attendance1!$B:$H,5,FALSE))),"")</f>
        <v>1925</v>
      </c>
    </row>
    <row r="100" spans="1:12">
      <c r="A100" t="s">
        <v>91</v>
      </c>
      <c r="B100" t="s">
        <v>91</v>
      </c>
      <c r="C100">
        <v>139940</v>
      </c>
      <c r="D100">
        <v>12060</v>
      </c>
      <c r="E100">
        <f t="shared" si="1"/>
        <v>2015</v>
      </c>
      <c r="F100">
        <f>IFERROR(IF(VLOOKUP(C100,TotalRev1!A:C,3,FALSE)="","",VLOOKUP(C100,TotalRev1!A:C,3,FALSE)),"")</f>
        <v>230987</v>
      </c>
      <c r="G100">
        <f>IFERROR(IF(VLOOKUP(C100,TotalRevL!A:C,3,FALSE)="","",VLOOKUP(C100,TotalRevL!A:C,3,FALSE)),"")</f>
        <v>1270</v>
      </c>
      <c r="H100" s="26">
        <f>IFERROR(IFERROR(VLOOKUP($A100,Winpct1!$A:$K,9,FALSE),VLOOKUP($B100,Winpct1!$A:$K,9,FALSE)),"")</f>
        <v>0.33300000000000002</v>
      </c>
      <c r="I100">
        <f>IFERROR(IFERROR(VLOOKUP($A100,Attendance1!$B:$H,3,FALSE),VLOOKUP($B100,Attendance1!$B:$H,3,FALSE)),"")</f>
        <v>3350</v>
      </c>
      <c r="J100">
        <f>IFERROR(VLOOKUP(D100,'Pop-Metro'!A:R,E100-2005,FALSE),VLOOKUP(D100,'Pop-Micro'!A:R,E100-2005,FALSE))</f>
        <v>5695632</v>
      </c>
      <c r="K100">
        <f>IFERROR(VLOOKUP(D100,'PCI-Metro'!A:R,E100-2005,FALSE),VLOOKUP(D100,'PCI-Micro'!A:R,E100-2005,FALSE))</f>
        <v>46735</v>
      </c>
      <c r="L100">
        <f>IFERROR(IF(IFERROR(VLOOKUP($A100,Attendance1!$B:$H,5,FALSE),VLOOKUP($B100,Attendance1!$B:$H,5,FALSE))="","",IFERROR(VLOOKUP($A100,Attendance1!$B:$H,5,FALSE),VLOOKUP($B100,Attendance1!$B:$H,5,FALSE))),"")</f>
        <v>3800</v>
      </c>
    </row>
    <row r="101" spans="1:12">
      <c r="A101" t="s">
        <v>92</v>
      </c>
      <c r="B101" t="s">
        <v>92</v>
      </c>
      <c r="C101">
        <v>139755</v>
      </c>
      <c r="D101">
        <v>12060</v>
      </c>
      <c r="E101">
        <f t="shared" si="1"/>
        <v>2015</v>
      </c>
      <c r="F101">
        <f>IFERROR(IF(VLOOKUP(C101,TotalRev1!A:C,3,FALSE)="","",VLOOKUP(C101,TotalRev1!A:C,3,FALSE)),"")</f>
        <v>200624</v>
      </c>
      <c r="G101">
        <f>IFERROR(IF(VLOOKUP(C101,TotalRevL!A:C,3,FALSE)="","",VLOOKUP(C101,TotalRevL!A:C,3,FALSE)),"")</f>
        <v>286669</v>
      </c>
      <c r="H101" s="26">
        <f>IFERROR(IFERROR(VLOOKUP($A101,Winpct1!$A:$K,9,FALSE),VLOOKUP($B101,Winpct1!$A:$K,9,FALSE)),"")</f>
        <v>0.41899999999999998</v>
      </c>
      <c r="I101">
        <f>IFERROR(IFERROR(VLOOKUP($A101,Attendance1!$B:$H,3,FALSE),VLOOKUP($B101,Attendance1!$B:$H,3,FALSE)),"")</f>
        <v>9565</v>
      </c>
      <c r="J101">
        <f>IFERROR(VLOOKUP(D101,'Pop-Metro'!A:R,E101-2005,FALSE),VLOOKUP(D101,'Pop-Micro'!A:R,E101-2005,FALSE))</f>
        <v>5695632</v>
      </c>
      <c r="K101">
        <f>IFERROR(VLOOKUP(D101,'PCI-Metro'!A:R,E101-2005,FALSE),VLOOKUP(D101,'PCI-Micro'!A:R,E101-2005,FALSE))</f>
        <v>46735</v>
      </c>
      <c r="L101">
        <f>IFERROR(IF(IFERROR(VLOOKUP($A101,Attendance1!$B:$H,5,FALSE),VLOOKUP($B101,Attendance1!$B:$H,5,FALSE))="","",IFERROR(VLOOKUP($A101,Attendance1!$B:$H,5,FALSE),VLOOKUP($B101,Attendance1!$B:$H,5,FALSE))),"")</f>
        <v>2000</v>
      </c>
    </row>
    <row r="102" spans="1:12">
      <c r="A102" t="s">
        <v>1276</v>
      </c>
      <c r="B102" t="s">
        <v>1276</v>
      </c>
      <c r="C102">
        <v>235316</v>
      </c>
      <c r="D102">
        <v>44060</v>
      </c>
      <c r="E102">
        <f t="shared" si="1"/>
        <v>2015</v>
      </c>
      <c r="F102" t="str">
        <f>IFERROR(IF(VLOOKUP(C102,TotalRev1!A:C,3,FALSE)="","",VLOOKUP(C102,TotalRev1!A:C,3,FALSE)),"")</f>
        <v/>
      </c>
      <c r="G102" t="str">
        <f>IFERROR(IF(VLOOKUP(C102,TotalRevL!A:C,3,FALSE)="","",VLOOKUP(C102,TotalRevL!A:C,3,FALSE)),"")</f>
        <v/>
      </c>
      <c r="H102" s="26">
        <f>IFERROR(IFERROR(VLOOKUP($A102,Winpct1!$A:$K,9,FALSE),VLOOKUP($B102,Winpct1!$A:$K,9,FALSE)),"")</f>
        <v>0.58599999999999997</v>
      </c>
      <c r="I102">
        <f>IFERROR(IFERROR(VLOOKUP($A102,Attendance1!$B:$H,3,FALSE),VLOOKUP($B102,Attendance1!$B:$H,3,FALSE)),"")</f>
        <v>6150</v>
      </c>
      <c r="J102">
        <f>IFERROR(VLOOKUP(D102,'Pop-Metro'!A:R,E102-2005,FALSE),VLOOKUP(D102,'Pop-Micro'!A:R,E102-2005,FALSE))</f>
        <v>538609</v>
      </c>
      <c r="K102">
        <f>IFERROR(VLOOKUP(D102,'PCI-Metro'!A:R,E102-2005,FALSE),VLOOKUP(D102,'PCI-Micro'!A:R,E102-2005,FALSE))</f>
        <v>39359</v>
      </c>
      <c r="L102">
        <f>IFERROR(IF(IFERROR(VLOOKUP($A102,Attendance1!$B:$H,5,FALSE),VLOOKUP($B102,Attendance1!$B:$H,5,FALSE))="","",IFERROR(VLOOKUP($A102,Attendance1!$B:$H,5,FALSE),VLOOKUP($B102,Attendance1!$B:$H,5,FALSE))),"")</f>
        <v>4000</v>
      </c>
    </row>
    <row r="103" spans="1:12">
      <c r="A103" t="s">
        <v>93</v>
      </c>
      <c r="B103" t="s">
        <v>93</v>
      </c>
      <c r="C103">
        <v>159009</v>
      </c>
      <c r="D103">
        <v>33740</v>
      </c>
      <c r="E103">
        <f t="shared" si="1"/>
        <v>2015</v>
      </c>
      <c r="F103" t="str">
        <f>IFERROR(IF(VLOOKUP(C103,TotalRev1!A:C,3,FALSE)="","",VLOOKUP(C103,TotalRev1!A:C,3,FALSE)),"")</f>
        <v/>
      </c>
      <c r="G103" t="str">
        <f>IFERROR(IF(VLOOKUP(C103,TotalRevL!A:C,3,FALSE)="","",VLOOKUP(C103,TotalRevL!A:C,3,FALSE)),"")</f>
        <v/>
      </c>
      <c r="H103" s="26">
        <f>IFERROR(IFERROR(VLOOKUP($A103,Winpct1!$A:$K,9,FALSE),VLOOKUP($B103,Winpct1!$A:$K,9,FALSE)),"")</f>
        <v>0.115</v>
      </c>
      <c r="I103">
        <f>IFERROR(IFERROR(VLOOKUP($A103,Attendance1!$B:$H,3,FALSE),VLOOKUP($B103,Attendance1!$B:$H,3,FALSE)),"")</f>
        <v>1583</v>
      </c>
      <c r="J103">
        <f>IFERROR(VLOOKUP(D103,'Pop-Metro'!A:R,E103-2005,FALSE),VLOOKUP(D103,'Pop-Micro'!A:R,E103-2005,FALSE))</f>
        <v>209803</v>
      </c>
      <c r="K103">
        <f>IFERROR(VLOOKUP(D103,'PCI-Metro'!A:R,E103-2005,FALSE),VLOOKUP(D103,'PCI-Micro'!A:R,E103-2005,FALSE))</f>
        <v>35581</v>
      </c>
      <c r="L103">
        <f>IFERROR(IF(IFERROR(VLOOKUP($A103,Attendance1!$B:$H,5,FALSE),VLOOKUP($B103,Attendance1!$B:$H,5,FALSE))="","",IFERROR(VLOOKUP($A103,Attendance1!$B:$H,5,FALSE),VLOOKUP($B103,Attendance1!$B:$H,5,FALSE))),"")</f>
        <v>4500</v>
      </c>
    </row>
    <row r="104" spans="1:12">
      <c r="A104" t="s">
        <v>94</v>
      </c>
      <c r="B104" t="s">
        <v>94</v>
      </c>
      <c r="C104">
        <v>104717</v>
      </c>
      <c r="D104">
        <v>38060</v>
      </c>
      <c r="E104">
        <f t="shared" si="1"/>
        <v>2015</v>
      </c>
      <c r="F104" t="str">
        <f>IFERROR(IF(VLOOKUP(C104,TotalRev1!A:C,3,FALSE)="","",VLOOKUP(C104,TotalRev1!A:C,3,FALSE)),"")</f>
        <v/>
      </c>
      <c r="G104" t="str">
        <f>IFERROR(IF(VLOOKUP(C104,TotalRevL!A:C,3,FALSE)="","",VLOOKUP(C104,TotalRevL!A:C,3,FALSE)),"")</f>
        <v/>
      </c>
      <c r="H104" s="26" t="str">
        <f>IFERROR(IFERROR(VLOOKUP($A104,Winpct1!$A:$K,9,FALSE),VLOOKUP($B104,Winpct1!$A:$K,9,FALSE)),"")</f>
        <v/>
      </c>
      <c r="I104">
        <f>IFERROR(IFERROR(VLOOKUP($A104,Attendance1!$B:$H,3,FALSE),VLOOKUP($B104,Attendance1!$B:$H,3,FALSE)),"")</f>
        <v>3779</v>
      </c>
      <c r="J104">
        <f>IFERROR(VLOOKUP(D104,'Pop-Metro'!A:R,E104-2005,FALSE),VLOOKUP(D104,'Pop-Micro'!A:R,E104-2005,FALSE))</f>
        <v>4488678</v>
      </c>
      <c r="K104">
        <f>IFERROR(VLOOKUP(D104,'PCI-Metro'!A:R,E104-2005,FALSE),VLOOKUP(D104,'PCI-Micro'!A:R,E104-2005,FALSE))</f>
        <v>41828</v>
      </c>
      <c r="L104">
        <f>IFERROR(IF(IFERROR(VLOOKUP($A104,Attendance1!$B:$H,5,FALSE),VLOOKUP($B104,Attendance1!$B:$H,5,FALSE))="","",IFERROR(VLOOKUP($A104,Attendance1!$B:$H,5,FALSE),VLOOKUP($B104,Attendance1!$B:$H,5,FALSE))),"")</f>
        <v>7000</v>
      </c>
    </row>
    <row r="105" spans="1:12">
      <c r="A105" t="s">
        <v>95</v>
      </c>
      <c r="B105" t="s">
        <v>95</v>
      </c>
      <c r="C105">
        <v>240277</v>
      </c>
      <c r="D105">
        <v>24580</v>
      </c>
      <c r="E105">
        <f t="shared" si="1"/>
        <v>2015</v>
      </c>
      <c r="F105">
        <f>IFERROR(IF(VLOOKUP(C105,TotalRev1!A:C,3,FALSE)="","",VLOOKUP(C105,TotalRev1!A:C,3,FALSE)),"")</f>
        <v>140007</v>
      </c>
      <c r="G105">
        <f>IFERROR(IF(VLOOKUP(C105,TotalRevL!A:C,3,FALSE)="","",VLOOKUP(C105,TotalRevL!A:C,3,FALSE)),"")</f>
        <v>153996</v>
      </c>
      <c r="H105" s="26">
        <f>IFERROR(IFERROR(VLOOKUP($A105,Winpct1!$A:$K,9,FALSE),VLOOKUP($B105,Winpct1!$A:$K,9,FALSE)),"")</f>
        <v>0.192</v>
      </c>
      <c r="I105">
        <f>IFERROR(IFERROR(VLOOKUP($A105,Attendance1!$B:$H,3,FALSE),VLOOKUP($B105,Attendance1!$B:$H,3,FALSE)),"")</f>
        <v>3484</v>
      </c>
      <c r="J105">
        <f>IFERROR(VLOOKUP(D105,'Pop-Metro'!A:R,E105-2005,FALSE),VLOOKUP(D105,'Pop-Micro'!A:R,E105-2005,FALSE))</f>
        <v>318259</v>
      </c>
      <c r="K105">
        <f>IFERROR(VLOOKUP(D105,'PCI-Metro'!A:R,E105-2005,FALSE),VLOOKUP(D105,'PCI-Micro'!A:R,E105-2005,FALSE))</f>
        <v>45829</v>
      </c>
      <c r="L105">
        <f>IFERROR(IF(IFERROR(VLOOKUP($A105,Attendance1!$B:$H,5,FALSE),VLOOKUP($B105,Attendance1!$B:$H,5,FALSE))="","",IFERROR(VLOOKUP($A105,Attendance1!$B:$H,5,FALSE),VLOOKUP($B105,Attendance1!$B:$H,5,FALSE))),"")</f>
        <v>4018</v>
      </c>
    </row>
    <row r="106" spans="1:12">
      <c r="A106" t="s">
        <v>96</v>
      </c>
      <c r="B106" t="s">
        <v>96</v>
      </c>
      <c r="C106">
        <v>232265</v>
      </c>
      <c r="D106">
        <v>47260</v>
      </c>
      <c r="E106">
        <f t="shared" si="1"/>
        <v>2015</v>
      </c>
      <c r="F106" t="str">
        <f>IFERROR(IF(VLOOKUP(C106,TotalRev1!A:C,3,FALSE)="","",VLOOKUP(C106,TotalRev1!A:C,3,FALSE)),"")</f>
        <v/>
      </c>
      <c r="G106" t="str">
        <f>IFERROR(IF(VLOOKUP(C106,TotalRevL!A:C,3,FALSE)="","",VLOOKUP(C106,TotalRevL!A:C,3,FALSE)),"")</f>
        <v/>
      </c>
      <c r="H106" s="26">
        <f>IFERROR(IFERROR(VLOOKUP($A106,Winpct1!$A:$K,9,FALSE),VLOOKUP($B106,Winpct1!$A:$K,9,FALSE)),"")</f>
        <v>0.65600000000000003</v>
      </c>
      <c r="I106">
        <f>IFERROR(IFERROR(VLOOKUP($A106,Attendance1!$B:$H,3,FALSE),VLOOKUP($B106,Attendance1!$B:$H,3,FALSE)),"")</f>
        <v>3220</v>
      </c>
      <c r="J106">
        <f>IFERROR(VLOOKUP(D106,'Pop-Metro'!A:R,E106-2005,FALSE),VLOOKUP(D106,'Pop-Micro'!A:R,E106-2005,FALSE))</f>
        <v>1768411</v>
      </c>
      <c r="K106">
        <f>IFERROR(VLOOKUP(D106,'PCI-Metro'!A:R,E106-2005,FALSE),VLOOKUP(D106,'PCI-Micro'!A:R,E106-2005,FALSE))</f>
        <v>45068</v>
      </c>
      <c r="L106">
        <f>IFERROR(IF(IFERROR(VLOOKUP($A106,Attendance1!$B:$H,5,FALSE),VLOOKUP($B106,Attendance1!$B:$H,5,FALSE))="","",IFERROR(VLOOKUP($A106,Attendance1!$B:$H,5,FALSE),VLOOKUP($B106,Attendance1!$B:$H,5,FALSE))),"")</f>
        <v>2870</v>
      </c>
    </row>
    <row r="107" spans="1:12">
      <c r="A107" t="s">
        <v>1277</v>
      </c>
      <c r="B107" t="s">
        <v>1277</v>
      </c>
      <c r="C107">
        <v>129525</v>
      </c>
      <c r="D107">
        <v>25540</v>
      </c>
      <c r="E107">
        <f t="shared" si="1"/>
        <v>2015</v>
      </c>
      <c r="F107" t="str">
        <f>IFERROR(IF(VLOOKUP(C107,TotalRev1!A:C,3,FALSE)="","",VLOOKUP(C107,TotalRev1!A:C,3,FALSE)),"")</f>
        <v/>
      </c>
      <c r="G107" t="str">
        <f>IFERROR(IF(VLOOKUP(C107,TotalRevL!A:C,3,FALSE)="","",VLOOKUP(C107,TotalRevL!A:C,3,FALSE)),"")</f>
        <v/>
      </c>
      <c r="H107" s="26">
        <f>IFERROR(IFERROR(VLOOKUP($A107,Winpct1!$A:$K,9,FALSE),VLOOKUP($B107,Winpct1!$A:$K,9,FALSE)),"")</f>
        <v>0.56699999999999995</v>
      </c>
      <c r="I107">
        <f>IFERROR(IFERROR(VLOOKUP($A107,Attendance1!$B:$H,3,FALSE),VLOOKUP($B107,Attendance1!$B:$H,3,FALSE)),"")</f>
        <v>1935</v>
      </c>
      <c r="J107">
        <f>IFERROR(VLOOKUP(D107,'Pop-Metro'!A:R,E107-2005,FALSE),VLOOKUP(D107,'Pop-Micro'!A:R,E107-2005,FALSE))</f>
        <v>1217737</v>
      </c>
      <c r="K107">
        <f>IFERROR(VLOOKUP(D107,'PCI-Metro'!A:R,E107-2005,FALSE),VLOOKUP(D107,'PCI-Micro'!A:R,E107-2005,FALSE))</f>
        <v>57378</v>
      </c>
      <c r="L107">
        <f>IFERROR(IF(IFERROR(VLOOKUP($A107,Attendance1!$B:$H,5,FALSE),VLOOKUP($B107,Attendance1!$B:$H,5,FALSE))="","",IFERROR(VLOOKUP($A107,Attendance1!$B:$H,5,FALSE),VLOOKUP($B107,Attendance1!$B:$H,5,FALSE))),"")</f>
        <v>1000</v>
      </c>
    </row>
    <row r="108" spans="1:12">
      <c r="A108" t="s">
        <v>97</v>
      </c>
      <c r="B108" t="s">
        <v>97</v>
      </c>
      <c r="C108">
        <v>166027</v>
      </c>
      <c r="D108">
        <v>14460</v>
      </c>
      <c r="E108">
        <f t="shared" si="1"/>
        <v>2015</v>
      </c>
      <c r="F108" t="str">
        <f>IFERROR(IF(VLOOKUP(C108,TotalRev1!A:C,3,FALSE)="","",VLOOKUP(C108,TotalRev1!A:C,3,FALSE)),"")</f>
        <v/>
      </c>
      <c r="G108" t="str">
        <f>IFERROR(IF(VLOOKUP(C108,TotalRevL!A:C,3,FALSE)="","",VLOOKUP(C108,TotalRevL!A:C,3,FALSE)),"")</f>
        <v/>
      </c>
      <c r="H108" s="26">
        <f>IFERROR(IFERROR(VLOOKUP($A108,Winpct1!$A:$K,9,FALSE),VLOOKUP($B108,Winpct1!$A:$K,9,FALSE)),"")</f>
        <v>0.79200000000000004</v>
      </c>
      <c r="I108">
        <f>IFERROR(IFERROR(VLOOKUP($A108,Attendance1!$B:$H,3,FALSE),VLOOKUP($B108,Attendance1!$B:$H,3,FALSE)),"")</f>
        <v>4101</v>
      </c>
      <c r="J108">
        <f>IFERROR(VLOOKUP(D108,'Pop-Metro'!A:R,E108-2005,FALSE),VLOOKUP(D108,'Pop-Micro'!A:R,E108-2005,FALSE))</f>
        <v>4812312</v>
      </c>
      <c r="K108">
        <f>IFERROR(VLOOKUP(D108,'PCI-Metro'!A:R,E108-2005,FALSE),VLOOKUP(D108,'PCI-Micro'!A:R,E108-2005,FALSE))</f>
        <v>67506</v>
      </c>
      <c r="L108">
        <f>IFERROR(IF(IFERROR(VLOOKUP($A108,Attendance1!$B:$H,5,FALSE),VLOOKUP($B108,Attendance1!$B:$H,5,FALSE))="","",IFERROR(VLOOKUP($A108,Attendance1!$B:$H,5,FALSE),VLOOKUP($B108,Attendance1!$B:$H,5,FALSE))),"")</f>
        <v>1000</v>
      </c>
    </row>
    <row r="109" spans="1:12">
      <c r="A109" t="s">
        <v>98</v>
      </c>
      <c r="B109" t="s">
        <v>98</v>
      </c>
      <c r="C109">
        <v>141574</v>
      </c>
      <c r="D109">
        <v>46520</v>
      </c>
      <c r="E109">
        <f t="shared" si="1"/>
        <v>2015</v>
      </c>
      <c r="F109">
        <f>IFERROR(IF(VLOOKUP(C109,TotalRev1!A:C,3,FALSE)="","",VLOOKUP(C109,TotalRev1!A:C,3,FALSE)),"")</f>
        <v>1471393</v>
      </c>
      <c r="G109">
        <f>IFERROR(IF(VLOOKUP(C109,TotalRevL!A:C,3,FALSE)="","",VLOOKUP(C109,TotalRevL!A:C,3,FALSE)),"")</f>
        <v>1579035</v>
      </c>
      <c r="H109" s="26">
        <f>IFERROR(IFERROR(VLOOKUP($A109,Winpct1!$A:$K,9,FALSE),VLOOKUP($B109,Winpct1!$A:$K,9,FALSE)),"")</f>
        <v>0.75900000000000001</v>
      </c>
      <c r="I109">
        <f>IFERROR(IFERROR(VLOOKUP($A109,Attendance1!$B:$H,3,FALSE),VLOOKUP($B109,Attendance1!$B:$H,3,FALSE)),"")</f>
        <v>120776</v>
      </c>
      <c r="J109">
        <f>IFERROR(VLOOKUP(D109,'Pop-Metro'!A:R,E109-2005,FALSE),VLOOKUP(D109,'Pop-Micro'!A:R,E109-2005,FALSE))</f>
        <v>1017472</v>
      </c>
      <c r="K109">
        <f>IFERROR(VLOOKUP(D109,'PCI-Metro'!A:R,E109-2005,FALSE),VLOOKUP(D109,'PCI-Micro'!A:R,E109-2005,FALSE))</f>
        <v>50316</v>
      </c>
      <c r="L109">
        <f>IFERROR(IF(IFERROR(VLOOKUP($A109,Attendance1!$B:$H,5,FALSE),VLOOKUP($B109,Attendance1!$B:$H,5,FALSE))="","",IFERROR(VLOOKUP($A109,Attendance1!$B:$H,5,FALSE),VLOOKUP($B109,Attendance1!$B:$H,5,FALSE))),"")</f>
        <v>10300</v>
      </c>
    </row>
    <row r="110" spans="1:12">
      <c r="A110" t="s">
        <v>1278</v>
      </c>
      <c r="B110" t="s">
        <v>1278</v>
      </c>
      <c r="C110">
        <v>198695</v>
      </c>
      <c r="D110">
        <v>24660</v>
      </c>
      <c r="E110">
        <f t="shared" si="1"/>
        <v>2015</v>
      </c>
      <c r="F110" t="str">
        <f>IFERROR(IF(VLOOKUP(C110,TotalRev1!A:C,3,FALSE)="","",VLOOKUP(C110,TotalRev1!A:C,3,FALSE)),"")</f>
        <v/>
      </c>
      <c r="G110" t="str">
        <f>IFERROR(IF(VLOOKUP(C110,TotalRevL!A:C,3,FALSE)="","",VLOOKUP(C110,TotalRevL!A:C,3,FALSE)),"")</f>
        <v/>
      </c>
      <c r="H110" s="26">
        <f>IFERROR(IFERROR(VLOOKUP($A110,Winpct1!$A:$K,9,FALSE),VLOOKUP($B110,Winpct1!$A:$K,9,FALSE)),"")</f>
        <v>0.44800000000000001</v>
      </c>
      <c r="I110">
        <f>IFERROR(IFERROR(VLOOKUP($A110,Attendance1!$B:$H,3,FALSE),VLOOKUP($B110,Attendance1!$B:$H,3,FALSE)),"")</f>
        <v>6450</v>
      </c>
      <c r="J110">
        <f>IFERROR(VLOOKUP(D110,'Pop-Metro'!A:R,E110-2005,FALSE),VLOOKUP(D110,'Pop-Micro'!A:R,E110-2005,FALSE))</f>
        <v>751869</v>
      </c>
      <c r="K110">
        <f>IFERROR(VLOOKUP(D110,'PCI-Metro'!A:R,E110-2005,FALSE),VLOOKUP(D110,'PCI-Micro'!A:R,E110-2005,FALSE))</f>
        <v>39613</v>
      </c>
      <c r="L110">
        <f>IFERROR(IF(IFERROR(VLOOKUP($A110,Attendance1!$B:$H,5,FALSE),VLOOKUP($B110,Attendance1!$B:$H,5,FALSE))="","",IFERROR(VLOOKUP($A110,Attendance1!$B:$H,5,FALSE),VLOOKUP($B110,Attendance1!$B:$H,5,FALSE))),"")</f>
        <v>1750</v>
      </c>
    </row>
    <row r="111" spans="1:12">
      <c r="A111" t="s">
        <v>99</v>
      </c>
      <c r="B111" t="s">
        <v>99</v>
      </c>
      <c r="C111">
        <v>191649</v>
      </c>
      <c r="D111">
        <v>35620</v>
      </c>
      <c r="E111">
        <f t="shared" si="1"/>
        <v>2015</v>
      </c>
      <c r="F111" t="str">
        <f>IFERROR(IF(VLOOKUP(C111,TotalRev1!A:C,3,FALSE)="","",VLOOKUP(C111,TotalRev1!A:C,3,FALSE)),"")</f>
        <v/>
      </c>
      <c r="G111" t="str">
        <f>IFERROR(IF(VLOOKUP(C111,TotalRevL!A:C,3,FALSE)="","",VLOOKUP(C111,TotalRevL!A:C,3,FALSE)),"")</f>
        <v/>
      </c>
      <c r="H111" s="26">
        <f>IFERROR(IFERROR(VLOOKUP($A111,Winpct1!$A:$K,9,FALSE),VLOOKUP($B111,Winpct1!$A:$K,9,FALSE)),"")</f>
        <v>0.82399999999999995</v>
      </c>
      <c r="I111">
        <f>IFERROR(IFERROR(VLOOKUP($A111,Attendance1!$B:$H,3,FALSE),VLOOKUP($B111,Attendance1!$B:$H,3,FALSE)),"")</f>
        <v>3887</v>
      </c>
      <c r="J111">
        <f>IFERROR(VLOOKUP(D111,'Pop-Metro'!A:R,E111-2005,FALSE),VLOOKUP(D111,'Pop-Micro'!A:R,E111-2005,FALSE))</f>
        <v>19830288</v>
      </c>
      <c r="K111">
        <f>IFERROR(VLOOKUP(D111,'PCI-Metro'!A:R,E111-2005,FALSE),VLOOKUP(D111,'PCI-Micro'!A:R,E111-2005,FALSE))</f>
        <v>62877</v>
      </c>
      <c r="L111">
        <f>IFERROR(IF(IFERROR(VLOOKUP($A111,Attendance1!$B:$H,5,FALSE),VLOOKUP($B111,Attendance1!$B:$H,5,FALSE))="","",IFERROR(VLOOKUP($A111,Attendance1!$B:$H,5,FALSE),VLOOKUP($B111,Attendance1!$B:$H,5,FALSE))),"")</f>
        <v>1200</v>
      </c>
    </row>
    <row r="112" spans="1:12">
      <c r="A112" t="s">
        <v>100</v>
      </c>
      <c r="B112" t="s">
        <v>100</v>
      </c>
      <c r="C112">
        <v>166124</v>
      </c>
      <c r="D112">
        <v>49340</v>
      </c>
      <c r="E112">
        <f t="shared" si="1"/>
        <v>2015</v>
      </c>
      <c r="F112" t="str">
        <f>IFERROR(IF(VLOOKUP(C112,TotalRev1!A:C,3,FALSE)="","",VLOOKUP(C112,TotalRev1!A:C,3,FALSE)),"")</f>
        <v/>
      </c>
      <c r="G112" t="str">
        <f>IFERROR(IF(VLOOKUP(C112,TotalRevL!A:C,3,FALSE)="","",VLOOKUP(C112,TotalRevL!A:C,3,FALSE)),"")</f>
        <v/>
      </c>
      <c r="H112" s="26">
        <f>IFERROR(IFERROR(VLOOKUP($A112,Winpct1!$A:$K,9,FALSE),VLOOKUP($B112,Winpct1!$A:$K,9,FALSE)),"")</f>
        <v>0.25900000000000001</v>
      </c>
      <c r="I112">
        <f>IFERROR(IFERROR(VLOOKUP($A112,Attendance1!$B:$H,3,FALSE),VLOOKUP($B112,Attendance1!$B:$H,3,FALSE)),"")</f>
        <v>1800</v>
      </c>
      <c r="J112">
        <f>IFERROR(VLOOKUP(D112,'Pop-Metro'!A:R,E112-2005,FALSE),VLOOKUP(D112,'Pop-Micro'!A:R,E112-2005,FALSE))</f>
        <v>951448</v>
      </c>
      <c r="K112">
        <f>IFERROR(VLOOKUP(D112,'PCI-Metro'!A:R,E112-2005,FALSE),VLOOKUP(D112,'PCI-Micro'!A:R,E112-2005,FALSE))</f>
        <v>48668</v>
      </c>
      <c r="L112">
        <f>IFERROR(IF(IFERROR(VLOOKUP($A112,Attendance1!$B:$H,5,FALSE),VLOOKUP($B112,Attendance1!$B:$H,5,FALSE))="","",IFERROR(VLOOKUP($A112,Attendance1!$B:$H,5,FALSE),VLOOKUP($B112,Attendance1!$B:$H,5,FALSE))),"")</f>
        <v>600</v>
      </c>
    </row>
    <row r="113" spans="1:12">
      <c r="A113" t="s">
        <v>101</v>
      </c>
      <c r="B113" t="s">
        <v>101</v>
      </c>
      <c r="C113">
        <v>225511</v>
      </c>
      <c r="D113">
        <v>26420</v>
      </c>
      <c r="E113">
        <f t="shared" si="1"/>
        <v>2015</v>
      </c>
      <c r="F113">
        <f>IFERROR(IF(VLOOKUP(C113,TotalRev1!A:C,3,FALSE)="","",VLOOKUP(C113,TotalRev1!A:C,3,FALSE)),"")</f>
        <v>14935</v>
      </c>
      <c r="G113">
        <f>IFERROR(IF(VLOOKUP(C113,TotalRevL!A:C,3,FALSE)="","",VLOOKUP(C113,TotalRevL!A:C,3,FALSE)),"")</f>
        <v>22185</v>
      </c>
      <c r="H113" s="26">
        <f>IFERROR(IFERROR(VLOOKUP($A113,Winpct1!$A:$K,9,FALSE),VLOOKUP($B113,Winpct1!$A:$K,9,FALSE)),"")</f>
        <v>0.438</v>
      </c>
      <c r="I113">
        <f>IFERROR(IFERROR(VLOOKUP($A113,Attendance1!$B:$H,3,FALSE),VLOOKUP($B113,Attendance1!$B:$H,3,FALSE)),"")</f>
        <v>5973</v>
      </c>
      <c r="J113">
        <f>IFERROR(VLOOKUP(D113,'Pop-Metro'!A:R,E113-2005,FALSE),VLOOKUP(D113,'Pop-Micro'!A:R,E113-2005,FALSE))</f>
        <v>6663596</v>
      </c>
      <c r="K113">
        <f>IFERROR(VLOOKUP(D113,'PCI-Metro'!A:R,E113-2005,FALSE),VLOOKUP(D113,'PCI-Micro'!A:R,E113-2005,FALSE))</f>
        <v>54210</v>
      </c>
      <c r="L113">
        <f>IFERROR(IF(IFERROR(VLOOKUP($A113,Attendance1!$B:$H,5,FALSE),VLOOKUP($B113,Attendance1!$B:$H,5,FALSE))="","",IFERROR(VLOOKUP($A113,Attendance1!$B:$H,5,FALSE),VLOOKUP($B113,Attendance1!$B:$H,5,FALSE))),"")</f>
        <v>1000</v>
      </c>
    </row>
    <row r="114" spans="1:12">
      <c r="A114" t="s">
        <v>1243</v>
      </c>
      <c r="B114" t="s">
        <v>102</v>
      </c>
      <c r="C114">
        <v>225399</v>
      </c>
      <c r="D114">
        <v>26420</v>
      </c>
      <c r="E114">
        <f t="shared" si="1"/>
        <v>2015</v>
      </c>
      <c r="F114" t="str">
        <f>IFERROR(IF(VLOOKUP(C114,TotalRev1!A:C,3,FALSE)="","",VLOOKUP(C114,TotalRev1!A:C,3,FALSE)),"")</f>
        <v/>
      </c>
      <c r="G114" t="str">
        <f>IFERROR(IF(VLOOKUP(C114,TotalRevL!A:C,3,FALSE)="","",VLOOKUP(C114,TotalRevL!A:C,3,FALSE)),"")</f>
        <v/>
      </c>
      <c r="H114" s="26">
        <f>IFERROR(IFERROR(VLOOKUP($A114,Winpct1!$A:$K,9,FALSE),VLOOKUP($B114,Winpct1!$A:$K,9,FALSE)),"")</f>
        <v>0.46899999999999997</v>
      </c>
      <c r="I114">
        <f>IFERROR(IFERROR(VLOOKUP($A114,Attendance1!$B:$H,3,FALSE),VLOOKUP($B114,Attendance1!$B:$H,3,FALSE)),"")</f>
        <v>5678</v>
      </c>
      <c r="J114">
        <f>IFERROR(VLOOKUP(D114,'Pop-Metro'!A:R,E114-2005,FALSE),VLOOKUP(D114,'Pop-Micro'!A:R,E114-2005,FALSE))</f>
        <v>6663596</v>
      </c>
      <c r="K114">
        <f>IFERROR(VLOOKUP(D114,'PCI-Metro'!A:R,E114-2005,FALSE),VLOOKUP(D114,'PCI-Micro'!A:R,E114-2005,FALSE))</f>
        <v>54210</v>
      </c>
      <c r="L114">
        <f>IFERROR(IF(IFERROR(VLOOKUP($A114,Attendance1!$B:$H,5,FALSE),VLOOKUP($B114,Attendance1!$B:$H,5,FALSE))="","",IFERROR(VLOOKUP($A114,Attendance1!$B:$H,5,FALSE),VLOOKUP($B114,Attendance1!$B:$H,5,FALSE))),"")</f>
        <v>1000</v>
      </c>
    </row>
    <row r="115" spans="1:12">
      <c r="A115" t="s">
        <v>103</v>
      </c>
      <c r="B115" t="s">
        <v>103</v>
      </c>
      <c r="C115">
        <v>131520</v>
      </c>
      <c r="D115">
        <v>47900</v>
      </c>
      <c r="E115">
        <f t="shared" si="1"/>
        <v>2015</v>
      </c>
      <c r="F115" t="str">
        <f>IFERROR(IF(VLOOKUP(C115,TotalRev1!A:C,3,FALSE)="","",VLOOKUP(C115,TotalRev1!A:C,3,FALSE)),"")</f>
        <v/>
      </c>
      <c r="G115" t="str">
        <f>IFERROR(IF(VLOOKUP(C115,TotalRevL!A:C,3,FALSE)="","",VLOOKUP(C115,TotalRevL!A:C,3,FALSE)),"")</f>
        <v/>
      </c>
      <c r="H115" s="26">
        <f>IFERROR(IFERROR(VLOOKUP($A115,Winpct1!$A:$K,9,FALSE),VLOOKUP($B115,Winpct1!$A:$K,9,FALSE)),"")</f>
        <v>0.64500000000000002</v>
      </c>
      <c r="I115">
        <f>IFERROR(IFERROR(VLOOKUP($A115,Attendance1!$B:$H,3,FALSE),VLOOKUP($B115,Attendance1!$B:$H,3,FALSE)),"")</f>
        <v>939</v>
      </c>
      <c r="J115">
        <f>IFERROR(VLOOKUP(D115,'Pop-Metro'!A:R,E115-2005,FALSE),VLOOKUP(D115,'Pop-Micro'!A:R,E115-2005,FALSE))</f>
        <v>6131237</v>
      </c>
      <c r="K115">
        <f>IFERROR(VLOOKUP(D115,'PCI-Metro'!A:R,E115-2005,FALSE),VLOOKUP(D115,'PCI-Micro'!A:R,E115-2005,FALSE))</f>
        <v>64476</v>
      </c>
      <c r="L115">
        <f>IFERROR(IF(IFERROR(VLOOKUP($A115,Attendance1!$B:$H,5,FALSE),VLOOKUP($B115,Attendance1!$B:$H,5,FALSE))="","",IFERROR(VLOOKUP($A115,Attendance1!$B:$H,5,FALSE),VLOOKUP($B115,Attendance1!$B:$H,5,FALSE))),"")</f>
        <v>2700</v>
      </c>
    </row>
    <row r="116" spans="1:12">
      <c r="A116" t="s">
        <v>1279</v>
      </c>
      <c r="B116" t="s">
        <v>1279</v>
      </c>
      <c r="C116">
        <v>142285</v>
      </c>
      <c r="D116">
        <v>34140</v>
      </c>
      <c r="E116">
        <f t="shared" si="1"/>
        <v>2015</v>
      </c>
      <c r="F116">
        <f>IFERROR(IF(VLOOKUP(C116,TotalRev1!A:C,3,FALSE)="","",VLOOKUP(C116,TotalRev1!A:C,3,FALSE)),"")</f>
        <v>801555</v>
      </c>
      <c r="G116">
        <f>IFERROR(IF(VLOOKUP(C116,TotalRevL!A:C,3,FALSE)="","",VLOOKUP(C116,TotalRevL!A:C,3,FALSE)),"")</f>
        <v>517524</v>
      </c>
      <c r="H116" s="26">
        <f>IFERROR(IFERROR(VLOOKUP($A116,Winpct1!$A:$K,9,FALSE),VLOOKUP($B116,Winpct1!$A:$K,9,FALSE)),"")</f>
        <v>0.51700000000000002</v>
      </c>
      <c r="I116">
        <f>IFERROR(IFERROR(VLOOKUP($A116,Attendance1!$B:$H,3,FALSE),VLOOKUP($B116,Attendance1!$B:$H,3,FALSE)),"")</f>
        <v>7499</v>
      </c>
      <c r="J116">
        <f>IFERROR(VLOOKUP(D116,'Pop-Metro'!A:R,E116-2005,FALSE),VLOOKUP(D116,'Pop-Micro'!A:R,E116-2005,FALSE))</f>
        <v>38271</v>
      </c>
      <c r="K116">
        <f>IFERROR(VLOOKUP(D116,'PCI-Metro'!A:R,E116-2005,FALSE),VLOOKUP(D116,'PCI-Micro'!A:R,E116-2005,FALSE))</f>
        <v>37444</v>
      </c>
      <c r="L116">
        <f>IFERROR(IF(IFERROR(VLOOKUP($A116,Attendance1!$B:$H,5,FALSE),VLOOKUP($B116,Attendance1!$B:$H,5,FALSE))="","",IFERROR(VLOOKUP($A116,Attendance1!$B:$H,5,FALSE),VLOOKUP($B116,Attendance1!$B:$H,5,FALSE))),"")</f>
        <v>1500</v>
      </c>
    </row>
    <row r="117" spans="1:12">
      <c r="A117" t="s">
        <v>104</v>
      </c>
      <c r="B117" t="s">
        <v>104</v>
      </c>
      <c r="C117">
        <v>142276</v>
      </c>
      <c r="D117">
        <v>38540</v>
      </c>
      <c r="E117">
        <f t="shared" si="1"/>
        <v>2015</v>
      </c>
      <c r="F117">
        <f>IFERROR(IF(VLOOKUP(C117,TotalRev1!A:C,3,FALSE)="","",VLOOKUP(C117,TotalRev1!A:C,3,FALSE)),"")</f>
        <v>343710</v>
      </c>
      <c r="G117">
        <f>IFERROR(IF(VLOOKUP(C117,TotalRevL!A:C,3,FALSE)="","",VLOOKUP(C117,TotalRevL!A:C,3,FALSE)),"")</f>
        <v>319042</v>
      </c>
      <c r="H117" s="26">
        <f>IFERROR(IFERROR(VLOOKUP($A117,Winpct1!$A:$K,9,FALSE),VLOOKUP($B117,Winpct1!$A:$K,9,FALSE)),"")</f>
        <v>0.71899999999999997</v>
      </c>
      <c r="I117">
        <f>IFERROR(IFERROR(VLOOKUP($A117,Attendance1!$B:$H,3,FALSE),VLOOKUP($B117,Attendance1!$B:$H,3,FALSE)),"")</f>
        <v>8859</v>
      </c>
      <c r="J117">
        <f>IFERROR(VLOOKUP(D117,'Pop-Metro'!A:R,E117-2005,FALSE),VLOOKUP(D117,'Pop-Micro'!A:R,E117-2005,FALSE))</f>
        <v>91306</v>
      </c>
      <c r="K117">
        <f>IFERROR(VLOOKUP(D117,'PCI-Metro'!A:R,E117-2005,FALSE),VLOOKUP(D117,'PCI-Micro'!A:R,E117-2005,FALSE))</f>
        <v>34198</v>
      </c>
      <c r="L117">
        <f>IFERROR(IF(IFERROR(VLOOKUP($A117,Attendance1!$B:$H,5,FALSE),VLOOKUP($B117,Attendance1!$B:$H,5,FALSE))="","",IFERROR(VLOOKUP($A117,Attendance1!$B:$H,5,FALSE),VLOOKUP($B117,Attendance1!$B:$H,5,FALSE))),"")</f>
        <v>0</v>
      </c>
    </row>
    <row r="118" spans="1:12">
      <c r="A118" t="s">
        <v>105</v>
      </c>
      <c r="B118" t="s">
        <v>105</v>
      </c>
      <c r="C118">
        <v>145637</v>
      </c>
      <c r="D118">
        <v>16580</v>
      </c>
      <c r="E118">
        <f t="shared" si="1"/>
        <v>2015</v>
      </c>
      <c r="F118">
        <f>IFERROR(IF(VLOOKUP(C118,TotalRev1!A:C,3,FALSE)="","",VLOOKUP(C118,TotalRev1!A:C,3,FALSE)),"")</f>
        <v>809829</v>
      </c>
      <c r="G118">
        <f>IFERROR(IF(VLOOKUP(C118,TotalRevL!A:C,3,FALSE)="","",VLOOKUP(C118,TotalRevL!A:C,3,FALSE)),"")</f>
        <v>1338993</v>
      </c>
      <c r="H118" s="26">
        <f>IFERROR(IFERROR(VLOOKUP($A118,Winpct1!$A:$K,9,FALSE),VLOOKUP($B118,Winpct1!$A:$K,9,FALSE)),"")</f>
        <v>0.76500000000000001</v>
      </c>
      <c r="I118">
        <f>IFERROR(IFERROR(VLOOKUP($A118,Attendance1!$B:$H,3,FALSE),VLOOKUP($B118,Attendance1!$B:$H,3,FALSE)),"")</f>
        <v>45410</v>
      </c>
      <c r="J118">
        <f>IFERROR(VLOOKUP(D118,'Pop-Metro'!A:R,E118-2005,FALSE),VLOOKUP(D118,'Pop-Micro'!A:R,E118-2005,FALSE))</f>
        <v>224166</v>
      </c>
      <c r="K118">
        <f>IFERROR(VLOOKUP(D118,'PCI-Metro'!A:R,E118-2005,FALSE),VLOOKUP(D118,'PCI-Micro'!A:R,E118-2005,FALSE))</f>
        <v>43869</v>
      </c>
      <c r="L118">
        <f>IFERROR(IF(IFERROR(VLOOKUP($A118,Attendance1!$B:$H,5,FALSE),VLOOKUP($B118,Attendance1!$B:$H,5,FALSE))="","",IFERROR(VLOOKUP($A118,Attendance1!$B:$H,5,FALSE),VLOOKUP($B118,Attendance1!$B:$H,5,FALSE))),"")</f>
        <v>4536</v>
      </c>
    </row>
    <row r="119" spans="1:12">
      <c r="A119" t="s">
        <v>106</v>
      </c>
      <c r="B119" t="s">
        <v>106</v>
      </c>
      <c r="C119">
        <v>145813</v>
      </c>
      <c r="D119">
        <v>14010</v>
      </c>
      <c r="E119">
        <f t="shared" si="1"/>
        <v>2015</v>
      </c>
      <c r="F119">
        <f>IFERROR(IF(VLOOKUP(C119,TotalRev1!A:C,3,FALSE)="","",VLOOKUP(C119,TotalRev1!A:C,3,FALSE)),"")</f>
        <v>323431</v>
      </c>
      <c r="G119">
        <f>IFERROR(IF(VLOOKUP(C119,TotalRevL!A:C,3,FALSE)="","",VLOOKUP(C119,TotalRevL!A:C,3,FALSE)),"")</f>
        <v>347732</v>
      </c>
      <c r="H119" s="26">
        <f>IFERROR(IFERROR(VLOOKUP($A119,Winpct1!$A:$K,9,FALSE),VLOOKUP($B119,Winpct1!$A:$K,9,FALSE)),"")</f>
        <v>0.81799999999999995</v>
      </c>
      <c r="I119">
        <f>IFERROR(IFERROR(VLOOKUP($A119,Attendance1!$B:$H,3,FALSE),VLOOKUP($B119,Attendance1!$B:$H,3,FALSE)),"")</f>
        <v>10638</v>
      </c>
      <c r="J119">
        <f>IFERROR(VLOOKUP(D119,'Pop-Metro'!A:R,E119-2005,FALSE),VLOOKUP(D119,'Pop-Micro'!A:R,E119-2005,FALSE))</f>
        <v>173055</v>
      </c>
      <c r="K119">
        <f>IFERROR(VLOOKUP(D119,'PCI-Metro'!A:R,E119-2005,FALSE),VLOOKUP(D119,'PCI-Micro'!A:R,E119-2005,FALSE))</f>
        <v>45478</v>
      </c>
      <c r="L119">
        <f>IFERROR(IF(IFERROR(VLOOKUP($A119,Attendance1!$B:$H,5,FALSE),VLOOKUP($B119,Attendance1!$B:$H,5,FALSE))="","",IFERROR(VLOOKUP($A119,Attendance1!$B:$H,5,FALSE),VLOOKUP($B119,Attendance1!$B:$H,5,FALSE))),"")</f>
        <v>10200</v>
      </c>
    </row>
    <row r="120" spans="1:12">
      <c r="A120" t="s">
        <v>108</v>
      </c>
      <c r="B120" t="s">
        <v>108</v>
      </c>
      <c r="C120">
        <v>151351</v>
      </c>
      <c r="D120">
        <v>14020</v>
      </c>
      <c r="E120">
        <f t="shared" si="1"/>
        <v>2015</v>
      </c>
      <c r="F120">
        <f>IFERROR(IF(VLOOKUP(C120,TotalRev1!A:C,3,FALSE)="","",VLOOKUP(C120,TotalRev1!A:C,3,FALSE)),"")</f>
        <v>55558</v>
      </c>
      <c r="G120">
        <f>IFERROR(IF(VLOOKUP(C120,TotalRevL!A:C,3,FALSE)="","",VLOOKUP(C120,TotalRevL!A:C,3,FALSE)),"")</f>
        <v>63573</v>
      </c>
      <c r="H120" s="26">
        <f>IFERROR(IFERROR(VLOOKUP($A120,Winpct1!$A:$K,9,FALSE),VLOOKUP($B120,Winpct1!$A:$K,9,FALSE)),"")</f>
        <v>0.46899999999999997</v>
      </c>
      <c r="I120">
        <f>IFERROR(IFERROR(VLOOKUP($A120,Attendance1!$B:$H,3,FALSE),VLOOKUP($B120,Attendance1!$B:$H,3,FALSE)),"")</f>
        <v>13510</v>
      </c>
      <c r="J120">
        <f>IFERROR(VLOOKUP(D120,'Pop-Metro'!A:R,E120-2005,FALSE),VLOOKUP(D120,'Pop-Micro'!A:R,E120-2005,FALSE))</f>
        <v>161138</v>
      </c>
      <c r="K120">
        <f>IFERROR(VLOOKUP(D120,'PCI-Metro'!A:R,E120-2005,FALSE),VLOOKUP(D120,'PCI-Micro'!A:R,E120-2005,FALSE))</f>
        <v>37307</v>
      </c>
      <c r="L120">
        <f>IFERROR(IF(IFERROR(VLOOKUP($A120,Attendance1!$B:$H,5,FALSE),VLOOKUP($B120,Attendance1!$B:$H,5,FALSE))="","",IFERROR(VLOOKUP($A120,Attendance1!$B:$H,5,FALSE),VLOOKUP($B120,Attendance1!$B:$H,5,FALSE))),"")</f>
        <v>2000</v>
      </c>
    </row>
    <row r="121" spans="1:12">
      <c r="A121" t="s">
        <v>109</v>
      </c>
      <c r="B121" t="s">
        <v>109</v>
      </c>
      <c r="C121">
        <v>151324</v>
      </c>
      <c r="D121">
        <v>45460</v>
      </c>
      <c r="E121">
        <f t="shared" si="1"/>
        <v>2015</v>
      </c>
      <c r="F121">
        <f>IFERROR(IF(VLOOKUP(C121,TotalRev1!A:C,3,FALSE)="","",VLOOKUP(C121,TotalRev1!A:C,3,FALSE)),"")</f>
        <v>416021</v>
      </c>
      <c r="G121">
        <f>IFERROR(IF(VLOOKUP(C121,TotalRevL!A:C,3,FALSE)="","",VLOOKUP(C121,TotalRevL!A:C,3,FALSE)),"")</f>
        <v>460106</v>
      </c>
      <c r="H121" s="26">
        <f>IFERROR(IFERROR(VLOOKUP($A121,Winpct1!$A:$K,9,FALSE),VLOOKUP($B121,Winpct1!$A:$K,9,FALSE)),"")</f>
        <v>0.54800000000000004</v>
      </c>
      <c r="I121">
        <f>IFERROR(IFERROR(VLOOKUP($A121,Attendance1!$B:$H,3,FALSE),VLOOKUP($B121,Attendance1!$B:$H,3,FALSE)),"")</f>
        <v>3555</v>
      </c>
      <c r="J121">
        <f>IFERROR(VLOOKUP(D121,'Pop-Metro'!A:R,E121-2005,FALSE),VLOOKUP(D121,'Pop-Micro'!A:R,E121-2005,FALSE))</f>
        <v>187085</v>
      </c>
      <c r="K121">
        <f>IFERROR(VLOOKUP(D121,'PCI-Metro'!A:R,E121-2005,FALSE),VLOOKUP(D121,'PCI-Micro'!A:R,E121-2005,FALSE))</f>
        <v>33967</v>
      </c>
      <c r="L121">
        <f>IFERROR(IF(IFERROR(VLOOKUP($A121,Attendance1!$B:$H,5,FALSE),VLOOKUP($B121,Attendance1!$B:$H,5,FALSE))="","",IFERROR(VLOOKUP($A121,Attendance1!$B:$H,5,FALSE),VLOOKUP($B121,Attendance1!$B:$H,5,FALSE))),"")</f>
        <v>500</v>
      </c>
    </row>
    <row r="122" spans="1:12">
      <c r="A122" t="s">
        <v>110</v>
      </c>
      <c r="B122" t="s">
        <v>110</v>
      </c>
      <c r="C122">
        <v>191931</v>
      </c>
      <c r="D122">
        <v>35620</v>
      </c>
      <c r="E122">
        <f t="shared" si="1"/>
        <v>2015</v>
      </c>
      <c r="F122" t="str">
        <f>IFERROR(IF(VLOOKUP(C122,TotalRev1!A:C,3,FALSE)="","",VLOOKUP(C122,TotalRev1!A:C,3,FALSE)),"")</f>
        <v/>
      </c>
      <c r="G122" t="str">
        <f>IFERROR(IF(VLOOKUP(C122,TotalRevL!A:C,3,FALSE)="","",VLOOKUP(C122,TotalRevL!A:C,3,FALSE)),"")</f>
        <v/>
      </c>
      <c r="H122" s="26">
        <f>IFERROR(IFERROR(VLOOKUP($A122,Winpct1!$A:$K,9,FALSE),VLOOKUP($B122,Winpct1!$A:$K,9,FALSE)),"")</f>
        <v>0.29399999999999998</v>
      </c>
      <c r="I122">
        <f>IFERROR(IFERROR(VLOOKUP($A122,Attendance1!$B:$H,3,FALSE),VLOOKUP($B122,Attendance1!$B:$H,3,FALSE)),"")</f>
        <v>2139</v>
      </c>
      <c r="J122">
        <f>IFERROR(VLOOKUP(D122,'Pop-Metro'!A:R,E122-2005,FALSE),VLOOKUP(D122,'Pop-Micro'!A:R,E122-2005,FALSE))</f>
        <v>19830288</v>
      </c>
      <c r="K122">
        <f>IFERROR(VLOOKUP(D122,'PCI-Metro'!A:R,E122-2005,FALSE),VLOOKUP(D122,'PCI-Micro'!A:R,E122-2005,FALSE))</f>
        <v>62877</v>
      </c>
      <c r="L122">
        <f>IFERROR(IF(IFERROR(VLOOKUP($A122,Attendance1!$B:$H,5,FALSE),VLOOKUP($B122,Attendance1!$B:$H,5,FALSE))="","",IFERROR(VLOOKUP($A122,Attendance1!$B:$H,5,FALSE),VLOOKUP($B122,Attendance1!$B:$H,5,FALSE))),"")</f>
        <v>2611</v>
      </c>
    </row>
    <row r="123" spans="1:12">
      <c r="A123" t="s">
        <v>111</v>
      </c>
      <c r="B123" t="s">
        <v>111</v>
      </c>
      <c r="C123">
        <v>153658</v>
      </c>
      <c r="D123">
        <v>26980</v>
      </c>
      <c r="E123">
        <f t="shared" si="1"/>
        <v>2015</v>
      </c>
      <c r="F123">
        <f>IFERROR(IF(VLOOKUP(C123,TotalRev1!A:C,3,FALSE)="","",VLOOKUP(C123,TotalRev1!A:C,3,FALSE)),"")</f>
        <v>262021</v>
      </c>
      <c r="G123">
        <f>IFERROR(IF(VLOOKUP(C123,TotalRevL!A:C,3,FALSE)="","",VLOOKUP(C123,TotalRevL!A:C,3,FALSE)),"")</f>
        <v>165628</v>
      </c>
      <c r="H123" s="26">
        <f>IFERROR(IFERROR(VLOOKUP($A123,Winpct1!$A:$K,9,FALSE),VLOOKUP($B123,Winpct1!$A:$K,9,FALSE)),"")</f>
        <v>0.45200000000000001</v>
      </c>
      <c r="I123">
        <f>IFERROR(IFERROR(VLOOKUP($A123,Attendance1!$B:$H,3,FALSE),VLOOKUP($B123,Attendance1!$B:$H,3,FALSE)),"")</f>
        <v>13752</v>
      </c>
      <c r="J123">
        <f>IFERROR(VLOOKUP(D123,'Pop-Metro'!A:R,E123-2005,FALSE),VLOOKUP(D123,'Pop-Micro'!A:R,E123-2005,FALSE))</f>
        <v>167226</v>
      </c>
      <c r="K123">
        <f>IFERROR(VLOOKUP(D123,'PCI-Metro'!A:R,E123-2005,FALSE),VLOOKUP(D123,'PCI-Micro'!A:R,E123-2005,FALSE))</f>
        <v>47934</v>
      </c>
      <c r="L123">
        <f>IFERROR(IF(IFERROR(VLOOKUP($A123,Attendance1!$B:$H,5,FALSE),VLOOKUP($B123,Attendance1!$B:$H,5,FALSE))="","",IFERROR(VLOOKUP($A123,Attendance1!$B:$H,5,FALSE),VLOOKUP($B123,Attendance1!$B:$H,5,FALSE))),"")</f>
        <v>8715</v>
      </c>
    </row>
    <row r="124" spans="1:12">
      <c r="A124" t="s">
        <v>112</v>
      </c>
      <c r="B124" t="s">
        <v>112</v>
      </c>
      <c r="C124">
        <v>153603</v>
      </c>
      <c r="D124">
        <v>11180</v>
      </c>
      <c r="E124">
        <f t="shared" si="1"/>
        <v>2015</v>
      </c>
      <c r="F124">
        <f>IFERROR(IF(VLOOKUP(C124,TotalRev1!A:C,3,FALSE)="","",VLOOKUP(C124,TotalRev1!A:C,3,FALSE)),"")</f>
        <v>236645</v>
      </c>
      <c r="G124">
        <f>IFERROR(IF(VLOOKUP(C124,TotalRevL!A:C,3,FALSE)="","",VLOOKUP(C124,TotalRevL!A:C,3,FALSE)),"")</f>
        <v>251376</v>
      </c>
      <c r="H124" s="26">
        <f>IFERROR(IFERROR(VLOOKUP($A124,Winpct1!$A:$K,9,FALSE),VLOOKUP($B124,Winpct1!$A:$K,9,FALSE)),"")</f>
        <v>0.65500000000000003</v>
      </c>
      <c r="I124">
        <f>IFERROR(IFERROR(VLOOKUP($A124,Attendance1!$B:$H,3,FALSE),VLOOKUP($B124,Attendance1!$B:$H,3,FALSE)),"")</f>
        <v>34172</v>
      </c>
      <c r="J124">
        <f>IFERROR(VLOOKUP(D124,'Pop-Metro'!A:R,E124-2005,FALSE),VLOOKUP(D124,'Pop-Micro'!A:R,E124-2005,FALSE))</f>
        <v>123653</v>
      </c>
      <c r="K124">
        <f>IFERROR(VLOOKUP(D124,'PCI-Metro'!A:R,E124-2005,FALSE),VLOOKUP(D124,'PCI-Micro'!A:R,E124-2005,FALSE))</f>
        <v>39817</v>
      </c>
      <c r="L124">
        <f>IFERROR(IF(IFERROR(VLOOKUP($A124,Attendance1!$B:$H,5,FALSE),VLOOKUP($B124,Attendance1!$B:$H,5,FALSE))="","",IFERROR(VLOOKUP($A124,Attendance1!$B:$H,5,FALSE),VLOOKUP($B124,Attendance1!$B:$H,5,FALSE))),"")</f>
        <v>14020</v>
      </c>
    </row>
    <row r="125" spans="1:12">
      <c r="A125" t="s">
        <v>113</v>
      </c>
      <c r="B125" t="s">
        <v>113</v>
      </c>
      <c r="C125">
        <v>151111</v>
      </c>
      <c r="D125">
        <v>26900</v>
      </c>
      <c r="E125">
        <f t="shared" si="1"/>
        <v>2015</v>
      </c>
      <c r="F125">
        <f>IFERROR(IF(VLOOKUP(C125,TotalRev1!A:C,3,FALSE)="","",VLOOKUP(C125,TotalRev1!A:C,3,FALSE)),"")</f>
        <v>3540</v>
      </c>
      <c r="G125">
        <f>IFERROR(IF(VLOOKUP(C125,TotalRevL!A:C,3,FALSE)="","",VLOOKUP(C125,TotalRevL!A:C,3,FALSE)),"")</f>
        <v>10526</v>
      </c>
      <c r="H125" s="26" t="str">
        <f>IFERROR(IFERROR(VLOOKUP($A125,Winpct1!$A:$K,9,FALSE),VLOOKUP($B125,Winpct1!$A:$K,9,FALSE)),"")</f>
        <v/>
      </c>
      <c r="I125" t="str">
        <f>IFERROR(IFERROR(VLOOKUP($A125,Attendance1!$B:$H,3,FALSE),VLOOKUP($B125,Attendance1!$B:$H,3,FALSE)),"")</f>
        <v/>
      </c>
      <c r="J125">
        <f>IFERROR(VLOOKUP(D125,'Pop-Metro'!A:R,E125-2005,FALSE),VLOOKUP(D125,'Pop-Micro'!A:R,E125-2005,FALSE))</f>
        <v>1998456</v>
      </c>
      <c r="K125">
        <f>IFERROR(VLOOKUP(D125,'PCI-Metro'!A:R,E125-2005,FALSE),VLOOKUP(D125,'PCI-Micro'!A:R,E125-2005,FALSE))</f>
        <v>48593</v>
      </c>
      <c r="L125" t="str">
        <f>IFERROR(IF(IFERROR(VLOOKUP($A125,Attendance1!$B:$H,5,FALSE),VLOOKUP($B125,Attendance1!$B:$H,5,FALSE))="","",IFERROR(VLOOKUP($A125,Attendance1!$B:$H,5,FALSE),VLOOKUP($B125,Attendance1!$B:$H,5,FALSE))),"")</f>
        <v/>
      </c>
    </row>
    <row r="126" spans="1:12">
      <c r="A126" t="s">
        <v>114</v>
      </c>
      <c r="B126" t="s">
        <v>114</v>
      </c>
      <c r="C126">
        <v>175856</v>
      </c>
      <c r="D126">
        <v>27140</v>
      </c>
      <c r="E126">
        <f t="shared" si="1"/>
        <v>2015</v>
      </c>
      <c r="F126" t="str">
        <f>IFERROR(IF(VLOOKUP(C126,TotalRev1!A:C,3,FALSE)="","",VLOOKUP(C126,TotalRev1!A:C,3,FALSE)),"")</f>
        <v/>
      </c>
      <c r="G126" t="str">
        <f>IFERROR(IF(VLOOKUP(C126,TotalRevL!A:C,3,FALSE)="","",VLOOKUP(C126,TotalRevL!A:C,3,FALSE)),"")</f>
        <v/>
      </c>
      <c r="H126" s="26">
        <f>IFERROR(IFERROR(VLOOKUP($A126,Winpct1!$A:$K,9,FALSE),VLOOKUP($B126,Winpct1!$A:$K,9,FALSE)),"")</f>
        <v>0.34399999999999997</v>
      </c>
      <c r="I126">
        <f>IFERROR(IFERROR(VLOOKUP($A126,Attendance1!$B:$H,3,FALSE),VLOOKUP($B126,Attendance1!$B:$H,3,FALSE)),"")</f>
        <v>3291</v>
      </c>
      <c r="J126">
        <f>IFERROR(VLOOKUP(D126,'Pop-Metro'!A:R,E126-2005,FALSE),VLOOKUP(D126,'Pop-Micro'!A:R,E126-2005,FALSE))</f>
        <v>598827</v>
      </c>
      <c r="K126">
        <f>IFERROR(VLOOKUP(D126,'PCI-Metro'!A:R,E126-2005,FALSE),VLOOKUP(D126,'PCI-Micro'!A:R,E126-2005,FALSE))</f>
        <v>41421</v>
      </c>
      <c r="L126">
        <f>IFERROR(IF(IFERROR(VLOOKUP($A126,Attendance1!$B:$H,5,FALSE),VLOOKUP($B126,Attendance1!$B:$H,5,FALSE))="","",IFERROR(VLOOKUP($A126,Attendance1!$B:$H,5,FALSE),VLOOKUP($B126,Attendance1!$B:$H,5,FALSE))),"")</f>
        <v>500</v>
      </c>
    </row>
    <row r="127" spans="1:12">
      <c r="A127" t="s">
        <v>115</v>
      </c>
      <c r="B127" t="s">
        <v>115</v>
      </c>
      <c r="C127">
        <v>134945</v>
      </c>
      <c r="D127">
        <v>27260</v>
      </c>
      <c r="E127">
        <f t="shared" si="1"/>
        <v>2015</v>
      </c>
      <c r="F127" t="str">
        <f>IFERROR(IF(VLOOKUP(C127,TotalRev1!A:C,3,FALSE)="","",VLOOKUP(C127,TotalRev1!A:C,3,FALSE)),"")</f>
        <v/>
      </c>
      <c r="G127" t="str">
        <f>IFERROR(IF(VLOOKUP(C127,TotalRevL!A:C,3,FALSE)="","",VLOOKUP(C127,TotalRevL!A:C,3,FALSE)),"")</f>
        <v/>
      </c>
      <c r="H127" s="26">
        <f>IFERROR(IFERROR(VLOOKUP($A127,Winpct1!$A:$K,9,FALSE),VLOOKUP($B127,Winpct1!$A:$K,9,FALSE)),"")</f>
        <v>0.55900000000000005</v>
      </c>
      <c r="I127">
        <f>IFERROR(IFERROR(VLOOKUP($A127,Attendance1!$B:$H,3,FALSE),VLOOKUP($B127,Attendance1!$B:$H,3,FALSE)),"")</f>
        <v>2075</v>
      </c>
      <c r="J127">
        <f>IFERROR(VLOOKUP(D127,'Pop-Metro'!A:R,E127-2005,FALSE),VLOOKUP(D127,'Pop-Micro'!A:R,E127-2005,FALSE))</f>
        <v>1457278</v>
      </c>
      <c r="K127">
        <f>IFERROR(VLOOKUP(D127,'PCI-Metro'!A:R,E127-2005,FALSE),VLOOKUP(D127,'PCI-Micro'!A:R,E127-2005,FALSE))</f>
        <v>44266</v>
      </c>
      <c r="L127">
        <f>IFERROR(IF(IFERROR(VLOOKUP($A127,Attendance1!$B:$H,5,FALSE),VLOOKUP($B127,Attendance1!$B:$H,5,FALSE))="","",IFERROR(VLOOKUP($A127,Attendance1!$B:$H,5,FALSE),VLOOKUP($B127,Attendance1!$B:$H,5,FALSE))),"")</f>
        <v>0</v>
      </c>
    </row>
    <row r="128" spans="1:12">
      <c r="A128" t="s">
        <v>116</v>
      </c>
      <c r="B128" t="s">
        <v>116</v>
      </c>
      <c r="C128">
        <v>101480</v>
      </c>
      <c r="D128">
        <v>11500</v>
      </c>
      <c r="E128">
        <f t="shared" si="1"/>
        <v>2015</v>
      </c>
      <c r="F128" t="str">
        <f>IFERROR(IF(VLOOKUP(C128,TotalRev1!A:C,3,FALSE)="","",VLOOKUP(C128,TotalRev1!A:C,3,FALSE)),"")</f>
        <v/>
      </c>
      <c r="G128" t="str">
        <f>IFERROR(IF(VLOOKUP(C128,TotalRevL!A:C,3,FALSE)="","",VLOOKUP(C128,TotalRevL!A:C,3,FALSE)),"")</f>
        <v/>
      </c>
      <c r="H128" s="26">
        <f>IFERROR(IFERROR(VLOOKUP($A128,Winpct1!$A:$K,9,FALSE),VLOOKUP($B128,Winpct1!$A:$K,9,FALSE)),"")</f>
        <v>0.52900000000000003</v>
      </c>
      <c r="I128">
        <f>IFERROR(IFERROR(VLOOKUP($A128,Attendance1!$B:$H,3,FALSE),VLOOKUP($B128,Attendance1!$B:$H,3,FALSE)),"")</f>
        <v>3384</v>
      </c>
      <c r="J128">
        <f>IFERROR(VLOOKUP(D128,'Pop-Metro'!A:R,E128-2005,FALSE),VLOOKUP(D128,'Pop-Micro'!A:R,E128-2005,FALSE))</f>
        <v>117048</v>
      </c>
      <c r="K128">
        <f>IFERROR(VLOOKUP(D128,'PCI-Metro'!A:R,E128-2005,FALSE),VLOOKUP(D128,'PCI-Micro'!A:R,E128-2005,FALSE))</f>
        <v>33633</v>
      </c>
      <c r="L128">
        <f>IFERROR(IF(IFERROR(VLOOKUP($A128,Attendance1!$B:$H,5,FALSE),VLOOKUP($B128,Attendance1!$B:$H,5,FALSE))="","",IFERROR(VLOOKUP($A128,Attendance1!$B:$H,5,FALSE),VLOOKUP($B128,Attendance1!$B:$H,5,FALSE))),"")</f>
        <v>5500</v>
      </c>
    </row>
    <row r="129" spans="1:12">
      <c r="A129" t="s">
        <v>117</v>
      </c>
      <c r="B129" t="s">
        <v>117</v>
      </c>
      <c r="C129">
        <v>232423</v>
      </c>
      <c r="D129">
        <v>25500</v>
      </c>
      <c r="E129">
        <f t="shared" si="1"/>
        <v>2015</v>
      </c>
      <c r="F129">
        <f>IFERROR(IF(VLOOKUP(C129,TotalRev1!A:C,3,FALSE)="","",VLOOKUP(C129,TotalRev1!A:C,3,FALSE)),"")</f>
        <v>37736</v>
      </c>
      <c r="G129">
        <f>IFERROR(IF(VLOOKUP(C129,TotalRevL!A:C,3,FALSE)="","",VLOOKUP(C129,TotalRevL!A:C,3,FALSE)),"")</f>
        <v>766133</v>
      </c>
      <c r="H129" s="26">
        <f>IFERROR(IFERROR(VLOOKUP($A129,Winpct1!$A:$K,9,FALSE),VLOOKUP($B129,Winpct1!$A:$K,9,FALSE)),"")</f>
        <v>0.54800000000000004</v>
      </c>
      <c r="I129">
        <f>IFERROR(IFERROR(VLOOKUP($A129,Attendance1!$B:$H,3,FALSE),VLOOKUP($B129,Attendance1!$B:$H,3,FALSE)),"")</f>
        <v>4338</v>
      </c>
      <c r="J129">
        <f>IFERROR(VLOOKUP(D129,'Pop-Metro'!A:R,E129-2005,FALSE),VLOOKUP(D129,'Pop-Micro'!A:R,E129-2005,FALSE))</f>
        <v>131145</v>
      </c>
      <c r="K129">
        <f>IFERROR(VLOOKUP(D129,'PCI-Metro'!A:R,E129-2005,FALSE),VLOOKUP(D129,'PCI-Micro'!A:R,E129-2005,FALSE))</f>
        <v>36638</v>
      </c>
      <c r="L129">
        <f>IFERROR(IF(IFERROR(VLOOKUP($A129,Attendance1!$B:$H,5,FALSE),VLOOKUP($B129,Attendance1!$B:$H,5,FALSE))="","",IFERROR(VLOOKUP($A129,Attendance1!$B:$H,5,FALSE),VLOOKUP($B129,Attendance1!$B:$H,5,FALSE))),"")</f>
        <v>5000</v>
      </c>
    </row>
    <row r="130" spans="1:12">
      <c r="A130" t="s">
        <v>118</v>
      </c>
      <c r="B130" t="s">
        <v>118</v>
      </c>
      <c r="C130">
        <v>155317</v>
      </c>
      <c r="D130">
        <v>29940</v>
      </c>
      <c r="E130">
        <f t="shared" si="1"/>
        <v>2015</v>
      </c>
      <c r="F130">
        <f>IFERROR(IF(VLOOKUP(C130,TotalRev1!A:C,3,FALSE)="","",VLOOKUP(C130,TotalRev1!A:C,3,FALSE)),"")</f>
        <v>78088</v>
      </c>
      <c r="G130">
        <f>IFERROR(IF(VLOOKUP(C130,TotalRevL!A:C,3,FALSE)="","",VLOOKUP(C130,TotalRevL!A:C,3,FALSE)),"")</f>
        <v>175038</v>
      </c>
      <c r="H130" s="26">
        <f>IFERROR(IFERROR(VLOOKUP($A130,Winpct1!$A:$K,9,FALSE),VLOOKUP($B130,Winpct1!$A:$K,9,FALSE)),"")</f>
        <v>0.71</v>
      </c>
      <c r="I130">
        <f>IFERROR(IFERROR(VLOOKUP($A130,Attendance1!$B:$H,3,FALSE),VLOOKUP($B130,Attendance1!$B:$H,3,FALSE)),"")</f>
        <v>19283</v>
      </c>
      <c r="J130">
        <f>IFERROR(VLOOKUP(D130,'Pop-Metro'!A:R,E130-2005,FALSE),VLOOKUP(D130,'Pop-Micro'!A:R,E130-2005,FALSE))</f>
        <v>116431</v>
      </c>
      <c r="K130">
        <f>IFERROR(VLOOKUP(D130,'PCI-Metro'!A:R,E130-2005,FALSE),VLOOKUP(D130,'PCI-Micro'!A:R,E130-2005,FALSE))</f>
        <v>39621</v>
      </c>
      <c r="L130">
        <f>IFERROR(IF(IFERROR(VLOOKUP($A130,Attendance1!$B:$H,5,FALSE),VLOOKUP($B130,Attendance1!$B:$H,5,FALSE))="","",IFERROR(VLOOKUP($A130,Attendance1!$B:$H,5,FALSE),VLOOKUP($B130,Attendance1!$B:$H,5,FALSE))),"")</f>
        <v>1300</v>
      </c>
    </row>
    <row r="131" spans="1:12">
      <c r="A131" t="s">
        <v>1250</v>
      </c>
      <c r="B131" t="s">
        <v>267</v>
      </c>
      <c r="C131">
        <v>178402</v>
      </c>
      <c r="D131">
        <v>28140</v>
      </c>
      <c r="E131">
        <f t="shared" si="1"/>
        <v>2015</v>
      </c>
      <c r="F131">
        <f>IFERROR(IF(VLOOKUP(C131,TotalRev1!A:C,3,FALSE)="","",VLOOKUP(C131,TotalRev1!A:C,3,FALSE)),"")</f>
        <v>701783</v>
      </c>
      <c r="G131" t="str">
        <f>IFERROR(IF(VLOOKUP(C131,TotalRevL!A:C,3,FALSE)="","",VLOOKUP(C131,TotalRevL!A:C,3,FALSE)),"")</f>
        <v/>
      </c>
      <c r="H131" s="26">
        <f>IFERROR(IFERROR(VLOOKUP($A131,Winpct1!$A:$K,9,FALSE),VLOOKUP($B131,Winpct1!$A:$K,9,FALSE)),"")</f>
        <v>0.8</v>
      </c>
      <c r="I131">
        <f>IFERROR(IFERROR(VLOOKUP($A131,Attendance1!$B:$H,3,FALSE),VLOOKUP($B131,Attendance1!$B:$H,3,FALSE)),"")</f>
        <v>3796</v>
      </c>
      <c r="J131">
        <f>IFERROR(VLOOKUP(D131,'Pop-Metro'!A:R,E131-2005,FALSE),VLOOKUP(D131,'Pop-Micro'!A:R,E131-2005,FALSE))</f>
        <v>2097773</v>
      </c>
      <c r="K131">
        <f>IFERROR(VLOOKUP(D131,'PCI-Metro'!A:R,E131-2005,FALSE),VLOOKUP(D131,'PCI-Micro'!A:R,E131-2005,FALSE))</f>
        <v>49140</v>
      </c>
      <c r="L131">
        <f>IFERROR(IF(IFERROR(VLOOKUP($A131,Attendance1!$B:$H,5,FALSE),VLOOKUP($B131,Attendance1!$B:$H,5,FALSE))="","",IFERROR(VLOOKUP($A131,Attendance1!$B:$H,5,FALSE),VLOOKUP($B131,Attendance1!$B:$H,5,FALSE))),"")</f>
        <v>1504</v>
      </c>
    </row>
    <row r="132" spans="1:12">
      <c r="A132" t="s">
        <v>1280</v>
      </c>
      <c r="B132" t="s">
        <v>1280</v>
      </c>
      <c r="C132">
        <v>155399</v>
      </c>
      <c r="D132">
        <v>31740</v>
      </c>
      <c r="E132">
        <f t="shared" ref="E132:E195" si="2">E$2</f>
        <v>2015</v>
      </c>
      <c r="F132">
        <f>IFERROR(IF(VLOOKUP(C132,TotalRev1!A:C,3,FALSE)="","",VLOOKUP(C132,TotalRev1!A:C,3,FALSE)),"")</f>
        <v>57412</v>
      </c>
      <c r="G132">
        <f>IFERROR(IF(VLOOKUP(C132,TotalRevL!A:C,3,FALSE)="","",VLOOKUP(C132,TotalRevL!A:C,3,FALSE)),"")</f>
        <v>51297</v>
      </c>
      <c r="H132" s="26">
        <f>IFERROR(IFERROR(VLOOKUP($A132,Winpct1!$A:$K,9,FALSE),VLOOKUP($B132,Winpct1!$A:$K,9,FALSE)),"")</f>
        <v>0.71</v>
      </c>
      <c r="I132">
        <f>IFERROR(IFERROR(VLOOKUP($A132,Attendance1!$B:$H,3,FALSE),VLOOKUP($B132,Attendance1!$B:$H,3,FALSE)),"")</f>
        <v>30759</v>
      </c>
      <c r="J132">
        <f>IFERROR(VLOOKUP(D132,'Pop-Metro'!A:R,E132-2005,FALSE),VLOOKUP(D132,'Pop-Micro'!A:R,E132-2005,FALSE))</f>
        <v>139468</v>
      </c>
      <c r="K132">
        <f>IFERROR(VLOOKUP(D132,'PCI-Metro'!A:R,E132-2005,FALSE),VLOOKUP(D132,'PCI-Micro'!A:R,E132-2005,FALSE))</f>
        <v>41339</v>
      </c>
      <c r="L132">
        <f>IFERROR(IF(IFERROR(VLOOKUP($A132,Attendance1!$B:$H,5,FALSE),VLOOKUP($B132,Attendance1!$B:$H,5,FALSE))="","",IFERROR(VLOOKUP($A132,Attendance1!$B:$H,5,FALSE),VLOOKUP($B132,Attendance1!$B:$H,5,FALSE))),"")</f>
        <v>5000</v>
      </c>
    </row>
    <row r="133" spans="1:12">
      <c r="A133" t="s">
        <v>119</v>
      </c>
      <c r="B133" t="s">
        <v>119</v>
      </c>
      <c r="C133">
        <v>486840</v>
      </c>
      <c r="D133">
        <v>12060</v>
      </c>
      <c r="E133">
        <f t="shared" si="2"/>
        <v>2015</v>
      </c>
      <c r="F133">
        <f>IFERROR(IF(VLOOKUP(C133,TotalRev1!A:C,3,FALSE)="","",VLOOKUP(C133,TotalRev1!A:C,3,FALSE)),"")</f>
        <v>133899</v>
      </c>
      <c r="G133">
        <f>IFERROR(IF(VLOOKUP(C133,TotalRevL!A:C,3,FALSE)="","",VLOOKUP(C133,TotalRevL!A:C,3,FALSE)),"")</f>
        <v>168780</v>
      </c>
      <c r="H133" s="26">
        <f>IFERROR(IFERROR(VLOOKUP($A133,Winpct1!$A:$K,9,FALSE),VLOOKUP($B133,Winpct1!$A:$K,9,FALSE)),"")</f>
        <v>0.34499999999999997</v>
      </c>
      <c r="I133">
        <f>IFERROR(IFERROR(VLOOKUP($A133,Attendance1!$B:$H,3,FALSE),VLOOKUP($B133,Attendance1!$B:$H,3,FALSE)),"")</f>
        <v>5176</v>
      </c>
      <c r="J133">
        <f>IFERROR(VLOOKUP(D133,'Pop-Metro'!A:R,E133-2005,FALSE),VLOOKUP(D133,'Pop-Micro'!A:R,E133-2005,FALSE))</f>
        <v>5695632</v>
      </c>
      <c r="K133">
        <f>IFERROR(VLOOKUP(D133,'PCI-Metro'!A:R,E133-2005,FALSE),VLOOKUP(D133,'PCI-Micro'!A:R,E133-2005,FALSE))</f>
        <v>46735</v>
      </c>
      <c r="L133">
        <f>IFERROR(IF(IFERROR(VLOOKUP($A133,Attendance1!$B:$H,5,FALSE),VLOOKUP($B133,Attendance1!$B:$H,5,FALSE))="","",IFERROR(VLOOKUP($A133,Attendance1!$B:$H,5,FALSE),VLOOKUP($B133,Attendance1!$B:$H,5,FALSE))),"")</f>
        <v>0</v>
      </c>
    </row>
    <row r="134" spans="1:12">
      <c r="A134" t="s">
        <v>120</v>
      </c>
      <c r="B134" t="s">
        <v>120</v>
      </c>
      <c r="C134">
        <v>203517</v>
      </c>
      <c r="D134">
        <v>10420</v>
      </c>
      <c r="E134">
        <f t="shared" si="2"/>
        <v>2015</v>
      </c>
      <c r="F134">
        <f>IFERROR(IF(VLOOKUP(C134,TotalRev1!A:C,3,FALSE)="","",VLOOKUP(C134,TotalRev1!A:C,3,FALSE)),"")</f>
        <v>63055</v>
      </c>
      <c r="G134">
        <f>IFERROR(IF(VLOOKUP(C134,TotalRevL!A:C,3,FALSE)="","",VLOOKUP(C134,TotalRevL!A:C,3,FALSE)),"")</f>
        <v>118930</v>
      </c>
      <c r="H134" s="26">
        <f>IFERROR(IFERROR(VLOOKUP($A134,Winpct1!$A:$K,9,FALSE),VLOOKUP($B134,Winpct1!$A:$K,9,FALSE)),"")</f>
        <v>0.54800000000000004</v>
      </c>
      <c r="I134">
        <f>IFERROR(IFERROR(VLOOKUP($A134,Attendance1!$B:$H,3,FALSE),VLOOKUP($B134,Attendance1!$B:$H,3,FALSE)),"")</f>
        <v>3968</v>
      </c>
      <c r="J134">
        <f>IFERROR(VLOOKUP(D134,'Pop-Metro'!A:R,E134-2005,FALSE),VLOOKUP(D134,'Pop-Micro'!A:R,E134-2005,FALSE))</f>
        <v>704664</v>
      </c>
      <c r="K134">
        <f>IFERROR(VLOOKUP(D134,'PCI-Metro'!A:R,E134-2005,FALSE),VLOOKUP(D134,'PCI-Micro'!A:R,E134-2005,FALSE))</f>
        <v>44674</v>
      </c>
      <c r="L134">
        <f>IFERROR(IF(IFERROR(VLOOKUP($A134,Attendance1!$B:$H,5,FALSE),VLOOKUP($B134,Attendance1!$B:$H,5,FALSE))="","",IFERROR(VLOOKUP($A134,Attendance1!$B:$H,5,FALSE),VLOOKUP($B134,Attendance1!$B:$H,5,FALSE))),"")</f>
        <v>6327</v>
      </c>
    </row>
    <row r="135" spans="1:12">
      <c r="A135" t="s">
        <v>121</v>
      </c>
      <c r="B135" t="s">
        <v>121</v>
      </c>
      <c r="C135">
        <v>157085</v>
      </c>
      <c r="D135">
        <v>30460</v>
      </c>
      <c r="E135">
        <f t="shared" si="2"/>
        <v>2015</v>
      </c>
      <c r="F135">
        <f>IFERROR(IF(VLOOKUP(C135,TotalRev1!A:C,3,FALSE)="","",VLOOKUP(C135,TotalRev1!A:C,3,FALSE)),"")</f>
        <v>266836</v>
      </c>
      <c r="G135">
        <f>IFERROR(IF(VLOOKUP(C135,TotalRevL!A:C,3,FALSE)="","",VLOOKUP(C135,TotalRevL!A:C,3,FALSE)),"")</f>
        <v>219786</v>
      </c>
      <c r="H135" s="26">
        <f>IFERROR(IFERROR(VLOOKUP($A135,Winpct1!$A:$K,9,FALSE),VLOOKUP($B135,Winpct1!$A:$K,9,FALSE)),"")</f>
        <v>0.81799999999999995</v>
      </c>
      <c r="I135">
        <f>IFERROR(IFERROR(VLOOKUP($A135,Attendance1!$B:$H,3,FALSE),VLOOKUP($B135,Attendance1!$B:$H,3,FALSE)),"")</f>
        <v>30453</v>
      </c>
      <c r="J135">
        <f>IFERROR(VLOOKUP(D135,'Pop-Metro'!A:R,E135-2005,FALSE),VLOOKUP(D135,'Pop-Micro'!A:R,E135-2005,FALSE))</f>
        <v>500235</v>
      </c>
      <c r="K135">
        <f>IFERROR(VLOOKUP(D135,'PCI-Metro'!A:R,E135-2005,FALSE),VLOOKUP(D135,'PCI-Micro'!A:R,E135-2005,FALSE))</f>
        <v>44251</v>
      </c>
      <c r="L135">
        <f>IFERROR(IF(IFERROR(VLOOKUP($A135,Attendance1!$B:$H,5,FALSE),VLOOKUP($B135,Attendance1!$B:$H,5,FALSE))="","",IFERROR(VLOOKUP($A135,Attendance1!$B:$H,5,FALSE),VLOOKUP($B135,Attendance1!$B:$H,5,FALSE))),"")</f>
        <v>8500</v>
      </c>
    </row>
    <row r="136" spans="1:12">
      <c r="A136" t="s">
        <v>1281</v>
      </c>
      <c r="B136" t="s">
        <v>1281</v>
      </c>
      <c r="C136">
        <v>213367</v>
      </c>
      <c r="D136">
        <v>37980</v>
      </c>
      <c r="E136">
        <f t="shared" si="2"/>
        <v>2015</v>
      </c>
      <c r="F136" t="str">
        <f>IFERROR(IF(VLOOKUP(C136,TotalRev1!A:C,3,FALSE)="","",VLOOKUP(C136,TotalRev1!A:C,3,FALSE)),"")</f>
        <v/>
      </c>
      <c r="G136" t="str">
        <f>IFERROR(IF(VLOOKUP(C136,TotalRevL!A:C,3,FALSE)="","",VLOOKUP(C136,TotalRevL!A:C,3,FALSE)),"")</f>
        <v/>
      </c>
      <c r="H136" s="26">
        <f>IFERROR(IFERROR(VLOOKUP($A136,Winpct1!$A:$K,9,FALSE),VLOOKUP($B136,Winpct1!$A:$K,9,FALSE)),"")</f>
        <v>0.32300000000000001</v>
      </c>
      <c r="I136">
        <f>IFERROR(IFERROR(VLOOKUP($A136,Attendance1!$B:$H,3,FALSE),VLOOKUP($B136,Attendance1!$B:$H,3,FALSE)),"")</f>
        <v>1184</v>
      </c>
      <c r="J136">
        <f>IFERROR(VLOOKUP(D136,'Pop-Metro'!A:R,E136-2005,FALSE),VLOOKUP(D136,'Pop-Micro'!A:R,E136-2005,FALSE))</f>
        <v>6129946</v>
      </c>
      <c r="K136">
        <f>IFERROR(VLOOKUP(D136,'PCI-Metro'!A:R,E136-2005,FALSE),VLOOKUP(D136,'PCI-Micro'!A:R,E136-2005,FALSE))</f>
        <v>56629</v>
      </c>
      <c r="L136">
        <f>IFERROR(IF(IFERROR(VLOOKUP($A136,Attendance1!$B:$H,5,FALSE),VLOOKUP($B136,Attendance1!$B:$H,5,FALSE))="","",IFERROR(VLOOKUP($A136,Attendance1!$B:$H,5,FALSE),VLOOKUP($B136,Attendance1!$B:$H,5,FALSE))),"")</f>
        <v>1000</v>
      </c>
    </row>
    <row r="137" spans="1:12">
      <c r="A137" t="s">
        <v>123</v>
      </c>
      <c r="B137" t="s">
        <v>123</v>
      </c>
      <c r="C137">
        <v>213385</v>
      </c>
      <c r="D137">
        <v>10900</v>
      </c>
      <c r="E137">
        <f t="shared" si="2"/>
        <v>2015</v>
      </c>
      <c r="F137" t="str">
        <f>IFERROR(IF(VLOOKUP(C137,TotalRev1!A:C,3,FALSE)="","",VLOOKUP(C137,TotalRev1!A:C,3,FALSE)),"")</f>
        <v/>
      </c>
      <c r="G137" t="str">
        <f>IFERROR(IF(VLOOKUP(C137,TotalRevL!A:C,3,FALSE)="","",VLOOKUP(C137,TotalRevL!A:C,3,FALSE)),"")</f>
        <v/>
      </c>
      <c r="H137" s="26">
        <f>IFERROR(IFERROR(VLOOKUP($A137,Winpct1!$A:$K,9,FALSE),VLOOKUP($B137,Winpct1!$A:$K,9,FALSE)),"")</f>
        <v>0.214</v>
      </c>
      <c r="I137">
        <f>IFERROR(IFERROR(VLOOKUP($A137,Attendance1!$B:$H,3,FALSE),VLOOKUP($B137,Attendance1!$B:$H,3,FALSE)),"")</f>
        <v>1710</v>
      </c>
      <c r="J137">
        <f>IFERROR(VLOOKUP(D137,'Pop-Metro'!A:R,E137-2005,FALSE),VLOOKUP(D137,'Pop-Micro'!A:R,E137-2005,FALSE))</f>
        <v>838490</v>
      </c>
      <c r="K137">
        <f>IFERROR(VLOOKUP(D137,'PCI-Metro'!A:R,E137-2005,FALSE),VLOOKUP(D137,'PCI-Micro'!A:R,E137-2005,FALSE))</f>
        <v>47682</v>
      </c>
      <c r="L137">
        <f>IFERROR(IF(IFERROR(VLOOKUP($A137,Attendance1!$B:$H,5,FALSE),VLOOKUP($B137,Attendance1!$B:$H,5,FALSE))="","",IFERROR(VLOOKUP($A137,Attendance1!$B:$H,5,FALSE),VLOOKUP($B137,Attendance1!$B:$H,5,FALSE))),"")</f>
        <v>3500</v>
      </c>
    </row>
    <row r="138" spans="1:12">
      <c r="A138" t="s">
        <v>124</v>
      </c>
      <c r="B138" t="s">
        <v>124</v>
      </c>
      <c r="C138">
        <v>226091</v>
      </c>
      <c r="D138">
        <v>13140</v>
      </c>
      <c r="E138">
        <f t="shared" si="2"/>
        <v>2015</v>
      </c>
      <c r="F138">
        <f>IFERROR(IF(VLOOKUP(C138,TotalRev1!A:C,3,FALSE)="","",VLOOKUP(C138,TotalRev1!A:C,3,FALSE)),"")</f>
        <v>504433</v>
      </c>
      <c r="G138">
        <f>IFERROR(IF(VLOOKUP(C138,TotalRevL!A:C,3,FALSE)="","",VLOOKUP(C138,TotalRevL!A:C,3,FALSE)),"")</f>
        <v>539662</v>
      </c>
      <c r="H138" s="26">
        <f>IFERROR(IFERROR(VLOOKUP($A138,Winpct1!$A:$K,9,FALSE),VLOOKUP($B138,Winpct1!$A:$K,9,FALSE)),"")</f>
        <v>0.17899999999999999</v>
      </c>
      <c r="I138">
        <f>IFERROR(IFERROR(VLOOKUP($A138,Attendance1!$B:$H,3,FALSE),VLOOKUP($B138,Attendance1!$B:$H,3,FALSE)),"")</f>
        <v>2167</v>
      </c>
      <c r="J138">
        <f>IFERROR(VLOOKUP(D138,'Pop-Metro'!A:R,E138-2005,FALSE),VLOOKUP(D138,'Pop-Micro'!A:R,E138-2005,FALSE))</f>
        <v>397910</v>
      </c>
      <c r="K138">
        <f>IFERROR(VLOOKUP(D138,'PCI-Metro'!A:R,E138-2005,FALSE),VLOOKUP(D138,'PCI-Micro'!A:R,E138-2005,FALSE))</f>
        <v>41328</v>
      </c>
      <c r="L138">
        <f>IFERROR(IF(IFERROR(VLOOKUP($A138,Attendance1!$B:$H,5,FALSE),VLOOKUP($B138,Attendance1!$B:$H,5,FALSE))="","",IFERROR(VLOOKUP($A138,Attendance1!$B:$H,5,FALSE),VLOOKUP($B138,Attendance1!$B:$H,5,FALSE))),"")</f>
        <v>500</v>
      </c>
    </row>
    <row r="139" spans="1:12">
      <c r="A139" t="s">
        <v>125</v>
      </c>
      <c r="B139" t="s">
        <v>125</v>
      </c>
      <c r="C139">
        <v>213543</v>
      </c>
      <c r="D139">
        <v>10900</v>
      </c>
      <c r="E139">
        <f t="shared" si="2"/>
        <v>2015</v>
      </c>
      <c r="F139" t="str">
        <f>IFERROR(IF(VLOOKUP(C139,TotalRev1!A:C,3,FALSE)="","",VLOOKUP(C139,TotalRev1!A:C,3,FALSE)),"")</f>
        <v/>
      </c>
      <c r="G139" t="str">
        <f>IFERROR(IF(VLOOKUP(C139,TotalRevL!A:C,3,FALSE)="","",VLOOKUP(C139,TotalRevL!A:C,3,FALSE)),"")</f>
        <v/>
      </c>
      <c r="H139" s="26">
        <f>IFERROR(IFERROR(VLOOKUP($A139,Winpct1!$A:$K,9,FALSE),VLOOKUP($B139,Winpct1!$A:$K,9,FALSE)),"")</f>
        <v>0.68799999999999994</v>
      </c>
      <c r="I139">
        <f>IFERROR(IFERROR(VLOOKUP($A139,Attendance1!$B:$H,3,FALSE),VLOOKUP($B139,Attendance1!$B:$H,3,FALSE)),"")</f>
        <v>2293</v>
      </c>
      <c r="J139">
        <f>IFERROR(VLOOKUP(D139,'Pop-Metro'!A:R,E139-2005,FALSE),VLOOKUP(D139,'Pop-Micro'!A:R,E139-2005,FALSE))</f>
        <v>838490</v>
      </c>
      <c r="K139">
        <f>IFERROR(VLOOKUP(D139,'PCI-Metro'!A:R,E139-2005,FALSE),VLOOKUP(D139,'PCI-Micro'!A:R,E139-2005,FALSE))</f>
        <v>47682</v>
      </c>
      <c r="L139">
        <f>IFERROR(IF(IFERROR(VLOOKUP($A139,Attendance1!$B:$H,5,FALSE),VLOOKUP($B139,Attendance1!$B:$H,5,FALSE))="","",IFERROR(VLOOKUP($A139,Attendance1!$B:$H,5,FALSE),VLOOKUP($B139,Attendance1!$B:$H,5,FALSE))),"")</f>
        <v>0</v>
      </c>
    </row>
    <row r="140" spans="1:12">
      <c r="A140" t="s">
        <v>126</v>
      </c>
      <c r="B140" t="s">
        <v>126</v>
      </c>
      <c r="C140">
        <v>232557</v>
      </c>
      <c r="D140">
        <v>31340</v>
      </c>
      <c r="E140">
        <f t="shared" si="2"/>
        <v>2015</v>
      </c>
      <c r="F140" t="str">
        <f>IFERROR(IF(VLOOKUP(C140,TotalRev1!A:C,3,FALSE)="","",VLOOKUP(C140,TotalRev1!A:C,3,FALSE)),"")</f>
        <v/>
      </c>
      <c r="G140" t="str">
        <f>IFERROR(IF(VLOOKUP(C140,TotalRevL!A:C,3,FALSE)="","",VLOOKUP(C140,TotalRevL!A:C,3,FALSE)),"")</f>
        <v/>
      </c>
      <c r="H140" s="26">
        <f>IFERROR(IFERROR(VLOOKUP($A140,Winpct1!$A:$K,9,FALSE),VLOOKUP($B140,Winpct1!$A:$K,9,FALSE)),"")</f>
        <v>0.69699999999999995</v>
      </c>
      <c r="I140">
        <f>IFERROR(IFERROR(VLOOKUP($A140,Attendance1!$B:$H,3,FALSE),VLOOKUP($B140,Attendance1!$B:$H,3,FALSE)),"")</f>
        <v>4678</v>
      </c>
      <c r="J140">
        <f>IFERROR(VLOOKUP(D140,'Pop-Metro'!A:R,E140-2005,FALSE),VLOOKUP(D140,'Pop-Micro'!A:R,E140-2005,FALSE))</f>
        <v>258199</v>
      </c>
      <c r="K140">
        <f>IFERROR(VLOOKUP(D140,'PCI-Metro'!A:R,E140-2005,FALSE),VLOOKUP(D140,'PCI-Micro'!A:R,E140-2005,FALSE))</f>
        <v>36846</v>
      </c>
      <c r="L140">
        <f>IFERROR(IF(IFERROR(VLOOKUP($A140,Attendance1!$B:$H,5,FALSE),VLOOKUP($B140,Attendance1!$B:$H,5,FALSE))="","",IFERROR(VLOOKUP($A140,Attendance1!$B:$H,5,FALSE),VLOOKUP($B140,Attendance1!$B:$H,5,FALSE))),"")</f>
        <v>9443</v>
      </c>
    </row>
    <row r="141" spans="1:12">
      <c r="A141" t="s">
        <v>127</v>
      </c>
      <c r="B141" t="s">
        <v>127</v>
      </c>
      <c r="C141">
        <v>219976</v>
      </c>
      <c r="D141">
        <v>34980</v>
      </c>
      <c r="E141">
        <f t="shared" si="2"/>
        <v>2015</v>
      </c>
      <c r="F141" t="str">
        <f>IFERROR(IF(VLOOKUP(C141,TotalRev1!A:C,3,FALSE)="","",VLOOKUP(C141,TotalRev1!A:C,3,FALSE)),"")</f>
        <v/>
      </c>
      <c r="G141" t="str">
        <f>IFERROR(IF(VLOOKUP(C141,TotalRevL!A:C,3,FALSE)="","",VLOOKUP(C141,TotalRevL!A:C,3,FALSE)),"")</f>
        <v/>
      </c>
      <c r="H141" s="26">
        <f>IFERROR(IFERROR(VLOOKUP($A141,Winpct1!$A:$K,9,FALSE),VLOOKUP($B141,Winpct1!$A:$K,9,FALSE)),"")</f>
        <v>0.7</v>
      </c>
      <c r="I141">
        <f>IFERROR(IFERROR(VLOOKUP($A141,Attendance1!$B:$H,3,FALSE),VLOOKUP($B141,Attendance1!$B:$H,3,FALSE)),"")</f>
        <v>3410</v>
      </c>
      <c r="J141">
        <f>IFERROR(VLOOKUP(D141,'Pop-Metro'!A:R,E141-2005,FALSE),VLOOKUP(D141,'Pop-Micro'!A:R,E141-2005,FALSE))</f>
        <v>1822874</v>
      </c>
      <c r="K141">
        <f>IFERROR(VLOOKUP(D141,'PCI-Metro'!A:R,E141-2005,FALSE),VLOOKUP(D141,'PCI-Micro'!A:R,E141-2005,FALSE))</f>
        <v>50712</v>
      </c>
      <c r="L141">
        <f>IFERROR(IF(IFERROR(VLOOKUP($A141,Attendance1!$B:$H,5,FALSE),VLOOKUP($B141,Attendance1!$B:$H,5,FALSE))="","",IFERROR(VLOOKUP($A141,Attendance1!$B:$H,5,FALSE),VLOOKUP($B141,Attendance1!$B:$H,5,FALSE))),"")</f>
        <v>5028</v>
      </c>
    </row>
    <row r="142" spans="1:12">
      <c r="A142" t="s">
        <v>1282</v>
      </c>
      <c r="B142" t="s">
        <v>1282</v>
      </c>
      <c r="C142">
        <v>106245</v>
      </c>
      <c r="D142">
        <v>30780</v>
      </c>
      <c r="E142">
        <f t="shared" si="2"/>
        <v>2015</v>
      </c>
      <c r="F142">
        <f>IFERROR(IF(VLOOKUP(C142,TotalRev1!A:C,3,FALSE)="","",VLOOKUP(C142,TotalRev1!A:C,3,FALSE)),"")</f>
        <v>107642</v>
      </c>
      <c r="G142">
        <f>IFERROR(IF(VLOOKUP(C142,TotalRevL!A:C,3,FALSE)="","",VLOOKUP(C142,TotalRevL!A:C,3,FALSE)),"")</f>
        <v>62579</v>
      </c>
      <c r="H142" s="26">
        <f>IFERROR(IFERROR(VLOOKUP($A142,Winpct1!$A:$K,9,FALSE),VLOOKUP($B142,Winpct1!$A:$K,9,FALSE)),"")</f>
        <v>0.85699999999999998</v>
      </c>
      <c r="I142">
        <f>IFERROR(IFERROR(VLOOKUP($A142,Attendance1!$B:$H,3,FALSE),VLOOKUP($B142,Attendance1!$B:$H,3,FALSE)),"")</f>
        <v>4634</v>
      </c>
      <c r="J142">
        <f>IFERROR(VLOOKUP(D142,'Pop-Metro'!A:R,E142-2005,FALSE),VLOOKUP(D142,'Pop-Micro'!A:R,E142-2005,FALSE))</f>
        <v>732417</v>
      </c>
      <c r="K142">
        <f>IFERROR(VLOOKUP(D142,'PCI-Metro'!A:R,E142-2005,FALSE),VLOOKUP(D142,'PCI-Micro'!A:R,E142-2005,FALSE))</f>
        <v>42283</v>
      </c>
      <c r="L142">
        <f>IFERROR(IF(IFERROR(VLOOKUP($A142,Attendance1!$B:$H,5,FALSE),VLOOKUP($B142,Attendance1!$B:$H,5,FALSE))="","",IFERROR(VLOOKUP($A142,Attendance1!$B:$H,5,FALSE),VLOOKUP($B142,Attendance1!$B:$H,5,FALSE))),"")</f>
        <v>0</v>
      </c>
    </row>
    <row r="143" spans="1:12">
      <c r="A143" t="s">
        <v>1246</v>
      </c>
      <c r="B143" t="s">
        <v>128</v>
      </c>
      <c r="C143">
        <v>192448</v>
      </c>
      <c r="D143">
        <v>35620</v>
      </c>
      <c r="E143">
        <f t="shared" si="2"/>
        <v>2015</v>
      </c>
      <c r="F143" t="str">
        <f>IFERROR(IF(VLOOKUP(C143,TotalRev1!A:C,3,FALSE)="","",VLOOKUP(C143,TotalRev1!A:C,3,FALSE)),"")</f>
        <v/>
      </c>
      <c r="G143" t="str">
        <f>IFERROR(IF(VLOOKUP(C143,TotalRevL!A:C,3,FALSE)="","",VLOOKUP(C143,TotalRevL!A:C,3,FALSE)),"")</f>
        <v/>
      </c>
      <c r="H143" s="26">
        <f>IFERROR(IFERROR(VLOOKUP($A143,Winpct1!$A:$K,9,FALSE),VLOOKUP($B143,Winpct1!$A:$K,9,FALSE)),"")</f>
        <v>0.78100000000000003</v>
      </c>
      <c r="I143">
        <f>IFERROR(IFERROR(VLOOKUP($A143,Attendance1!$B:$H,3,FALSE),VLOOKUP($B143,Attendance1!$B:$H,3,FALSE)),"")</f>
        <v>2705</v>
      </c>
      <c r="J143">
        <f>IFERROR(VLOOKUP(D143,'Pop-Metro'!A:R,E143-2005,FALSE),VLOOKUP(D143,'Pop-Micro'!A:R,E143-2005,FALSE))</f>
        <v>19830288</v>
      </c>
      <c r="K143">
        <f>IFERROR(VLOOKUP(D143,'PCI-Metro'!A:R,E143-2005,FALSE),VLOOKUP(D143,'PCI-Micro'!A:R,E143-2005,FALSE))</f>
        <v>62877</v>
      </c>
      <c r="L143">
        <f>IFERROR(IF(IFERROR(VLOOKUP($A143,Attendance1!$B:$H,5,FALSE),VLOOKUP($B143,Attendance1!$B:$H,5,FALSE))="","",IFERROR(VLOOKUP($A143,Attendance1!$B:$H,5,FALSE),VLOOKUP($B143,Attendance1!$B:$H,5,FALSE))),"")</f>
        <v>2000</v>
      </c>
    </row>
    <row r="144" spans="1:12">
      <c r="A144" t="s">
        <v>129</v>
      </c>
      <c r="B144" t="s">
        <v>129</v>
      </c>
      <c r="C144">
        <v>117946</v>
      </c>
      <c r="D144">
        <v>31080</v>
      </c>
      <c r="E144">
        <f t="shared" si="2"/>
        <v>2015</v>
      </c>
      <c r="F144" t="str">
        <f>IFERROR(IF(VLOOKUP(C144,TotalRev1!A:C,3,FALSE)="","",VLOOKUP(C144,TotalRev1!A:C,3,FALSE)),"")</f>
        <v/>
      </c>
      <c r="G144" t="str">
        <f>IFERROR(IF(VLOOKUP(C144,TotalRevL!A:C,3,FALSE)="","",VLOOKUP(C144,TotalRevL!A:C,3,FALSE)),"")</f>
        <v/>
      </c>
      <c r="H144" s="26">
        <f>IFERROR(IFERROR(VLOOKUP($A144,Winpct1!$A:$K,9,FALSE),VLOOKUP($B144,Winpct1!$A:$K,9,FALSE)),"")</f>
        <v>0.74199999999999999</v>
      </c>
      <c r="I144">
        <f>IFERROR(IFERROR(VLOOKUP($A144,Attendance1!$B:$H,3,FALSE),VLOOKUP($B144,Attendance1!$B:$H,3,FALSE)),"")</f>
        <v>4708</v>
      </c>
      <c r="J144">
        <f>IFERROR(VLOOKUP(D144,'Pop-Metro'!A:R,E144-2005,FALSE),VLOOKUP(D144,'Pop-Micro'!A:R,E144-2005,FALSE))</f>
        <v>13256931</v>
      </c>
      <c r="K144">
        <f>IFERROR(VLOOKUP(D144,'PCI-Metro'!A:R,E144-2005,FALSE),VLOOKUP(D144,'PCI-Micro'!A:R,E144-2005,FALSE))</f>
        <v>54538</v>
      </c>
      <c r="L144">
        <f>IFERROR(IF(IFERROR(VLOOKUP($A144,Attendance1!$B:$H,5,FALSE),VLOOKUP($B144,Attendance1!$B:$H,5,FALSE))="","",IFERROR(VLOOKUP($A144,Attendance1!$B:$H,5,FALSE),VLOOKUP($B144,Attendance1!$B:$H,5,FALSE))),"")</f>
        <v>4156</v>
      </c>
    </row>
    <row r="145" spans="1:12">
      <c r="A145" t="s">
        <v>130</v>
      </c>
      <c r="B145" t="s">
        <v>130</v>
      </c>
      <c r="C145">
        <v>110583</v>
      </c>
      <c r="D145">
        <v>31080</v>
      </c>
      <c r="E145">
        <f t="shared" si="2"/>
        <v>2015</v>
      </c>
      <c r="F145">
        <f>IFERROR(IF(VLOOKUP(C145,TotalRev1!A:C,3,FALSE)="","",VLOOKUP(C145,TotalRev1!A:C,3,FALSE)),"")</f>
        <v>488529</v>
      </c>
      <c r="G145">
        <f>IFERROR(IF(VLOOKUP(C145,TotalRevL!A:C,3,FALSE)="","",VLOOKUP(C145,TotalRevL!A:C,3,FALSE)),"")</f>
        <v>424728</v>
      </c>
      <c r="H145" s="26">
        <f>IFERROR(IFERROR(VLOOKUP($A145,Winpct1!$A:$K,9,FALSE),VLOOKUP($B145,Winpct1!$A:$K,9,FALSE)),"")</f>
        <v>0.84399999999999997</v>
      </c>
      <c r="I145">
        <f>IFERROR(IFERROR(VLOOKUP($A145,Attendance1!$B:$H,3,FALSE),VLOOKUP($B145,Attendance1!$B:$H,3,FALSE)),"")</f>
        <v>17708</v>
      </c>
      <c r="J145">
        <f>IFERROR(VLOOKUP(D145,'Pop-Metro'!A:R,E145-2005,FALSE),VLOOKUP(D145,'Pop-Micro'!A:R,E145-2005,FALSE))</f>
        <v>13256931</v>
      </c>
      <c r="K145">
        <f>IFERROR(VLOOKUP(D145,'PCI-Metro'!A:R,E145-2005,FALSE),VLOOKUP(D145,'PCI-Micro'!A:R,E145-2005,FALSE))</f>
        <v>54538</v>
      </c>
      <c r="L145">
        <f>IFERROR(IF(IFERROR(VLOOKUP($A145,Attendance1!$B:$H,5,FALSE),VLOOKUP($B145,Attendance1!$B:$H,5,FALSE))="","",IFERROR(VLOOKUP($A145,Attendance1!$B:$H,5,FALSE),VLOOKUP($B145,Attendance1!$B:$H,5,FALSE))),"")</f>
        <v>4200</v>
      </c>
    </row>
    <row r="146" spans="1:12">
      <c r="A146" t="s">
        <v>131</v>
      </c>
      <c r="B146" t="s">
        <v>131</v>
      </c>
      <c r="C146">
        <v>232566</v>
      </c>
      <c r="D146">
        <v>40060</v>
      </c>
      <c r="E146">
        <f t="shared" si="2"/>
        <v>2015</v>
      </c>
      <c r="F146" t="str">
        <f>IFERROR(IF(VLOOKUP(C146,TotalRev1!A:C,3,FALSE)="","",VLOOKUP(C146,TotalRev1!A:C,3,FALSE)),"")</f>
        <v/>
      </c>
      <c r="G146" t="str">
        <f>IFERROR(IF(VLOOKUP(C146,TotalRevL!A:C,3,FALSE)="","",VLOOKUP(C146,TotalRevL!A:C,3,FALSE)),"")</f>
        <v/>
      </c>
      <c r="H146" s="26" t="str">
        <f>IFERROR(IFERROR(VLOOKUP($A146,Winpct1!$A:$K,9,FALSE),VLOOKUP($B146,Winpct1!$A:$K,9,FALSE)),"")</f>
        <v/>
      </c>
      <c r="I146" t="str">
        <f>IFERROR(IFERROR(VLOOKUP($A146,Attendance1!$B:$H,3,FALSE),VLOOKUP($B146,Attendance1!$B:$H,3,FALSE)),"")</f>
        <v/>
      </c>
      <c r="J146">
        <f>IFERROR(VLOOKUP(D146,'Pop-Metro'!A:R,E146-2005,FALSE),VLOOKUP(D146,'Pop-Micro'!A:R,E146-2005,FALSE))</f>
        <v>1253770</v>
      </c>
      <c r="K146">
        <f>IFERROR(VLOOKUP(D146,'PCI-Metro'!A:R,E146-2005,FALSE),VLOOKUP(D146,'PCI-Micro'!A:R,E146-2005,FALSE))</f>
        <v>50627</v>
      </c>
      <c r="L146" t="str">
        <f>IFERROR(IF(IFERROR(VLOOKUP($A146,Attendance1!$B:$H,5,FALSE),VLOOKUP($B146,Attendance1!$B:$H,5,FALSE))="","",IFERROR(VLOOKUP($A146,Attendance1!$B:$H,5,FALSE),VLOOKUP($B146,Attendance1!$B:$H,5,FALSE))),"")</f>
        <v/>
      </c>
    </row>
    <row r="147" spans="1:12">
      <c r="A147" t="s">
        <v>132</v>
      </c>
      <c r="B147" t="s">
        <v>132</v>
      </c>
      <c r="C147">
        <v>160658</v>
      </c>
      <c r="D147">
        <v>29180</v>
      </c>
      <c r="E147">
        <f t="shared" si="2"/>
        <v>2015</v>
      </c>
      <c r="F147">
        <f>IFERROR(IF(VLOOKUP(C147,TotalRev1!A:C,3,FALSE)="","",VLOOKUP(C147,TotalRev1!A:C,3,FALSE)),"")</f>
        <v>583450</v>
      </c>
      <c r="G147">
        <f>IFERROR(IF(VLOOKUP(C147,TotalRevL!A:C,3,FALSE)="","",VLOOKUP(C147,TotalRevL!A:C,3,FALSE)),"")</f>
        <v>507283</v>
      </c>
      <c r="H147" s="26">
        <f>IFERROR(IFERROR(VLOOKUP($A147,Winpct1!$A:$K,9,FALSE),VLOOKUP($B147,Winpct1!$A:$K,9,FALSE)),"")</f>
        <v>0.60599999999999998</v>
      </c>
      <c r="I147">
        <f>IFERROR(IFERROR(VLOOKUP($A147,Attendance1!$B:$H,3,FALSE),VLOOKUP($B147,Attendance1!$B:$H,3,FALSE)),"")</f>
        <v>5060</v>
      </c>
      <c r="J147">
        <f>IFERROR(VLOOKUP(D147,'Pop-Metro'!A:R,E147-2005,FALSE),VLOOKUP(D147,'Pop-Micro'!A:R,E147-2005,FALSE))</f>
        <v>483798</v>
      </c>
      <c r="K147">
        <f>IFERROR(VLOOKUP(D147,'PCI-Metro'!A:R,E147-2005,FALSE),VLOOKUP(D147,'PCI-Micro'!A:R,E147-2005,FALSE))</f>
        <v>43148</v>
      </c>
      <c r="L147">
        <f>IFERROR(IF(IFERROR(VLOOKUP($A147,Attendance1!$B:$H,5,FALSE),VLOOKUP($B147,Attendance1!$B:$H,5,FALSE))="","",IFERROR(VLOOKUP($A147,Attendance1!$B:$H,5,FALSE),VLOOKUP($B147,Attendance1!$B:$H,5,FALSE))),"")</f>
        <v>1121</v>
      </c>
    </row>
    <row r="148" spans="1:12">
      <c r="A148" t="s">
        <v>133</v>
      </c>
      <c r="B148" t="s">
        <v>133</v>
      </c>
      <c r="C148">
        <v>159647</v>
      </c>
      <c r="D148">
        <v>40820</v>
      </c>
      <c r="E148">
        <f t="shared" si="2"/>
        <v>2015</v>
      </c>
      <c r="F148">
        <f>IFERROR(IF(VLOOKUP(C148,TotalRev1!A:C,3,FALSE)="","",VLOOKUP(C148,TotalRev1!A:C,3,FALSE)),"")</f>
        <v>713069</v>
      </c>
      <c r="G148">
        <f>IFERROR(IF(VLOOKUP(C148,TotalRevL!A:C,3,FALSE)="","",VLOOKUP(C148,TotalRevL!A:C,3,FALSE)),"")</f>
        <v>589798</v>
      </c>
      <c r="H148" s="26">
        <f>IFERROR(IFERROR(VLOOKUP($A148,Winpct1!$A:$K,9,FALSE),VLOOKUP($B148,Winpct1!$A:$K,9,FALSE)),"")</f>
        <v>0.3</v>
      </c>
      <c r="I148">
        <f>IFERROR(IFERROR(VLOOKUP($A148,Attendance1!$B:$H,3,FALSE),VLOOKUP($B148,Attendance1!$B:$H,3,FALSE)),"")</f>
        <v>2314</v>
      </c>
      <c r="J148">
        <f>IFERROR(VLOOKUP(D148,'Pop-Metro'!A:R,E148-2005,FALSE),VLOOKUP(D148,'Pop-Micro'!A:R,E148-2005,FALSE))</f>
        <v>48361</v>
      </c>
      <c r="K148">
        <f>IFERROR(VLOOKUP(D148,'PCI-Metro'!A:R,E148-2005,FALSE),VLOOKUP(D148,'PCI-Micro'!A:R,E148-2005,FALSE))</f>
        <v>35603</v>
      </c>
      <c r="L148">
        <f>IFERROR(IF(IFERROR(VLOOKUP($A148,Attendance1!$B:$H,5,FALSE),VLOOKUP($B148,Attendance1!$B:$H,5,FALSE))="","",IFERROR(VLOOKUP($A148,Attendance1!$B:$H,5,FALSE),VLOOKUP($B148,Attendance1!$B:$H,5,FALSE))),"")</f>
        <v>8000</v>
      </c>
    </row>
    <row r="149" spans="1:12">
      <c r="A149" t="s">
        <v>134</v>
      </c>
      <c r="B149" t="s">
        <v>134</v>
      </c>
      <c r="C149">
        <v>157289</v>
      </c>
      <c r="D149">
        <v>31140</v>
      </c>
      <c r="E149">
        <f t="shared" si="2"/>
        <v>2015</v>
      </c>
      <c r="F149">
        <f>IFERROR(IF(VLOOKUP(C149,TotalRev1!A:C,3,FALSE)="","",VLOOKUP(C149,TotalRev1!A:C,3,FALSE)),"")</f>
        <v>106416</v>
      </c>
      <c r="G149">
        <f>IFERROR(IF(VLOOKUP(C149,TotalRevL!A:C,3,FALSE)="","",VLOOKUP(C149,TotalRevL!A:C,3,FALSE)),"")</f>
        <v>103074</v>
      </c>
      <c r="H149" s="26">
        <f>IFERROR(IFERROR(VLOOKUP($A149,Winpct1!$A:$K,9,FALSE),VLOOKUP($B149,Winpct1!$A:$K,9,FALSE)),"")</f>
        <v>0.5</v>
      </c>
      <c r="I149">
        <f>IFERROR(IFERROR(VLOOKUP($A149,Attendance1!$B:$H,3,FALSE),VLOOKUP($B149,Attendance1!$B:$H,3,FALSE)),"")</f>
        <v>26352</v>
      </c>
      <c r="J149">
        <f>IFERROR(VLOOKUP(D149,'Pop-Metro'!A:R,E149-2005,FALSE),VLOOKUP(D149,'Pop-Micro'!A:R,E149-2005,FALSE))</f>
        <v>1255214</v>
      </c>
      <c r="K149">
        <f>IFERROR(VLOOKUP(D149,'PCI-Metro'!A:R,E149-2005,FALSE),VLOOKUP(D149,'PCI-Micro'!A:R,E149-2005,FALSE))</f>
        <v>44856</v>
      </c>
      <c r="L149">
        <f>IFERROR(IF(IFERROR(VLOOKUP($A149,Attendance1!$B:$H,5,FALSE),VLOOKUP($B149,Attendance1!$B:$H,5,FALSE))="","",IFERROR(VLOOKUP($A149,Attendance1!$B:$H,5,FALSE),VLOOKUP($B149,Attendance1!$B:$H,5,FALSE))),"")</f>
        <v>950</v>
      </c>
    </row>
    <row r="150" spans="1:12">
      <c r="A150" t="s">
        <v>135</v>
      </c>
      <c r="B150" t="s">
        <v>135</v>
      </c>
      <c r="C150">
        <v>146719</v>
      </c>
      <c r="D150">
        <v>16980</v>
      </c>
      <c r="E150">
        <f t="shared" si="2"/>
        <v>2015</v>
      </c>
      <c r="F150" t="str">
        <f>IFERROR(IF(VLOOKUP(C150,TotalRev1!A:C,3,FALSE)="","",VLOOKUP(C150,TotalRev1!A:C,3,FALSE)),"")</f>
        <v/>
      </c>
      <c r="G150" t="str">
        <f>IFERROR(IF(VLOOKUP(C150,TotalRevL!A:C,3,FALSE)="","",VLOOKUP(C150,TotalRevL!A:C,3,FALSE)),"")</f>
        <v/>
      </c>
      <c r="H150" s="26">
        <f>IFERROR(IFERROR(VLOOKUP($A150,Winpct1!$A:$K,9,FALSE),VLOOKUP($B150,Winpct1!$A:$K,9,FALSE)),"")</f>
        <v>0.32100000000000001</v>
      </c>
      <c r="I150">
        <f>IFERROR(IFERROR(VLOOKUP($A150,Attendance1!$B:$H,3,FALSE),VLOOKUP($B150,Attendance1!$B:$H,3,FALSE)),"")</f>
        <v>2772</v>
      </c>
      <c r="J150">
        <f>IFERROR(VLOOKUP(D150,'Pop-Metro'!A:R,E150-2005,FALSE),VLOOKUP(D150,'Pop-Micro'!A:R,E150-2005,FALSE))</f>
        <v>9655619</v>
      </c>
      <c r="K150">
        <f>IFERROR(VLOOKUP(D150,'PCI-Metro'!A:R,E150-2005,FALSE),VLOOKUP(D150,'PCI-Micro'!A:R,E150-2005,FALSE))</f>
        <v>54358</v>
      </c>
      <c r="L150">
        <f>IFERROR(IF(IFERROR(VLOOKUP($A150,Attendance1!$B:$H,5,FALSE),VLOOKUP($B150,Attendance1!$B:$H,5,FALSE))="","",IFERROR(VLOOKUP($A150,Attendance1!$B:$H,5,FALSE),VLOOKUP($B150,Attendance1!$B:$H,5,FALSE))),"")</f>
        <v>4486</v>
      </c>
    </row>
    <row r="151" spans="1:12">
      <c r="A151" t="s">
        <v>1283</v>
      </c>
      <c r="B151" t="s">
        <v>1283</v>
      </c>
      <c r="C151">
        <v>163046</v>
      </c>
      <c r="D151">
        <v>12580</v>
      </c>
      <c r="E151">
        <f t="shared" si="2"/>
        <v>2015</v>
      </c>
      <c r="F151" t="str">
        <f>IFERROR(IF(VLOOKUP(C151,TotalRev1!A:C,3,FALSE)="","",VLOOKUP(C151,TotalRev1!A:C,3,FALSE)),"")</f>
        <v/>
      </c>
      <c r="G151" t="str">
        <f>IFERROR(IF(VLOOKUP(C151,TotalRevL!A:C,3,FALSE)="","",VLOOKUP(C151,TotalRevL!A:C,3,FALSE)),"")</f>
        <v/>
      </c>
      <c r="H151" s="26">
        <f>IFERROR(IFERROR(VLOOKUP($A151,Winpct1!$A:$K,9,FALSE),VLOOKUP($B151,Winpct1!$A:$K,9,FALSE)),"")</f>
        <v>6.9000000000000006E-2</v>
      </c>
      <c r="I151">
        <f>IFERROR(IFERROR(VLOOKUP($A151,Attendance1!$B:$H,3,FALSE),VLOOKUP($B151,Attendance1!$B:$H,3,FALSE)),"")</f>
        <v>1558</v>
      </c>
      <c r="J151">
        <f>IFERROR(VLOOKUP(D151,'Pop-Metro'!A:R,E151-2005,FALSE),VLOOKUP(D151,'Pop-Micro'!A:R,E151-2005,FALSE))</f>
        <v>2812978</v>
      </c>
      <c r="K151">
        <f>IFERROR(VLOOKUP(D151,'PCI-Metro'!A:R,E151-2005,FALSE),VLOOKUP(D151,'PCI-Micro'!A:R,E151-2005,FALSE))</f>
        <v>54356</v>
      </c>
      <c r="L151">
        <f>IFERROR(IF(IFERROR(VLOOKUP($A151,Attendance1!$B:$H,5,FALSE),VLOOKUP($B151,Attendance1!$B:$H,5,FALSE))="","",IFERROR(VLOOKUP($A151,Attendance1!$B:$H,5,FALSE),VLOOKUP($B151,Attendance1!$B:$H,5,FALSE))),"")</f>
        <v>2000</v>
      </c>
    </row>
    <row r="152" spans="1:12">
      <c r="A152" t="s">
        <v>136</v>
      </c>
      <c r="B152" t="s">
        <v>136</v>
      </c>
      <c r="C152">
        <v>159391</v>
      </c>
      <c r="D152">
        <v>12940</v>
      </c>
      <c r="E152">
        <f t="shared" si="2"/>
        <v>2015</v>
      </c>
      <c r="F152">
        <f>IFERROR(IF(VLOOKUP(C152,TotalRev1!A:C,3,FALSE)="","",VLOOKUP(C152,TotalRev1!A:C,3,FALSE)),"")</f>
        <v>68208</v>
      </c>
      <c r="G152">
        <f>IFERROR(IF(VLOOKUP(C152,TotalRevL!A:C,3,FALSE)="","",VLOOKUP(C152,TotalRevL!A:C,3,FALSE)),"")</f>
        <v>41601</v>
      </c>
      <c r="H152" s="26">
        <f>IFERROR(IFERROR(VLOOKUP($A152,Winpct1!$A:$K,9,FALSE),VLOOKUP($B152,Winpct1!$A:$K,9,FALSE)),"")</f>
        <v>0.69</v>
      </c>
      <c r="I152">
        <f>IFERROR(IFERROR(VLOOKUP($A152,Attendance1!$B:$H,3,FALSE),VLOOKUP($B152,Attendance1!$B:$H,3,FALSE)),"")</f>
        <v>9027</v>
      </c>
      <c r="J152">
        <f>IFERROR(VLOOKUP(D152,'Pop-Metro'!A:R,E152-2005,FALSE),VLOOKUP(D152,'Pop-Micro'!A:R,E152-2005,FALSE))</f>
        <v>857755</v>
      </c>
      <c r="K152">
        <f>IFERROR(VLOOKUP(D152,'PCI-Metro'!A:R,E152-2005,FALSE),VLOOKUP(D152,'PCI-Micro'!A:R,E152-2005,FALSE))</f>
        <v>43452</v>
      </c>
      <c r="L152">
        <f>IFERROR(IF(IFERROR(VLOOKUP($A152,Attendance1!$B:$H,5,FALSE),VLOOKUP($B152,Attendance1!$B:$H,5,FALSE))="","",IFERROR(VLOOKUP($A152,Attendance1!$B:$H,5,FALSE),VLOOKUP($B152,Attendance1!$B:$H,5,FALSE))),"")</f>
        <v>13215</v>
      </c>
    </row>
    <row r="153" spans="1:12">
      <c r="A153" t="s">
        <v>137</v>
      </c>
      <c r="B153" t="s">
        <v>137</v>
      </c>
      <c r="C153">
        <v>161253</v>
      </c>
      <c r="D153">
        <v>12620</v>
      </c>
      <c r="E153">
        <f t="shared" si="2"/>
        <v>2015</v>
      </c>
      <c r="F153" t="str">
        <f>IFERROR(IF(VLOOKUP(C153,TotalRev1!A:C,3,FALSE)="","",VLOOKUP(C153,TotalRev1!A:C,3,FALSE)),"")</f>
        <v/>
      </c>
      <c r="G153" t="str">
        <f>IFERROR(IF(VLOOKUP(C153,TotalRevL!A:C,3,FALSE)="","",VLOOKUP(C153,TotalRevL!A:C,3,FALSE)),"")</f>
        <v/>
      </c>
      <c r="H153" s="26" t="str">
        <f>IFERROR(IFERROR(VLOOKUP($A153,Winpct1!$A:$K,9,FALSE),VLOOKUP($B153,Winpct1!$A:$K,9,FALSE)),"")</f>
        <v/>
      </c>
      <c r="I153" t="str">
        <f>IFERROR(IFERROR(VLOOKUP($A153,Attendance1!$B:$H,3,FALSE),VLOOKUP($B153,Attendance1!$B:$H,3,FALSE)),"")</f>
        <v/>
      </c>
      <c r="J153">
        <f>IFERROR(VLOOKUP(D153,'Pop-Metro'!A:R,E153-2005,FALSE),VLOOKUP(D153,'Pop-Micro'!A:R,E153-2005,FALSE))</f>
        <v>152271</v>
      </c>
      <c r="K153">
        <f>IFERROR(VLOOKUP(D153,'PCI-Metro'!A:R,E153-2005,FALSE),VLOOKUP(D153,'PCI-Micro'!A:R,E153-2005,FALSE))</f>
        <v>37305</v>
      </c>
      <c r="L153" t="str">
        <f>IFERROR(IF(IFERROR(VLOOKUP($A153,Attendance1!$B:$H,5,FALSE),VLOOKUP($B153,Attendance1!$B:$H,5,FALSE))="","",IFERROR(VLOOKUP($A153,Attendance1!$B:$H,5,FALSE),VLOOKUP($B153,Attendance1!$B:$H,5,FALSE))),"")</f>
        <v/>
      </c>
    </row>
    <row r="154" spans="1:12">
      <c r="A154" t="s">
        <v>138</v>
      </c>
      <c r="B154" t="s">
        <v>138</v>
      </c>
      <c r="C154">
        <v>192703</v>
      </c>
      <c r="D154">
        <v>35620</v>
      </c>
      <c r="E154">
        <f t="shared" si="2"/>
        <v>2015</v>
      </c>
      <c r="F154" t="str">
        <f>IFERROR(IF(VLOOKUP(C154,TotalRev1!A:C,3,FALSE)="","",VLOOKUP(C154,TotalRev1!A:C,3,FALSE)),"")</f>
        <v/>
      </c>
      <c r="G154" t="str">
        <f>IFERROR(IF(VLOOKUP(C154,TotalRevL!A:C,3,FALSE)="","",VLOOKUP(C154,TotalRevL!A:C,3,FALSE)),"")</f>
        <v/>
      </c>
      <c r="H154" s="26">
        <f>IFERROR(IFERROR(VLOOKUP($A154,Winpct1!$A:$K,9,FALSE),VLOOKUP($B154,Winpct1!$A:$K,9,FALSE)),"")</f>
        <v>0.61799999999999999</v>
      </c>
      <c r="I154">
        <f>IFERROR(IFERROR(VLOOKUP($A154,Attendance1!$B:$H,3,FALSE),VLOOKUP($B154,Attendance1!$B:$H,3,FALSE)),"")</f>
        <v>1966</v>
      </c>
      <c r="J154">
        <f>IFERROR(VLOOKUP(D154,'Pop-Metro'!A:R,E154-2005,FALSE),VLOOKUP(D154,'Pop-Micro'!A:R,E154-2005,FALSE))</f>
        <v>19830288</v>
      </c>
      <c r="K154">
        <f>IFERROR(VLOOKUP(D154,'PCI-Metro'!A:R,E154-2005,FALSE),VLOOKUP(D154,'PCI-Micro'!A:R,E154-2005,FALSE))</f>
        <v>62877</v>
      </c>
      <c r="L154">
        <f>IFERROR(IF(IFERROR(VLOOKUP($A154,Attendance1!$B:$H,5,FALSE),VLOOKUP($B154,Attendance1!$B:$H,5,FALSE))="","",IFERROR(VLOOKUP($A154,Attendance1!$B:$H,5,FALSE),VLOOKUP($B154,Attendance1!$B:$H,5,FALSE))),"")</f>
        <v>2500</v>
      </c>
    </row>
    <row r="155" spans="1:12">
      <c r="A155" t="s">
        <v>139</v>
      </c>
      <c r="B155" t="s">
        <v>139</v>
      </c>
      <c r="C155">
        <v>192819</v>
      </c>
      <c r="D155">
        <v>39100</v>
      </c>
      <c r="E155">
        <f t="shared" si="2"/>
        <v>2015</v>
      </c>
      <c r="F155" t="str">
        <f>IFERROR(IF(VLOOKUP(C155,TotalRev1!A:C,3,FALSE)="","",VLOOKUP(C155,TotalRev1!A:C,3,FALSE)),"")</f>
        <v/>
      </c>
      <c r="G155" t="str">
        <f>IFERROR(IF(VLOOKUP(C155,TotalRevL!A:C,3,FALSE)="","",VLOOKUP(C155,TotalRevL!A:C,3,FALSE)),"")</f>
        <v/>
      </c>
      <c r="H155" s="26">
        <f>IFERROR(IFERROR(VLOOKUP($A155,Winpct1!$A:$K,9,FALSE),VLOOKUP($B155,Winpct1!$A:$K,9,FALSE)),"")</f>
        <v>0.80600000000000005</v>
      </c>
      <c r="I155">
        <f>IFERROR(IFERROR(VLOOKUP($A155,Attendance1!$B:$H,3,FALSE),VLOOKUP($B155,Attendance1!$B:$H,3,FALSE)),"")</f>
        <v>2472</v>
      </c>
      <c r="J155">
        <f>IFERROR(VLOOKUP(D155,'Pop-Metro'!A:R,E155-2005,FALSE),VLOOKUP(D155,'Pop-Micro'!A:R,E155-2005,FALSE))</f>
        <v>679560</v>
      </c>
      <c r="K155">
        <f>IFERROR(VLOOKUP(D155,'PCI-Metro'!A:R,E155-2005,FALSE),VLOOKUP(D155,'PCI-Micro'!A:R,E155-2005,FALSE))</f>
        <v>47471</v>
      </c>
      <c r="L155">
        <f>IFERROR(IF(IFERROR(VLOOKUP($A155,Attendance1!$B:$H,5,FALSE),VLOOKUP($B155,Attendance1!$B:$H,5,FALSE))="","",IFERROR(VLOOKUP($A155,Attendance1!$B:$H,5,FALSE),VLOOKUP($B155,Attendance1!$B:$H,5,FALSE))),"")</f>
        <v>3200</v>
      </c>
    </row>
    <row r="156" spans="1:12">
      <c r="A156" t="s">
        <v>1284</v>
      </c>
      <c r="B156" t="s">
        <v>1284</v>
      </c>
      <c r="C156">
        <v>239105</v>
      </c>
      <c r="D156">
        <v>33340</v>
      </c>
      <c r="E156">
        <f t="shared" si="2"/>
        <v>2015</v>
      </c>
      <c r="F156" t="str">
        <f>IFERROR(IF(VLOOKUP(C156,TotalRev1!A:C,3,FALSE)="","",VLOOKUP(C156,TotalRev1!A:C,3,FALSE)),"")</f>
        <v/>
      </c>
      <c r="G156" t="str">
        <f>IFERROR(IF(VLOOKUP(C156,TotalRevL!A:C,3,FALSE)="","",VLOOKUP(C156,TotalRevL!A:C,3,FALSE)),"")</f>
        <v/>
      </c>
      <c r="H156" s="26">
        <f>IFERROR(IFERROR(VLOOKUP($A156,Winpct1!$A:$K,9,FALSE),VLOOKUP($B156,Winpct1!$A:$K,9,FALSE)),"")</f>
        <v>0.72699999999999998</v>
      </c>
      <c r="I156">
        <f>IFERROR(IFERROR(VLOOKUP($A156,Attendance1!$B:$H,3,FALSE),VLOOKUP($B156,Attendance1!$B:$H,3,FALSE)),"")</f>
        <v>10487</v>
      </c>
      <c r="J156">
        <f>IFERROR(VLOOKUP(D156,'Pop-Metro'!A:R,E156-2005,FALSE),VLOOKUP(D156,'Pop-Micro'!A:R,E156-2005,FALSE))</f>
        <v>1575104</v>
      </c>
      <c r="K156">
        <f>IFERROR(VLOOKUP(D156,'PCI-Metro'!A:R,E156-2005,FALSE),VLOOKUP(D156,'PCI-Micro'!A:R,E156-2005,FALSE))</f>
        <v>50685</v>
      </c>
      <c r="L156">
        <f>IFERROR(IF(IFERROR(VLOOKUP($A156,Attendance1!$B:$H,5,FALSE),VLOOKUP($B156,Attendance1!$B:$H,5,FALSE))="","",IFERROR(VLOOKUP($A156,Attendance1!$B:$H,5,FALSE),VLOOKUP($B156,Attendance1!$B:$H,5,FALSE))),"")</f>
        <v>4000</v>
      </c>
    </row>
    <row r="157" spans="1:12">
      <c r="A157" t="s">
        <v>140</v>
      </c>
      <c r="B157" t="s">
        <v>140</v>
      </c>
      <c r="C157">
        <v>237525</v>
      </c>
      <c r="D157">
        <v>26580</v>
      </c>
      <c r="E157">
        <f t="shared" si="2"/>
        <v>2015</v>
      </c>
      <c r="F157">
        <f>IFERROR(IF(VLOOKUP(C157,TotalRev1!A:C,3,FALSE)="","",VLOOKUP(C157,TotalRev1!A:C,3,FALSE)),"")</f>
        <v>514421</v>
      </c>
      <c r="G157">
        <f>IFERROR(IF(VLOOKUP(C157,TotalRevL!A:C,3,FALSE)="","",VLOOKUP(C157,TotalRevL!A:C,3,FALSE)),"")</f>
        <v>481126</v>
      </c>
      <c r="H157" s="26">
        <f>IFERROR(IFERROR(VLOOKUP($A157,Winpct1!$A:$K,9,FALSE),VLOOKUP($B157,Winpct1!$A:$K,9,FALSE)),"")</f>
        <v>0.5</v>
      </c>
      <c r="I157">
        <f>IFERROR(IFERROR(VLOOKUP($A157,Attendance1!$B:$H,3,FALSE),VLOOKUP($B157,Attendance1!$B:$H,3,FALSE)),"")</f>
        <v>6642</v>
      </c>
      <c r="J157">
        <f>IFERROR(VLOOKUP(D157,'Pop-Metro'!A:R,E157-2005,FALSE),VLOOKUP(D157,'Pop-Micro'!A:R,E157-2005,FALSE))</f>
        <v>370178</v>
      </c>
      <c r="K157">
        <f>IFERROR(VLOOKUP(D157,'PCI-Metro'!A:R,E157-2005,FALSE),VLOOKUP(D157,'PCI-Micro'!A:R,E157-2005,FALSE))</f>
        <v>36160</v>
      </c>
      <c r="L157">
        <f>IFERROR(IF(IFERROR(VLOOKUP($A157,Attendance1!$B:$H,5,FALSE),VLOOKUP($B157,Attendance1!$B:$H,5,FALSE))="","",IFERROR(VLOOKUP($A157,Attendance1!$B:$H,5,FALSE),VLOOKUP($B157,Attendance1!$B:$H,5,FALSE))),"")</f>
        <v>9043</v>
      </c>
    </row>
    <row r="158" spans="1:12">
      <c r="A158" t="s">
        <v>141</v>
      </c>
      <c r="B158" t="s">
        <v>141</v>
      </c>
      <c r="C158">
        <v>163286</v>
      </c>
      <c r="D158">
        <v>47900</v>
      </c>
      <c r="E158">
        <f t="shared" si="2"/>
        <v>2015</v>
      </c>
      <c r="F158">
        <f>IFERROR(IF(VLOOKUP(C158,TotalRev1!A:C,3,FALSE)="","",VLOOKUP(C158,TotalRev1!A:C,3,FALSE)),"")</f>
        <v>474270</v>
      </c>
      <c r="G158">
        <f>IFERROR(IF(VLOOKUP(C158,TotalRevL!A:C,3,FALSE)="","",VLOOKUP(C158,TotalRevL!A:C,3,FALSE)),"")</f>
        <v>495841</v>
      </c>
      <c r="H158" s="26">
        <f>IFERROR(IFERROR(VLOOKUP($A158,Winpct1!$A:$K,9,FALSE),VLOOKUP($B158,Winpct1!$A:$K,9,FALSE)),"")</f>
        <v>0.32300000000000001</v>
      </c>
      <c r="I158">
        <f>IFERROR(IFERROR(VLOOKUP($A158,Attendance1!$B:$H,3,FALSE),VLOOKUP($B158,Attendance1!$B:$H,3,FALSE)),"")</f>
        <v>15387</v>
      </c>
      <c r="J158">
        <f>IFERROR(VLOOKUP(D158,'Pop-Metro'!A:R,E158-2005,FALSE),VLOOKUP(D158,'Pop-Micro'!A:R,E158-2005,FALSE))</f>
        <v>6131237</v>
      </c>
      <c r="K158">
        <f>IFERROR(VLOOKUP(D158,'PCI-Metro'!A:R,E158-2005,FALSE),VLOOKUP(D158,'PCI-Micro'!A:R,E158-2005,FALSE))</f>
        <v>64476</v>
      </c>
      <c r="L158">
        <f>IFERROR(IF(IFERROR(VLOOKUP($A158,Attendance1!$B:$H,5,FALSE),VLOOKUP($B158,Attendance1!$B:$H,5,FALSE))="","",IFERROR(VLOOKUP($A158,Attendance1!$B:$H,5,FALSE),VLOOKUP($B158,Attendance1!$B:$H,5,FALSE))),"")</f>
        <v>1500</v>
      </c>
    </row>
    <row r="159" spans="1:12">
      <c r="A159" t="s">
        <v>142</v>
      </c>
      <c r="B159" t="s">
        <v>142</v>
      </c>
      <c r="C159">
        <v>166629</v>
      </c>
      <c r="D159">
        <v>44140</v>
      </c>
      <c r="E159">
        <f t="shared" si="2"/>
        <v>2015</v>
      </c>
      <c r="F159" t="str">
        <f>IFERROR(IF(VLOOKUP(C159,TotalRev1!A:C,3,FALSE)="","",VLOOKUP(C159,TotalRev1!A:C,3,FALSE)),"")</f>
        <v/>
      </c>
      <c r="G159" t="str">
        <f>IFERROR(IF(VLOOKUP(C159,TotalRevL!A:C,3,FALSE)="","",VLOOKUP(C159,TotalRevL!A:C,3,FALSE)),"")</f>
        <v/>
      </c>
      <c r="H159" s="26" t="str">
        <f>IFERROR(IFERROR(VLOOKUP($A159,Winpct1!$A:$K,9,FALSE),VLOOKUP($B159,Winpct1!$A:$K,9,FALSE)),"")</f>
        <v/>
      </c>
      <c r="I159" t="str">
        <f>IFERROR(IFERROR(VLOOKUP($A159,Attendance1!$B:$H,3,FALSE),VLOOKUP($B159,Attendance1!$B:$H,3,FALSE)),"")</f>
        <v/>
      </c>
      <c r="J159">
        <f>IFERROR(VLOOKUP(D159,'Pop-Metro'!A:R,E159-2005,FALSE),VLOOKUP(D159,'Pop-Micro'!A:R,E159-2005,FALSE))</f>
        <v>702585</v>
      </c>
      <c r="K159">
        <f>IFERROR(VLOOKUP(D159,'PCI-Metro'!A:R,E159-2005,FALSE),VLOOKUP(D159,'PCI-Micro'!A:R,E159-2005,FALSE))</f>
        <v>46906</v>
      </c>
      <c r="L159" t="str">
        <f>IFERROR(IF(IFERROR(VLOOKUP($A159,Attendance1!$B:$H,5,FALSE),VLOOKUP($B159,Attendance1!$B:$H,5,FALSE))="","",IFERROR(VLOOKUP($A159,Attendance1!$B:$H,5,FALSE),VLOOKUP($B159,Attendance1!$B:$H,5,FALSE))),"")</f>
        <v/>
      </c>
    </row>
    <row r="160" spans="1:12">
      <c r="A160" t="s">
        <v>143</v>
      </c>
      <c r="B160" t="s">
        <v>143</v>
      </c>
      <c r="C160">
        <v>159717</v>
      </c>
      <c r="D160">
        <v>29340</v>
      </c>
      <c r="E160">
        <f t="shared" si="2"/>
        <v>2015</v>
      </c>
      <c r="F160">
        <f>IFERROR(IF(VLOOKUP(C160,TotalRev1!A:C,3,FALSE)="","",VLOOKUP(C160,TotalRev1!A:C,3,FALSE)),"")</f>
        <v>418372</v>
      </c>
      <c r="G160">
        <f>IFERROR(IF(VLOOKUP(C160,TotalRevL!A:C,3,FALSE)="","",VLOOKUP(C160,TotalRevL!A:C,3,FALSE)),"")</f>
        <v>383111</v>
      </c>
      <c r="H160" s="26">
        <f>IFERROR(IFERROR(VLOOKUP($A160,Winpct1!$A:$K,9,FALSE),VLOOKUP($B160,Winpct1!$A:$K,9,FALSE)),"")</f>
        <v>0.46899999999999997</v>
      </c>
      <c r="I160">
        <f>IFERROR(IFERROR(VLOOKUP($A160,Attendance1!$B:$H,3,FALSE),VLOOKUP($B160,Attendance1!$B:$H,3,FALSE)),"")</f>
        <v>2825</v>
      </c>
      <c r="J160">
        <f>IFERROR(VLOOKUP(D160,'Pop-Metro'!A:R,E160-2005,FALSE),VLOOKUP(D160,'Pop-Micro'!A:R,E160-2005,FALSE))</f>
        <v>211129</v>
      </c>
      <c r="K160">
        <f>IFERROR(VLOOKUP(D160,'PCI-Metro'!A:R,E160-2005,FALSE),VLOOKUP(D160,'PCI-Micro'!A:R,E160-2005,FALSE))</f>
        <v>42081</v>
      </c>
      <c r="L160">
        <f>IFERROR(IF(IFERROR(VLOOKUP($A160,Attendance1!$B:$H,5,FALSE),VLOOKUP($B160,Attendance1!$B:$H,5,FALSE))="","",IFERROR(VLOOKUP($A160,Attendance1!$B:$H,5,FALSE),VLOOKUP($B160,Attendance1!$B:$H,5,FALSE))),"")</f>
        <v>315</v>
      </c>
    </row>
    <row r="161" spans="1:12">
      <c r="A161" t="s">
        <v>144</v>
      </c>
      <c r="B161" t="s">
        <v>144</v>
      </c>
      <c r="C161">
        <v>220862</v>
      </c>
      <c r="D161">
        <v>32820</v>
      </c>
      <c r="E161">
        <f t="shared" si="2"/>
        <v>2015</v>
      </c>
      <c r="F161" t="str">
        <f>IFERROR(IF(VLOOKUP(C161,TotalRev1!A:C,3,FALSE)="","",VLOOKUP(C161,TotalRev1!A:C,3,FALSE)),"")</f>
        <v/>
      </c>
      <c r="G161">
        <f>IFERROR(IF(VLOOKUP(C161,TotalRevL!A:C,3,FALSE)="","",VLOOKUP(C161,TotalRevL!A:C,3,FALSE)),"")</f>
        <v>5848</v>
      </c>
      <c r="H161" s="26">
        <f>IFERROR(IFERROR(VLOOKUP($A161,Winpct1!$A:$K,9,FALSE),VLOOKUP($B161,Winpct1!$A:$K,9,FALSE)),"")</f>
        <v>0.67600000000000005</v>
      </c>
      <c r="I161">
        <f>IFERROR(IFERROR(VLOOKUP($A161,Attendance1!$B:$H,3,FALSE),VLOOKUP($B161,Attendance1!$B:$H,3,FALSE)),"")</f>
        <v>9108</v>
      </c>
      <c r="J161">
        <f>IFERROR(VLOOKUP(D161,'Pop-Metro'!A:R,E161-2005,FALSE),VLOOKUP(D161,'Pop-Micro'!A:R,E161-2005,FALSE))</f>
        <v>1330099</v>
      </c>
      <c r="K161">
        <f>IFERROR(VLOOKUP(D161,'PCI-Metro'!A:R,E161-2005,FALSE),VLOOKUP(D161,'PCI-Micro'!A:R,E161-2005,FALSE))</f>
        <v>42206</v>
      </c>
      <c r="L161">
        <f>IFERROR(IF(IFERROR(VLOOKUP($A161,Attendance1!$B:$H,5,FALSE),VLOOKUP($B161,Attendance1!$B:$H,5,FALSE))="","",IFERROR(VLOOKUP($A161,Attendance1!$B:$H,5,FALSE),VLOOKUP($B161,Attendance1!$B:$H,5,FALSE))),"")</f>
        <v>2565</v>
      </c>
    </row>
    <row r="162" spans="1:12">
      <c r="A162" t="s">
        <v>145</v>
      </c>
      <c r="B162" t="s">
        <v>145</v>
      </c>
      <c r="C162">
        <v>140447</v>
      </c>
      <c r="D162">
        <v>31420</v>
      </c>
      <c r="E162">
        <f t="shared" si="2"/>
        <v>2015</v>
      </c>
      <c r="F162" t="str">
        <f>IFERROR(IF(VLOOKUP(C162,TotalRev1!A:C,3,FALSE)="","",VLOOKUP(C162,TotalRev1!A:C,3,FALSE)),"")</f>
        <v/>
      </c>
      <c r="G162" t="str">
        <f>IFERROR(IF(VLOOKUP(C162,TotalRevL!A:C,3,FALSE)="","",VLOOKUP(C162,TotalRevL!A:C,3,FALSE)),"")</f>
        <v/>
      </c>
      <c r="H162" s="26">
        <f>IFERROR(IFERROR(VLOOKUP($A162,Winpct1!$A:$K,9,FALSE),VLOOKUP($B162,Winpct1!$A:$K,9,FALSE)),"")</f>
        <v>0.35499999999999998</v>
      </c>
      <c r="I162">
        <f>IFERROR(IFERROR(VLOOKUP($A162,Attendance1!$B:$H,3,FALSE),VLOOKUP($B162,Attendance1!$B:$H,3,FALSE)),"")</f>
        <v>1718</v>
      </c>
      <c r="J162">
        <f>IFERROR(VLOOKUP(D162,'Pop-Metro'!A:R,E162-2005,FALSE),VLOOKUP(D162,'Pop-Micro'!A:R,E162-2005,FALSE))</f>
        <v>231805</v>
      </c>
      <c r="K162">
        <f>IFERROR(VLOOKUP(D162,'PCI-Metro'!A:R,E162-2005,FALSE),VLOOKUP(D162,'PCI-Micro'!A:R,E162-2005,FALSE))</f>
        <v>36597</v>
      </c>
      <c r="L162">
        <f>IFERROR(IF(IFERROR(VLOOKUP($A162,Attendance1!$B:$H,5,FALSE),VLOOKUP($B162,Attendance1!$B:$H,5,FALSE))="","",IFERROR(VLOOKUP($A162,Attendance1!$B:$H,5,FALSE),VLOOKUP($B162,Attendance1!$B:$H,5,FALSE))),"")</f>
        <v>3100</v>
      </c>
    </row>
    <row r="163" spans="1:12">
      <c r="A163" t="s">
        <v>1285</v>
      </c>
      <c r="B163" t="s">
        <v>1285</v>
      </c>
      <c r="C163">
        <v>135726</v>
      </c>
      <c r="D163">
        <v>33100</v>
      </c>
      <c r="E163">
        <f t="shared" si="2"/>
        <v>2015</v>
      </c>
      <c r="F163" t="str">
        <f>IFERROR(IF(VLOOKUP(C163,TotalRev1!A:C,3,FALSE)="","",VLOOKUP(C163,TotalRev1!A:C,3,FALSE)),"")</f>
        <v/>
      </c>
      <c r="G163" t="str">
        <f>IFERROR(IF(VLOOKUP(C163,TotalRevL!A:C,3,FALSE)="","",VLOOKUP(C163,TotalRevL!A:C,3,FALSE)),"")</f>
        <v/>
      </c>
      <c r="H163" s="26">
        <f>IFERROR(IFERROR(VLOOKUP($A163,Winpct1!$A:$K,9,FALSE),VLOOKUP($B163,Winpct1!$A:$K,9,FALSE)),"")</f>
        <v>0.71</v>
      </c>
      <c r="I163">
        <f>IFERROR(IFERROR(VLOOKUP($A163,Attendance1!$B:$H,3,FALSE),VLOOKUP($B163,Attendance1!$B:$H,3,FALSE)),"")</f>
        <v>5875</v>
      </c>
      <c r="J163">
        <f>IFERROR(VLOOKUP(D163,'Pop-Metro'!A:R,E163-2005,FALSE),VLOOKUP(D163,'Pop-Micro'!A:R,E163-2005,FALSE))</f>
        <v>5947797</v>
      </c>
      <c r="K163">
        <f>IFERROR(VLOOKUP(D163,'PCI-Metro'!A:R,E163-2005,FALSE),VLOOKUP(D163,'PCI-Micro'!A:R,E163-2005,FALSE))</f>
        <v>50764</v>
      </c>
      <c r="L163">
        <f>IFERROR(IF(IFERROR(VLOOKUP($A163,Attendance1!$B:$H,5,FALSE),VLOOKUP($B163,Attendance1!$B:$H,5,FALSE))="","",IFERROR(VLOOKUP($A163,Attendance1!$B:$H,5,FALSE),VLOOKUP($B163,Attendance1!$B:$H,5,FALSE))),"")</f>
        <v>1200</v>
      </c>
    </row>
    <row r="164" spans="1:12">
      <c r="A164" t="s">
        <v>146</v>
      </c>
      <c r="B164" t="s">
        <v>146</v>
      </c>
      <c r="C164">
        <v>204024</v>
      </c>
      <c r="D164">
        <v>17140</v>
      </c>
      <c r="E164">
        <f t="shared" si="2"/>
        <v>2015</v>
      </c>
      <c r="F164">
        <f>IFERROR(IF(VLOOKUP(C164,TotalRev1!A:C,3,FALSE)="","",VLOOKUP(C164,TotalRev1!A:C,3,FALSE)),"")</f>
        <v>856821</v>
      </c>
      <c r="G164">
        <f>IFERROR(IF(VLOOKUP(C164,TotalRevL!A:C,3,FALSE)="","",VLOOKUP(C164,TotalRevL!A:C,3,FALSE)),"")</f>
        <v>743358</v>
      </c>
      <c r="H164" s="26">
        <f>IFERROR(IFERROR(VLOOKUP($A164,Winpct1!$A:$K,9,FALSE),VLOOKUP($B164,Winpct1!$A:$K,9,FALSE)),"")</f>
        <v>0.67700000000000005</v>
      </c>
      <c r="I164">
        <f>IFERROR(IFERROR(VLOOKUP($A164,Attendance1!$B:$H,3,FALSE),VLOOKUP($B164,Attendance1!$B:$H,3,FALSE)),"")</f>
        <v>2984</v>
      </c>
      <c r="J164">
        <f>IFERROR(VLOOKUP(D164,'Pop-Metro'!A:R,E164-2005,FALSE),VLOOKUP(D164,'Pop-Micro'!A:R,E164-2005,FALSE))</f>
        <v>2195796</v>
      </c>
      <c r="K164">
        <f>IFERROR(VLOOKUP(D164,'PCI-Metro'!A:R,E164-2005,FALSE),VLOOKUP(D164,'PCI-Micro'!A:R,E164-2005,FALSE))</f>
        <v>47906</v>
      </c>
      <c r="L164">
        <f>IFERROR(IF(IFERROR(VLOOKUP($A164,Attendance1!$B:$H,5,FALSE),VLOOKUP($B164,Attendance1!$B:$H,5,FALSE))="","",IFERROR(VLOOKUP($A164,Attendance1!$B:$H,5,FALSE),VLOOKUP($B164,Attendance1!$B:$H,5,FALSE))),"")</f>
        <v>6400</v>
      </c>
    </row>
    <row r="165" spans="1:12">
      <c r="A165" t="s">
        <v>147</v>
      </c>
      <c r="B165" t="s">
        <v>147</v>
      </c>
      <c r="C165">
        <v>170976</v>
      </c>
      <c r="D165">
        <v>11460</v>
      </c>
      <c r="E165">
        <f t="shared" si="2"/>
        <v>2015</v>
      </c>
      <c r="F165">
        <f>IFERROR(IF(VLOOKUP(C165,TotalRev1!A:C,3,FALSE)="","",VLOOKUP(C165,TotalRev1!A:C,3,FALSE)),"")</f>
        <v>159459</v>
      </c>
      <c r="G165">
        <f>IFERROR(IF(VLOOKUP(C165,TotalRevL!A:C,3,FALSE)="","",VLOOKUP(C165,TotalRevL!A:C,3,FALSE)),"")</f>
        <v>143770</v>
      </c>
      <c r="H165" s="26">
        <f>IFERROR(IFERROR(VLOOKUP($A165,Winpct1!$A:$K,9,FALSE),VLOOKUP($B165,Winpct1!$A:$K,9,FALSE)),"")</f>
        <v>0.433</v>
      </c>
      <c r="I165">
        <f>IFERROR(IFERROR(VLOOKUP($A165,Attendance1!$B:$H,3,FALSE),VLOOKUP($B165,Attendance1!$B:$H,3,FALSE)),"")</f>
        <v>19040</v>
      </c>
      <c r="J165">
        <f>IFERROR(VLOOKUP(D165,'Pop-Metro'!A:R,E165-2005,FALSE),VLOOKUP(D165,'Pop-Micro'!A:R,E165-2005,FALSE))</f>
        <v>366217</v>
      </c>
      <c r="K165">
        <f>IFERROR(VLOOKUP(D165,'PCI-Metro'!A:R,E165-2005,FALSE),VLOOKUP(D165,'PCI-Micro'!A:R,E165-2005,FALSE))</f>
        <v>51527</v>
      </c>
      <c r="L165">
        <f>IFERROR(IF(IFERROR(VLOOKUP($A165,Attendance1!$B:$H,5,FALSE),VLOOKUP($B165,Attendance1!$B:$H,5,FALSE))="","",IFERROR(VLOOKUP($A165,Attendance1!$B:$H,5,FALSE),VLOOKUP($B165,Attendance1!$B:$H,5,FALSE))),"")</f>
        <v>1850</v>
      </c>
    </row>
    <row r="166" spans="1:12">
      <c r="A166" t="s">
        <v>148</v>
      </c>
      <c r="B166" t="s">
        <v>148</v>
      </c>
      <c r="C166">
        <v>171100</v>
      </c>
      <c r="D166">
        <v>29620</v>
      </c>
      <c r="E166">
        <f t="shared" si="2"/>
        <v>2015</v>
      </c>
      <c r="F166">
        <f>IFERROR(IF(VLOOKUP(C166,TotalRev1!A:C,3,FALSE)="","",VLOOKUP(C166,TotalRev1!A:C,3,FALSE)),"")</f>
        <v>487306</v>
      </c>
      <c r="G166">
        <f>IFERROR(IF(VLOOKUP(C166,TotalRevL!A:C,3,FALSE)="","",VLOOKUP(C166,TotalRevL!A:C,3,FALSE)),"")</f>
        <v>581326</v>
      </c>
      <c r="H166" s="26">
        <f>IFERROR(IFERROR(VLOOKUP($A166,Winpct1!$A:$K,9,FALSE),VLOOKUP($B166,Winpct1!$A:$K,9,FALSE)),"")</f>
        <v>0.57599999999999996</v>
      </c>
      <c r="I166">
        <f>IFERROR(IFERROR(VLOOKUP($A166,Attendance1!$B:$H,3,FALSE),VLOOKUP($B166,Attendance1!$B:$H,3,FALSE)),"")</f>
        <v>43918</v>
      </c>
      <c r="J166">
        <f>IFERROR(VLOOKUP(D166,'Pop-Metro'!A:R,E166-2005,FALSE),VLOOKUP(D166,'Pop-Micro'!A:R,E166-2005,FALSE))</f>
        <v>537777</v>
      </c>
      <c r="K166">
        <f>IFERROR(VLOOKUP(D166,'PCI-Metro'!A:R,E166-2005,FALSE),VLOOKUP(D166,'PCI-Micro'!A:R,E166-2005,FALSE))</f>
        <v>37578</v>
      </c>
      <c r="L166">
        <f>IFERROR(IF(IFERROR(VLOOKUP($A166,Attendance1!$B:$H,5,FALSE),VLOOKUP($B166,Attendance1!$B:$H,5,FALSE))="","",IFERROR(VLOOKUP($A166,Attendance1!$B:$H,5,FALSE),VLOOKUP($B166,Attendance1!$B:$H,5,FALSE))),"")</f>
        <v>5017</v>
      </c>
    </row>
    <row r="167" spans="1:12">
      <c r="A167" t="s">
        <v>149</v>
      </c>
      <c r="B167" t="s">
        <v>149</v>
      </c>
      <c r="C167">
        <v>220978</v>
      </c>
      <c r="D167">
        <v>34980</v>
      </c>
      <c r="E167">
        <f t="shared" si="2"/>
        <v>2015</v>
      </c>
      <c r="F167">
        <f>IFERROR(IF(VLOOKUP(C167,TotalRev1!A:C,3,FALSE)="","",VLOOKUP(C167,TotalRev1!A:C,3,FALSE)),"")</f>
        <v>1087439</v>
      </c>
      <c r="G167">
        <f>IFERROR(IF(VLOOKUP(C167,TotalRevL!A:C,3,FALSE)="","",VLOOKUP(C167,TotalRevL!A:C,3,FALSE)),"")</f>
        <v>906938</v>
      </c>
      <c r="H167" s="26">
        <f>IFERROR(IFERROR(VLOOKUP($A167,Winpct1!$A:$K,9,FALSE),VLOOKUP($B167,Winpct1!$A:$K,9,FALSE)),"")</f>
        <v>0.3</v>
      </c>
      <c r="I167">
        <f>IFERROR(IFERROR(VLOOKUP($A167,Attendance1!$B:$H,3,FALSE),VLOOKUP($B167,Attendance1!$B:$H,3,FALSE)),"")</f>
        <v>4800</v>
      </c>
      <c r="J167">
        <f>IFERROR(VLOOKUP(D167,'Pop-Metro'!A:R,E167-2005,FALSE),VLOOKUP(D167,'Pop-Micro'!A:R,E167-2005,FALSE))</f>
        <v>1822874</v>
      </c>
      <c r="K167">
        <f>IFERROR(VLOOKUP(D167,'PCI-Metro'!A:R,E167-2005,FALSE),VLOOKUP(D167,'PCI-Micro'!A:R,E167-2005,FALSE))</f>
        <v>50712</v>
      </c>
      <c r="L167">
        <f>IFERROR(IF(IFERROR(VLOOKUP($A167,Attendance1!$B:$H,5,FALSE),VLOOKUP($B167,Attendance1!$B:$H,5,FALSE))="","",IFERROR(VLOOKUP($A167,Attendance1!$B:$H,5,FALSE),VLOOKUP($B167,Attendance1!$B:$H,5,FALSE))),"")</f>
        <v>2000</v>
      </c>
    </row>
    <row r="168" spans="1:12">
      <c r="A168" t="s">
        <v>1287</v>
      </c>
      <c r="B168" t="s">
        <v>1287</v>
      </c>
      <c r="C168">
        <v>240453</v>
      </c>
      <c r="D168">
        <v>33340</v>
      </c>
      <c r="E168">
        <f t="shared" si="2"/>
        <v>2015</v>
      </c>
      <c r="F168">
        <f>IFERROR(IF(VLOOKUP(C168,TotalRev1!A:C,3,FALSE)="","",VLOOKUP(C168,TotalRev1!A:C,3,FALSE)),"")</f>
        <v>397935</v>
      </c>
      <c r="G168">
        <f>IFERROR(IF(VLOOKUP(C168,TotalRevL!A:C,3,FALSE)="","",VLOOKUP(C168,TotalRevL!A:C,3,FALSE)),"")</f>
        <v>548378</v>
      </c>
      <c r="H168" s="26">
        <f>IFERROR(IFERROR(VLOOKUP($A168,Winpct1!$A:$K,9,FALSE),VLOOKUP($B168,Winpct1!$A:$K,9,FALSE)),"")</f>
        <v>0.54800000000000004</v>
      </c>
      <c r="I168">
        <f>IFERROR(IFERROR(VLOOKUP($A168,Attendance1!$B:$H,3,FALSE),VLOOKUP($B168,Attendance1!$B:$H,3,FALSE)),"")</f>
        <v>4883</v>
      </c>
      <c r="J168">
        <f>IFERROR(VLOOKUP(D168,'Pop-Metro'!A:R,E168-2005,FALSE),VLOOKUP(D168,'Pop-Micro'!A:R,E168-2005,FALSE))</f>
        <v>1575104</v>
      </c>
      <c r="K168">
        <f>IFERROR(VLOOKUP(D168,'PCI-Metro'!A:R,E168-2005,FALSE),VLOOKUP(D168,'PCI-Micro'!A:R,E168-2005,FALSE))</f>
        <v>50685</v>
      </c>
      <c r="L168">
        <f>IFERROR(IF(IFERROR(VLOOKUP($A168,Attendance1!$B:$H,5,FALSE),VLOOKUP($B168,Attendance1!$B:$H,5,FALSE))="","",IFERROR(VLOOKUP($A168,Attendance1!$B:$H,5,FALSE),VLOOKUP($B168,Attendance1!$B:$H,5,FALSE))),"")</f>
        <v>2500</v>
      </c>
    </row>
    <row r="169" spans="1:12">
      <c r="A169" t="s">
        <v>150</v>
      </c>
      <c r="B169" t="s">
        <v>150</v>
      </c>
      <c r="C169">
        <v>174066</v>
      </c>
      <c r="D169">
        <v>33460</v>
      </c>
      <c r="E169">
        <f t="shared" si="2"/>
        <v>2015</v>
      </c>
      <c r="F169">
        <f>IFERROR(IF(VLOOKUP(C169,TotalRev1!A:C,3,FALSE)="","",VLOOKUP(C169,TotalRev1!A:C,3,FALSE)),"")</f>
        <v>410740</v>
      </c>
      <c r="G169">
        <f>IFERROR(IF(VLOOKUP(C169,TotalRevL!A:C,3,FALSE)="","",VLOOKUP(C169,TotalRevL!A:C,3,FALSE)),"")</f>
        <v>635040</v>
      </c>
      <c r="H169" s="26">
        <f>IFERROR(IFERROR(VLOOKUP($A169,Winpct1!$A:$K,9,FALSE),VLOOKUP($B169,Winpct1!$A:$K,9,FALSE)),"")</f>
        <v>0.61299999999999999</v>
      </c>
      <c r="I169">
        <f>IFERROR(IFERROR(VLOOKUP($A169,Attendance1!$B:$H,3,FALSE),VLOOKUP($B169,Attendance1!$B:$H,3,FALSE)),"")</f>
        <v>50149</v>
      </c>
      <c r="J169">
        <f>IFERROR(VLOOKUP(D169,'Pop-Metro'!A:R,E169-2005,FALSE),VLOOKUP(D169,'Pop-Micro'!A:R,E169-2005,FALSE))</f>
        <v>3522901</v>
      </c>
      <c r="K169">
        <f>IFERROR(VLOOKUP(D169,'PCI-Metro'!A:R,E169-2005,FALSE),VLOOKUP(D169,'PCI-Micro'!A:R,E169-2005,FALSE))</f>
        <v>56085</v>
      </c>
      <c r="L169">
        <f>IFERROR(IF(IFERROR(VLOOKUP($A169,Attendance1!$B:$H,5,FALSE),VLOOKUP($B169,Attendance1!$B:$H,5,FALSE))="","",IFERROR(VLOOKUP($A169,Attendance1!$B:$H,5,FALSE),VLOOKUP($B169,Attendance1!$B:$H,5,FALSE))),"")</f>
        <v>5840</v>
      </c>
    </row>
    <row r="170" spans="1:12">
      <c r="A170" t="s">
        <v>151</v>
      </c>
      <c r="B170" t="s">
        <v>151</v>
      </c>
      <c r="C170">
        <v>176080</v>
      </c>
      <c r="D170">
        <v>44260</v>
      </c>
      <c r="E170">
        <f t="shared" si="2"/>
        <v>2015</v>
      </c>
      <c r="F170">
        <f>IFERROR(IF(VLOOKUP(C170,TotalRev1!A:C,3,FALSE)="","",VLOOKUP(C170,TotalRev1!A:C,3,FALSE)),"")</f>
        <v>105759</v>
      </c>
      <c r="G170">
        <f>IFERROR(IF(VLOOKUP(C170,TotalRevL!A:C,3,FALSE)="","",VLOOKUP(C170,TotalRevL!A:C,3,FALSE)),"")</f>
        <v>19248</v>
      </c>
      <c r="H170" s="26">
        <f>IFERROR(IFERROR(VLOOKUP($A170,Winpct1!$A:$K,9,FALSE),VLOOKUP($B170,Winpct1!$A:$K,9,FALSE)),"")</f>
        <v>0.21199999999999999</v>
      </c>
      <c r="I170">
        <f>IFERROR(IFERROR(VLOOKUP($A170,Attendance1!$B:$H,3,FALSE),VLOOKUP($B170,Attendance1!$B:$H,3,FALSE)),"")</f>
        <v>8112</v>
      </c>
      <c r="J170">
        <f>IFERROR(VLOOKUP(D170,'Pop-Metro'!A:R,E170-2005,FALSE),VLOOKUP(D170,'Pop-Micro'!A:R,E170-2005,FALSE))</f>
        <v>60567</v>
      </c>
      <c r="K170">
        <f>IFERROR(VLOOKUP(D170,'PCI-Metro'!A:R,E170-2005,FALSE),VLOOKUP(D170,'PCI-Micro'!A:R,E170-2005,FALSE))</f>
        <v>31053</v>
      </c>
      <c r="L170">
        <f>IFERROR(IF(IFERROR(VLOOKUP($A170,Attendance1!$B:$H,5,FALSE),VLOOKUP($B170,Attendance1!$B:$H,5,FALSE))="","",IFERROR(VLOOKUP($A170,Attendance1!$B:$H,5,FALSE),VLOOKUP($B170,Attendance1!$B:$H,5,FALSE))),"")</f>
        <v>2000</v>
      </c>
    </row>
    <row r="171" spans="1:12">
      <c r="A171" t="s">
        <v>152</v>
      </c>
      <c r="B171" t="s">
        <v>152</v>
      </c>
      <c r="C171">
        <v>176044</v>
      </c>
      <c r="D171">
        <v>24900</v>
      </c>
      <c r="E171">
        <f t="shared" si="2"/>
        <v>2015</v>
      </c>
      <c r="F171" t="str">
        <f>IFERROR(IF(VLOOKUP(C171,TotalRev1!A:C,3,FALSE)="","",VLOOKUP(C171,TotalRev1!A:C,3,FALSE)),"")</f>
        <v/>
      </c>
      <c r="G171" t="str">
        <f>IFERROR(IF(VLOOKUP(C171,TotalRevL!A:C,3,FALSE)="","",VLOOKUP(C171,TotalRevL!A:C,3,FALSE)),"")</f>
        <v/>
      </c>
      <c r="H171" s="26">
        <f>IFERROR(IFERROR(VLOOKUP($A171,Winpct1!$A:$K,9,FALSE),VLOOKUP($B171,Winpct1!$A:$K,9,FALSE)),"")</f>
        <v>0.13300000000000001</v>
      </c>
      <c r="I171">
        <f>IFERROR(IFERROR(VLOOKUP($A171,Attendance1!$B:$H,3,FALSE),VLOOKUP($B171,Attendance1!$B:$H,3,FALSE)),"")</f>
        <v>2152</v>
      </c>
      <c r="J171">
        <f>IFERROR(VLOOKUP(D171,'Pop-Metro'!A:R,E171-2005,FALSE),VLOOKUP(D171,'Pop-Micro'!A:R,E171-2005,FALSE))</f>
        <v>40770</v>
      </c>
      <c r="K171">
        <f>IFERROR(VLOOKUP(D171,'PCI-Metro'!A:R,E171-2005,FALSE),VLOOKUP(D171,'PCI-Micro'!A:R,E171-2005,FALSE))</f>
        <v>32463</v>
      </c>
      <c r="L171">
        <f>IFERROR(IF(IFERROR(VLOOKUP($A171,Attendance1!$B:$H,5,FALSE),VLOOKUP($B171,Attendance1!$B:$H,5,FALSE))="","",IFERROR(VLOOKUP($A171,Attendance1!$B:$H,5,FALSE),VLOOKUP($B171,Attendance1!$B:$H,5,FALSE))),"")</f>
        <v>6000</v>
      </c>
    </row>
    <row r="172" spans="1:12">
      <c r="A172" t="s">
        <v>153</v>
      </c>
      <c r="B172" t="s">
        <v>153</v>
      </c>
      <c r="C172">
        <v>178396</v>
      </c>
      <c r="D172">
        <v>17860</v>
      </c>
      <c r="E172">
        <f t="shared" si="2"/>
        <v>2015</v>
      </c>
      <c r="F172">
        <f>IFERROR(IF(VLOOKUP(C172,TotalRev1!A:C,3,FALSE)="","",VLOOKUP(C172,TotalRev1!A:C,3,FALSE)),"")</f>
        <v>320405</v>
      </c>
      <c r="G172">
        <f>IFERROR(IF(VLOOKUP(C172,TotalRevL!A:C,3,FALSE)="","",VLOOKUP(C172,TotalRevL!A:C,3,FALSE)),"")</f>
        <v>343992</v>
      </c>
      <c r="H172" s="26">
        <f>IFERROR(IFERROR(VLOOKUP($A172,Winpct1!$A:$K,9,FALSE),VLOOKUP($B172,Winpct1!$A:$K,9,FALSE)),"")</f>
        <v>0.48499999999999999</v>
      </c>
      <c r="I172">
        <f>IFERROR(IFERROR(VLOOKUP($A172,Attendance1!$B:$H,3,FALSE),VLOOKUP($B172,Attendance1!$B:$H,3,FALSE)),"")</f>
        <v>26505</v>
      </c>
      <c r="J172">
        <f>IFERROR(VLOOKUP(D172,'Pop-Metro'!A:R,E172-2005,FALSE),VLOOKUP(D172,'Pop-Micro'!A:R,E172-2005,FALSE))</f>
        <v>202849</v>
      </c>
      <c r="K172">
        <f>IFERROR(VLOOKUP(D172,'PCI-Metro'!A:R,E172-2005,FALSE),VLOOKUP(D172,'PCI-Micro'!A:R,E172-2005,FALSE))</f>
        <v>42237</v>
      </c>
      <c r="L172">
        <f>IFERROR(IF(IFERROR(VLOOKUP($A172,Attendance1!$B:$H,5,FALSE),VLOOKUP($B172,Attendance1!$B:$H,5,FALSE))="","",IFERROR(VLOOKUP($A172,Attendance1!$B:$H,5,FALSE),VLOOKUP($B172,Attendance1!$B:$H,5,FALSE))),"")</f>
        <v>13343</v>
      </c>
    </row>
    <row r="173" spans="1:12">
      <c r="A173" t="s">
        <v>154</v>
      </c>
      <c r="B173" t="s">
        <v>154</v>
      </c>
      <c r="C173">
        <v>179566</v>
      </c>
      <c r="D173">
        <v>44180</v>
      </c>
      <c r="E173">
        <f t="shared" si="2"/>
        <v>2015</v>
      </c>
      <c r="F173">
        <f>IFERROR(IF(VLOOKUP(C173,TotalRev1!A:C,3,FALSE)="","",VLOOKUP(C173,TotalRev1!A:C,3,FALSE)),"")</f>
        <v>675767</v>
      </c>
      <c r="G173">
        <f>IFERROR(IF(VLOOKUP(C173,TotalRevL!A:C,3,FALSE)="","",VLOOKUP(C173,TotalRevL!A:C,3,FALSE)),"")</f>
        <v>665530</v>
      </c>
      <c r="H173" s="26">
        <f>IFERROR(IFERROR(VLOOKUP($A173,Winpct1!$A:$K,9,FALSE),VLOOKUP($B173,Winpct1!$A:$K,9,FALSE)),"")</f>
        <v>0.625</v>
      </c>
      <c r="I173">
        <f>IFERROR(IFERROR(VLOOKUP($A173,Attendance1!$B:$H,3,FALSE),VLOOKUP($B173,Attendance1!$B:$H,3,FALSE)),"")</f>
        <v>7804</v>
      </c>
      <c r="J173">
        <f>IFERROR(VLOOKUP(D173,'Pop-Metro'!A:R,E173-2005,FALSE),VLOOKUP(D173,'Pop-Micro'!A:R,E173-2005,FALSE))</f>
        <v>456506</v>
      </c>
      <c r="K173">
        <f>IFERROR(VLOOKUP(D173,'PCI-Metro'!A:R,E173-2005,FALSE),VLOOKUP(D173,'PCI-Micro'!A:R,E173-2005,FALSE))</f>
        <v>37315</v>
      </c>
      <c r="L173">
        <f>IFERROR(IF(IFERROR(VLOOKUP($A173,Attendance1!$B:$H,5,FALSE),VLOOKUP($B173,Attendance1!$B:$H,5,FALSE))="","",IFERROR(VLOOKUP($A173,Attendance1!$B:$H,5,FALSE),VLOOKUP($B173,Attendance1!$B:$H,5,FALSE))),"")</f>
        <v>8846</v>
      </c>
    </row>
    <row r="174" spans="1:12">
      <c r="A174" t="s">
        <v>155</v>
      </c>
      <c r="B174" t="s">
        <v>155</v>
      </c>
      <c r="C174">
        <v>185572</v>
      </c>
      <c r="D174">
        <v>35620</v>
      </c>
      <c r="E174">
        <f t="shared" si="2"/>
        <v>2015</v>
      </c>
      <c r="F174" t="str">
        <f>IFERROR(IF(VLOOKUP(C174,TotalRev1!A:C,3,FALSE)="","",VLOOKUP(C174,TotalRev1!A:C,3,FALSE)),"")</f>
        <v/>
      </c>
      <c r="G174" t="str">
        <f>IFERROR(IF(VLOOKUP(C174,TotalRevL!A:C,3,FALSE)="","",VLOOKUP(C174,TotalRevL!A:C,3,FALSE)),"")</f>
        <v/>
      </c>
      <c r="H174" s="26" t="str">
        <f>IFERROR(IFERROR(VLOOKUP($A174,Winpct1!$A:$K,9,FALSE),VLOOKUP($B174,Winpct1!$A:$K,9,FALSE)),"")</f>
        <v/>
      </c>
      <c r="I174" t="str">
        <f>IFERROR(IFERROR(VLOOKUP($A174,Attendance1!$B:$H,3,FALSE),VLOOKUP($B174,Attendance1!$B:$H,3,FALSE)),"")</f>
        <v/>
      </c>
      <c r="J174">
        <f>IFERROR(VLOOKUP(D174,'Pop-Metro'!A:R,E174-2005,FALSE),VLOOKUP(D174,'Pop-Micro'!A:R,E174-2005,FALSE))</f>
        <v>19830288</v>
      </c>
      <c r="K174">
        <f>IFERROR(VLOOKUP(D174,'PCI-Metro'!A:R,E174-2005,FALSE),VLOOKUP(D174,'PCI-Micro'!A:R,E174-2005,FALSE))</f>
        <v>62877</v>
      </c>
      <c r="L174" t="str">
        <f>IFERROR(IF(IFERROR(VLOOKUP($A174,Attendance1!$B:$H,5,FALSE),VLOOKUP($B174,Attendance1!$B:$H,5,FALSE))="","",IFERROR(VLOOKUP($A174,Attendance1!$B:$H,5,FALSE),VLOOKUP($B174,Attendance1!$B:$H,5,FALSE))),"")</f>
        <v/>
      </c>
    </row>
    <row r="175" spans="1:12">
      <c r="A175" t="s">
        <v>156</v>
      </c>
      <c r="B175" t="s">
        <v>156</v>
      </c>
      <c r="C175">
        <v>180489</v>
      </c>
      <c r="D175">
        <v>33540</v>
      </c>
      <c r="E175">
        <f t="shared" si="2"/>
        <v>2015</v>
      </c>
      <c r="F175">
        <f>IFERROR(IF(VLOOKUP(C175,TotalRev1!A:C,3,FALSE)="","",VLOOKUP(C175,TotalRev1!A:C,3,FALSE)),"")</f>
        <v>397826</v>
      </c>
      <c r="G175">
        <f>IFERROR(IF(VLOOKUP(C175,TotalRevL!A:C,3,FALSE)="","",VLOOKUP(C175,TotalRevL!A:C,3,FALSE)),"")</f>
        <v>355064</v>
      </c>
      <c r="H175" s="26">
        <f>IFERROR(IFERROR(VLOOKUP($A175,Winpct1!$A:$K,9,FALSE),VLOOKUP($B175,Winpct1!$A:$K,9,FALSE)),"")</f>
        <v>0.20699999999999999</v>
      </c>
      <c r="I175">
        <f>IFERROR(IFERROR(VLOOKUP($A175,Attendance1!$B:$H,3,FALSE),VLOOKUP($B175,Attendance1!$B:$H,3,FALSE)),"")</f>
        <v>6079</v>
      </c>
      <c r="J175">
        <f>IFERROR(VLOOKUP(D175,'Pop-Metro'!A:R,E175-2005,FALSE),VLOOKUP(D175,'Pop-Micro'!A:R,E175-2005,FALSE))</f>
        <v>112647</v>
      </c>
      <c r="K175">
        <f>IFERROR(VLOOKUP(D175,'PCI-Metro'!A:R,E175-2005,FALSE),VLOOKUP(D175,'PCI-Micro'!A:R,E175-2005,FALSE))</f>
        <v>45391</v>
      </c>
      <c r="L175">
        <f>IFERROR(IF(IFERROR(VLOOKUP($A175,Attendance1!$B:$H,5,FALSE),VLOOKUP($B175,Attendance1!$B:$H,5,FALSE))="","",IFERROR(VLOOKUP($A175,Attendance1!$B:$H,5,FALSE),VLOOKUP($B175,Attendance1!$B:$H,5,FALSE))),"")</f>
        <v>1200</v>
      </c>
    </row>
    <row r="176" spans="1:12">
      <c r="A176" t="s">
        <v>1288</v>
      </c>
      <c r="B176" t="s">
        <v>1288</v>
      </c>
      <c r="C176">
        <v>180461</v>
      </c>
      <c r="D176">
        <v>14580</v>
      </c>
      <c r="E176">
        <f t="shared" si="2"/>
        <v>2015</v>
      </c>
      <c r="F176">
        <f>IFERROR(IF(VLOOKUP(C176,TotalRev1!A:C,3,FALSE)="","",VLOOKUP(C176,TotalRev1!A:C,3,FALSE)),"")</f>
        <v>833167</v>
      </c>
      <c r="G176">
        <f>IFERROR(IF(VLOOKUP(C176,TotalRevL!A:C,3,FALSE)="","",VLOOKUP(C176,TotalRevL!A:C,3,FALSE)),"")</f>
        <v>783090</v>
      </c>
      <c r="H176" s="26">
        <f>IFERROR(IFERROR(VLOOKUP($A176,Winpct1!$A:$K,9,FALSE),VLOOKUP($B176,Winpct1!$A:$K,9,FALSE)),"")</f>
        <v>0.25</v>
      </c>
      <c r="I176">
        <f>IFERROR(IFERROR(VLOOKUP($A176,Attendance1!$B:$H,3,FALSE),VLOOKUP($B176,Attendance1!$B:$H,3,FALSE)),"")</f>
        <v>6053</v>
      </c>
      <c r="J176">
        <f>IFERROR(VLOOKUP(D176,'Pop-Metro'!A:R,E176-2005,FALSE),VLOOKUP(D176,'Pop-Micro'!A:R,E176-2005,FALSE))</f>
        <v>102238</v>
      </c>
      <c r="K176">
        <f>IFERROR(VLOOKUP(D176,'PCI-Metro'!A:R,E176-2005,FALSE),VLOOKUP(D176,'PCI-Micro'!A:R,E176-2005,FALSE))</f>
        <v>48511</v>
      </c>
      <c r="L176">
        <f>IFERROR(IF(IFERROR(VLOOKUP($A176,Attendance1!$B:$H,5,FALSE),VLOOKUP($B176,Attendance1!$B:$H,5,FALSE))="","",IFERROR(VLOOKUP($A176,Attendance1!$B:$H,5,FALSE),VLOOKUP($B176,Attendance1!$B:$H,5,FALSE))),"")</f>
        <v>2000</v>
      </c>
    </row>
    <row r="177" spans="1:12">
      <c r="A177" t="s">
        <v>157</v>
      </c>
      <c r="B177" t="s">
        <v>157</v>
      </c>
      <c r="C177">
        <v>157386</v>
      </c>
      <c r="D177">
        <v>30460</v>
      </c>
      <c r="E177">
        <f t="shared" si="2"/>
        <v>2015</v>
      </c>
      <c r="F177">
        <f>IFERROR(IF(VLOOKUP(C177,TotalRev1!A:C,3,FALSE)="","",VLOOKUP(C177,TotalRev1!A:C,3,FALSE)),"")</f>
        <v>686717</v>
      </c>
      <c r="G177">
        <f>IFERROR(IF(VLOOKUP(C177,TotalRevL!A:C,3,FALSE)="","",VLOOKUP(C177,TotalRevL!A:C,3,FALSE)),"")</f>
        <v>655606</v>
      </c>
      <c r="H177" s="26">
        <f>IFERROR(IFERROR(VLOOKUP($A177,Winpct1!$A:$K,9,FALSE),VLOOKUP($B177,Winpct1!$A:$K,9,FALSE)),"")</f>
        <v>9.7000000000000003E-2</v>
      </c>
      <c r="I177">
        <f>IFERROR(IFERROR(VLOOKUP($A177,Attendance1!$B:$H,3,FALSE),VLOOKUP($B177,Attendance1!$B:$H,3,FALSE)),"")</f>
        <v>8974</v>
      </c>
      <c r="J177">
        <f>IFERROR(VLOOKUP(D177,'Pop-Metro'!A:R,E177-2005,FALSE),VLOOKUP(D177,'Pop-Micro'!A:R,E177-2005,FALSE))</f>
        <v>500235</v>
      </c>
      <c r="K177">
        <f>IFERROR(VLOOKUP(D177,'PCI-Metro'!A:R,E177-2005,FALSE),VLOOKUP(D177,'PCI-Micro'!A:R,E177-2005,FALSE))</f>
        <v>44251</v>
      </c>
      <c r="L177">
        <f>IFERROR(IF(IFERROR(VLOOKUP($A177,Attendance1!$B:$H,5,FALSE),VLOOKUP($B177,Attendance1!$B:$H,5,FALSE))="","",IFERROR(VLOOKUP($A177,Attendance1!$B:$H,5,FALSE),VLOOKUP($B177,Attendance1!$B:$H,5,FALSE))),"")</f>
        <v>3500</v>
      </c>
    </row>
    <row r="178" spans="1:12">
      <c r="A178" t="s">
        <v>158</v>
      </c>
      <c r="B178" t="s">
        <v>158</v>
      </c>
      <c r="C178">
        <v>163453</v>
      </c>
      <c r="D178">
        <v>12580</v>
      </c>
      <c r="E178">
        <f t="shared" si="2"/>
        <v>2015</v>
      </c>
      <c r="F178">
        <f>IFERROR(IF(VLOOKUP(C178,TotalRev1!A:C,3,FALSE)="","",VLOOKUP(C178,TotalRev1!A:C,3,FALSE)),"")</f>
        <v>900</v>
      </c>
      <c r="G178">
        <f>IFERROR(IF(VLOOKUP(C178,TotalRevL!A:C,3,FALSE)="","",VLOOKUP(C178,TotalRevL!A:C,3,FALSE)),"")</f>
        <v>6075</v>
      </c>
      <c r="H178" s="26">
        <f>IFERROR(IFERROR(VLOOKUP($A178,Winpct1!$A:$K,9,FALSE),VLOOKUP($B178,Winpct1!$A:$K,9,FALSE)),"")</f>
        <v>0.5</v>
      </c>
      <c r="I178">
        <f>IFERROR(IFERROR(VLOOKUP($A178,Attendance1!$B:$H,3,FALSE),VLOOKUP($B178,Attendance1!$B:$H,3,FALSE)),"")</f>
        <v>1232</v>
      </c>
      <c r="J178">
        <f>IFERROR(VLOOKUP(D178,'Pop-Metro'!A:R,E178-2005,FALSE),VLOOKUP(D178,'Pop-Micro'!A:R,E178-2005,FALSE))</f>
        <v>2812978</v>
      </c>
      <c r="K178">
        <f>IFERROR(VLOOKUP(D178,'PCI-Metro'!A:R,E178-2005,FALSE),VLOOKUP(D178,'PCI-Micro'!A:R,E178-2005,FALSE))</f>
        <v>54356</v>
      </c>
      <c r="L178">
        <f>IFERROR(IF(IFERROR(VLOOKUP($A178,Attendance1!$B:$H,5,FALSE),VLOOKUP($B178,Attendance1!$B:$H,5,FALSE))="","",IFERROR(VLOOKUP($A178,Attendance1!$B:$H,5,FALSE),VLOOKUP($B178,Attendance1!$B:$H,5,FALSE))),"")</f>
        <v>4250</v>
      </c>
    </row>
    <row r="179" spans="1:12">
      <c r="A179" t="s">
        <v>159</v>
      </c>
      <c r="B179" t="s">
        <v>159</v>
      </c>
      <c r="C179">
        <v>163462</v>
      </c>
      <c r="D179">
        <v>23900</v>
      </c>
      <c r="E179">
        <f t="shared" si="2"/>
        <v>2015</v>
      </c>
      <c r="F179" t="str">
        <f>IFERROR(IF(VLOOKUP(C179,TotalRev1!A:C,3,FALSE)="","",VLOOKUP(C179,TotalRev1!A:C,3,FALSE)),"")</f>
        <v/>
      </c>
      <c r="G179" t="str">
        <f>IFERROR(IF(VLOOKUP(C179,TotalRevL!A:C,3,FALSE)="","",VLOOKUP(C179,TotalRevL!A:C,3,FALSE)),"")</f>
        <v/>
      </c>
      <c r="H179" s="26" t="str">
        <f>IFERROR(IFERROR(VLOOKUP($A179,Winpct1!$A:$K,9,FALSE),VLOOKUP($B179,Winpct1!$A:$K,9,FALSE)),"")</f>
        <v/>
      </c>
      <c r="I179" t="str">
        <f>IFERROR(IFERROR(VLOOKUP($A179,Attendance1!$B:$H,3,FALSE),VLOOKUP($B179,Attendance1!$B:$H,3,FALSE)),"")</f>
        <v/>
      </c>
      <c r="J179">
        <f>IFERROR(VLOOKUP(D179,'Pop-Metro'!A:R,E179-2005,FALSE),VLOOKUP(D179,'Pop-Micro'!A:R,E179-2005,FALSE))</f>
        <v>102411</v>
      </c>
      <c r="K179">
        <f>IFERROR(VLOOKUP(D179,'PCI-Metro'!A:R,E179-2005,FALSE),VLOOKUP(D179,'PCI-Micro'!A:R,E179-2005,FALSE))</f>
        <v>44189</v>
      </c>
      <c r="L179" t="str">
        <f>IFERROR(IF(IFERROR(VLOOKUP($A179,Attendance1!$B:$H,5,FALSE),VLOOKUP($B179,Attendance1!$B:$H,5,FALSE))="","",IFERROR(VLOOKUP($A179,Attendance1!$B:$H,5,FALSE),VLOOKUP($B179,Attendance1!$B:$H,5,FALSE))),"")</f>
        <v/>
      </c>
    </row>
    <row r="180" spans="1:12">
      <c r="A180" t="s">
        <v>160</v>
      </c>
      <c r="B180" t="s">
        <v>160</v>
      </c>
      <c r="C180">
        <v>157401</v>
      </c>
      <c r="D180">
        <v>34660</v>
      </c>
      <c r="E180">
        <f t="shared" si="2"/>
        <v>2015</v>
      </c>
      <c r="F180">
        <f>IFERROR(IF(VLOOKUP(C180,TotalRev1!A:C,3,FALSE)="","",VLOOKUP(C180,TotalRev1!A:C,3,FALSE)),"")</f>
        <v>18009</v>
      </c>
      <c r="G180">
        <f>IFERROR(IF(VLOOKUP(C180,TotalRevL!A:C,3,FALSE)="","",VLOOKUP(C180,TotalRevL!A:C,3,FALSE)),"")</f>
        <v>2500</v>
      </c>
      <c r="H180" s="26">
        <f>IFERROR(IFERROR(VLOOKUP($A180,Winpct1!$A:$K,9,FALSE),VLOOKUP($B180,Winpct1!$A:$K,9,FALSE)),"")</f>
        <v>0.81299999999999994</v>
      </c>
      <c r="I180">
        <f>IFERROR(IFERROR(VLOOKUP($A180,Attendance1!$B:$H,3,FALSE),VLOOKUP($B180,Attendance1!$B:$H,3,FALSE)),"")</f>
        <v>5566</v>
      </c>
      <c r="J180">
        <f>IFERROR(VLOOKUP(D180,'Pop-Metro'!A:R,E180-2005,FALSE),VLOOKUP(D180,'Pop-Micro'!A:R,E180-2005,FALSE))</f>
        <v>37601</v>
      </c>
      <c r="K180">
        <f>IFERROR(VLOOKUP(D180,'PCI-Metro'!A:R,E180-2005,FALSE),VLOOKUP(D180,'PCI-Micro'!A:R,E180-2005,FALSE))</f>
        <v>34082</v>
      </c>
      <c r="L180">
        <f>IFERROR(IF(IFERROR(VLOOKUP($A180,Attendance1!$B:$H,5,FALSE),VLOOKUP($B180,Attendance1!$B:$H,5,FALSE))="","",IFERROR(VLOOKUP($A180,Attendance1!$B:$H,5,FALSE),VLOOKUP($B180,Attendance1!$B:$H,5,FALSE))),"")</f>
        <v>5550</v>
      </c>
    </row>
    <row r="181" spans="1:12">
      <c r="A181" t="s">
        <v>161</v>
      </c>
      <c r="B181" t="s">
        <v>161</v>
      </c>
      <c r="C181">
        <v>199102</v>
      </c>
      <c r="D181">
        <v>24660</v>
      </c>
      <c r="E181">
        <f t="shared" si="2"/>
        <v>2015</v>
      </c>
      <c r="F181">
        <f>IFERROR(IF(VLOOKUP(C181,TotalRev1!A:C,3,FALSE)="","",VLOOKUP(C181,TotalRev1!A:C,3,FALSE)),"")</f>
        <v>381087</v>
      </c>
      <c r="G181">
        <f>IFERROR(IF(VLOOKUP(C181,TotalRevL!A:C,3,FALSE)="","",VLOOKUP(C181,TotalRevL!A:C,3,FALSE)),"")</f>
        <v>333778</v>
      </c>
      <c r="H181" s="26">
        <f>IFERROR(IFERROR(VLOOKUP($A181,Winpct1!$A:$K,9,FALSE),VLOOKUP($B181,Winpct1!$A:$K,9,FALSE)),"")</f>
        <v>0.214</v>
      </c>
      <c r="I181">
        <f>IFERROR(IFERROR(VLOOKUP($A181,Attendance1!$B:$H,3,FALSE),VLOOKUP($B181,Attendance1!$B:$H,3,FALSE)),"")</f>
        <v>1082</v>
      </c>
      <c r="J181">
        <f>IFERROR(VLOOKUP(D181,'Pop-Metro'!A:R,E181-2005,FALSE),VLOOKUP(D181,'Pop-Micro'!A:R,E181-2005,FALSE))</f>
        <v>751869</v>
      </c>
      <c r="K181">
        <f>IFERROR(VLOOKUP(D181,'PCI-Metro'!A:R,E181-2005,FALSE),VLOOKUP(D181,'PCI-Micro'!A:R,E181-2005,FALSE))</f>
        <v>39613</v>
      </c>
      <c r="L181">
        <f>IFERROR(IF(IFERROR(VLOOKUP($A181,Attendance1!$B:$H,5,FALSE),VLOOKUP($B181,Attendance1!$B:$H,5,FALSE))="","",IFERROR(VLOOKUP($A181,Attendance1!$B:$H,5,FALSE),VLOOKUP($B181,Attendance1!$B:$H,5,FALSE))),"")</f>
        <v>1200</v>
      </c>
    </row>
    <row r="182" spans="1:12">
      <c r="A182" t="s">
        <v>162</v>
      </c>
      <c r="B182" t="s">
        <v>162</v>
      </c>
      <c r="C182">
        <v>199157</v>
      </c>
      <c r="D182">
        <v>20500</v>
      </c>
      <c r="E182">
        <f t="shared" si="2"/>
        <v>2015</v>
      </c>
      <c r="F182">
        <f>IFERROR(IF(VLOOKUP(C182,TotalRev1!A:C,3,FALSE)="","",VLOOKUP(C182,TotalRev1!A:C,3,FALSE)),"")</f>
        <v>3335</v>
      </c>
      <c r="G182">
        <f>IFERROR(IF(VLOOKUP(C182,TotalRevL!A:C,3,FALSE)="","",VLOOKUP(C182,TotalRevL!A:C,3,FALSE)),"")</f>
        <v>1378</v>
      </c>
      <c r="H182" s="26">
        <f>IFERROR(IFERROR(VLOOKUP($A182,Winpct1!$A:$K,9,FALSE),VLOOKUP($B182,Winpct1!$A:$K,9,FALSE)),"")</f>
        <v>0.13800000000000001</v>
      </c>
      <c r="I182">
        <f>IFERROR(IFERROR(VLOOKUP($A182,Attendance1!$B:$H,3,FALSE),VLOOKUP($B182,Attendance1!$B:$H,3,FALSE)),"")</f>
        <v>2702</v>
      </c>
      <c r="J182">
        <f>IFERROR(VLOOKUP(D182,'Pop-Metro'!A:R,E182-2005,FALSE),VLOOKUP(D182,'Pop-Micro'!A:R,E182-2005,FALSE))</f>
        <v>607634</v>
      </c>
      <c r="K182">
        <f>IFERROR(VLOOKUP(D182,'PCI-Metro'!A:R,E182-2005,FALSE),VLOOKUP(D182,'PCI-Micro'!A:R,E182-2005,FALSE))</f>
        <v>46887</v>
      </c>
      <c r="L182">
        <f>IFERROR(IF(IFERROR(VLOOKUP($A182,Attendance1!$B:$H,5,FALSE),VLOOKUP($B182,Attendance1!$B:$H,5,FALSE))="","",IFERROR(VLOOKUP($A182,Attendance1!$B:$H,5,FALSE),VLOOKUP($B182,Attendance1!$B:$H,5,FALSE))),"")</f>
        <v>3056</v>
      </c>
    </row>
    <row r="183" spans="1:12">
      <c r="A183" t="s">
        <v>1289</v>
      </c>
      <c r="B183" t="s">
        <v>1289</v>
      </c>
      <c r="C183">
        <v>500000</v>
      </c>
      <c r="D183">
        <v>47900</v>
      </c>
      <c r="E183">
        <f t="shared" si="2"/>
        <v>2015</v>
      </c>
      <c r="F183">
        <f>IFERROR(IF(VLOOKUP(C183,TotalRev1!A:C,3,FALSE)="","",VLOOKUP(C183,TotalRev1!A:C,3,FALSE)),"")</f>
        <v>314038</v>
      </c>
      <c r="G183">
        <f>IFERROR(IF(VLOOKUP(C183,TotalRevL!A:C,3,FALSE)="","",VLOOKUP(C183,TotalRevL!A:C,3,FALSE)),"")</f>
        <v>281145</v>
      </c>
      <c r="H183" s="26">
        <f>IFERROR(IFERROR(VLOOKUP($A183,Winpct1!$A:$K,9,FALSE),VLOOKUP($B183,Winpct1!$A:$K,9,FALSE)),"")</f>
        <v>0.53800000000000003</v>
      </c>
      <c r="I183">
        <f>IFERROR(IFERROR(VLOOKUP($A183,Attendance1!$B:$H,3,FALSE),VLOOKUP($B183,Attendance1!$B:$H,3,FALSE)),"")</f>
        <v>3377</v>
      </c>
      <c r="J183">
        <f>IFERROR(VLOOKUP(D183,'Pop-Metro'!A:R,E183-2005,FALSE),VLOOKUP(D183,'Pop-Micro'!A:R,E183-2005,FALSE))</f>
        <v>6131237</v>
      </c>
      <c r="K183">
        <f>IFERROR(VLOOKUP(D183,'PCI-Metro'!A:R,E183-2005,FALSE),VLOOKUP(D183,'PCI-Micro'!A:R,E183-2005,FALSE))</f>
        <v>64476</v>
      </c>
      <c r="L183">
        <f>IFERROR(IF(IFERROR(VLOOKUP($A183,Attendance1!$B:$H,5,FALSE),VLOOKUP($B183,Attendance1!$B:$H,5,FALSE))="","",IFERROR(VLOOKUP($A183,Attendance1!$B:$H,5,FALSE),VLOOKUP($B183,Attendance1!$B:$H,5,FALSE))),"")</f>
        <v>750</v>
      </c>
    </row>
    <row r="184" spans="1:12">
      <c r="A184" t="s">
        <v>163</v>
      </c>
      <c r="B184" t="s">
        <v>163</v>
      </c>
      <c r="C184">
        <v>199193</v>
      </c>
      <c r="D184">
        <v>39580</v>
      </c>
      <c r="E184">
        <f t="shared" si="2"/>
        <v>2015</v>
      </c>
      <c r="F184">
        <f>IFERROR(IF(VLOOKUP(C184,TotalRev1!A:C,3,FALSE)="","",VLOOKUP(C184,TotalRev1!A:C,3,FALSE)),"")</f>
        <v>611428</v>
      </c>
      <c r="G184">
        <f>IFERROR(IF(VLOOKUP(C184,TotalRevL!A:C,3,FALSE)="","",VLOOKUP(C184,TotalRevL!A:C,3,FALSE)),"")</f>
        <v>574913</v>
      </c>
      <c r="H184" s="26">
        <f>IFERROR(IFERROR(VLOOKUP($A184,Winpct1!$A:$K,9,FALSE),VLOOKUP($B184,Winpct1!$A:$K,9,FALSE)),"")</f>
        <v>0.53300000000000003</v>
      </c>
      <c r="I184">
        <f>IFERROR(IFERROR(VLOOKUP($A184,Attendance1!$B:$H,3,FALSE),VLOOKUP($B184,Attendance1!$B:$H,3,FALSE)),"")</f>
        <v>9879</v>
      </c>
      <c r="J184">
        <f>IFERROR(VLOOKUP(D184,'Pop-Metro'!A:R,E184-2005,FALSE),VLOOKUP(D184,'Pop-Micro'!A:R,E184-2005,FALSE))</f>
        <v>1271821</v>
      </c>
      <c r="K184">
        <f>IFERROR(VLOOKUP(D184,'PCI-Metro'!A:R,E184-2005,FALSE),VLOOKUP(D184,'PCI-Micro'!A:R,E184-2005,FALSE))</f>
        <v>49706</v>
      </c>
      <c r="L184">
        <f>IFERROR(IF(IFERROR(VLOOKUP($A184,Attendance1!$B:$H,5,FALSE),VLOOKUP($B184,Attendance1!$B:$H,5,FALSE))="","",IFERROR(VLOOKUP($A184,Attendance1!$B:$H,5,FALSE),VLOOKUP($B184,Attendance1!$B:$H,5,FALSE))),"")</f>
        <v>12400</v>
      </c>
    </row>
    <row r="185" spans="1:12">
      <c r="A185" t="s">
        <v>164</v>
      </c>
      <c r="B185" t="s">
        <v>164</v>
      </c>
      <c r="C185">
        <v>181464</v>
      </c>
      <c r="D185">
        <v>30700</v>
      </c>
      <c r="E185">
        <f t="shared" si="2"/>
        <v>2015</v>
      </c>
      <c r="F185">
        <f>IFERROR(IF(VLOOKUP(C185,TotalRev1!A:C,3,FALSE)="","",VLOOKUP(C185,TotalRev1!A:C,3,FALSE)),"")</f>
        <v>2971382</v>
      </c>
      <c r="G185">
        <f>IFERROR(IF(VLOOKUP(C185,TotalRevL!A:C,3,FALSE)="","",VLOOKUP(C185,TotalRevL!A:C,3,FALSE)),"")</f>
        <v>2970391</v>
      </c>
      <c r="H185" s="26">
        <f>IFERROR(IFERROR(VLOOKUP($A185,Winpct1!$A:$K,9,FALSE),VLOOKUP($B185,Winpct1!$A:$K,9,FALSE)),"")</f>
        <v>0.69699999999999995</v>
      </c>
      <c r="I185">
        <f>IFERROR(IFERROR(VLOOKUP($A185,Attendance1!$B:$H,3,FALSE),VLOOKUP($B185,Attendance1!$B:$H,3,FALSE)),"")</f>
        <v>145493</v>
      </c>
      <c r="J185">
        <f>IFERROR(VLOOKUP(D185,'Pop-Metro'!A:R,E185-2005,FALSE),VLOOKUP(D185,'Pop-Micro'!A:R,E185-2005,FALSE))</f>
        <v>324704</v>
      </c>
      <c r="K185">
        <f>IFERROR(VLOOKUP(D185,'PCI-Metro'!A:R,E185-2005,FALSE),VLOOKUP(D185,'PCI-Micro'!A:R,E185-2005,FALSE))</f>
        <v>44544</v>
      </c>
      <c r="L185">
        <f>IFERROR(IF(IFERROR(VLOOKUP($A185,Attendance1!$B:$H,5,FALSE),VLOOKUP($B185,Attendance1!$B:$H,5,FALSE))="","",IFERROR(VLOOKUP($A185,Attendance1!$B:$H,5,FALSE),VLOOKUP($B185,Attendance1!$B:$H,5,FALSE))),"")</f>
        <v>7907</v>
      </c>
    </row>
    <row r="186" spans="1:12">
      <c r="A186" t="s">
        <v>165</v>
      </c>
      <c r="B186" t="s">
        <v>165</v>
      </c>
      <c r="C186">
        <v>182290</v>
      </c>
      <c r="D186">
        <v>39900</v>
      </c>
      <c r="E186">
        <f t="shared" si="2"/>
        <v>2015</v>
      </c>
      <c r="F186">
        <f>IFERROR(IF(VLOOKUP(C186,TotalRev1!A:C,3,FALSE)="","",VLOOKUP(C186,TotalRev1!A:C,3,FALSE)),"")</f>
        <v>112633</v>
      </c>
      <c r="G186">
        <f>IFERROR(IF(VLOOKUP(C186,TotalRevL!A:C,3,FALSE)="","",VLOOKUP(C186,TotalRevL!A:C,3,FALSE)),"")</f>
        <v>90010</v>
      </c>
      <c r="H186" s="26">
        <f>IFERROR(IFERROR(VLOOKUP($A186,Winpct1!$A:$K,9,FALSE),VLOOKUP($B186,Winpct1!$A:$K,9,FALSE)),"")</f>
        <v>0.28599999999999998</v>
      </c>
      <c r="I186">
        <f>IFERROR(IFERROR(VLOOKUP($A186,Attendance1!$B:$H,3,FALSE),VLOOKUP($B186,Attendance1!$B:$H,3,FALSE)),"")</f>
        <v>4382</v>
      </c>
      <c r="J186">
        <f>IFERROR(VLOOKUP(D186,'Pop-Metro'!A:R,E186-2005,FALSE),VLOOKUP(D186,'Pop-Micro'!A:R,E186-2005,FALSE))</f>
        <v>451276</v>
      </c>
      <c r="K186">
        <f>IFERROR(VLOOKUP(D186,'PCI-Metro'!A:R,E186-2005,FALSE),VLOOKUP(D186,'PCI-Micro'!A:R,E186-2005,FALSE))</f>
        <v>49075</v>
      </c>
      <c r="L186">
        <f>IFERROR(IF(IFERROR(VLOOKUP($A186,Attendance1!$B:$H,5,FALSE),VLOOKUP($B186,Attendance1!$B:$H,5,FALSE))="","",IFERROR(VLOOKUP($A186,Attendance1!$B:$H,5,FALSE),VLOOKUP($B186,Attendance1!$B:$H,5,FALSE))),"")</f>
        <v>1800</v>
      </c>
    </row>
    <row r="187" spans="1:12">
      <c r="A187" t="s">
        <v>1290</v>
      </c>
      <c r="B187" t="s">
        <v>1290</v>
      </c>
      <c r="C187">
        <v>183044</v>
      </c>
      <c r="D187">
        <v>18180</v>
      </c>
      <c r="E187">
        <f t="shared" si="2"/>
        <v>2015</v>
      </c>
      <c r="F187">
        <f>IFERROR(IF(VLOOKUP(C187,TotalRev1!A:C,3,FALSE)="","",VLOOKUP(C187,TotalRev1!A:C,3,FALSE)),"")</f>
        <v>330082</v>
      </c>
      <c r="G187">
        <f>IFERROR(IF(VLOOKUP(C187,TotalRevL!A:C,3,FALSE)="","",VLOOKUP(C187,TotalRevL!A:C,3,FALSE)),"")</f>
        <v>466592</v>
      </c>
      <c r="H187" s="26">
        <f>IFERROR(IFERROR(VLOOKUP($A187,Winpct1!$A:$K,9,FALSE),VLOOKUP($B187,Winpct1!$A:$K,9,FALSE)),"")</f>
        <v>0.625</v>
      </c>
      <c r="I187">
        <f>IFERROR(IFERROR(VLOOKUP($A187,Attendance1!$B:$H,3,FALSE),VLOOKUP($B187,Attendance1!$B:$H,3,FALSE)),"")</f>
        <v>5357</v>
      </c>
      <c r="J187">
        <f>IFERROR(VLOOKUP(D187,'Pop-Metro'!A:R,E187-2005,FALSE),VLOOKUP(D187,'Pop-Micro'!A:R,E187-2005,FALSE))</f>
        <v>149460</v>
      </c>
      <c r="K187">
        <f>IFERROR(VLOOKUP(D187,'PCI-Metro'!A:R,E187-2005,FALSE),VLOOKUP(D187,'PCI-Micro'!A:R,E187-2005,FALSE))</f>
        <v>51135</v>
      </c>
      <c r="L187">
        <f>IFERROR(IF(IFERROR(VLOOKUP($A187,Attendance1!$B:$H,5,FALSE),VLOOKUP($B187,Attendance1!$B:$H,5,FALSE))="","",IFERROR(VLOOKUP($A187,Attendance1!$B:$H,5,FALSE),VLOOKUP($B187,Attendance1!$B:$H,5,FALSE))),"")</f>
        <v>3500</v>
      </c>
    </row>
    <row r="188" spans="1:12">
      <c r="A188" t="s">
        <v>166</v>
      </c>
      <c r="B188" t="s">
        <v>166</v>
      </c>
      <c r="C188">
        <v>187985</v>
      </c>
      <c r="D188">
        <v>10740</v>
      </c>
      <c r="E188">
        <f t="shared" si="2"/>
        <v>2015</v>
      </c>
      <c r="F188">
        <f>IFERROR(IF(VLOOKUP(C188,TotalRev1!A:C,3,FALSE)="","",VLOOKUP(C188,TotalRev1!A:C,3,FALSE)),"")</f>
        <v>147696</v>
      </c>
      <c r="G188">
        <f>IFERROR(IF(VLOOKUP(C188,TotalRevL!A:C,3,FALSE)="","",VLOOKUP(C188,TotalRevL!A:C,3,FALSE)),"")</f>
        <v>182845</v>
      </c>
      <c r="H188" s="26">
        <f>IFERROR(IFERROR(VLOOKUP($A188,Winpct1!$A:$K,9,FALSE),VLOOKUP($B188,Winpct1!$A:$K,9,FALSE)),"")</f>
        <v>0.61299999999999999</v>
      </c>
      <c r="I188">
        <f>IFERROR(IFERROR(VLOOKUP($A188,Attendance1!$B:$H,3,FALSE),VLOOKUP($B188,Attendance1!$B:$H,3,FALSE)),"")</f>
        <v>21085</v>
      </c>
      <c r="J188">
        <f>IFERROR(VLOOKUP(D188,'Pop-Metro'!A:R,E188-2005,FALSE),VLOOKUP(D188,'Pop-Micro'!A:R,E188-2005,FALSE))</f>
        <v>903085</v>
      </c>
      <c r="K188">
        <f>IFERROR(VLOOKUP(D188,'PCI-Metro'!A:R,E188-2005,FALSE),VLOOKUP(D188,'PCI-Micro'!A:R,E188-2005,FALSE))</f>
        <v>38644</v>
      </c>
      <c r="L188">
        <f>IFERROR(IF(IFERROR(VLOOKUP($A188,Attendance1!$B:$H,5,FALSE),VLOOKUP($B188,Attendance1!$B:$H,5,FALSE))="","",IFERROR(VLOOKUP($A188,Attendance1!$B:$H,5,FALSE),VLOOKUP($B188,Attendance1!$B:$H,5,FALSE))),"")</f>
        <v>0</v>
      </c>
    </row>
    <row r="189" spans="1:12">
      <c r="A189" t="s">
        <v>167</v>
      </c>
      <c r="B189" t="s">
        <v>167</v>
      </c>
      <c r="C189">
        <v>188030</v>
      </c>
      <c r="D189">
        <v>29740</v>
      </c>
      <c r="E189">
        <f t="shared" si="2"/>
        <v>2015</v>
      </c>
      <c r="F189">
        <f>IFERROR(IF(VLOOKUP(C189,TotalRev1!A:C,3,FALSE)="","",VLOOKUP(C189,TotalRev1!A:C,3,FALSE)),"")</f>
        <v>300255</v>
      </c>
      <c r="G189">
        <f>IFERROR(IF(VLOOKUP(C189,TotalRevL!A:C,3,FALSE)="","",VLOOKUP(C189,TotalRevL!A:C,3,FALSE)),"")</f>
        <v>333182</v>
      </c>
      <c r="H189" s="26">
        <f>IFERROR(IFERROR(VLOOKUP($A189,Winpct1!$A:$K,9,FALSE),VLOOKUP($B189,Winpct1!$A:$K,9,FALSE)),"")</f>
        <v>0.60699999999999998</v>
      </c>
      <c r="I189">
        <f>IFERROR(IFERROR(VLOOKUP($A189,Attendance1!$B:$H,3,FALSE),VLOOKUP($B189,Attendance1!$B:$H,3,FALSE)),"")</f>
        <v>9299</v>
      </c>
      <c r="J189">
        <f>IFERROR(VLOOKUP(D189,'Pop-Metro'!A:R,E189-2005,FALSE),VLOOKUP(D189,'Pop-Micro'!A:R,E189-2005,FALSE))</f>
        <v>213373</v>
      </c>
      <c r="K189">
        <f>IFERROR(VLOOKUP(D189,'PCI-Metro'!A:R,E189-2005,FALSE),VLOOKUP(D189,'PCI-Micro'!A:R,E189-2005,FALSE))</f>
        <v>33202</v>
      </c>
      <c r="L189">
        <f>IFERROR(IF(IFERROR(VLOOKUP($A189,Attendance1!$B:$H,5,FALSE),VLOOKUP($B189,Attendance1!$B:$H,5,FALSE))="","",IFERROR(VLOOKUP($A189,Attendance1!$B:$H,5,FALSE),VLOOKUP($B189,Attendance1!$B:$H,5,FALSE))),"")</f>
        <v>13007</v>
      </c>
    </row>
    <row r="190" spans="1:12">
      <c r="A190" t="s">
        <v>1291</v>
      </c>
      <c r="B190" t="s">
        <v>1291</v>
      </c>
      <c r="C190">
        <v>159939</v>
      </c>
      <c r="D190">
        <v>35380</v>
      </c>
      <c r="E190">
        <f t="shared" si="2"/>
        <v>2015</v>
      </c>
      <c r="F190">
        <f>IFERROR(IF(VLOOKUP(C190,TotalRev1!A:C,3,FALSE)="","",VLOOKUP(C190,TotalRev1!A:C,3,FALSE)),"")</f>
        <v>5650</v>
      </c>
      <c r="G190">
        <f>IFERROR(IF(VLOOKUP(C190,TotalRevL!A:C,3,FALSE)="","",VLOOKUP(C190,TotalRevL!A:C,3,FALSE)),"")</f>
        <v>11250</v>
      </c>
      <c r="H190" s="26">
        <f>IFERROR(IFERROR(VLOOKUP($A190,Winpct1!$A:$K,9,FALSE),VLOOKUP($B190,Winpct1!$A:$K,9,FALSE)),"")</f>
        <v>0.2</v>
      </c>
      <c r="I190">
        <f>IFERROR(IFERROR(VLOOKUP($A190,Attendance1!$B:$H,3,FALSE),VLOOKUP($B190,Attendance1!$B:$H,3,FALSE)),"")</f>
        <v>4106</v>
      </c>
      <c r="J190">
        <f>IFERROR(VLOOKUP(D190,'Pop-Metro'!A:R,E190-2005,FALSE),VLOOKUP(D190,'Pop-Micro'!A:R,E190-2005,FALSE))</f>
        <v>1260322</v>
      </c>
      <c r="K190">
        <f>IFERROR(VLOOKUP(D190,'PCI-Metro'!A:R,E190-2005,FALSE),VLOOKUP(D190,'PCI-Micro'!A:R,E190-2005,FALSE))</f>
        <v>48248</v>
      </c>
      <c r="L190">
        <f>IFERROR(IF(IFERROR(VLOOKUP($A190,Attendance1!$B:$H,5,FALSE),VLOOKUP($B190,Attendance1!$B:$H,5,FALSE))="","",IFERROR(VLOOKUP($A190,Attendance1!$B:$H,5,FALSE),VLOOKUP($B190,Attendance1!$B:$H,5,FALSE))),"")</f>
        <v>10000</v>
      </c>
    </row>
    <row r="191" spans="1:12">
      <c r="A191" t="s">
        <v>168</v>
      </c>
      <c r="B191" t="s">
        <v>168</v>
      </c>
      <c r="C191">
        <v>193973</v>
      </c>
      <c r="D191">
        <v>15380</v>
      </c>
      <c r="E191">
        <f t="shared" si="2"/>
        <v>2015</v>
      </c>
      <c r="F191" t="str">
        <f>IFERROR(IF(VLOOKUP(C191,TotalRev1!A:C,3,FALSE)="","",VLOOKUP(C191,TotalRev1!A:C,3,FALSE)),"")</f>
        <v/>
      </c>
      <c r="G191" t="str">
        <f>IFERROR(IF(VLOOKUP(C191,TotalRevL!A:C,3,FALSE)="","",VLOOKUP(C191,TotalRevL!A:C,3,FALSE)),"")</f>
        <v/>
      </c>
      <c r="H191" s="26">
        <f>IFERROR(IFERROR(VLOOKUP($A191,Winpct1!$A:$K,9,FALSE),VLOOKUP($B191,Winpct1!$A:$K,9,FALSE)),"")</f>
        <v>0.438</v>
      </c>
      <c r="I191">
        <f>IFERROR(IFERROR(VLOOKUP($A191,Attendance1!$B:$H,3,FALSE),VLOOKUP($B191,Attendance1!$B:$H,3,FALSE)),"")</f>
        <v>1552</v>
      </c>
      <c r="J191">
        <f>IFERROR(VLOOKUP(D191,'Pop-Metro'!A:R,E191-2005,FALSE),VLOOKUP(D191,'Pop-Micro'!A:R,E191-2005,FALSE))</f>
        <v>1154153</v>
      </c>
      <c r="K191">
        <f>IFERROR(VLOOKUP(D191,'PCI-Metro'!A:R,E191-2005,FALSE),VLOOKUP(D191,'PCI-Micro'!A:R,E191-2005,FALSE))</f>
        <v>43594</v>
      </c>
      <c r="L191">
        <f>IFERROR(IF(IFERROR(VLOOKUP($A191,Attendance1!$B:$H,5,FALSE),VLOOKUP($B191,Attendance1!$B:$H,5,FALSE))="","",IFERROR(VLOOKUP($A191,Attendance1!$B:$H,5,FALSE),VLOOKUP($B191,Attendance1!$B:$H,5,FALSE))),"")</f>
        <v>2400</v>
      </c>
    </row>
    <row r="192" spans="1:12">
      <c r="A192" t="s">
        <v>1247</v>
      </c>
      <c r="B192" t="s">
        <v>169</v>
      </c>
      <c r="C192">
        <v>159966</v>
      </c>
      <c r="D192">
        <v>26380</v>
      </c>
      <c r="E192">
        <f t="shared" si="2"/>
        <v>2015</v>
      </c>
      <c r="F192">
        <f>IFERROR(IF(VLOOKUP(C192,TotalRev1!A:C,3,FALSE)="","",VLOOKUP(C192,TotalRev1!A:C,3,FALSE)),"")</f>
        <v>418736</v>
      </c>
      <c r="G192">
        <f>IFERROR(IF(VLOOKUP(C192,TotalRevL!A:C,3,FALSE)="","",VLOOKUP(C192,TotalRevL!A:C,3,FALSE)),"")</f>
        <v>379085</v>
      </c>
      <c r="H192" s="26">
        <f>IFERROR(IFERROR(VLOOKUP($A192,Winpct1!$A:$K,9,FALSE),VLOOKUP($B192,Winpct1!$A:$K,9,FALSE)),"")</f>
        <v>0.33300000000000002</v>
      </c>
      <c r="I192">
        <f>IFERROR(IFERROR(VLOOKUP($A192,Attendance1!$B:$H,3,FALSE),VLOOKUP($B192,Attendance1!$B:$H,3,FALSE)),"")</f>
        <v>2349</v>
      </c>
      <c r="J192">
        <f>IFERROR(VLOOKUP(D192,'Pop-Metro'!A:R,E192-2005,FALSE),VLOOKUP(D192,'Pop-Micro'!A:R,E192-2005,FALSE))</f>
        <v>211874</v>
      </c>
      <c r="K192">
        <f>IFERROR(VLOOKUP(D192,'PCI-Metro'!A:R,E192-2005,FALSE),VLOOKUP(D192,'PCI-Micro'!A:R,E192-2005,FALSE))</f>
        <v>43424</v>
      </c>
      <c r="L192">
        <f>IFERROR(IF(IFERROR(VLOOKUP($A192,Attendance1!$B:$H,5,FALSE),VLOOKUP($B192,Attendance1!$B:$H,5,FALSE))="","",IFERROR(VLOOKUP($A192,Attendance1!$B:$H,5,FALSE),VLOOKUP($B192,Attendance1!$B:$H,5,FALSE))),"")</f>
        <v>3800</v>
      </c>
    </row>
    <row r="193" spans="1:12">
      <c r="A193" t="s">
        <v>1248</v>
      </c>
      <c r="B193" t="s">
        <v>177</v>
      </c>
      <c r="C193">
        <v>147703</v>
      </c>
      <c r="D193">
        <v>16980</v>
      </c>
      <c r="E193">
        <f t="shared" si="2"/>
        <v>2015</v>
      </c>
      <c r="F193">
        <f>IFERROR(IF(VLOOKUP(C193,TotalRev1!A:C,3,FALSE)="","",VLOOKUP(C193,TotalRev1!A:C,3,FALSE)),"")</f>
        <v>298287</v>
      </c>
      <c r="G193" t="str">
        <f>IFERROR(IF(VLOOKUP(C193,TotalRevL!A:C,3,FALSE)="","",VLOOKUP(C193,TotalRevL!A:C,3,FALSE)),"")</f>
        <v/>
      </c>
      <c r="H193" s="26">
        <f>IFERROR(IFERROR(VLOOKUP($A193,Winpct1!$A:$K,9,FALSE),VLOOKUP($B193,Winpct1!$A:$K,9,FALSE)),"")</f>
        <v>0.67700000000000005</v>
      </c>
      <c r="I193">
        <f>IFERROR(IFERROR(VLOOKUP($A193,Attendance1!$B:$H,3,FALSE),VLOOKUP($B193,Attendance1!$B:$H,3,FALSE)),"")</f>
        <v>6142</v>
      </c>
      <c r="J193">
        <f>IFERROR(VLOOKUP(D193,'Pop-Metro'!A:R,E193-2005,FALSE),VLOOKUP(D193,'Pop-Micro'!A:R,E193-2005,FALSE))</f>
        <v>9655619</v>
      </c>
      <c r="K193">
        <f>IFERROR(VLOOKUP(D193,'PCI-Metro'!A:R,E193-2005,FALSE),VLOOKUP(D193,'PCI-Micro'!A:R,E193-2005,FALSE))</f>
        <v>54358</v>
      </c>
      <c r="L193">
        <f>IFERROR(IF(IFERROR(VLOOKUP($A193,Attendance1!$B:$H,5,FALSE),VLOOKUP($B193,Attendance1!$B:$H,5,FALSE))="","",IFERROR(VLOOKUP($A193,Attendance1!$B:$H,5,FALSE),VLOOKUP($B193,Attendance1!$B:$H,5,FALSE))),"")</f>
        <v>800</v>
      </c>
    </row>
    <row r="194" spans="1:12">
      <c r="A194" t="s">
        <v>1292</v>
      </c>
      <c r="B194" t="s">
        <v>1292</v>
      </c>
      <c r="C194">
        <v>185828</v>
      </c>
      <c r="D194">
        <v>35620</v>
      </c>
      <c r="E194">
        <f t="shared" si="2"/>
        <v>2015</v>
      </c>
      <c r="F194">
        <f>IFERROR(IF(VLOOKUP(C194,TotalRev1!A:C,3,FALSE)="","",VLOOKUP(C194,TotalRev1!A:C,3,FALSE)),"")</f>
        <v>618039</v>
      </c>
      <c r="G194">
        <f>IFERROR(IF(VLOOKUP(C194,TotalRevL!A:C,3,FALSE)="","",VLOOKUP(C194,TotalRevL!A:C,3,FALSE)),"")</f>
        <v>489557</v>
      </c>
      <c r="H194" s="26">
        <f>IFERROR(IFERROR(VLOOKUP($A194,Winpct1!$A:$K,9,FALSE),VLOOKUP($B194,Winpct1!$A:$K,9,FALSE)),"")</f>
        <v>0.371</v>
      </c>
      <c r="I194">
        <f>IFERROR(IFERROR(VLOOKUP($A194,Attendance1!$B:$H,3,FALSE),VLOOKUP($B194,Attendance1!$B:$H,3,FALSE)),"")</f>
        <v>2514</v>
      </c>
      <c r="J194">
        <f>IFERROR(VLOOKUP(D194,'Pop-Metro'!A:R,E194-2005,FALSE),VLOOKUP(D194,'Pop-Micro'!A:R,E194-2005,FALSE))</f>
        <v>19830288</v>
      </c>
      <c r="K194">
        <f>IFERROR(VLOOKUP(D194,'PCI-Metro'!A:R,E194-2005,FALSE),VLOOKUP(D194,'PCI-Micro'!A:R,E194-2005,FALSE))</f>
        <v>62877</v>
      </c>
      <c r="L194">
        <f>IFERROR(IF(IFERROR(VLOOKUP($A194,Attendance1!$B:$H,5,FALSE),VLOOKUP($B194,Attendance1!$B:$H,5,FALSE))="","",IFERROR(VLOOKUP($A194,Attendance1!$B:$H,5,FALSE),VLOOKUP($B194,Attendance1!$B:$H,5,FALSE))),"")</f>
        <v>1500</v>
      </c>
    </row>
    <row r="195" spans="1:12">
      <c r="A195" t="s">
        <v>170</v>
      </c>
      <c r="B195" t="s">
        <v>170</v>
      </c>
      <c r="C195">
        <v>232937</v>
      </c>
      <c r="D195">
        <v>47260</v>
      </c>
      <c r="E195">
        <f t="shared" si="2"/>
        <v>2015</v>
      </c>
      <c r="F195" t="str">
        <f>IFERROR(IF(VLOOKUP(C195,TotalRev1!A:C,3,FALSE)="","",VLOOKUP(C195,TotalRev1!A:C,3,FALSE)),"")</f>
        <v/>
      </c>
      <c r="G195">
        <f>IFERROR(IF(VLOOKUP(C195,TotalRevL!A:C,3,FALSE)="","",VLOOKUP(C195,TotalRevL!A:C,3,FALSE)),"")</f>
        <v>513128</v>
      </c>
      <c r="H195" s="26">
        <f>IFERROR(IFERROR(VLOOKUP($A195,Winpct1!$A:$K,9,FALSE),VLOOKUP($B195,Winpct1!$A:$K,9,FALSE)),"")</f>
        <v>8.3000000000000004E-2</v>
      </c>
      <c r="I195">
        <f>IFERROR(IFERROR(VLOOKUP($A195,Attendance1!$B:$H,3,FALSE),VLOOKUP($B195,Attendance1!$B:$H,3,FALSE)),"")</f>
        <v>913</v>
      </c>
      <c r="J195">
        <f>IFERROR(VLOOKUP(D195,'Pop-Metro'!A:R,E195-2005,FALSE),VLOOKUP(D195,'Pop-Micro'!A:R,E195-2005,FALSE))</f>
        <v>1768411</v>
      </c>
      <c r="K195">
        <f>IFERROR(VLOOKUP(D195,'PCI-Metro'!A:R,E195-2005,FALSE),VLOOKUP(D195,'PCI-Micro'!A:R,E195-2005,FALSE))</f>
        <v>45068</v>
      </c>
      <c r="L195">
        <f>IFERROR(IF(IFERROR(VLOOKUP($A195,Attendance1!$B:$H,5,FALSE),VLOOKUP($B195,Attendance1!$B:$H,5,FALSE))="","",IFERROR(VLOOKUP($A195,Attendance1!$B:$H,5,FALSE),VLOOKUP($B195,Attendance1!$B:$H,5,FALSE))),"")</f>
        <v>4500</v>
      </c>
    </row>
    <row r="196" spans="1:12">
      <c r="A196" t="s">
        <v>1256</v>
      </c>
      <c r="B196" t="s">
        <v>1257</v>
      </c>
      <c r="C196">
        <v>101879</v>
      </c>
      <c r="D196">
        <v>26620</v>
      </c>
      <c r="E196">
        <f t="shared" ref="E196:E259" si="3">E$2</f>
        <v>2015</v>
      </c>
      <c r="F196" t="str">
        <f>IFERROR(IF(VLOOKUP(C196,TotalRev1!A:C,3,FALSE)="","",VLOOKUP(C196,TotalRev1!A:C,3,FALSE)),"")</f>
        <v/>
      </c>
      <c r="G196" t="str">
        <f>IFERROR(IF(VLOOKUP(C196,TotalRevL!A:C,3,FALSE)="","",VLOOKUP(C196,TotalRevL!A:C,3,FALSE)),"")</f>
        <v/>
      </c>
      <c r="H196" s="26" t="str">
        <f>IFERROR(IFERROR(VLOOKUP($A196,Winpct1!$A:$K,9,FALSE),VLOOKUP($B196,Winpct1!$A:$K,9,FALSE)),"")</f>
        <v/>
      </c>
      <c r="I196" t="str">
        <f>IFERROR(IFERROR(VLOOKUP($A196,Attendance1!$B:$H,3,FALSE),VLOOKUP($B196,Attendance1!$B:$H,3,FALSE)),"")</f>
        <v/>
      </c>
      <c r="J196">
        <f>IFERROR(VLOOKUP(D196,'Pop-Metro'!A:R,E196-2005,FALSE),VLOOKUP(D196,'Pop-Micro'!A:R,E196-2005,FALSE))</f>
        <v>450781</v>
      </c>
      <c r="K196">
        <f>IFERROR(VLOOKUP(D196,'PCI-Metro'!A:R,E196-2005,FALSE),VLOOKUP(D196,'PCI-Micro'!A:R,E196-2005,FALSE))</f>
        <v>44403</v>
      </c>
      <c r="L196" t="str">
        <f>IFERROR(IF(IFERROR(VLOOKUP($A196,Attendance1!$B:$H,5,FALSE),VLOOKUP($B196,Attendance1!$B:$H,5,FALSE))="","",IFERROR(VLOOKUP($A196,Attendance1!$B:$H,5,FALSE),VLOOKUP($B196,Attendance1!$B:$H,5,FALSE))),"")</f>
        <v/>
      </c>
    </row>
    <row r="197" spans="1:12">
      <c r="A197" t="s">
        <v>171</v>
      </c>
      <c r="B197" t="s">
        <v>171</v>
      </c>
      <c r="C197">
        <v>199120</v>
      </c>
      <c r="D197">
        <v>20500</v>
      </c>
      <c r="E197">
        <f t="shared" si="3"/>
        <v>2015</v>
      </c>
      <c r="F197">
        <f>IFERROR(IF(VLOOKUP(C197,TotalRev1!A:C,3,FALSE)="","",VLOOKUP(C197,TotalRev1!A:C,3,FALSE)),"")</f>
        <v>585659</v>
      </c>
      <c r="G197">
        <f>IFERROR(IF(VLOOKUP(C197,TotalRevL!A:C,3,FALSE)="","",VLOOKUP(C197,TotalRevL!A:C,3,FALSE)),"")</f>
        <v>516581</v>
      </c>
      <c r="H197" s="26">
        <f>IFERROR(IFERROR(VLOOKUP($A197,Winpct1!$A:$K,9,FALSE),VLOOKUP($B197,Winpct1!$A:$K,9,FALSE)),"")</f>
        <v>0.90600000000000003</v>
      </c>
      <c r="I197">
        <f>IFERROR(IFERROR(VLOOKUP($A197,Attendance1!$B:$H,3,FALSE),VLOOKUP($B197,Attendance1!$B:$H,3,FALSE)),"")</f>
        <v>31939</v>
      </c>
      <c r="J197">
        <f>IFERROR(VLOOKUP(D197,'Pop-Metro'!A:R,E197-2005,FALSE),VLOOKUP(D197,'Pop-Micro'!A:R,E197-2005,FALSE))</f>
        <v>607634</v>
      </c>
      <c r="K197">
        <f>IFERROR(VLOOKUP(D197,'PCI-Metro'!A:R,E197-2005,FALSE),VLOOKUP(D197,'PCI-Micro'!A:R,E197-2005,FALSE))</f>
        <v>46887</v>
      </c>
      <c r="L197">
        <f>IFERROR(IF(IFERROR(VLOOKUP($A197,Attendance1!$B:$H,5,FALSE),VLOOKUP($B197,Attendance1!$B:$H,5,FALSE))="","",IFERROR(VLOOKUP($A197,Attendance1!$B:$H,5,FALSE),VLOOKUP($B197,Attendance1!$B:$H,5,FALSE))),"")</f>
        <v>6800</v>
      </c>
    </row>
    <row r="198" spans="1:12">
      <c r="A198" t="s">
        <v>172</v>
      </c>
      <c r="B198" t="s">
        <v>172</v>
      </c>
      <c r="C198">
        <v>200280</v>
      </c>
      <c r="D198">
        <v>24220</v>
      </c>
      <c r="E198">
        <f t="shared" si="3"/>
        <v>2015</v>
      </c>
      <c r="F198">
        <f>IFERROR(IF(VLOOKUP(C198,TotalRev1!A:C,3,FALSE)="","",VLOOKUP(C198,TotalRev1!A:C,3,FALSE)),"")</f>
        <v>88628</v>
      </c>
      <c r="G198">
        <f>IFERROR(IF(VLOOKUP(C198,TotalRevL!A:C,3,FALSE)="","",VLOOKUP(C198,TotalRevL!A:C,3,FALSE)),"")</f>
        <v>90655</v>
      </c>
      <c r="H198" s="26">
        <f>IFERROR(IFERROR(VLOOKUP($A198,Winpct1!$A:$K,9,FALSE),VLOOKUP($B198,Winpct1!$A:$K,9,FALSE)),"")</f>
        <v>0.74299999999999999</v>
      </c>
      <c r="I198">
        <f>IFERROR(IFERROR(VLOOKUP($A198,Attendance1!$B:$H,3,FALSE),VLOOKUP($B198,Attendance1!$B:$H,3,FALSE)),"")</f>
        <v>12458</v>
      </c>
      <c r="J198">
        <f>IFERROR(VLOOKUP(D198,'Pop-Metro'!A:R,E198-2005,FALSE),VLOOKUP(D198,'Pop-Micro'!A:R,E198-2005,FALSE))</f>
        <v>103926</v>
      </c>
      <c r="K198">
        <f>IFERROR(VLOOKUP(D198,'PCI-Metro'!A:R,E198-2005,FALSE),VLOOKUP(D198,'PCI-Micro'!A:R,E198-2005,FALSE))</f>
        <v>44933</v>
      </c>
      <c r="L198">
        <f>IFERROR(IF(IFERROR(VLOOKUP($A198,Attendance1!$B:$H,5,FALSE),VLOOKUP($B198,Attendance1!$B:$H,5,FALSE))="","",IFERROR(VLOOKUP($A198,Attendance1!$B:$H,5,FALSE),VLOOKUP($B198,Attendance1!$B:$H,5,FALSE))),"")</f>
        <v>3800</v>
      </c>
    </row>
    <row r="199" spans="1:12">
      <c r="A199" t="s">
        <v>173</v>
      </c>
      <c r="B199" t="s">
        <v>173</v>
      </c>
      <c r="C199">
        <v>200332</v>
      </c>
      <c r="D199">
        <v>22020</v>
      </c>
      <c r="E199">
        <f t="shared" si="3"/>
        <v>2015</v>
      </c>
      <c r="F199">
        <f>IFERROR(IF(VLOOKUP(C199,TotalRev1!A:C,3,FALSE)="","",VLOOKUP(C199,TotalRev1!A:C,3,FALSE)),"")</f>
        <v>384270</v>
      </c>
      <c r="G199">
        <f>IFERROR(IF(VLOOKUP(C199,TotalRevL!A:C,3,FALSE)="","",VLOOKUP(C199,TotalRevL!A:C,3,FALSE)),"")</f>
        <v>304344</v>
      </c>
      <c r="H199" s="26">
        <f>IFERROR(IFERROR(VLOOKUP($A199,Winpct1!$A:$K,9,FALSE),VLOOKUP($B199,Winpct1!$A:$K,9,FALSE)),"")</f>
        <v>0.46899999999999997</v>
      </c>
      <c r="I199">
        <f>IFERROR(IFERROR(VLOOKUP($A199,Attendance1!$B:$H,3,FALSE),VLOOKUP($B199,Attendance1!$B:$H,3,FALSE)),"")</f>
        <v>6835</v>
      </c>
      <c r="J199">
        <f>IFERROR(VLOOKUP(D199,'Pop-Metro'!A:R,E199-2005,FALSE),VLOOKUP(D199,'Pop-Micro'!A:R,E199-2005,FALSE))</f>
        <v>234149</v>
      </c>
      <c r="K199">
        <f>IFERROR(VLOOKUP(D199,'PCI-Metro'!A:R,E199-2005,FALSE),VLOOKUP(D199,'PCI-Micro'!A:R,E199-2005,FALSE))</f>
        <v>49723</v>
      </c>
      <c r="L199">
        <f>IFERROR(IF(IFERROR(VLOOKUP($A199,Attendance1!$B:$H,5,FALSE),VLOOKUP($B199,Attendance1!$B:$H,5,FALSE))="","",IFERROR(VLOOKUP($A199,Attendance1!$B:$H,5,FALSE),VLOOKUP($B199,Attendance1!$B:$H,5,FALSE))),"")</f>
        <v>1206</v>
      </c>
    </row>
    <row r="200" spans="1:12">
      <c r="A200" t="s">
        <v>174</v>
      </c>
      <c r="B200" t="s">
        <v>174</v>
      </c>
      <c r="C200">
        <v>136172</v>
      </c>
      <c r="D200">
        <v>27260</v>
      </c>
      <c r="E200">
        <f t="shared" si="3"/>
        <v>2015</v>
      </c>
      <c r="F200">
        <f>IFERROR(IF(VLOOKUP(C200,TotalRev1!A:C,3,FALSE)="","",VLOOKUP(C200,TotalRev1!A:C,3,FALSE)),"")</f>
        <v>89304</v>
      </c>
      <c r="G200">
        <f>IFERROR(IF(VLOOKUP(C200,TotalRevL!A:C,3,FALSE)="","",VLOOKUP(C200,TotalRevL!A:C,3,FALSE)),"")</f>
        <v>119387</v>
      </c>
      <c r="H200" s="26">
        <f>IFERROR(IFERROR(VLOOKUP($A200,Winpct1!$A:$K,9,FALSE),VLOOKUP($B200,Winpct1!$A:$K,9,FALSE)),"")</f>
        <v>0.41899999999999998</v>
      </c>
      <c r="I200">
        <f>IFERROR(IFERROR(VLOOKUP($A200,Attendance1!$B:$H,3,FALSE),VLOOKUP($B200,Attendance1!$B:$H,3,FALSE)),"")</f>
        <v>4119</v>
      </c>
      <c r="J200">
        <f>IFERROR(VLOOKUP(D200,'Pop-Metro'!A:R,E200-2005,FALSE),VLOOKUP(D200,'Pop-Micro'!A:R,E200-2005,FALSE))</f>
        <v>1457278</v>
      </c>
      <c r="K200">
        <f>IFERROR(VLOOKUP(D200,'PCI-Metro'!A:R,E200-2005,FALSE),VLOOKUP(D200,'PCI-Micro'!A:R,E200-2005,FALSE))</f>
        <v>44266</v>
      </c>
      <c r="L200">
        <f>IFERROR(IF(IFERROR(VLOOKUP($A200,Attendance1!$B:$H,5,FALSE),VLOOKUP($B200,Attendance1!$B:$H,5,FALSE))="","",IFERROR(VLOOKUP($A200,Attendance1!$B:$H,5,FALSE),VLOOKUP($B200,Attendance1!$B:$H,5,FALSE))),"")</f>
        <v>0</v>
      </c>
    </row>
    <row r="201" spans="1:12">
      <c r="A201" t="s">
        <v>175</v>
      </c>
      <c r="B201" t="s">
        <v>175</v>
      </c>
      <c r="C201">
        <v>227216</v>
      </c>
      <c r="D201">
        <v>19100</v>
      </c>
      <c r="E201">
        <f t="shared" si="3"/>
        <v>2015</v>
      </c>
      <c r="F201">
        <f>IFERROR(IF(VLOOKUP(C201,TotalRev1!A:C,3,FALSE)="","",VLOOKUP(C201,TotalRev1!A:C,3,FALSE)),"")</f>
        <v>552544</v>
      </c>
      <c r="G201">
        <f>IFERROR(IF(VLOOKUP(C201,TotalRevL!A:C,3,FALSE)="","",VLOOKUP(C201,TotalRevL!A:C,3,FALSE)),"")</f>
        <v>684234</v>
      </c>
      <c r="H201" s="26">
        <f>IFERROR(IFERROR(VLOOKUP($A201,Winpct1!$A:$K,9,FALSE),VLOOKUP($B201,Winpct1!$A:$K,9,FALSE)),"")</f>
        <v>0.68799999999999994</v>
      </c>
      <c r="I201">
        <f>IFERROR(IFERROR(VLOOKUP($A201,Attendance1!$B:$H,3,FALSE),VLOOKUP($B201,Attendance1!$B:$H,3,FALSE)),"")</f>
        <v>6986</v>
      </c>
      <c r="J201">
        <f>IFERROR(VLOOKUP(D201,'Pop-Metro'!A:R,E201-2005,FALSE),VLOOKUP(D201,'Pop-Micro'!A:R,E201-2005,FALSE))</f>
        <v>7026835</v>
      </c>
      <c r="K201">
        <f>IFERROR(VLOOKUP(D201,'PCI-Metro'!A:R,E201-2005,FALSE),VLOOKUP(D201,'PCI-Micro'!A:R,E201-2005,FALSE))</f>
        <v>50821</v>
      </c>
      <c r="L201">
        <f>IFERROR(IF(IFERROR(VLOOKUP($A201,Attendance1!$B:$H,5,FALSE),VLOOKUP($B201,Attendance1!$B:$H,5,FALSE))="","",IFERROR(VLOOKUP($A201,Attendance1!$B:$H,5,FALSE),VLOOKUP($B201,Attendance1!$B:$H,5,FALSE))),"")</f>
        <v>600</v>
      </c>
    </row>
    <row r="202" spans="1:12">
      <c r="A202" t="s">
        <v>1293</v>
      </c>
      <c r="B202" t="s">
        <v>1293</v>
      </c>
      <c r="C202">
        <v>167358</v>
      </c>
      <c r="D202">
        <v>14460</v>
      </c>
      <c r="E202">
        <f t="shared" si="3"/>
        <v>2015</v>
      </c>
      <c r="F202" t="str">
        <f>IFERROR(IF(VLOOKUP(C202,TotalRev1!A:C,3,FALSE)="","",VLOOKUP(C202,TotalRev1!A:C,3,FALSE)),"")</f>
        <v/>
      </c>
      <c r="G202" t="str">
        <f>IFERROR(IF(VLOOKUP(C202,TotalRevL!A:C,3,FALSE)="","",VLOOKUP(C202,TotalRevL!A:C,3,FALSE)),"")</f>
        <v/>
      </c>
      <c r="H202" s="26">
        <f>IFERROR(IFERROR(VLOOKUP($A202,Winpct1!$A:$K,9,FALSE),VLOOKUP($B202,Winpct1!$A:$K,9,FALSE)),"")</f>
        <v>0.33300000000000002</v>
      </c>
      <c r="I202">
        <f>IFERROR(IFERROR(VLOOKUP($A202,Attendance1!$B:$H,3,FALSE),VLOOKUP($B202,Attendance1!$B:$H,3,FALSE)),"")</f>
        <v>3246</v>
      </c>
      <c r="J202">
        <f>IFERROR(VLOOKUP(D202,'Pop-Metro'!A:R,E202-2005,FALSE),VLOOKUP(D202,'Pop-Micro'!A:R,E202-2005,FALSE))</f>
        <v>4812312</v>
      </c>
      <c r="K202">
        <f>IFERROR(VLOOKUP(D202,'PCI-Metro'!A:R,E202-2005,FALSE),VLOOKUP(D202,'PCI-Micro'!A:R,E202-2005,FALSE))</f>
        <v>67506</v>
      </c>
      <c r="L202">
        <f>IFERROR(IF(IFERROR(VLOOKUP($A202,Attendance1!$B:$H,5,FALSE),VLOOKUP($B202,Attendance1!$B:$H,5,FALSE))="","",IFERROR(VLOOKUP($A202,Attendance1!$B:$H,5,FALSE),VLOOKUP($B202,Attendance1!$B:$H,5,FALSE))),"")</f>
        <v>2500</v>
      </c>
    </row>
    <row r="203" spans="1:12">
      <c r="A203" t="s">
        <v>1294</v>
      </c>
      <c r="B203" t="s">
        <v>1294</v>
      </c>
      <c r="C203">
        <v>105330</v>
      </c>
      <c r="D203">
        <v>22380</v>
      </c>
      <c r="E203">
        <f t="shared" si="3"/>
        <v>2015</v>
      </c>
      <c r="F203">
        <f>IFERROR(IF(VLOOKUP(C203,TotalRev1!A:C,3,FALSE)="","",VLOOKUP(C203,TotalRev1!A:C,3,FALSE)),"")</f>
        <v>910007</v>
      </c>
      <c r="G203">
        <f>IFERROR(IF(VLOOKUP(C203,TotalRevL!A:C,3,FALSE)="","",VLOOKUP(C203,TotalRevL!A:C,3,FALSE)),"")</f>
        <v>753111</v>
      </c>
      <c r="H203" s="26">
        <f>IFERROR(IFERROR(VLOOKUP($A203,Winpct1!$A:$K,9,FALSE),VLOOKUP($B203,Winpct1!$A:$K,9,FALSE)),"")</f>
        <v>0.72399999999999998</v>
      </c>
      <c r="I203">
        <f>IFERROR(IFERROR(VLOOKUP($A203,Attendance1!$B:$H,3,FALSE),VLOOKUP($B203,Attendance1!$B:$H,3,FALSE)),"")</f>
        <v>4505</v>
      </c>
      <c r="J203">
        <f>IFERROR(VLOOKUP(D203,'Pop-Metro'!A:R,E203-2005,FALSE),VLOOKUP(D203,'Pop-Micro'!A:R,E203-2005,FALSE))</f>
        <v>140326</v>
      </c>
      <c r="K203">
        <f>IFERROR(VLOOKUP(D203,'PCI-Metro'!A:R,E203-2005,FALSE),VLOOKUP(D203,'PCI-Micro'!A:R,E203-2005,FALSE))</f>
        <v>42186</v>
      </c>
      <c r="L203">
        <f>IFERROR(IF(IFERROR(VLOOKUP($A203,Attendance1!$B:$H,5,FALSE),VLOOKUP($B203,Attendance1!$B:$H,5,FALSE))="","",IFERROR(VLOOKUP($A203,Attendance1!$B:$H,5,FALSE),VLOOKUP($B203,Attendance1!$B:$H,5,FALSE))),"")</f>
        <v>1210</v>
      </c>
    </row>
    <row r="204" spans="1:12">
      <c r="A204" t="s">
        <v>176</v>
      </c>
      <c r="B204" t="s">
        <v>176</v>
      </c>
      <c r="C204">
        <v>127741</v>
      </c>
      <c r="D204">
        <v>24540</v>
      </c>
      <c r="E204">
        <f t="shared" si="3"/>
        <v>2015</v>
      </c>
      <c r="F204">
        <f>IFERROR(IF(VLOOKUP(C204,TotalRev1!A:C,3,FALSE)="","",VLOOKUP(C204,TotalRev1!A:C,3,FALSE)),"")</f>
        <v>830190</v>
      </c>
      <c r="G204">
        <f>IFERROR(IF(VLOOKUP(C204,TotalRevL!A:C,3,FALSE)="","",VLOOKUP(C204,TotalRevL!A:C,3,FALSE)),"")</f>
        <v>735809</v>
      </c>
      <c r="H204" s="26">
        <f>IFERROR(IFERROR(VLOOKUP($A204,Winpct1!$A:$K,9,FALSE),VLOOKUP($B204,Winpct1!$A:$K,9,FALSE)),"")</f>
        <v>0.66700000000000004</v>
      </c>
      <c r="I204">
        <f>IFERROR(IFERROR(VLOOKUP($A204,Attendance1!$B:$H,3,FALSE),VLOOKUP($B204,Attendance1!$B:$H,3,FALSE)),"")</f>
        <v>12548</v>
      </c>
      <c r="J204">
        <f>IFERROR(VLOOKUP(D204,'Pop-Metro'!A:R,E204-2005,FALSE),VLOOKUP(D204,'Pop-Micro'!A:R,E204-2005,FALSE))</f>
        <v>285282</v>
      </c>
      <c r="K204">
        <f>IFERROR(VLOOKUP(D204,'PCI-Metro'!A:R,E204-2005,FALSE),VLOOKUP(D204,'PCI-Micro'!A:R,E204-2005,FALSE))</f>
        <v>43873</v>
      </c>
      <c r="L204">
        <f>IFERROR(IF(IFERROR(VLOOKUP($A204,Attendance1!$B:$H,5,FALSE),VLOOKUP($B204,Attendance1!$B:$H,5,FALSE))="","",IFERROR(VLOOKUP($A204,Attendance1!$B:$H,5,FALSE),VLOOKUP($B204,Attendance1!$B:$H,5,FALSE))),"")</f>
        <v>2977</v>
      </c>
    </row>
    <row r="205" spans="1:12">
      <c r="A205" t="s">
        <v>178</v>
      </c>
      <c r="B205" t="s">
        <v>178</v>
      </c>
      <c r="C205">
        <v>157447</v>
      </c>
      <c r="D205">
        <v>17140</v>
      </c>
      <c r="E205">
        <f t="shared" si="3"/>
        <v>2015</v>
      </c>
      <c r="F205" t="str">
        <f>IFERROR(IF(VLOOKUP(C205,TotalRev1!A:C,3,FALSE)="","",VLOOKUP(C205,TotalRev1!A:C,3,FALSE)),"")</f>
        <v/>
      </c>
      <c r="G205" t="str">
        <f>IFERROR(IF(VLOOKUP(C205,TotalRevL!A:C,3,FALSE)="","",VLOOKUP(C205,TotalRevL!A:C,3,FALSE)),"")</f>
        <v/>
      </c>
      <c r="H205" s="26" t="str">
        <f>IFERROR(IFERROR(VLOOKUP($A205,Winpct1!$A:$K,9,FALSE),VLOOKUP($B205,Winpct1!$A:$K,9,FALSE)),"")</f>
        <v/>
      </c>
      <c r="I205">
        <f>IFERROR(IFERROR(VLOOKUP($A205,Attendance1!$B:$H,3,FALSE),VLOOKUP($B205,Attendance1!$B:$H,3,FALSE)),"")</f>
        <v>2574</v>
      </c>
      <c r="J205">
        <f>IFERROR(VLOOKUP(D205,'Pop-Metro'!A:R,E205-2005,FALSE),VLOOKUP(D205,'Pop-Micro'!A:R,E205-2005,FALSE))</f>
        <v>2195796</v>
      </c>
      <c r="K205">
        <f>IFERROR(VLOOKUP(D205,'PCI-Metro'!A:R,E205-2005,FALSE),VLOOKUP(D205,'PCI-Micro'!A:R,E205-2005,FALSE))</f>
        <v>47906</v>
      </c>
      <c r="L205">
        <f>IFERROR(IF(IFERROR(VLOOKUP($A205,Attendance1!$B:$H,5,FALSE),VLOOKUP($B205,Attendance1!$B:$H,5,FALSE))="","",IFERROR(VLOOKUP($A205,Attendance1!$B:$H,5,FALSE),VLOOKUP($B205,Attendance1!$B:$H,5,FALSE))),"")</f>
        <v>1685</v>
      </c>
    </row>
    <row r="206" spans="1:12">
      <c r="A206" t="s">
        <v>179</v>
      </c>
      <c r="B206" t="s">
        <v>179</v>
      </c>
      <c r="C206">
        <v>147767</v>
      </c>
      <c r="D206">
        <v>16980</v>
      </c>
      <c r="E206">
        <f t="shared" si="3"/>
        <v>2015</v>
      </c>
      <c r="F206" t="str">
        <f>IFERROR(IF(VLOOKUP(C206,TotalRev1!A:C,3,FALSE)="","",VLOOKUP(C206,TotalRev1!A:C,3,FALSE)),"")</f>
        <v/>
      </c>
      <c r="G206" t="str">
        <f>IFERROR(IF(VLOOKUP(C206,TotalRevL!A:C,3,FALSE)="","",VLOOKUP(C206,TotalRevL!A:C,3,FALSE)),"")</f>
        <v/>
      </c>
      <c r="H206" s="26">
        <f>IFERROR(IFERROR(VLOOKUP($A206,Winpct1!$A:$K,9,FALSE),VLOOKUP($B206,Winpct1!$A:$K,9,FALSE)),"")</f>
        <v>0.51600000000000001</v>
      </c>
      <c r="I206">
        <f>IFERROR(IFERROR(VLOOKUP($A206,Attendance1!$B:$H,3,FALSE),VLOOKUP($B206,Attendance1!$B:$H,3,FALSE)),"")</f>
        <v>13764</v>
      </c>
      <c r="J206">
        <f>IFERROR(VLOOKUP(D206,'Pop-Metro'!A:R,E206-2005,FALSE),VLOOKUP(D206,'Pop-Micro'!A:R,E206-2005,FALSE))</f>
        <v>9655619</v>
      </c>
      <c r="K206">
        <f>IFERROR(VLOOKUP(D206,'PCI-Metro'!A:R,E206-2005,FALSE),VLOOKUP(D206,'PCI-Micro'!A:R,E206-2005,FALSE))</f>
        <v>54358</v>
      </c>
      <c r="L206">
        <f>IFERROR(IF(IFERROR(VLOOKUP($A206,Attendance1!$B:$H,5,FALSE),VLOOKUP($B206,Attendance1!$B:$H,5,FALSE))="","",IFERROR(VLOOKUP($A206,Attendance1!$B:$H,5,FALSE),VLOOKUP($B206,Attendance1!$B:$H,5,FALSE))),"")</f>
        <v>8117</v>
      </c>
    </row>
    <row r="207" spans="1:12">
      <c r="A207" t="s">
        <v>180</v>
      </c>
      <c r="B207" t="s">
        <v>180</v>
      </c>
      <c r="C207">
        <v>160038</v>
      </c>
      <c r="D207">
        <v>35060</v>
      </c>
      <c r="E207">
        <f t="shared" si="3"/>
        <v>2015</v>
      </c>
      <c r="F207">
        <f>IFERROR(IF(VLOOKUP(C207,TotalRev1!A:C,3,FALSE)="","",VLOOKUP(C207,TotalRev1!A:C,3,FALSE)),"")</f>
        <v>352653</v>
      </c>
      <c r="G207">
        <f>IFERROR(IF(VLOOKUP(C207,TotalRevL!A:C,3,FALSE)="","",VLOOKUP(C207,TotalRevL!A:C,3,FALSE)),"")</f>
        <v>500165</v>
      </c>
      <c r="H207" s="26">
        <f>IFERROR(IFERROR(VLOOKUP($A207,Winpct1!$A:$K,9,FALSE),VLOOKUP($B207,Winpct1!$A:$K,9,FALSE)),"")</f>
        <v>0.48499999999999999</v>
      </c>
      <c r="I207">
        <f>IFERROR(IFERROR(VLOOKUP($A207,Attendance1!$B:$H,3,FALSE),VLOOKUP($B207,Attendance1!$B:$H,3,FALSE)),"")</f>
        <v>3857</v>
      </c>
      <c r="J207">
        <f>IFERROR(VLOOKUP(D207,'Pop-Metro'!A:R,E207-2005,FALSE),VLOOKUP(D207,'Pop-Micro'!A:R,E207-2005,FALSE))</f>
        <v>38862</v>
      </c>
      <c r="K207">
        <f>IFERROR(VLOOKUP(D207,'PCI-Metro'!A:R,E207-2005,FALSE),VLOOKUP(D207,'PCI-Micro'!A:R,E207-2005,FALSE))</f>
        <v>35130</v>
      </c>
      <c r="L207">
        <f>IFERROR(IF(IFERROR(VLOOKUP($A207,Attendance1!$B:$H,5,FALSE),VLOOKUP($B207,Attendance1!$B:$H,5,FALSE))="","",IFERROR(VLOOKUP($A207,Attendance1!$B:$H,5,FALSE),VLOOKUP($B207,Attendance1!$B:$H,5,FALSE))),"")</f>
        <v>3900</v>
      </c>
    </row>
    <row r="208" spans="1:12">
      <c r="A208" t="s">
        <v>181</v>
      </c>
      <c r="B208" t="s">
        <v>181</v>
      </c>
      <c r="C208">
        <v>152080</v>
      </c>
      <c r="D208">
        <v>43780</v>
      </c>
      <c r="E208">
        <f t="shared" si="3"/>
        <v>2015</v>
      </c>
      <c r="F208" t="str">
        <f>IFERROR(IF(VLOOKUP(C208,TotalRev1!A:C,3,FALSE)="","",VLOOKUP(C208,TotalRev1!A:C,3,FALSE)),"")</f>
        <v/>
      </c>
      <c r="G208" t="str">
        <f>IFERROR(IF(VLOOKUP(C208,TotalRevL!A:C,3,FALSE)="","",VLOOKUP(C208,TotalRevL!A:C,3,FALSE)),"")</f>
        <v/>
      </c>
      <c r="H208" s="26">
        <f>IFERROR(IFERROR(VLOOKUP($A208,Winpct1!$A:$K,9,FALSE),VLOOKUP($B208,Winpct1!$A:$K,9,FALSE)),"")</f>
        <v>0.20699999999999999</v>
      </c>
      <c r="I208">
        <f>IFERROR(IFERROR(VLOOKUP($A208,Attendance1!$B:$H,3,FALSE),VLOOKUP($B208,Attendance1!$B:$H,3,FALSE)),"")</f>
        <v>16483</v>
      </c>
      <c r="J208">
        <f>IFERROR(VLOOKUP(D208,'Pop-Metro'!A:R,E208-2005,FALSE),VLOOKUP(D208,'Pop-Micro'!A:R,E208-2005,FALSE))</f>
        <v>320556</v>
      </c>
      <c r="K208">
        <f>IFERROR(VLOOKUP(D208,'PCI-Metro'!A:R,E208-2005,FALSE),VLOOKUP(D208,'PCI-Micro'!A:R,E208-2005,FALSE))</f>
        <v>42399</v>
      </c>
      <c r="L208">
        <f>IFERROR(IF(IFERROR(VLOOKUP($A208,Attendance1!$B:$H,5,FALSE),VLOOKUP($B208,Attendance1!$B:$H,5,FALSE))="","",IFERROR(VLOOKUP($A208,Attendance1!$B:$H,5,FALSE),VLOOKUP($B208,Attendance1!$B:$H,5,FALSE))),"")</f>
        <v>9149</v>
      </c>
    </row>
    <row r="209" spans="1:12">
      <c r="A209" t="s">
        <v>182</v>
      </c>
      <c r="B209" t="s">
        <v>182</v>
      </c>
      <c r="C209">
        <v>171571</v>
      </c>
      <c r="D209">
        <v>19820</v>
      </c>
      <c r="E209">
        <f t="shared" si="3"/>
        <v>2015</v>
      </c>
      <c r="F209">
        <f>IFERROR(IF(VLOOKUP(C209,TotalRev1!A:C,3,FALSE)="","",VLOOKUP(C209,TotalRev1!A:C,3,FALSE)),"")</f>
        <v>467504</v>
      </c>
      <c r="G209">
        <f>IFERROR(IF(VLOOKUP(C209,TotalRevL!A:C,3,FALSE)="","",VLOOKUP(C209,TotalRevL!A:C,3,FALSE)),"")</f>
        <v>449909</v>
      </c>
      <c r="H209" s="26">
        <f>IFERROR(IFERROR(VLOOKUP($A209,Winpct1!$A:$K,9,FALSE),VLOOKUP($B209,Winpct1!$A:$K,9,FALSE)),"")</f>
        <v>0.68799999999999994</v>
      </c>
      <c r="I209">
        <f>IFERROR(IFERROR(VLOOKUP($A209,Attendance1!$B:$H,3,FALSE),VLOOKUP($B209,Attendance1!$B:$H,3,FALSE)),"")</f>
        <v>6980</v>
      </c>
      <c r="J209">
        <f>IFERROR(VLOOKUP(D209,'Pop-Metro'!A:R,E209-2005,FALSE),VLOOKUP(D209,'Pop-Micro'!A:R,E209-2005,FALSE))</f>
        <v>4352394</v>
      </c>
      <c r="K209">
        <f>IFERROR(VLOOKUP(D209,'PCI-Metro'!A:R,E209-2005,FALSE),VLOOKUP(D209,'PCI-Micro'!A:R,E209-2005,FALSE))</f>
        <v>47063</v>
      </c>
      <c r="L209">
        <f>IFERROR(IF(IFERROR(VLOOKUP($A209,Attendance1!$B:$H,5,FALSE),VLOOKUP($B209,Attendance1!$B:$H,5,FALSE))="","",IFERROR(VLOOKUP($A209,Attendance1!$B:$H,5,FALSE),VLOOKUP($B209,Attendance1!$B:$H,5,FALSE))),"")</f>
        <v>3000</v>
      </c>
    </row>
    <row r="210" spans="1:12">
      <c r="A210" t="s">
        <v>183</v>
      </c>
      <c r="B210" t="s">
        <v>183</v>
      </c>
      <c r="C210">
        <v>204857</v>
      </c>
      <c r="D210">
        <v>11900</v>
      </c>
      <c r="E210">
        <f t="shared" si="3"/>
        <v>2015</v>
      </c>
      <c r="F210">
        <f>IFERROR(IF(VLOOKUP(C210,TotalRev1!A:C,3,FALSE)="","",VLOOKUP(C210,TotalRev1!A:C,3,FALSE)),"")</f>
        <v>1055112</v>
      </c>
      <c r="G210">
        <f>IFERROR(IF(VLOOKUP(C210,TotalRevL!A:C,3,FALSE)="","",VLOOKUP(C210,TotalRevL!A:C,3,FALSE)),"")</f>
        <v>970374</v>
      </c>
      <c r="H210" s="26">
        <f>IFERROR(IFERROR(VLOOKUP($A210,Winpct1!$A:$K,9,FALSE),VLOOKUP($B210,Winpct1!$A:$K,9,FALSE)),"")</f>
        <v>0.79300000000000004</v>
      </c>
      <c r="I210">
        <f>IFERROR(IFERROR(VLOOKUP($A210,Attendance1!$B:$H,3,FALSE),VLOOKUP($B210,Attendance1!$B:$H,3,FALSE)),"")</f>
        <v>23783</v>
      </c>
      <c r="J210">
        <f>IFERROR(VLOOKUP(D210,'Pop-Metro'!A:R,E210-2005,FALSE),VLOOKUP(D210,'Pop-Micro'!A:R,E210-2005,FALSE))</f>
        <v>64327</v>
      </c>
      <c r="K210">
        <f>IFERROR(VLOOKUP(D210,'PCI-Metro'!A:R,E210-2005,FALSE),VLOOKUP(D210,'PCI-Micro'!A:R,E210-2005,FALSE))</f>
        <v>31621</v>
      </c>
      <c r="L210">
        <f>IFERROR(IF(IFERROR(VLOOKUP($A210,Attendance1!$B:$H,5,FALSE),VLOOKUP($B210,Attendance1!$B:$H,5,FALSE))="","",IFERROR(VLOOKUP($A210,Attendance1!$B:$H,5,FALSE),VLOOKUP($B210,Attendance1!$B:$H,5,FALSE))),"")</f>
        <v>13080</v>
      </c>
    </row>
    <row r="211" spans="1:12">
      <c r="A211" t="s">
        <v>184</v>
      </c>
      <c r="B211" t="s">
        <v>184</v>
      </c>
      <c r="C211">
        <v>204796</v>
      </c>
      <c r="D211">
        <v>18140</v>
      </c>
      <c r="E211">
        <f t="shared" si="3"/>
        <v>2015</v>
      </c>
      <c r="F211">
        <f>IFERROR(IF(VLOOKUP(C211,TotalRev1!A:C,3,FALSE)="","",VLOOKUP(C211,TotalRev1!A:C,3,FALSE)),"")</f>
        <v>283919</v>
      </c>
      <c r="G211">
        <f>IFERROR(IF(VLOOKUP(C211,TotalRevL!A:C,3,FALSE)="","",VLOOKUP(C211,TotalRevL!A:C,3,FALSE)),"")</f>
        <v>246128</v>
      </c>
      <c r="H211" s="26">
        <f>IFERROR(IFERROR(VLOOKUP($A211,Winpct1!$A:$K,9,FALSE),VLOOKUP($B211,Winpct1!$A:$K,9,FALSE)),"")</f>
        <v>0.65700000000000003</v>
      </c>
      <c r="I211">
        <f>IFERROR(IFERROR(VLOOKUP($A211,Attendance1!$B:$H,3,FALSE),VLOOKUP($B211,Attendance1!$B:$H,3,FALSE)),"")</f>
        <v>23544</v>
      </c>
      <c r="J211">
        <f>IFERROR(VLOOKUP(D211,'Pop-Metro'!A:R,E211-2005,FALSE),VLOOKUP(D211,'Pop-Micro'!A:R,E211-2005,FALSE))</f>
        <v>2029729</v>
      </c>
      <c r="K211">
        <f>IFERROR(VLOOKUP(D211,'PCI-Metro'!A:R,E211-2005,FALSE),VLOOKUP(D211,'PCI-Micro'!A:R,E211-2005,FALSE))</f>
        <v>46931</v>
      </c>
      <c r="L211">
        <f>IFERROR(IF(IFERROR(VLOOKUP($A211,Attendance1!$B:$H,5,FALSE),VLOOKUP($B211,Attendance1!$B:$H,5,FALSE))="","",IFERROR(VLOOKUP($A211,Attendance1!$B:$H,5,FALSE),VLOOKUP($B211,Attendance1!$B:$H,5,FALSE))),"")</f>
        <v>13276</v>
      </c>
    </row>
    <row r="212" spans="1:12">
      <c r="A212" t="s">
        <v>185</v>
      </c>
      <c r="B212" t="s">
        <v>185</v>
      </c>
      <c r="C212">
        <v>207500</v>
      </c>
      <c r="D212">
        <v>36420</v>
      </c>
      <c r="E212">
        <f t="shared" si="3"/>
        <v>2015</v>
      </c>
      <c r="F212">
        <f>IFERROR(IF(VLOOKUP(C212,TotalRev1!A:C,3,FALSE)="","",VLOOKUP(C212,TotalRev1!A:C,3,FALSE)),"")</f>
        <v>110631</v>
      </c>
      <c r="G212">
        <f>IFERROR(IF(VLOOKUP(C212,TotalRevL!A:C,3,FALSE)="","",VLOOKUP(C212,TotalRevL!A:C,3,FALSE)),"")</f>
        <v>190404</v>
      </c>
      <c r="H212" s="26">
        <f>IFERROR(IFERROR(VLOOKUP($A212,Winpct1!$A:$K,9,FALSE),VLOOKUP($B212,Winpct1!$A:$K,9,FALSE)),"")</f>
        <v>0.64500000000000002</v>
      </c>
      <c r="I212">
        <f>IFERROR(IFERROR(VLOOKUP($A212,Attendance1!$B:$H,3,FALSE),VLOOKUP($B212,Attendance1!$B:$H,3,FALSE)),"")</f>
        <v>12246</v>
      </c>
      <c r="J212">
        <f>IFERROR(VLOOKUP(D212,'Pop-Metro'!A:R,E212-2005,FALSE),VLOOKUP(D212,'Pop-Micro'!A:R,E212-2005,FALSE))</f>
        <v>1359199</v>
      </c>
      <c r="K212">
        <f>IFERROR(VLOOKUP(D212,'PCI-Metro'!A:R,E212-2005,FALSE),VLOOKUP(D212,'PCI-Micro'!A:R,E212-2005,FALSE))</f>
        <v>45486</v>
      </c>
      <c r="L212">
        <f>IFERROR(IF(IFERROR(VLOOKUP($A212,Attendance1!$B:$H,5,FALSE),VLOOKUP($B212,Attendance1!$B:$H,5,FALSE))="","",IFERROR(VLOOKUP($A212,Attendance1!$B:$H,5,FALSE),VLOOKUP($B212,Attendance1!$B:$H,5,FALSE))),"")</f>
        <v>2000</v>
      </c>
    </row>
    <row r="213" spans="1:12">
      <c r="A213" t="s">
        <v>186</v>
      </c>
      <c r="B213" t="s">
        <v>186</v>
      </c>
      <c r="C213">
        <v>207388</v>
      </c>
      <c r="D213">
        <v>44660</v>
      </c>
      <c r="E213">
        <f t="shared" si="3"/>
        <v>2015</v>
      </c>
      <c r="F213" t="str">
        <f>IFERROR(IF(VLOOKUP(C213,TotalRev1!A:C,3,FALSE)="","",VLOOKUP(C213,TotalRev1!A:C,3,FALSE)),"")</f>
        <v/>
      </c>
      <c r="G213" t="str">
        <f>IFERROR(IF(VLOOKUP(C213,TotalRevL!A:C,3,FALSE)="","",VLOOKUP(C213,TotalRevL!A:C,3,FALSE)),"")</f>
        <v/>
      </c>
      <c r="H213" s="26" t="str">
        <f>IFERROR(IFERROR(VLOOKUP($A213,Winpct1!$A:$K,9,FALSE),VLOOKUP($B213,Winpct1!$A:$K,9,FALSE)),"")</f>
        <v/>
      </c>
      <c r="I213" t="str">
        <f>IFERROR(IFERROR(VLOOKUP($A213,Attendance1!$B:$H,3,FALSE),VLOOKUP($B213,Attendance1!$B:$H,3,FALSE)),"")</f>
        <v/>
      </c>
      <c r="J213">
        <f>IFERROR(VLOOKUP(D213,'Pop-Metro'!A:R,E213-2005,FALSE),VLOOKUP(D213,'Pop-Micro'!A:R,E213-2005,FALSE))</f>
        <v>81379</v>
      </c>
      <c r="K213">
        <f>IFERROR(VLOOKUP(D213,'PCI-Metro'!A:R,E213-2005,FALSE),VLOOKUP(D213,'PCI-Micro'!A:R,E213-2005,FALSE))</f>
        <v>35293</v>
      </c>
      <c r="L213" t="str">
        <f>IFERROR(IF(IFERROR(VLOOKUP($A213,Attendance1!$B:$H,5,FALSE),VLOOKUP($B213,Attendance1!$B:$H,5,FALSE))="","",IFERROR(VLOOKUP($A213,Attendance1!$B:$H,5,FALSE),VLOOKUP($B213,Attendance1!$B:$H,5,FALSE))),"")</f>
        <v/>
      </c>
    </row>
    <row r="214" spans="1:12">
      <c r="A214" t="s">
        <v>1295</v>
      </c>
      <c r="B214" t="s">
        <v>1295</v>
      </c>
      <c r="C214">
        <v>232982</v>
      </c>
      <c r="D214">
        <v>47260</v>
      </c>
      <c r="E214">
        <f t="shared" si="3"/>
        <v>2015</v>
      </c>
      <c r="F214" t="str">
        <f>IFERROR(IF(VLOOKUP(C214,TotalRev1!A:C,3,FALSE)="","",VLOOKUP(C214,TotalRev1!A:C,3,FALSE)),"")</f>
        <v/>
      </c>
      <c r="G214" t="str">
        <f>IFERROR(IF(VLOOKUP(C214,TotalRevL!A:C,3,FALSE)="","",VLOOKUP(C214,TotalRevL!A:C,3,FALSE)),"")</f>
        <v/>
      </c>
      <c r="H214" s="26" t="str">
        <f>IFERROR(IFERROR(VLOOKUP($A214,Winpct1!$A:$K,9,FALSE),VLOOKUP($B214,Winpct1!$A:$K,9,FALSE)),"")</f>
        <v/>
      </c>
      <c r="I214" t="str">
        <f>IFERROR(IFERROR(VLOOKUP($A214,Attendance1!$B:$H,3,FALSE),VLOOKUP($B214,Attendance1!$B:$H,3,FALSE)),"")</f>
        <v/>
      </c>
      <c r="J214">
        <f>IFERROR(VLOOKUP(D214,'Pop-Metro'!A:R,E214-2005,FALSE),VLOOKUP(D214,'Pop-Micro'!A:R,E214-2005,FALSE))</f>
        <v>1768411</v>
      </c>
      <c r="K214">
        <f>IFERROR(VLOOKUP(D214,'PCI-Metro'!A:R,E214-2005,FALSE),VLOOKUP(D214,'PCI-Micro'!A:R,E214-2005,FALSE))</f>
        <v>45068</v>
      </c>
      <c r="L214" t="str">
        <f>IFERROR(IF(IFERROR(VLOOKUP($A214,Attendance1!$B:$H,5,FALSE),VLOOKUP($B214,Attendance1!$B:$H,5,FALSE))="","",IFERROR(VLOOKUP($A214,Attendance1!$B:$H,5,FALSE),VLOOKUP($B214,Attendance1!$B:$H,5,FALSE))),"")</f>
        <v/>
      </c>
    </row>
    <row r="215" spans="1:12">
      <c r="A215" t="s">
        <v>187</v>
      </c>
      <c r="B215" t="s">
        <v>187</v>
      </c>
      <c r="C215">
        <v>176017</v>
      </c>
      <c r="D215">
        <v>37060</v>
      </c>
      <c r="E215">
        <f t="shared" si="3"/>
        <v>2015</v>
      </c>
      <c r="F215">
        <f>IFERROR(IF(VLOOKUP(C215,TotalRev1!A:C,3,FALSE)="","",VLOOKUP(C215,TotalRev1!A:C,3,FALSE)),"")</f>
        <v>58858</v>
      </c>
      <c r="G215">
        <f>IFERROR(IF(VLOOKUP(C215,TotalRevL!A:C,3,FALSE)="","",VLOOKUP(C215,TotalRevL!A:C,3,FALSE)),"")</f>
        <v>83316</v>
      </c>
      <c r="H215" s="26">
        <f>IFERROR(IFERROR(VLOOKUP($A215,Winpct1!$A:$K,9,FALSE),VLOOKUP($B215,Winpct1!$A:$K,9,FALSE)),"")</f>
        <v>0.68799999999999994</v>
      </c>
      <c r="I215">
        <f>IFERROR(IFERROR(VLOOKUP($A215,Attendance1!$B:$H,3,FALSE),VLOOKUP($B215,Attendance1!$B:$H,3,FALSE)),"")</f>
        <v>8289</v>
      </c>
      <c r="J215">
        <f>IFERROR(VLOOKUP(D215,'Pop-Metro'!A:R,E215-2005,FALSE),VLOOKUP(D215,'Pop-Micro'!A:R,E215-2005,FALSE))</f>
        <v>53579</v>
      </c>
      <c r="K215">
        <f>IFERROR(VLOOKUP(D215,'PCI-Metro'!A:R,E215-2005,FALSE),VLOOKUP(D215,'PCI-Micro'!A:R,E215-2005,FALSE))</f>
        <v>36555</v>
      </c>
      <c r="L215">
        <f>IFERROR(IF(IFERROR(VLOOKUP($A215,Attendance1!$B:$H,5,FALSE),VLOOKUP($B215,Attendance1!$B:$H,5,FALSE))="","",IFERROR(VLOOKUP($A215,Attendance1!$B:$H,5,FALSE),VLOOKUP($B215,Attendance1!$B:$H,5,FALSE))),"")</f>
        <v>1000</v>
      </c>
    </row>
    <row r="216" spans="1:12">
      <c r="A216" t="s">
        <v>188</v>
      </c>
      <c r="B216" t="s">
        <v>188</v>
      </c>
      <c r="C216">
        <v>181394</v>
      </c>
      <c r="D216">
        <v>36540</v>
      </c>
      <c r="E216">
        <f t="shared" si="3"/>
        <v>2015</v>
      </c>
      <c r="F216">
        <f>IFERROR(IF(VLOOKUP(C216,TotalRev1!A:C,3,FALSE)="","",VLOOKUP(C216,TotalRev1!A:C,3,FALSE)),"")</f>
        <v>734877</v>
      </c>
      <c r="G216">
        <f>IFERROR(IF(VLOOKUP(C216,TotalRevL!A:C,3,FALSE)="","",VLOOKUP(C216,TotalRevL!A:C,3,FALSE)),"")</f>
        <v>637015</v>
      </c>
      <c r="H216" s="26" t="str">
        <f>IFERROR(IFERROR(VLOOKUP($A216,Winpct1!$A:$K,9,FALSE),VLOOKUP($B216,Winpct1!$A:$K,9,FALSE)),"")</f>
        <v/>
      </c>
      <c r="I216">
        <f>IFERROR(IFERROR(VLOOKUP($A216,Attendance1!$B:$H,3,FALSE),VLOOKUP($B216,Attendance1!$B:$H,3,FALSE)),"")</f>
        <v>3826</v>
      </c>
      <c r="J216">
        <f>IFERROR(VLOOKUP(D216,'Pop-Metro'!A:R,E216-2005,FALSE),VLOOKUP(D216,'Pop-Micro'!A:R,E216-2005,FALSE))</f>
        <v>920790</v>
      </c>
      <c r="K216">
        <f>IFERROR(VLOOKUP(D216,'PCI-Metro'!A:R,E216-2005,FALSE),VLOOKUP(D216,'PCI-Micro'!A:R,E216-2005,FALSE))</f>
        <v>52947</v>
      </c>
      <c r="L216">
        <f>IFERROR(IF(IFERROR(VLOOKUP($A216,Attendance1!$B:$H,5,FALSE),VLOOKUP($B216,Attendance1!$B:$H,5,FALSE))="","",IFERROR(VLOOKUP($A216,Attendance1!$B:$H,5,FALSE),VLOOKUP($B216,Attendance1!$B:$H,5,FALSE))),"")</f>
        <v>2500</v>
      </c>
    </row>
    <row r="217" spans="1:12">
      <c r="A217" t="s">
        <v>1296</v>
      </c>
      <c r="B217" t="s">
        <v>1296</v>
      </c>
      <c r="C217">
        <v>207582</v>
      </c>
      <c r="D217">
        <v>46140</v>
      </c>
      <c r="E217">
        <f t="shared" si="3"/>
        <v>2015</v>
      </c>
      <c r="F217" t="str">
        <f>IFERROR(IF(VLOOKUP(C217,TotalRev1!A:C,3,FALSE)="","",VLOOKUP(C217,TotalRev1!A:C,3,FALSE)),"")</f>
        <v/>
      </c>
      <c r="G217" t="str">
        <f>IFERROR(IF(VLOOKUP(C217,TotalRevL!A:C,3,FALSE)="","",VLOOKUP(C217,TotalRevL!A:C,3,FALSE)),"")</f>
        <v/>
      </c>
      <c r="H217" s="26">
        <f>IFERROR(IFERROR(VLOOKUP($A217,Winpct1!$A:$K,9,FALSE),VLOOKUP($B217,Winpct1!$A:$K,9,FALSE)),"")</f>
        <v>0.5</v>
      </c>
      <c r="I217">
        <f>IFERROR(IFERROR(VLOOKUP($A217,Attendance1!$B:$H,3,FALSE),VLOOKUP($B217,Attendance1!$B:$H,3,FALSE)),"")</f>
        <v>5283</v>
      </c>
      <c r="J217">
        <f>IFERROR(VLOOKUP(D217,'Pop-Metro'!A:R,E217-2005,FALSE),VLOOKUP(D217,'Pop-Micro'!A:R,E217-2005,FALSE))</f>
        <v>986572</v>
      </c>
      <c r="K217">
        <f>IFERROR(VLOOKUP(D217,'PCI-Metro'!A:R,E217-2005,FALSE),VLOOKUP(D217,'PCI-Micro'!A:R,E217-2005,FALSE))</f>
        <v>53544</v>
      </c>
      <c r="L217">
        <f>IFERROR(IF(IFERROR(VLOOKUP($A217,Attendance1!$B:$H,5,FALSE),VLOOKUP($B217,Attendance1!$B:$H,5,FALSE))="","",IFERROR(VLOOKUP($A217,Attendance1!$B:$H,5,FALSE),VLOOKUP($B217,Attendance1!$B:$H,5,FALSE))),"")</f>
        <v>500</v>
      </c>
    </row>
    <row r="218" spans="1:12">
      <c r="A218" t="s">
        <v>189</v>
      </c>
      <c r="B218" t="s">
        <v>189</v>
      </c>
      <c r="C218">
        <v>209551</v>
      </c>
      <c r="D218">
        <v>21660</v>
      </c>
      <c r="E218">
        <f t="shared" si="3"/>
        <v>2015</v>
      </c>
      <c r="F218">
        <f>IFERROR(IF(VLOOKUP(C218,TotalRev1!A:C,3,FALSE)="","",VLOOKUP(C218,TotalRev1!A:C,3,FALSE)),"")</f>
        <v>436841</v>
      </c>
      <c r="G218">
        <f>IFERROR(IF(VLOOKUP(C218,TotalRevL!A:C,3,FALSE)="","",VLOOKUP(C218,TotalRevL!A:C,3,FALSE)),"")</f>
        <v>387633</v>
      </c>
      <c r="H218" s="26">
        <f>IFERROR(IFERROR(VLOOKUP($A218,Winpct1!$A:$K,9,FALSE),VLOOKUP($B218,Winpct1!$A:$K,9,FALSE)),"")</f>
        <v>0.69699999999999995</v>
      </c>
      <c r="I218">
        <f>IFERROR(IFERROR(VLOOKUP($A218,Attendance1!$B:$H,3,FALSE),VLOOKUP($B218,Attendance1!$B:$H,3,FALSE)),"")</f>
        <v>31475</v>
      </c>
      <c r="J218">
        <f>IFERROR(VLOOKUP(D218,'Pop-Metro'!A:R,E218-2005,FALSE),VLOOKUP(D218,'Pop-Micro'!A:R,E218-2005,FALSE))</f>
        <v>362208</v>
      </c>
      <c r="K218">
        <f>IFERROR(VLOOKUP(D218,'PCI-Metro'!A:R,E218-2005,FALSE),VLOOKUP(D218,'PCI-Micro'!A:R,E218-2005,FALSE))</f>
        <v>39992</v>
      </c>
      <c r="L218">
        <f>IFERROR(IF(IFERROR(VLOOKUP($A218,Attendance1!$B:$H,5,FALSE),VLOOKUP($B218,Attendance1!$B:$H,5,FALSE))="","",IFERROR(VLOOKUP($A218,Attendance1!$B:$H,5,FALSE),VLOOKUP($B218,Attendance1!$B:$H,5,FALSE))),"")</f>
        <v>12541</v>
      </c>
    </row>
    <row r="219" spans="1:12">
      <c r="A219" t="s">
        <v>190</v>
      </c>
      <c r="B219" t="s">
        <v>190</v>
      </c>
      <c r="C219">
        <v>209542</v>
      </c>
      <c r="D219">
        <v>18700</v>
      </c>
      <c r="E219">
        <f t="shared" si="3"/>
        <v>2015</v>
      </c>
      <c r="F219">
        <f>IFERROR(IF(VLOOKUP(C219,TotalRev1!A:C,3,FALSE)="","",VLOOKUP(C219,TotalRev1!A:C,3,FALSE)),"")</f>
        <v>334106</v>
      </c>
      <c r="G219">
        <f>IFERROR(IF(VLOOKUP(C219,TotalRevL!A:C,3,FALSE)="","",VLOOKUP(C219,TotalRevL!A:C,3,FALSE)),"")</f>
        <v>254847</v>
      </c>
      <c r="H219" s="26">
        <f>IFERROR(IFERROR(VLOOKUP($A219,Winpct1!$A:$K,9,FALSE),VLOOKUP($B219,Winpct1!$A:$K,9,FALSE)),"")</f>
        <v>0.61799999999999999</v>
      </c>
      <c r="I219">
        <f>IFERROR(IFERROR(VLOOKUP($A219,Attendance1!$B:$H,3,FALSE),VLOOKUP($B219,Attendance1!$B:$H,3,FALSE)),"")</f>
        <v>13807</v>
      </c>
      <c r="J219">
        <f>IFERROR(VLOOKUP(D219,'Pop-Metro'!A:R,E219-2005,FALSE),VLOOKUP(D219,'Pop-Micro'!A:R,E219-2005,FALSE))</f>
        <v>89368</v>
      </c>
      <c r="K219">
        <f>IFERROR(VLOOKUP(D219,'PCI-Metro'!A:R,E219-2005,FALSE),VLOOKUP(D219,'PCI-Micro'!A:R,E219-2005,FALSE))</f>
        <v>40085</v>
      </c>
      <c r="L219">
        <f>IFERROR(IF(IFERROR(VLOOKUP($A219,Attendance1!$B:$H,5,FALSE),VLOOKUP($B219,Attendance1!$B:$H,5,FALSE))="","",IFERROR(VLOOKUP($A219,Attendance1!$B:$H,5,FALSE),VLOOKUP($B219,Attendance1!$B:$H,5,FALSE))),"")</f>
        <v>9604</v>
      </c>
    </row>
    <row r="220" spans="1:12">
      <c r="A220" t="s">
        <v>191</v>
      </c>
      <c r="B220" t="s">
        <v>191</v>
      </c>
      <c r="C220">
        <v>120883</v>
      </c>
      <c r="D220">
        <v>44700</v>
      </c>
      <c r="E220">
        <f t="shared" si="3"/>
        <v>2015</v>
      </c>
      <c r="F220" t="str">
        <f>IFERROR(IF(VLOOKUP(C220,TotalRev1!A:C,3,FALSE)="","",VLOOKUP(C220,TotalRev1!A:C,3,FALSE)),"")</f>
        <v/>
      </c>
      <c r="G220" t="str">
        <f>IFERROR(IF(VLOOKUP(C220,TotalRevL!A:C,3,FALSE)="","",VLOOKUP(C220,TotalRevL!A:C,3,FALSE)),"")</f>
        <v/>
      </c>
      <c r="H220" s="26">
        <f>IFERROR(IFERROR(VLOOKUP($A220,Winpct1!$A:$K,9,FALSE),VLOOKUP($B220,Winpct1!$A:$K,9,FALSE)),"")</f>
        <v>0.77400000000000002</v>
      </c>
      <c r="I220">
        <f>IFERROR(IFERROR(VLOOKUP($A220,Attendance1!$B:$H,3,FALSE),VLOOKUP($B220,Attendance1!$B:$H,3,FALSE)),"")</f>
        <v>8626</v>
      </c>
      <c r="J220">
        <f>IFERROR(VLOOKUP(D220,'Pop-Metro'!A:R,E220-2005,FALSE),VLOOKUP(D220,'Pop-Micro'!A:R,E220-2005,FALSE))</f>
        <v>727828</v>
      </c>
      <c r="K220">
        <f>IFERROR(VLOOKUP(D220,'PCI-Metro'!A:R,E220-2005,FALSE),VLOOKUP(D220,'PCI-Micro'!A:R,E220-2005,FALSE))</f>
        <v>38463</v>
      </c>
      <c r="L220">
        <f>IFERROR(IF(IFERROR(VLOOKUP($A220,Attendance1!$B:$H,5,FALSE),VLOOKUP($B220,Attendance1!$B:$H,5,FALSE))="","",IFERROR(VLOOKUP($A220,Attendance1!$B:$H,5,FALSE),VLOOKUP($B220,Attendance1!$B:$H,5,FALSE))),"")</f>
        <v>6150</v>
      </c>
    </row>
    <row r="221" spans="1:12">
      <c r="A221" t="s">
        <v>192</v>
      </c>
      <c r="B221" t="s">
        <v>192</v>
      </c>
      <c r="C221">
        <v>215062</v>
      </c>
      <c r="D221">
        <v>37980</v>
      </c>
      <c r="E221">
        <f t="shared" si="3"/>
        <v>2015</v>
      </c>
      <c r="F221" t="str">
        <f>IFERROR(IF(VLOOKUP(C221,TotalRev1!A:C,3,FALSE)="","",VLOOKUP(C221,TotalRev1!A:C,3,FALSE)),"")</f>
        <v/>
      </c>
      <c r="G221" t="str">
        <f>IFERROR(IF(VLOOKUP(C221,TotalRevL!A:C,3,FALSE)="","",VLOOKUP(C221,TotalRevL!A:C,3,FALSE)),"")</f>
        <v/>
      </c>
      <c r="H221" s="26">
        <f>IFERROR(IFERROR(VLOOKUP($A221,Winpct1!$A:$K,9,FALSE),VLOOKUP($B221,Winpct1!$A:$K,9,FALSE)),"")</f>
        <v>0.32</v>
      </c>
      <c r="I221">
        <f>IFERROR(IFERROR(VLOOKUP($A221,Attendance1!$B:$H,3,FALSE),VLOOKUP($B221,Attendance1!$B:$H,3,FALSE)),"")</f>
        <v>2721</v>
      </c>
      <c r="J221">
        <f>IFERROR(VLOOKUP(D221,'Pop-Metro'!A:R,E221-2005,FALSE),VLOOKUP(D221,'Pop-Micro'!A:R,E221-2005,FALSE))</f>
        <v>6129946</v>
      </c>
      <c r="K221">
        <f>IFERROR(VLOOKUP(D221,'PCI-Metro'!A:R,E221-2005,FALSE),VLOOKUP(D221,'PCI-Micro'!A:R,E221-2005,FALSE))</f>
        <v>56629</v>
      </c>
      <c r="L221">
        <f>IFERROR(IF(IFERROR(VLOOKUP($A221,Attendance1!$B:$H,5,FALSE),VLOOKUP($B221,Attendance1!$B:$H,5,FALSE))="","",IFERROR(VLOOKUP($A221,Attendance1!$B:$H,5,FALSE),VLOOKUP($B221,Attendance1!$B:$H,5,FALSE))),"")</f>
        <v>8700</v>
      </c>
    </row>
    <row r="222" spans="1:12">
      <c r="A222" t="s">
        <v>193</v>
      </c>
      <c r="B222" t="s">
        <v>193</v>
      </c>
      <c r="C222">
        <v>214777</v>
      </c>
      <c r="D222">
        <v>44300</v>
      </c>
      <c r="E222">
        <f t="shared" si="3"/>
        <v>2015</v>
      </c>
      <c r="F222">
        <f>IFERROR(IF(VLOOKUP(C222,TotalRev1!A:C,3,FALSE)="","",VLOOKUP(C222,TotalRev1!A:C,3,FALSE)),"")</f>
        <v>884394</v>
      </c>
      <c r="G222">
        <f>IFERROR(IF(VLOOKUP(C222,TotalRevL!A:C,3,FALSE)="","",VLOOKUP(C222,TotalRevL!A:C,3,FALSE)),"")</f>
        <v>837723</v>
      </c>
      <c r="H222" s="26">
        <f>IFERROR(IFERROR(VLOOKUP($A222,Winpct1!$A:$K,9,FALSE),VLOOKUP($B222,Winpct1!$A:$K,9,FALSE)),"")</f>
        <v>0.92300000000000004</v>
      </c>
      <c r="I222">
        <f>IFERROR(IFERROR(VLOOKUP($A222,Attendance1!$B:$H,3,FALSE),VLOOKUP($B222,Attendance1!$B:$H,3,FALSE)),"")</f>
        <v>56977</v>
      </c>
      <c r="J222">
        <f>IFERROR(VLOOKUP(D222,'Pop-Metro'!A:R,E222-2005,FALSE),VLOOKUP(D222,'Pop-Micro'!A:R,E222-2005,FALSE))</f>
        <v>158863</v>
      </c>
      <c r="K222">
        <f>IFERROR(VLOOKUP(D222,'PCI-Metro'!A:R,E222-2005,FALSE),VLOOKUP(D222,'PCI-Micro'!A:R,E222-2005,FALSE))</f>
        <v>41635</v>
      </c>
      <c r="L222">
        <f>IFERROR(IF(IFERROR(VLOOKUP($A222,Attendance1!$B:$H,5,FALSE),VLOOKUP($B222,Attendance1!$B:$H,5,FALSE))="","",IFERROR(VLOOKUP($A222,Attendance1!$B:$H,5,FALSE),VLOOKUP($B222,Attendance1!$B:$H,5,FALSE))),"")</f>
        <v>5812</v>
      </c>
    </row>
    <row r="223" spans="1:12">
      <c r="A223" t="s">
        <v>1297</v>
      </c>
      <c r="B223" t="s">
        <v>1297</v>
      </c>
      <c r="C223">
        <v>121150</v>
      </c>
      <c r="D223">
        <v>31080</v>
      </c>
      <c r="E223">
        <f t="shared" si="3"/>
        <v>2015</v>
      </c>
      <c r="F223" t="str">
        <f>IFERROR(IF(VLOOKUP(C223,TotalRev1!A:C,3,FALSE)="","",VLOOKUP(C223,TotalRev1!A:C,3,FALSE)),"")</f>
        <v/>
      </c>
      <c r="G223" t="str">
        <f>IFERROR(IF(VLOOKUP(C223,TotalRevL!A:C,3,FALSE)="","",VLOOKUP(C223,TotalRevL!A:C,3,FALSE)),"")</f>
        <v/>
      </c>
      <c r="H223" s="26">
        <f>IFERROR(IFERROR(VLOOKUP($A223,Winpct1!$A:$K,9,FALSE),VLOOKUP($B223,Winpct1!$A:$K,9,FALSE)),"")</f>
        <v>0.4</v>
      </c>
      <c r="I223">
        <f>IFERROR(IFERROR(VLOOKUP($A223,Attendance1!$B:$H,3,FALSE),VLOOKUP($B223,Attendance1!$B:$H,3,FALSE)),"")</f>
        <v>3525</v>
      </c>
      <c r="J223">
        <f>IFERROR(VLOOKUP(D223,'Pop-Metro'!A:R,E223-2005,FALSE),VLOOKUP(D223,'Pop-Micro'!A:R,E223-2005,FALSE))</f>
        <v>13256931</v>
      </c>
      <c r="K223">
        <f>IFERROR(VLOOKUP(D223,'PCI-Metro'!A:R,E223-2005,FALSE),VLOOKUP(D223,'PCI-Micro'!A:R,E223-2005,FALSE))</f>
        <v>54538</v>
      </c>
      <c r="L223">
        <f>IFERROR(IF(IFERROR(VLOOKUP($A223,Attendance1!$B:$H,5,FALSE),VLOOKUP($B223,Attendance1!$B:$H,5,FALSE))="","",IFERROR(VLOOKUP($A223,Attendance1!$B:$H,5,FALSE),VLOOKUP($B223,Attendance1!$B:$H,5,FALSE))),"")</f>
        <v>3104</v>
      </c>
    </row>
    <row r="224" spans="1:12">
      <c r="A224" t="s">
        <v>194</v>
      </c>
      <c r="B224" t="s">
        <v>194</v>
      </c>
      <c r="C224">
        <v>215293</v>
      </c>
      <c r="D224">
        <v>38300</v>
      </c>
      <c r="E224">
        <f t="shared" si="3"/>
        <v>2015</v>
      </c>
      <c r="F224" t="str">
        <f>IFERROR(IF(VLOOKUP(C224,TotalRev1!A:C,3,FALSE)="","",VLOOKUP(C224,TotalRev1!A:C,3,FALSE)),"")</f>
        <v/>
      </c>
      <c r="G224" t="str">
        <f>IFERROR(IF(VLOOKUP(C224,TotalRevL!A:C,3,FALSE)="","",VLOOKUP(C224,TotalRevL!A:C,3,FALSE)),"")</f>
        <v/>
      </c>
      <c r="H224" s="26">
        <f>IFERROR(IFERROR(VLOOKUP($A224,Winpct1!$A:$K,9,FALSE),VLOOKUP($B224,Winpct1!$A:$K,9,FALSE)),"")</f>
        <v>0.80600000000000005</v>
      </c>
      <c r="I224">
        <f>IFERROR(IFERROR(VLOOKUP($A224,Attendance1!$B:$H,3,FALSE),VLOOKUP($B224,Attendance1!$B:$H,3,FALSE)),"")</f>
        <v>8528</v>
      </c>
      <c r="J224">
        <f>IFERROR(VLOOKUP(D224,'Pop-Metro'!A:R,E224-2005,FALSE),VLOOKUP(D224,'Pop-Micro'!A:R,E224-2005,FALSE))</f>
        <v>2379439</v>
      </c>
      <c r="K224">
        <f>IFERROR(VLOOKUP(D224,'PCI-Metro'!A:R,E224-2005,FALSE),VLOOKUP(D224,'PCI-Micro'!A:R,E224-2005,FALSE))</f>
        <v>49927</v>
      </c>
      <c r="L224">
        <f>IFERROR(IF(IFERROR(VLOOKUP($A224,Attendance1!$B:$H,5,FALSE),VLOOKUP($B224,Attendance1!$B:$H,5,FALSE))="","",IFERROR(VLOOKUP($A224,Attendance1!$B:$H,5,FALSE),VLOOKUP($B224,Attendance1!$B:$H,5,FALSE))),"")</f>
        <v>6798</v>
      </c>
    </row>
    <row r="225" spans="1:12">
      <c r="A225" t="s">
        <v>1298</v>
      </c>
      <c r="B225" t="s">
        <v>1298</v>
      </c>
      <c r="C225">
        <v>209825</v>
      </c>
      <c r="D225">
        <v>38900</v>
      </c>
      <c r="E225">
        <f t="shared" si="3"/>
        <v>2015</v>
      </c>
      <c r="F225" t="str">
        <f>IFERROR(IF(VLOOKUP(C225,TotalRev1!A:C,3,FALSE)="","",VLOOKUP(C225,TotalRev1!A:C,3,FALSE)),"")</f>
        <v/>
      </c>
      <c r="G225" t="str">
        <f>IFERROR(IF(VLOOKUP(C225,TotalRevL!A:C,3,FALSE)="","",VLOOKUP(C225,TotalRevL!A:C,3,FALSE)),"")</f>
        <v/>
      </c>
      <c r="H225" s="26">
        <f>IFERROR(IFERROR(VLOOKUP($A225,Winpct1!$A:$K,9,FALSE),VLOOKUP($B225,Winpct1!$A:$K,9,FALSE)),"")</f>
        <v>0.23300000000000001</v>
      </c>
      <c r="I225">
        <f>IFERROR(IFERROR(VLOOKUP($A225,Attendance1!$B:$H,3,FALSE),VLOOKUP($B225,Attendance1!$B:$H,3,FALSE)),"")</f>
        <v>3042</v>
      </c>
      <c r="J225">
        <f>IFERROR(VLOOKUP(D225,'Pop-Metro'!A:R,E225-2005,FALSE),VLOOKUP(D225,'Pop-Micro'!A:R,E225-2005,FALSE))</f>
        <v>2386057</v>
      </c>
      <c r="K225">
        <f>IFERROR(VLOOKUP(D225,'PCI-Metro'!A:R,E225-2005,FALSE),VLOOKUP(D225,'PCI-Micro'!A:R,E225-2005,FALSE))</f>
        <v>48916</v>
      </c>
      <c r="L225">
        <f>IFERROR(IF(IFERROR(VLOOKUP($A225,Attendance1!$B:$H,5,FALSE),VLOOKUP($B225,Attendance1!$B:$H,5,FALSE))="","",IFERROR(VLOOKUP($A225,Attendance1!$B:$H,5,FALSE),VLOOKUP($B225,Attendance1!$B:$H,5,FALSE))),"")</f>
        <v>5000</v>
      </c>
    </row>
    <row r="226" spans="1:12">
      <c r="A226" t="s">
        <v>195</v>
      </c>
      <c r="B226" t="s">
        <v>195</v>
      </c>
      <c r="C226">
        <v>209807</v>
      </c>
      <c r="D226">
        <v>38900</v>
      </c>
      <c r="E226">
        <f t="shared" si="3"/>
        <v>2015</v>
      </c>
      <c r="F226">
        <f>IFERROR(IF(VLOOKUP(C226,TotalRev1!A:C,3,FALSE)="","",VLOOKUP(C226,TotalRev1!A:C,3,FALSE)),"")</f>
        <v>792834</v>
      </c>
      <c r="G226">
        <f>IFERROR(IF(VLOOKUP(C226,TotalRevL!A:C,3,FALSE)="","",VLOOKUP(C226,TotalRevL!A:C,3,FALSE)),"")</f>
        <v>474763</v>
      </c>
      <c r="H226" s="26">
        <f>IFERROR(IFERROR(VLOOKUP($A226,Winpct1!$A:$K,9,FALSE),VLOOKUP($B226,Winpct1!$A:$K,9,FALSE)),"")</f>
        <v>0.31</v>
      </c>
      <c r="I226">
        <f>IFERROR(IFERROR(VLOOKUP($A226,Attendance1!$B:$H,3,FALSE),VLOOKUP($B226,Attendance1!$B:$H,3,FALSE)),"")</f>
        <v>4082</v>
      </c>
      <c r="J226">
        <f>IFERROR(VLOOKUP(D226,'Pop-Metro'!A:R,E226-2005,FALSE),VLOOKUP(D226,'Pop-Micro'!A:R,E226-2005,FALSE))</f>
        <v>2386057</v>
      </c>
      <c r="K226">
        <f>IFERROR(VLOOKUP(D226,'PCI-Metro'!A:R,E226-2005,FALSE),VLOOKUP(D226,'PCI-Micro'!A:R,E226-2005,FALSE))</f>
        <v>48916</v>
      </c>
      <c r="L226">
        <f>IFERROR(IF(IFERROR(VLOOKUP($A226,Attendance1!$B:$H,5,FALSE),VLOOKUP($B226,Attendance1!$B:$H,5,FALSE))="","",IFERROR(VLOOKUP($A226,Attendance1!$B:$H,5,FALSE),VLOOKUP($B226,Attendance1!$B:$H,5,FALSE))),"")</f>
        <v>1500</v>
      </c>
    </row>
    <row r="227" spans="1:12">
      <c r="A227" t="s">
        <v>196</v>
      </c>
      <c r="B227" t="s">
        <v>196</v>
      </c>
      <c r="C227">
        <v>227526</v>
      </c>
      <c r="D227">
        <v>26420</v>
      </c>
      <c r="E227">
        <f t="shared" si="3"/>
        <v>2015</v>
      </c>
      <c r="F227">
        <f>IFERROR(IF(VLOOKUP(C227,TotalRev1!A:C,3,FALSE)="","",VLOOKUP(C227,TotalRev1!A:C,3,FALSE)),"")</f>
        <v>298405</v>
      </c>
      <c r="G227">
        <f>IFERROR(IF(VLOOKUP(C227,TotalRevL!A:C,3,FALSE)="","",VLOOKUP(C227,TotalRevL!A:C,3,FALSE)),"")</f>
        <v>203025</v>
      </c>
      <c r="H227" s="26">
        <f>IFERROR(IFERROR(VLOOKUP($A227,Winpct1!$A:$K,9,FALSE),VLOOKUP($B227,Winpct1!$A:$K,9,FALSE)),"")</f>
        <v>0.32100000000000001</v>
      </c>
      <c r="I227">
        <f>IFERROR(IFERROR(VLOOKUP($A227,Attendance1!$B:$H,3,FALSE),VLOOKUP($B227,Attendance1!$B:$H,3,FALSE)),"")</f>
        <v>1668</v>
      </c>
      <c r="J227">
        <f>IFERROR(VLOOKUP(D227,'Pop-Metro'!A:R,E227-2005,FALSE),VLOOKUP(D227,'Pop-Micro'!A:R,E227-2005,FALSE))</f>
        <v>6663596</v>
      </c>
      <c r="K227">
        <f>IFERROR(VLOOKUP(D227,'PCI-Metro'!A:R,E227-2005,FALSE),VLOOKUP(D227,'PCI-Micro'!A:R,E227-2005,FALSE))</f>
        <v>54210</v>
      </c>
      <c r="L227">
        <f>IFERROR(IF(IFERROR(VLOOKUP($A227,Attendance1!$B:$H,5,FALSE),VLOOKUP($B227,Attendance1!$B:$H,5,FALSE))="","",IFERROR(VLOOKUP($A227,Attendance1!$B:$H,5,FALSE),VLOOKUP($B227,Attendance1!$B:$H,5,FALSE))),"")</f>
        <v>6600</v>
      </c>
    </row>
    <row r="228" spans="1:12">
      <c r="A228" t="s">
        <v>197</v>
      </c>
      <c r="B228" t="s">
        <v>197</v>
      </c>
      <c r="C228">
        <v>218539</v>
      </c>
      <c r="D228">
        <v>43900</v>
      </c>
      <c r="E228">
        <f t="shared" si="3"/>
        <v>2015</v>
      </c>
      <c r="F228" t="str">
        <f>IFERROR(IF(VLOOKUP(C228,TotalRev1!A:C,3,FALSE)="","",VLOOKUP(C228,TotalRev1!A:C,3,FALSE)),"")</f>
        <v/>
      </c>
      <c r="G228" t="str">
        <f>IFERROR(IF(VLOOKUP(C228,TotalRevL!A:C,3,FALSE)="","",VLOOKUP(C228,TotalRevL!A:C,3,FALSE)),"")</f>
        <v/>
      </c>
      <c r="H228" s="26">
        <f>IFERROR(IFERROR(VLOOKUP($A228,Winpct1!$A:$K,9,FALSE),VLOOKUP($B228,Winpct1!$A:$K,9,FALSE)),"")</f>
        <v>0.42899999999999999</v>
      </c>
      <c r="I228">
        <f>IFERROR(IFERROR(VLOOKUP($A228,Attendance1!$B:$H,3,FALSE),VLOOKUP($B228,Attendance1!$B:$H,3,FALSE)),"")</f>
        <v>1719</v>
      </c>
      <c r="J228">
        <f>IFERROR(VLOOKUP(D228,'Pop-Metro'!A:R,E228-2005,FALSE),VLOOKUP(D228,'Pop-Micro'!A:R,E228-2005,FALSE))</f>
        <v>298115</v>
      </c>
      <c r="K228">
        <f>IFERROR(VLOOKUP(D228,'PCI-Metro'!A:R,E228-2005,FALSE),VLOOKUP(D228,'PCI-Micro'!A:R,E228-2005,FALSE))</f>
        <v>39198</v>
      </c>
      <c r="L228">
        <f>IFERROR(IF(IFERROR(VLOOKUP($A228,Attendance1!$B:$H,5,FALSE),VLOOKUP($B228,Attendance1!$B:$H,5,FALSE))="","",IFERROR(VLOOKUP($A228,Attendance1!$B:$H,5,FALSE),VLOOKUP($B228,Attendance1!$B:$H,5,FALSE))),"")</f>
        <v>3000</v>
      </c>
    </row>
    <row r="229" spans="1:12">
      <c r="A229" t="s">
        <v>198</v>
      </c>
      <c r="B229" t="s">
        <v>198</v>
      </c>
      <c r="C229">
        <v>186131</v>
      </c>
      <c r="D229">
        <v>45940</v>
      </c>
      <c r="E229">
        <f t="shared" si="3"/>
        <v>2015</v>
      </c>
      <c r="F229" t="str">
        <f>IFERROR(IF(VLOOKUP(C229,TotalRev1!A:C,3,FALSE)="","",VLOOKUP(C229,TotalRev1!A:C,3,FALSE)),"")</f>
        <v/>
      </c>
      <c r="G229" t="str">
        <f>IFERROR(IF(VLOOKUP(C229,TotalRevL!A:C,3,FALSE)="","",VLOOKUP(C229,TotalRevL!A:C,3,FALSE)),"")</f>
        <v/>
      </c>
      <c r="H229" s="26">
        <f>IFERROR(IFERROR(VLOOKUP($A229,Winpct1!$A:$K,9,FALSE),VLOOKUP($B229,Winpct1!$A:$K,9,FALSE)),"")</f>
        <v>0.58299999999999996</v>
      </c>
      <c r="I229">
        <f>IFERROR(IFERROR(VLOOKUP($A229,Attendance1!$B:$H,3,FALSE),VLOOKUP($B229,Attendance1!$B:$H,3,FALSE)),"")</f>
        <v>2257</v>
      </c>
      <c r="J229">
        <f>IFERROR(VLOOKUP(D229,'Pop-Metro'!A:R,E229-2005,FALSE),VLOOKUP(D229,'Pop-Micro'!A:R,E229-2005,FALSE))</f>
        <v>378400</v>
      </c>
      <c r="K229">
        <f>IFERROR(VLOOKUP(D229,'PCI-Metro'!A:R,E229-2005,FALSE),VLOOKUP(D229,'PCI-Micro'!A:R,E229-2005,FALSE))</f>
        <v>60323</v>
      </c>
      <c r="L229">
        <f>IFERROR(IF(IFERROR(VLOOKUP($A229,Attendance1!$B:$H,5,FALSE),VLOOKUP($B229,Attendance1!$B:$H,5,FALSE))="","",IFERROR(VLOOKUP($A229,Attendance1!$B:$H,5,FALSE),VLOOKUP($B229,Attendance1!$B:$H,5,FALSE))),"")</f>
        <v>1500</v>
      </c>
    </row>
    <row r="230" spans="1:12">
      <c r="A230" t="s">
        <v>199</v>
      </c>
      <c r="B230" t="s">
        <v>199</v>
      </c>
      <c r="C230">
        <v>217402</v>
      </c>
      <c r="D230">
        <v>39300</v>
      </c>
      <c r="E230">
        <f t="shared" si="3"/>
        <v>2015</v>
      </c>
      <c r="F230" t="str">
        <f>IFERROR(IF(VLOOKUP(C230,TotalRev1!A:C,3,FALSE)="","",VLOOKUP(C230,TotalRev1!A:C,3,FALSE)),"")</f>
        <v/>
      </c>
      <c r="G230" t="str">
        <f>IFERROR(IF(VLOOKUP(C230,TotalRevL!A:C,3,FALSE)="","",VLOOKUP(C230,TotalRevL!A:C,3,FALSE)),"")</f>
        <v/>
      </c>
      <c r="H230" s="26">
        <f>IFERROR(IFERROR(VLOOKUP($A230,Winpct1!$A:$K,9,FALSE),VLOOKUP($B230,Winpct1!$A:$K,9,FALSE)),"")</f>
        <v>0.188</v>
      </c>
      <c r="I230">
        <f>IFERROR(IFERROR(VLOOKUP($A230,Attendance1!$B:$H,3,FALSE),VLOOKUP($B230,Attendance1!$B:$H,3,FALSE)),"")</f>
        <v>1439</v>
      </c>
      <c r="J230">
        <f>IFERROR(VLOOKUP(D230,'Pop-Metro'!A:R,E230-2005,FALSE),VLOOKUP(D230,'Pop-Micro'!A:R,E230-2005,FALSE))</f>
        <v>1640944</v>
      </c>
      <c r="K230">
        <f>IFERROR(VLOOKUP(D230,'PCI-Metro'!A:R,E230-2005,FALSE),VLOOKUP(D230,'PCI-Micro'!A:R,E230-2005,FALSE))</f>
        <v>47714</v>
      </c>
      <c r="L230">
        <f>IFERROR(IF(IFERROR(VLOOKUP($A230,Attendance1!$B:$H,5,FALSE),VLOOKUP($B230,Attendance1!$B:$H,5,FALSE))="","",IFERROR(VLOOKUP($A230,Attendance1!$B:$H,5,FALSE),VLOOKUP($B230,Attendance1!$B:$H,5,FALSE))),"")</f>
        <v>3400</v>
      </c>
    </row>
    <row r="231" spans="1:12">
      <c r="A231" t="s">
        <v>200</v>
      </c>
      <c r="B231" t="s">
        <v>200</v>
      </c>
      <c r="C231">
        <v>243780</v>
      </c>
      <c r="D231">
        <v>29200</v>
      </c>
      <c r="E231">
        <f t="shared" si="3"/>
        <v>2015</v>
      </c>
      <c r="F231">
        <f>IFERROR(IF(VLOOKUP(C231,TotalRev1!A:C,3,FALSE)="","",VLOOKUP(C231,TotalRev1!A:C,3,FALSE)),"")</f>
        <v>594991</v>
      </c>
      <c r="G231">
        <f>IFERROR(IF(VLOOKUP(C231,TotalRevL!A:C,3,FALSE)="","",VLOOKUP(C231,TotalRevL!A:C,3,FALSE)),"")</f>
        <v>446578</v>
      </c>
      <c r="H231" s="26">
        <f>IFERROR(IFERROR(VLOOKUP($A231,Winpct1!$A:$K,9,FALSE),VLOOKUP($B231,Winpct1!$A:$K,9,FALSE)),"")</f>
        <v>0.68799999999999994</v>
      </c>
      <c r="I231">
        <f>IFERROR(IFERROR(VLOOKUP($A231,Attendance1!$B:$H,3,FALSE),VLOOKUP($B231,Attendance1!$B:$H,3,FALSE)),"")</f>
        <v>40230</v>
      </c>
      <c r="J231">
        <f>IFERROR(VLOOKUP(D231,'Pop-Metro'!A:R,E231-2005,FALSE),VLOOKUP(D231,'Pop-Micro'!A:R,E231-2005,FALSE))</f>
        <v>219051</v>
      </c>
      <c r="K231">
        <f>IFERROR(VLOOKUP(D231,'PCI-Metro'!A:R,E231-2005,FALSE),VLOOKUP(D231,'PCI-Micro'!A:R,E231-2005,FALSE))</f>
        <v>35795</v>
      </c>
      <c r="L231">
        <f>IFERROR(IF(IFERROR(VLOOKUP($A231,Attendance1!$B:$H,5,FALSE),VLOOKUP($B231,Attendance1!$B:$H,5,FALSE))="","",IFERROR(VLOOKUP($A231,Attendance1!$B:$H,5,FALSE),VLOOKUP($B231,Attendance1!$B:$H,5,FALSE))),"")</f>
        <v>2288</v>
      </c>
    </row>
    <row r="232" spans="1:12">
      <c r="A232" t="s">
        <v>201</v>
      </c>
      <c r="B232" t="s">
        <v>201</v>
      </c>
      <c r="C232">
        <v>151102</v>
      </c>
      <c r="D232">
        <v>23060</v>
      </c>
      <c r="E232">
        <f t="shared" si="3"/>
        <v>2015</v>
      </c>
      <c r="F232">
        <f>IFERROR(IF(VLOOKUP(C232,TotalRev1!A:C,3,FALSE)="","",VLOOKUP(C232,TotalRev1!A:C,3,FALSE)),"")</f>
        <v>457664</v>
      </c>
      <c r="G232">
        <f>IFERROR(IF(VLOOKUP(C232,TotalRevL!A:C,3,FALSE)="","",VLOOKUP(C232,TotalRevL!A:C,3,FALSE)),"")</f>
        <v>478735</v>
      </c>
      <c r="H232" s="26">
        <f>IFERROR(IFERROR(VLOOKUP($A232,Winpct1!$A:$K,9,FALSE),VLOOKUP($B232,Winpct1!$A:$K,9,FALSE)),"")</f>
        <v>0.39400000000000002</v>
      </c>
      <c r="I232">
        <f>IFERROR(IFERROR(VLOOKUP($A232,Attendance1!$B:$H,3,FALSE),VLOOKUP($B232,Attendance1!$B:$H,3,FALSE)),"")</f>
        <v>6268</v>
      </c>
      <c r="J232">
        <f>IFERROR(VLOOKUP(D232,'Pop-Metro'!A:R,E232-2005,FALSE),VLOOKUP(D232,'Pop-Micro'!A:R,E232-2005,FALSE))</f>
        <v>402877</v>
      </c>
      <c r="K232">
        <f>IFERROR(VLOOKUP(D232,'PCI-Metro'!A:R,E232-2005,FALSE),VLOOKUP(D232,'PCI-Micro'!A:R,E232-2005,FALSE))</f>
        <v>41656</v>
      </c>
      <c r="L232">
        <f>IFERROR(IF(IFERROR(VLOOKUP($A232,Attendance1!$B:$H,5,FALSE),VLOOKUP($B232,Attendance1!$B:$H,5,FALSE))="","",IFERROR(VLOOKUP($A232,Attendance1!$B:$H,5,FALSE),VLOOKUP($B232,Attendance1!$B:$H,5,FALSE))),"")</f>
        <v>1800</v>
      </c>
    </row>
    <row r="233" spans="1:12">
      <c r="A233" t="s">
        <v>202</v>
      </c>
      <c r="B233" t="s">
        <v>202</v>
      </c>
      <c r="C233">
        <v>130226</v>
      </c>
      <c r="D233">
        <v>35300</v>
      </c>
      <c r="E233">
        <f t="shared" si="3"/>
        <v>2015</v>
      </c>
      <c r="F233" t="str">
        <f>IFERROR(IF(VLOOKUP(C233,TotalRev1!A:C,3,FALSE)="","",VLOOKUP(C233,TotalRev1!A:C,3,FALSE)),"")</f>
        <v/>
      </c>
      <c r="G233" t="str">
        <f>IFERROR(IF(VLOOKUP(C233,TotalRevL!A:C,3,FALSE)="","",VLOOKUP(C233,TotalRevL!A:C,3,FALSE)),"")</f>
        <v/>
      </c>
      <c r="H233" s="26">
        <f>IFERROR(IFERROR(VLOOKUP($A233,Winpct1!$A:$K,9,FALSE),VLOOKUP($B233,Winpct1!$A:$K,9,FALSE)),"")</f>
        <v>6.0999999999999999E-2</v>
      </c>
      <c r="I233">
        <f>IFERROR(IFERROR(VLOOKUP($A233,Attendance1!$B:$H,3,FALSE),VLOOKUP($B233,Attendance1!$B:$H,3,FALSE)),"")</f>
        <v>1939</v>
      </c>
      <c r="J233">
        <f>IFERROR(VLOOKUP(D233,'Pop-Metro'!A:R,E233-2005,FALSE),VLOOKUP(D233,'Pop-Micro'!A:R,E233-2005,FALSE))</f>
        <v>866734</v>
      </c>
      <c r="K233">
        <f>IFERROR(VLOOKUP(D233,'PCI-Metro'!A:R,E233-2005,FALSE),VLOOKUP(D233,'PCI-Micro'!A:R,E233-2005,FALSE))</f>
        <v>50082</v>
      </c>
      <c r="L233">
        <f>IFERROR(IF(IFERROR(VLOOKUP($A233,Attendance1!$B:$H,5,FALSE),VLOOKUP($B233,Attendance1!$B:$H,5,FALSE))="","",IFERROR(VLOOKUP($A233,Attendance1!$B:$H,5,FALSE),VLOOKUP($B233,Attendance1!$B:$H,5,FALSE))),"")</f>
        <v>2000</v>
      </c>
    </row>
    <row r="234" spans="1:12">
      <c r="A234" t="s">
        <v>203</v>
      </c>
      <c r="B234" t="s">
        <v>203</v>
      </c>
      <c r="C234">
        <v>233277</v>
      </c>
      <c r="D234">
        <v>40220</v>
      </c>
      <c r="E234">
        <f t="shared" si="3"/>
        <v>2015</v>
      </c>
      <c r="F234">
        <f>IFERROR(IF(VLOOKUP(C234,TotalRev1!A:C,3,FALSE)="","",VLOOKUP(C234,TotalRev1!A:C,3,FALSE)),"")</f>
        <v>8375</v>
      </c>
      <c r="G234">
        <f>IFERROR(IF(VLOOKUP(C234,TotalRevL!A:C,3,FALSE)="","",VLOOKUP(C234,TotalRevL!A:C,3,FALSE)),"")</f>
        <v>15519</v>
      </c>
      <c r="H234" s="26">
        <f>IFERROR(IFERROR(VLOOKUP($A234,Winpct1!$A:$K,9,FALSE),VLOOKUP($B234,Winpct1!$A:$K,9,FALSE)),"")</f>
        <v>0.75</v>
      </c>
      <c r="I234">
        <f>IFERROR(IFERROR(VLOOKUP($A234,Attendance1!$B:$H,3,FALSE),VLOOKUP($B234,Attendance1!$B:$H,3,FALSE)),"")</f>
        <v>4538</v>
      </c>
      <c r="J234">
        <f>IFERROR(VLOOKUP(D234,'Pop-Metro'!A:R,E234-2005,FALSE),VLOOKUP(D234,'Pop-Micro'!A:R,E234-2005,FALSE))</f>
        <v>314023</v>
      </c>
      <c r="K234">
        <f>IFERROR(VLOOKUP(D234,'PCI-Metro'!A:R,E234-2005,FALSE),VLOOKUP(D234,'PCI-Micro'!A:R,E234-2005,FALSE))</f>
        <v>42655</v>
      </c>
      <c r="L234">
        <f>IFERROR(IF(IFERROR(VLOOKUP($A234,Attendance1!$B:$H,5,FALSE),VLOOKUP($B234,Attendance1!$B:$H,5,FALSE))="","",IFERROR(VLOOKUP($A234,Attendance1!$B:$H,5,FALSE),VLOOKUP($B234,Attendance1!$B:$H,5,FALSE))),"")</f>
        <v>3215</v>
      </c>
    </row>
    <row r="235" spans="1:12">
      <c r="A235" t="s">
        <v>204</v>
      </c>
      <c r="B235" t="s">
        <v>204</v>
      </c>
      <c r="C235">
        <v>217484</v>
      </c>
      <c r="D235">
        <v>39300</v>
      </c>
      <c r="E235">
        <f t="shared" si="3"/>
        <v>2015</v>
      </c>
      <c r="F235">
        <f>IFERROR(IF(VLOOKUP(C235,TotalRev1!A:C,3,FALSE)="","",VLOOKUP(C235,TotalRev1!A:C,3,FALSE)),"")</f>
        <v>768266</v>
      </c>
      <c r="G235">
        <f>IFERROR(IF(VLOOKUP(C235,TotalRevL!A:C,3,FALSE)="","",VLOOKUP(C235,TotalRevL!A:C,3,FALSE)),"")</f>
        <v>763852</v>
      </c>
      <c r="H235" s="26">
        <f>IFERROR(IFERROR(VLOOKUP($A235,Winpct1!$A:$K,9,FALSE),VLOOKUP($B235,Winpct1!$A:$K,9,FALSE)),"")</f>
        <v>0.64300000000000002</v>
      </c>
      <c r="I235">
        <f>IFERROR(IFERROR(VLOOKUP($A235,Attendance1!$B:$H,3,FALSE),VLOOKUP($B235,Attendance1!$B:$H,3,FALSE)),"")</f>
        <v>4161</v>
      </c>
      <c r="J235">
        <f>IFERROR(VLOOKUP(D235,'Pop-Metro'!A:R,E235-2005,FALSE),VLOOKUP(D235,'Pop-Micro'!A:R,E235-2005,FALSE))</f>
        <v>1640944</v>
      </c>
      <c r="K235">
        <f>IFERROR(VLOOKUP(D235,'PCI-Metro'!A:R,E235-2005,FALSE),VLOOKUP(D235,'PCI-Micro'!A:R,E235-2005,FALSE))</f>
        <v>47714</v>
      </c>
      <c r="L235">
        <f>IFERROR(IF(IFERROR(VLOOKUP($A235,Attendance1!$B:$H,5,FALSE),VLOOKUP($B235,Attendance1!$B:$H,5,FALSE))="","",IFERROR(VLOOKUP($A235,Attendance1!$B:$H,5,FALSE),VLOOKUP($B235,Attendance1!$B:$H,5,FALSE))),"")</f>
        <v>5000</v>
      </c>
    </row>
    <row r="236" spans="1:12">
      <c r="A236" t="s">
        <v>1299</v>
      </c>
      <c r="B236" t="s">
        <v>1299</v>
      </c>
      <c r="C236">
        <v>227757</v>
      </c>
      <c r="D236">
        <v>26420</v>
      </c>
      <c r="E236">
        <f t="shared" si="3"/>
        <v>2015</v>
      </c>
      <c r="F236" t="str">
        <f>IFERROR(IF(VLOOKUP(C236,TotalRev1!A:C,3,FALSE)="","",VLOOKUP(C236,TotalRev1!A:C,3,FALSE)),"")</f>
        <v/>
      </c>
      <c r="G236" t="str">
        <f>IFERROR(IF(VLOOKUP(C236,TotalRevL!A:C,3,FALSE)="","",VLOOKUP(C236,TotalRevL!A:C,3,FALSE)),"")</f>
        <v/>
      </c>
      <c r="H236" s="26">
        <f>IFERROR(IFERROR(VLOOKUP($A236,Winpct1!$A:$K,9,FALSE),VLOOKUP($B236,Winpct1!$A:$K,9,FALSE)),"")</f>
        <v>0.69699999999999995</v>
      </c>
      <c r="I236">
        <f>IFERROR(IFERROR(VLOOKUP($A236,Attendance1!$B:$H,3,FALSE),VLOOKUP($B236,Attendance1!$B:$H,3,FALSE)),"")</f>
        <v>5312</v>
      </c>
      <c r="J236">
        <f>IFERROR(VLOOKUP(D236,'Pop-Metro'!A:R,E236-2005,FALSE),VLOOKUP(D236,'Pop-Micro'!A:R,E236-2005,FALSE))</f>
        <v>6663596</v>
      </c>
      <c r="K236">
        <f>IFERROR(VLOOKUP(D236,'PCI-Metro'!A:R,E236-2005,FALSE),VLOOKUP(D236,'PCI-Micro'!A:R,E236-2005,FALSE))</f>
        <v>54210</v>
      </c>
      <c r="L236">
        <f>IFERROR(IF(IFERROR(VLOOKUP($A236,Attendance1!$B:$H,5,FALSE),VLOOKUP($B236,Attendance1!$B:$H,5,FALSE))="","",IFERROR(VLOOKUP($A236,Attendance1!$B:$H,5,FALSE),VLOOKUP($B236,Attendance1!$B:$H,5,FALSE))),"")</f>
        <v>5750</v>
      </c>
    </row>
    <row r="237" spans="1:12">
      <c r="A237" t="s">
        <v>1300</v>
      </c>
      <c r="B237" t="s">
        <v>1300</v>
      </c>
      <c r="C237">
        <v>233374</v>
      </c>
      <c r="D237">
        <v>40060</v>
      </c>
      <c r="E237">
        <f t="shared" si="3"/>
        <v>2015</v>
      </c>
      <c r="F237" t="str">
        <f>IFERROR(IF(VLOOKUP(C237,TotalRev1!A:C,3,FALSE)="","",VLOOKUP(C237,TotalRev1!A:C,3,FALSE)),"")</f>
        <v/>
      </c>
      <c r="G237" t="str">
        <f>IFERROR(IF(VLOOKUP(C237,TotalRevL!A:C,3,FALSE)="","",VLOOKUP(C237,TotalRevL!A:C,3,FALSE)),"")</f>
        <v/>
      </c>
      <c r="H237" s="26" t="str">
        <f>IFERROR(IFERROR(VLOOKUP($A237,Winpct1!$A:$K,9,FALSE),VLOOKUP($B237,Winpct1!$A:$K,9,FALSE)),"")</f>
        <v/>
      </c>
      <c r="I237" t="str">
        <f>IFERROR(IFERROR(VLOOKUP($A237,Attendance1!$B:$H,3,FALSE),VLOOKUP($B237,Attendance1!$B:$H,3,FALSE)),"")</f>
        <v/>
      </c>
      <c r="J237">
        <f>IFERROR(VLOOKUP(D237,'Pop-Metro'!A:R,E237-2005,FALSE),VLOOKUP(D237,'Pop-Micro'!A:R,E237-2005,FALSE))</f>
        <v>1253770</v>
      </c>
      <c r="K237">
        <f>IFERROR(VLOOKUP(D237,'PCI-Metro'!A:R,E237-2005,FALSE),VLOOKUP(D237,'PCI-Micro'!A:R,E237-2005,FALSE))</f>
        <v>50627</v>
      </c>
      <c r="L237" t="str">
        <f>IFERROR(IF(IFERROR(VLOOKUP($A237,Attendance1!$B:$H,5,FALSE),VLOOKUP($B237,Attendance1!$B:$H,5,FALSE))="","",IFERROR(VLOOKUP($A237,Attendance1!$B:$H,5,FALSE),VLOOKUP($B237,Attendance1!$B:$H,5,FALSE))),"")</f>
        <v/>
      </c>
    </row>
    <row r="238" spans="1:12">
      <c r="A238" t="s">
        <v>205</v>
      </c>
      <c r="B238" t="s">
        <v>205</v>
      </c>
      <c r="C238">
        <v>186283</v>
      </c>
      <c r="D238">
        <v>45940</v>
      </c>
      <c r="E238">
        <f t="shared" si="3"/>
        <v>2015</v>
      </c>
      <c r="F238" t="str">
        <f>IFERROR(IF(VLOOKUP(C238,TotalRev1!A:C,3,FALSE)="","",VLOOKUP(C238,TotalRev1!A:C,3,FALSE)),"")</f>
        <v/>
      </c>
      <c r="G238" t="str">
        <f>IFERROR(IF(VLOOKUP(C238,TotalRevL!A:C,3,FALSE)="","",VLOOKUP(C238,TotalRevL!A:C,3,FALSE)),"")</f>
        <v/>
      </c>
      <c r="H238" s="26">
        <f>IFERROR(IFERROR(VLOOKUP($A238,Winpct1!$A:$K,9,FALSE),VLOOKUP($B238,Winpct1!$A:$K,9,FALSE)),"")</f>
        <v>0.5</v>
      </c>
      <c r="I238">
        <f>IFERROR(IFERROR(VLOOKUP($A238,Attendance1!$B:$H,3,FALSE),VLOOKUP($B238,Attendance1!$B:$H,3,FALSE)),"")</f>
        <v>2539</v>
      </c>
      <c r="J238">
        <f>IFERROR(VLOOKUP(D238,'Pop-Metro'!A:R,E238-2005,FALSE),VLOOKUP(D238,'Pop-Micro'!A:R,E238-2005,FALSE))</f>
        <v>378400</v>
      </c>
      <c r="K238">
        <f>IFERROR(VLOOKUP(D238,'PCI-Metro'!A:R,E238-2005,FALSE),VLOOKUP(D238,'PCI-Micro'!A:R,E238-2005,FALSE))</f>
        <v>60323</v>
      </c>
      <c r="L238">
        <f>IFERROR(IF(IFERROR(VLOOKUP($A238,Attendance1!$B:$H,5,FALSE),VLOOKUP($B238,Attendance1!$B:$H,5,FALSE))="","",IFERROR(VLOOKUP($A238,Attendance1!$B:$H,5,FALSE),VLOOKUP($B238,Attendance1!$B:$H,5,FALSE))),"")</f>
        <v>1650</v>
      </c>
    </row>
    <row r="239" spans="1:12">
      <c r="A239" t="s">
        <v>206</v>
      </c>
      <c r="B239" t="s">
        <v>206</v>
      </c>
      <c r="C239">
        <v>215655</v>
      </c>
      <c r="D239">
        <v>38300</v>
      </c>
      <c r="E239">
        <f t="shared" si="3"/>
        <v>2015</v>
      </c>
      <c r="F239" t="str">
        <f>IFERROR(IF(VLOOKUP(C239,TotalRev1!A:C,3,FALSE)="","",VLOOKUP(C239,TotalRev1!A:C,3,FALSE)),"")</f>
        <v/>
      </c>
      <c r="G239" t="str">
        <f>IFERROR(IF(VLOOKUP(C239,TotalRevL!A:C,3,FALSE)="","",VLOOKUP(C239,TotalRevL!A:C,3,FALSE)),"")</f>
        <v/>
      </c>
      <c r="H239" s="26">
        <f>IFERROR(IFERROR(VLOOKUP($A239,Winpct1!$A:$K,9,FALSE),VLOOKUP($B239,Winpct1!$A:$K,9,FALSE)),"")</f>
        <v>0.46899999999999997</v>
      </c>
      <c r="I239">
        <f>IFERROR(IFERROR(VLOOKUP($A239,Attendance1!$B:$H,3,FALSE),VLOOKUP($B239,Attendance1!$B:$H,3,FALSE)),"")</f>
        <v>2382</v>
      </c>
      <c r="J239">
        <f>IFERROR(VLOOKUP(D239,'Pop-Metro'!A:R,E239-2005,FALSE),VLOOKUP(D239,'Pop-Micro'!A:R,E239-2005,FALSE))</f>
        <v>2379439</v>
      </c>
      <c r="K239">
        <f>IFERROR(VLOOKUP(D239,'PCI-Metro'!A:R,E239-2005,FALSE),VLOOKUP(D239,'PCI-Micro'!A:R,E239-2005,FALSE))</f>
        <v>49927</v>
      </c>
      <c r="L239">
        <f>IFERROR(IF(IFERROR(VLOOKUP($A239,Attendance1!$B:$H,5,FALSE),VLOOKUP($B239,Attendance1!$B:$H,5,FALSE))="","",IFERROR(VLOOKUP($A239,Attendance1!$B:$H,5,FALSE),VLOOKUP($B239,Attendance1!$B:$H,5,FALSE))),"")</f>
        <v>3056</v>
      </c>
    </row>
    <row r="240" spans="1:12">
      <c r="A240" t="s">
        <v>207</v>
      </c>
      <c r="B240" t="s">
        <v>207</v>
      </c>
      <c r="C240">
        <v>186380</v>
      </c>
      <c r="D240">
        <v>35620</v>
      </c>
      <c r="E240">
        <f t="shared" si="3"/>
        <v>2015</v>
      </c>
      <c r="F240">
        <f>IFERROR(IF(VLOOKUP(C240,TotalRev1!A:C,3,FALSE)="","",VLOOKUP(C240,TotalRev1!A:C,3,FALSE)),"")</f>
        <v>1337739</v>
      </c>
      <c r="G240">
        <f>IFERROR(IF(VLOOKUP(C240,TotalRevL!A:C,3,FALSE)="","",VLOOKUP(C240,TotalRevL!A:C,3,FALSE)),"")</f>
        <v>1002080</v>
      </c>
      <c r="H240" s="26">
        <f>IFERROR(IFERROR(VLOOKUP($A240,Winpct1!$A:$K,9,FALSE),VLOOKUP($B240,Winpct1!$A:$K,9,FALSE)),"")</f>
        <v>0.21199999999999999</v>
      </c>
      <c r="I240">
        <f>IFERROR(IFERROR(VLOOKUP($A240,Attendance1!$B:$H,3,FALSE),VLOOKUP($B240,Attendance1!$B:$H,3,FALSE)),"")</f>
        <v>2526</v>
      </c>
      <c r="J240">
        <f>IFERROR(VLOOKUP(D240,'Pop-Metro'!A:R,E240-2005,FALSE),VLOOKUP(D240,'Pop-Micro'!A:R,E240-2005,FALSE))</f>
        <v>19830288</v>
      </c>
      <c r="K240">
        <f>IFERROR(VLOOKUP(D240,'PCI-Metro'!A:R,E240-2005,FALSE),VLOOKUP(D240,'PCI-Micro'!A:R,E240-2005,FALSE))</f>
        <v>62877</v>
      </c>
      <c r="L240">
        <f>IFERROR(IF(IFERROR(VLOOKUP($A240,Attendance1!$B:$H,5,FALSE),VLOOKUP($B240,Attendance1!$B:$H,5,FALSE))="","",IFERROR(VLOOKUP($A240,Attendance1!$B:$H,5,FALSE),VLOOKUP($B240,Attendance1!$B:$H,5,FALSE))),"")</f>
        <v>1200</v>
      </c>
    </row>
    <row r="241" spans="1:12">
      <c r="A241" t="s">
        <v>208</v>
      </c>
      <c r="B241" t="s">
        <v>208</v>
      </c>
      <c r="C241">
        <v>110617</v>
      </c>
      <c r="D241">
        <v>40900</v>
      </c>
      <c r="E241">
        <f t="shared" si="3"/>
        <v>2015</v>
      </c>
      <c r="F241">
        <f>IFERROR(IF(VLOOKUP(C241,TotalRev1!A:C,3,FALSE)="","",VLOOKUP(C241,TotalRev1!A:C,3,FALSE)),"")</f>
        <v>548313</v>
      </c>
      <c r="G241">
        <f>IFERROR(IF(VLOOKUP(C241,TotalRevL!A:C,3,FALSE)="","",VLOOKUP(C241,TotalRevL!A:C,3,FALSE)),"")</f>
        <v>572645</v>
      </c>
      <c r="H241" s="26">
        <f>IFERROR(IFERROR(VLOOKUP($A241,Winpct1!$A:$K,9,FALSE),VLOOKUP($B241,Winpct1!$A:$K,9,FALSE)),"")</f>
        <v>0.25800000000000001</v>
      </c>
      <c r="I241">
        <f>IFERROR(IFERROR(VLOOKUP($A241,Attendance1!$B:$H,3,FALSE),VLOOKUP($B241,Attendance1!$B:$H,3,FALSE)),"")</f>
        <v>2995</v>
      </c>
      <c r="J241">
        <f>IFERROR(VLOOKUP(D241,'Pop-Metro'!A:R,E241-2005,FALSE),VLOOKUP(D241,'Pop-Micro'!A:R,E241-2005,FALSE))</f>
        <v>2274649</v>
      </c>
      <c r="K241">
        <f>IFERROR(VLOOKUP(D241,'PCI-Metro'!A:R,E241-2005,FALSE),VLOOKUP(D241,'PCI-Micro'!A:R,E241-2005,FALSE))</f>
        <v>49286</v>
      </c>
      <c r="L241">
        <f>IFERROR(IF(IFERROR(VLOOKUP($A241,Attendance1!$B:$H,5,FALSE),VLOOKUP($B241,Attendance1!$B:$H,5,FALSE))="","",IFERROR(VLOOKUP($A241,Attendance1!$B:$H,5,FALSE),VLOOKUP($B241,Attendance1!$B:$H,5,FALSE))),"")</f>
        <v>1200</v>
      </c>
    </row>
    <row r="242" spans="1:12">
      <c r="A242" t="s">
        <v>209</v>
      </c>
      <c r="B242" t="s">
        <v>209</v>
      </c>
      <c r="C242">
        <v>130253</v>
      </c>
      <c r="D242">
        <v>35300</v>
      </c>
      <c r="E242">
        <f t="shared" si="3"/>
        <v>2015</v>
      </c>
      <c r="F242" t="str">
        <f>IFERROR(IF(VLOOKUP(C242,TotalRev1!A:C,3,FALSE)="","",VLOOKUP(C242,TotalRev1!A:C,3,FALSE)),"")</f>
        <v/>
      </c>
      <c r="G242" t="str">
        <f>IFERROR(IF(VLOOKUP(C242,TotalRevL!A:C,3,FALSE)="","",VLOOKUP(C242,TotalRevL!A:C,3,FALSE)),"")</f>
        <v/>
      </c>
      <c r="H242" s="26">
        <f>IFERROR(IFERROR(VLOOKUP($A242,Winpct1!$A:$K,9,FALSE),VLOOKUP($B242,Winpct1!$A:$K,9,FALSE)),"")</f>
        <v>0.32100000000000001</v>
      </c>
      <c r="I242">
        <f>IFERROR(IFERROR(VLOOKUP($A242,Attendance1!$B:$H,3,FALSE),VLOOKUP($B242,Attendance1!$B:$H,3,FALSE)),"")</f>
        <v>2181</v>
      </c>
      <c r="J242">
        <f>IFERROR(VLOOKUP(D242,'Pop-Metro'!A:R,E242-2005,FALSE),VLOOKUP(D242,'Pop-Micro'!A:R,E242-2005,FALSE))</f>
        <v>866734</v>
      </c>
      <c r="K242">
        <f>IFERROR(VLOOKUP(D242,'PCI-Metro'!A:R,E242-2005,FALSE),VLOOKUP(D242,'PCI-Micro'!A:R,E242-2005,FALSE))</f>
        <v>50082</v>
      </c>
      <c r="L242">
        <f>IFERROR(IF(IFERROR(VLOOKUP($A242,Attendance1!$B:$H,5,FALSE),VLOOKUP($B242,Attendance1!$B:$H,5,FALSE))="","",IFERROR(VLOOKUP($A242,Attendance1!$B:$H,5,FALSE),VLOOKUP($B242,Attendance1!$B:$H,5,FALSE))),"")</f>
        <v>2100</v>
      </c>
    </row>
    <row r="243" spans="1:12">
      <c r="A243" t="s">
        <v>210</v>
      </c>
      <c r="B243" t="s">
        <v>210</v>
      </c>
      <c r="C243">
        <v>215743</v>
      </c>
      <c r="D243">
        <v>11020</v>
      </c>
      <c r="E243">
        <f t="shared" si="3"/>
        <v>2015</v>
      </c>
      <c r="F243" t="str">
        <f>IFERROR(IF(VLOOKUP(C243,TotalRev1!A:C,3,FALSE)="","",VLOOKUP(C243,TotalRev1!A:C,3,FALSE)),"")</f>
        <v/>
      </c>
      <c r="G243" t="str">
        <f>IFERROR(IF(VLOOKUP(C243,TotalRevL!A:C,3,FALSE)="","",VLOOKUP(C243,TotalRevL!A:C,3,FALSE)),"")</f>
        <v/>
      </c>
      <c r="H243" s="26" t="str">
        <f>IFERROR(IFERROR(VLOOKUP($A243,Winpct1!$A:$K,9,FALSE),VLOOKUP($B243,Winpct1!$A:$K,9,FALSE)),"")</f>
        <v/>
      </c>
      <c r="I243" t="str">
        <f>IFERROR(IFERROR(VLOOKUP($A243,Attendance1!$B:$H,3,FALSE),VLOOKUP($B243,Attendance1!$B:$H,3,FALSE)),"")</f>
        <v/>
      </c>
      <c r="J243">
        <f>IFERROR(VLOOKUP(D243,'Pop-Metro'!A:R,E243-2005,FALSE),VLOOKUP(D243,'Pop-Micro'!A:R,E243-2005,FALSE))</f>
        <v>125469</v>
      </c>
      <c r="K243">
        <f>IFERROR(VLOOKUP(D243,'PCI-Metro'!A:R,E243-2005,FALSE),VLOOKUP(D243,'PCI-Micro'!A:R,E243-2005,FALSE))</f>
        <v>40944</v>
      </c>
      <c r="L243" t="str">
        <f>IFERROR(IF(IFERROR(VLOOKUP($A243,Attendance1!$B:$H,5,FALSE),VLOOKUP($B243,Attendance1!$B:$H,5,FALSE))="","",IFERROR(VLOOKUP($A243,Attendance1!$B:$H,5,FALSE),VLOOKUP($B243,Attendance1!$B:$H,5,FALSE))),"")</f>
        <v/>
      </c>
    </row>
    <row r="244" spans="1:12">
      <c r="A244" t="s">
        <v>211</v>
      </c>
      <c r="B244" t="s">
        <v>211</v>
      </c>
      <c r="C244">
        <v>215770</v>
      </c>
      <c r="D244">
        <v>37980</v>
      </c>
      <c r="E244">
        <f t="shared" si="3"/>
        <v>2015</v>
      </c>
      <c r="F244" t="str">
        <f>IFERROR(IF(VLOOKUP(C244,TotalRev1!A:C,3,FALSE)="","",VLOOKUP(C244,TotalRev1!A:C,3,FALSE)),"")</f>
        <v/>
      </c>
      <c r="G244" t="str">
        <f>IFERROR(IF(VLOOKUP(C244,TotalRevL!A:C,3,FALSE)="","",VLOOKUP(C244,TotalRevL!A:C,3,FALSE)),"")</f>
        <v/>
      </c>
      <c r="H244" s="26" t="str">
        <f>IFERROR(IFERROR(VLOOKUP($A244,Winpct1!$A:$K,9,FALSE),VLOOKUP($B244,Winpct1!$A:$K,9,FALSE)),"")</f>
        <v/>
      </c>
      <c r="I244" t="str">
        <f>IFERROR(IFERROR(VLOOKUP($A244,Attendance1!$B:$H,3,FALSE),VLOOKUP($B244,Attendance1!$B:$H,3,FALSE)),"")</f>
        <v/>
      </c>
      <c r="J244">
        <f>IFERROR(VLOOKUP(D244,'Pop-Metro'!A:R,E244-2005,FALSE),VLOOKUP(D244,'Pop-Micro'!A:R,E244-2005,FALSE))</f>
        <v>6129946</v>
      </c>
      <c r="K244">
        <f>IFERROR(VLOOKUP(D244,'PCI-Metro'!A:R,E244-2005,FALSE),VLOOKUP(D244,'PCI-Micro'!A:R,E244-2005,FALSE))</f>
        <v>56629</v>
      </c>
      <c r="L244" t="str">
        <f>IFERROR(IF(IFERROR(VLOOKUP($A244,Attendance1!$B:$H,5,FALSE),VLOOKUP($B244,Attendance1!$B:$H,5,FALSE))="","",IFERROR(VLOOKUP($A244,Attendance1!$B:$H,5,FALSE),VLOOKUP($B244,Attendance1!$B:$H,5,FALSE))),"")</f>
        <v/>
      </c>
    </row>
    <row r="245" spans="1:12">
      <c r="A245" t="s">
        <v>212</v>
      </c>
      <c r="B245" t="s">
        <v>212</v>
      </c>
      <c r="C245">
        <v>179159</v>
      </c>
      <c r="D245">
        <v>41180</v>
      </c>
      <c r="E245">
        <f t="shared" si="3"/>
        <v>2015</v>
      </c>
      <c r="F245" t="str">
        <f>IFERROR(IF(VLOOKUP(C245,TotalRev1!A:C,3,FALSE)="","",VLOOKUP(C245,TotalRev1!A:C,3,FALSE)),"")</f>
        <v/>
      </c>
      <c r="G245" t="str">
        <f>IFERROR(IF(VLOOKUP(C245,TotalRevL!A:C,3,FALSE)="","",VLOOKUP(C245,TotalRevL!A:C,3,FALSE)),"")</f>
        <v/>
      </c>
      <c r="H245" s="26">
        <f>IFERROR(IFERROR(VLOOKUP($A245,Winpct1!$A:$K,9,FALSE),VLOOKUP($B245,Winpct1!$A:$K,9,FALSE)),"")</f>
        <v>0.67700000000000005</v>
      </c>
      <c r="I245">
        <f>IFERROR(IFERROR(VLOOKUP($A245,Attendance1!$B:$H,3,FALSE),VLOOKUP($B245,Attendance1!$B:$H,3,FALSE)),"")</f>
        <v>5718</v>
      </c>
      <c r="J245">
        <f>IFERROR(VLOOKUP(D245,'Pop-Metro'!A:R,E245-2005,FALSE),VLOOKUP(D245,'Pop-Micro'!A:R,E245-2005,FALSE))</f>
        <v>2815929</v>
      </c>
      <c r="K245">
        <f>IFERROR(VLOOKUP(D245,'PCI-Metro'!A:R,E245-2005,FALSE),VLOOKUP(D245,'PCI-Micro'!A:R,E245-2005,FALSE))</f>
        <v>49025</v>
      </c>
      <c r="L245">
        <f>IFERROR(IF(IFERROR(VLOOKUP($A245,Attendance1!$B:$H,5,FALSE),VLOOKUP($B245,Attendance1!$B:$H,5,FALSE))="","",IFERROR(VLOOKUP($A245,Attendance1!$B:$H,5,FALSE),VLOOKUP($B245,Attendance1!$B:$H,5,FALSE))),"")</f>
        <v>800</v>
      </c>
    </row>
    <row r="246" spans="1:12">
      <c r="A246" t="s">
        <v>213</v>
      </c>
      <c r="B246" t="s">
        <v>213</v>
      </c>
      <c r="C246">
        <v>123554</v>
      </c>
      <c r="D246">
        <v>41860</v>
      </c>
      <c r="E246">
        <f t="shared" si="3"/>
        <v>2015</v>
      </c>
      <c r="F246" t="str">
        <f>IFERROR(IF(VLOOKUP(C246,TotalRev1!A:C,3,FALSE)="","",VLOOKUP(C246,TotalRev1!A:C,3,FALSE)),"")</f>
        <v/>
      </c>
      <c r="G246" t="str">
        <f>IFERROR(IF(VLOOKUP(C246,TotalRevL!A:C,3,FALSE)="","",VLOOKUP(C246,TotalRevL!A:C,3,FALSE)),"")</f>
        <v/>
      </c>
      <c r="H246" s="26">
        <f>IFERROR(IFERROR(VLOOKUP($A246,Winpct1!$A:$K,9,FALSE),VLOOKUP($B246,Winpct1!$A:$K,9,FALSE)),"")</f>
        <v>0.32100000000000001</v>
      </c>
      <c r="I246">
        <f>IFERROR(IFERROR(VLOOKUP($A246,Attendance1!$B:$H,3,FALSE),VLOOKUP($B246,Attendance1!$B:$H,3,FALSE)),"")</f>
        <v>3044</v>
      </c>
      <c r="J246">
        <f>IFERROR(VLOOKUP(D246,'Pop-Metro'!A:R,E246-2005,FALSE),VLOOKUP(D246,'Pop-Micro'!A:R,E246-2005,FALSE))</f>
        <v>4669035</v>
      </c>
      <c r="K246">
        <f>IFERROR(VLOOKUP(D246,'PCI-Metro'!A:R,E246-2005,FALSE),VLOOKUP(D246,'PCI-Micro'!A:R,E246-2005,FALSE))</f>
        <v>79560</v>
      </c>
      <c r="L246">
        <f>IFERROR(IF(IFERROR(VLOOKUP($A246,Attendance1!$B:$H,5,FALSE),VLOOKUP($B246,Attendance1!$B:$H,5,FALSE))="","",IFERROR(VLOOKUP($A246,Attendance1!$B:$H,5,FALSE),VLOOKUP($B246,Attendance1!$B:$H,5,FALSE))),"")</f>
        <v>3500</v>
      </c>
    </row>
    <row r="247" spans="1:12">
      <c r="A247" t="s">
        <v>214</v>
      </c>
      <c r="B247" t="s">
        <v>214</v>
      </c>
      <c r="C247">
        <v>186432</v>
      </c>
      <c r="D247">
        <v>35620</v>
      </c>
      <c r="E247">
        <f t="shared" si="3"/>
        <v>2015</v>
      </c>
      <c r="F247" t="str">
        <f>IFERROR(IF(VLOOKUP(C247,TotalRev1!A:C,3,FALSE)="","",VLOOKUP(C247,TotalRev1!A:C,3,FALSE)),"")</f>
        <v/>
      </c>
      <c r="G247" t="str">
        <f>IFERROR(IF(VLOOKUP(C247,TotalRevL!A:C,3,FALSE)="","",VLOOKUP(C247,TotalRevL!A:C,3,FALSE)),"")</f>
        <v/>
      </c>
      <c r="H247" s="26">
        <f>IFERROR(IFERROR(VLOOKUP($A247,Winpct1!$A:$K,9,FALSE),VLOOKUP($B247,Winpct1!$A:$K,9,FALSE)),"")</f>
        <v>0.20699999999999999</v>
      </c>
      <c r="I247">
        <f>IFERROR(IFERROR(VLOOKUP($A247,Attendance1!$B:$H,3,FALSE),VLOOKUP($B247,Attendance1!$B:$H,3,FALSE)),"")</f>
        <v>1139</v>
      </c>
      <c r="J247">
        <f>IFERROR(VLOOKUP(D247,'Pop-Metro'!A:R,E247-2005,FALSE),VLOOKUP(D247,'Pop-Micro'!A:R,E247-2005,FALSE))</f>
        <v>19830288</v>
      </c>
      <c r="K247">
        <f>IFERROR(VLOOKUP(D247,'PCI-Metro'!A:R,E247-2005,FALSE),VLOOKUP(D247,'PCI-Micro'!A:R,E247-2005,FALSE))</f>
        <v>62877</v>
      </c>
      <c r="L247">
        <f>IFERROR(IF(IFERROR(VLOOKUP($A247,Attendance1!$B:$H,5,FALSE),VLOOKUP($B247,Attendance1!$B:$H,5,FALSE))="","",IFERROR(VLOOKUP($A247,Attendance1!$B:$H,5,FALSE),VLOOKUP($B247,Attendance1!$B:$H,5,FALSE))),"")</f>
        <v>3200</v>
      </c>
    </row>
    <row r="248" spans="1:12">
      <c r="A248" t="s">
        <v>1249</v>
      </c>
      <c r="B248" t="s">
        <v>215</v>
      </c>
      <c r="C248">
        <v>227881</v>
      </c>
      <c r="D248">
        <v>26660</v>
      </c>
      <c r="E248">
        <f t="shared" si="3"/>
        <v>2015</v>
      </c>
      <c r="F248">
        <f>IFERROR(IF(VLOOKUP(C248,TotalRev1!A:C,3,FALSE)="","",VLOOKUP(C248,TotalRev1!A:C,3,FALSE)),"")</f>
        <v>14190</v>
      </c>
      <c r="G248">
        <f>IFERROR(IF(VLOOKUP(C248,TotalRevL!A:C,3,FALSE)="","",VLOOKUP(C248,TotalRevL!A:C,3,FALSE)),"")</f>
        <v>18421</v>
      </c>
      <c r="H248" s="26">
        <f>IFERROR(IFERROR(VLOOKUP($A248,Winpct1!$A:$K,9,FALSE),VLOOKUP($B248,Winpct1!$A:$K,9,FALSE)),"")</f>
        <v>0.6</v>
      </c>
      <c r="I248">
        <f>IFERROR(IFERROR(VLOOKUP($A248,Attendance1!$B:$H,3,FALSE),VLOOKUP($B248,Attendance1!$B:$H,3,FALSE)),"")</f>
        <v>4158</v>
      </c>
      <c r="J248">
        <f>IFERROR(VLOOKUP(D248,'Pop-Metro'!A:R,E248-2005,FALSE),VLOOKUP(D248,'Pop-Micro'!A:R,E248-2005,FALSE))</f>
        <v>72998</v>
      </c>
      <c r="K248">
        <f>IFERROR(VLOOKUP(D248,'PCI-Metro'!A:R,E248-2005,FALSE),VLOOKUP(D248,'PCI-Micro'!A:R,E248-2005,FALSE))</f>
        <v>25771</v>
      </c>
      <c r="L248">
        <f>IFERROR(IF(IFERROR(VLOOKUP($A248,Attendance1!$B:$H,5,FALSE),VLOOKUP($B248,Attendance1!$B:$H,5,FALSE))="","",IFERROR(VLOOKUP($A248,Attendance1!$B:$H,5,FALSE),VLOOKUP($B248,Attendance1!$B:$H,5,FALSE))),"")</f>
        <v>6100</v>
      </c>
    </row>
    <row r="249" spans="1:12">
      <c r="A249" t="s">
        <v>216</v>
      </c>
      <c r="B249" t="s">
        <v>216</v>
      </c>
      <c r="C249">
        <v>102049</v>
      </c>
      <c r="D249">
        <v>13820</v>
      </c>
      <c r="E249">
        <f t="shared" si="3"/>
        <v>2015</v>
      </c>
      <c r="F249" t="str">
        <f>IFERROR(IF(VLOOKUP(C249,TotalRev1!A:C,3,FALSE)="","",VLOOKUP(C249,TotalRev1!A:C,3,FALSE)),"")</f>
        <v/>
      </c>
      <c r="G249" t="str">
        <f>IFERROR(IF(VLOOKUP(C249,TotalRevL!A:C,3,FALSE)="","",VLOOKUP(C249,TotalRevL!A:C,3,FALSE)),"")</f>
        <v/>
      </c>
      <c r="H249" s="26">
        <f>IFERROR(IFERROR(VLOOKUP($A249,Winpct1!$A:$K,9,FALSE),VLOOKUP($B249,Winpct1!$A:$K,9,FALSE)),"")</f>
        <v>0.60599999999999998</v>
      </c>
      <c r="I249">
        <f>IFERROR(IFERROR(VLOOKUP($A249,Attendance1!$B:$H,3,FALSE),VLOOKUP($B249,Attendance1!$B:$H,3,FALSE)),"")</f>
        <v>5408</v>
      </c>
      <c r="J249">
        <f>IFERROR(VLOOKUP(D249,'Pop-Metro'!A:R,E249-2005,FALSE),VLOOKUP(D249,'Pop-Micro'!A:R,E249-2005,FALSE))</f>
        <v>1092150</v>
      </c>
      <c r="K249">
        <f>IFERROR(VLOOKUP(D249,'PCI-Metro'!A:R,E249-2005,FALSE),VLOOKUP(D249,'PCI-Micro'!A:R,E249-2005,FALSE))</f>
        <v>45440</v>
      </c>
      <c r="L249">
        <f>IFERROR(IF(IFERROR(VLOOKUP($A249,Attendance1!$B:$H,5,FALSE),VLOOKUP($B249,Attendance1!$B:$H,5,FALSE))="","",IFERROR(VLOOKUP($A249,Attendance1!$B:$H,5,FALSE),VLOOKUP($B249,Attendance1!$B:$H,5,FALSE))),"")</f>
        <v>5000</v>
      </c>
    </row>
    <row r="250" spans="1:12">
      <c r="A250" t="s">
        <v>217</v>
      </c>
      <c r="B250" t="s">
        <v>217</v>
      </c>
      <c r="C250">
        <v>122436</v>
      </c>
      <c r="D250">
        <v>41740</v>
      </c>
      <c r="E250">
        <f t="shared" si="3"/>
        <v>2015</v>
      </c>
      <c r="F250" t="str">
        <f>IFERROR(IF(VLOOKUP(C250,TotalRev1!A:C,3,FALSE)="","",VLOOKUP(C250,TotalRev1!A:C,3,FALSE)),"")</f>
        <v/>
      </c>
      <c r="G250" t="str">
        <f>IFERROR(IF(VLOOKUP(C250,TotalRevL!A:C,3,FALSE)="","",VLOOKUP(C250,TotalRevL!A:C,3,FALSE)),"")</f>
        <v/>
      </c>
      <c r="H250" s="26">
        <f>IFERROR(IFERROR(VLOOKUP($A250,Winpct1!$A:$K,9,FALSE),VLOOKUP($B250,Winpct1!$A:$K,9,FALSE)),"")</f>
        <v>0.61299999999999999</v>
      </c>
      <c r="I250">
        <f>IFERROR(IFERROR(VLOOKUP($A250,Attendance1!$B:$H,3,FALSE),VLOOKUP($B250,Attendance1!$B:$H,3,FALSE)),"")</f>
        <v>6282</v>
      </c>
      <c r="J250">
        <f>IFERROR(VLOOKUP(D250,'Pop-Metro'!A:R,E250-2005,FALSE),VLOOKUP(D250,'Pop-Micro'!A:R,E250-2005,FALSE))</f>
        <v>3262566</v>
      </c>
      <c r="K250">
        <f>IFERROR(VLOOKUP(D250,'PCI-Metro'!A:R,E250-2005,FALSE),VLOOKUP(D250,'PCI-Micro'!A:R,E250-2005,FALSE))</f>
        <v>53357</v>
      </c>
      <c r="L250">
        <f>IFERROR(IF(IFERROR(VLOOKUP($A250,Attendance1!$B:$H,5,FALSE),VLOOKUP($B250,Attendance1!$B:$H,5,FALSE))="","",IFERROR(VLOOKUP($A250,Attendance1!$B:$H,5,FALSE),VLOOKUP($B250,Attendance1!$B:$H,5,FALSE))),"")</f>
        <v>5100</v>
      </c>
    </row>
    <row r="251" spans="1:12">
      <c r="A251" t="s">
        <v>218</v>
      </c>
      <c r="B251" t="s">
        <v>218</v>
      </c>
      <c r="C251">
        <v>122409</v>
      </c>
      <c r="D251">
        <v>41740</v>
      </c>
      <c r="E251">
        <f t="shared" si="3"/>
        <v>2015</v>
      </c>
      <c r="F251">
        <f>IFERROR(IF(VLOOKUP(C251,TotalRev1!A:C,3,FALSE)="","",VLOOKUP(C251,TotalRev1!A:C,3,FALSE)),"")</f>
        <v>897319</v>
      </c>
      <c r="G251">
        <f>IFERROR(IF(VLOOKUP(C251,TotalRevL!A:C,3,FALSE)="","",VLOOKUP(C251,TotalRevL!A:C,3,FALSE)),"")</f>
        <v>749534</v>
      </c>
      <c r="H251" s="26">
        <f>IFERROR(IFERROR(VLOOKUP($A251,Winpct1!$A:$K,9,FALSE),VLOOKUP($B251,Winpct1!$A:$K,9,FALSE)),"")</f>
        <v>0.48299999999999998</v>
      </c>
      <c r="I251">
        <f>IFERROR(IFERROR(VLOOKUP($A251,Attendance1!$B:$H,3,FALSE),VLOOKUP($B251,Attendance1!$B:$H,3,FALSE)),"")</f>
        <v>4794</v>
      </c>
      <c r="J251">
        <f>IFERROR(VLOOKUP(D251,'Pop-Metro'!A:R,E251-2005,FALSE),VLOOKUP(D251,'Pop-Micro'!A:R,E251-2005,FALSE))</f>
        <v>3262566</v>
      </c>
      <c r="K251">
        <f>IFERROR(VLOOKUP(D251,'PCI-Metro'!A:R,E251-2005,FALSE),VLOOKUP(D251,'PCI-Micro'!A:R,E251-2005,FALSE))</f>
        <v>53357</v>
      </c>
      <c r="L251">
        <f>IFERROR(IF(IFERROR(VLOOKUP($A251,Attendance1!$B:$H,5,FALSE),VLOOKUP($B251,Attendance1!$B:$H,5,FALSE))="","",IFERROR(VLOOKUP($A251,Attendance1!$B:$H,5,FALSE),VLOOKUP($B251,Attendance1!$B:$H,5,FALSE))),"")</f>
        <v>2500</v>
      </c>
    </row>
    <row r="252" spans="1:12">
      <c r="A252" t="s">
        <v>1301</v>
      </c>
      <c r="B252" t="s">
        <v>1301</v>
      </c>
      <c r="C252">
        <v>122612</v>
      </c>
      <c r="D252">
        <v>41860</v>
      </c>
      <c r="E252">
        <f t="shared" si="3"/>
        <v>2015</v>
      </c>
      <c r="F252" t="str">
        <f>IFERROR(IF(VLOOKUP(C252,TotalRev1!A:C,3,FALSE)="","",VLOOKUP(C252,TotalRev1!A:C,3,FALSE)),"")</f>
        <v/>
      </c>
      <c r="G252" t="str">
        <f>IFERROR(IF(VLOOKUP(C252,TotalRevL!A:C,3,FALSE)="","",VLOOKUP(C252,TotalRevL!A:C,3,FALSE)),"")</f>
        <v/>
      </c>
      <c r="H252" s="26">
        <f>IFERROR(IFERROR(VLOOKUP($A252,Winpct1!$A:$K,9,FALSE),VLOOKUP($B252,Winpct1!$A:$K,9,FALSE)),"")</f>
        <v>0.4</v>
      </c>
      <c r="I252">
        <f>IFERROR(IFERROR(VLOOKUP($A252,Attendance1!$B:$H,3,FALSE),VLOOKUP($B252,Attendance1!$B:$H,3,FALSE)),"")</f>
        <v>3004</v>
      </c>
      <c r="J252">
        <f>IFERROR(VLOOKUP(D252,'Pop-Metro'!A:R,E252-2005,FALSE),VLOOKUP(D252,'Pop-Micro'!A:R,E252-2005,FALSE))</f>
        <v>4669035</v>
      </c>
      <c r="K252">
        <f>IFERROR(VLOOKUP(D252,'PCI-Metro'!A:R,E252-2005,FALSE),VLOOKUP(D252,'PCI-Micro'!A:R,E252-2005,FALSE))</f>
        <v>79560</v>
      </c>
      <c r="L252">
        <f>IFERROR(IF(IFERROR(VLOOKUP($A252,Attendance1!$B:$H,5,FALSE),VLOOKUP($B252,Attendance1!$B:$H,5,FALSE))="","",IFERROR(VLOOKUP($A252,Attendance1!$B:$H,5,FALSE),VLOOKUP($B252,Attendance1!$B:$H,5,FALSE))),"")</f>
        <v>5300</v>
      </c>
    </row>
    <row r="253" spans="1:12">
      <c r="A253" t="s">
        <v>219</v>
      </c>
      <c r="B253" t="s">
        <v>219</v>
      </c>
      <c r="C253">
        <v>122755</v>
      </c>
      <c r="D253">
        <v>41940</v>
      </c>
      <c r="E253">
        <f t="shared" si="3"/>
        <v>2015</v>
      </c>
      <c r="F253">
        <f>IFERROR(IF(VLOOKUP(C253,TotalRev1!A:C,3,FALSE)="","",VLOOKUP(C253,TotalRev1!A:C,3,FALSE)),"")</f>
        <v>22414</v>
      </c>
      <c r="G253">
        <f>IFERROR(IF(VLOOKUP(C253,TotalRevL!A:C,3,FALSE)="","",VLOOKUP(C253,TotalRevL!A:C,3,FALSE)),"")</f>
        <v>16756</v>
      </c>
      <c r="H253" s="26">
        <f>IFERROR(IFERROR(VLOOKUP($A253,Winpct1!$A:$K,9,FALSE),VLOOKUP($B253,Winpct1!$A:$K,9,FALSE)),"")</f>
        <v>0.129</v>
      </c>
      <c r="I253">
        <f>IFERROR(IFERROR(VLOOKUP($A253,Attendance1!$B:$H,3,FALSE),VLOOKUP($B253,Attendance1!$B:$H,3,FALSE)),"")</f>
        <v>2641</v>
      </c>
      <c r="J253">
        <f>IFERROR(VLOOKUP(D253,'Pop-Metro'!A:R,E253-2005,FALSE),VLOOKUP(D253,'Pop-Micro'!A:R,E253-2005,FALSE))</f>
        <v>1985975</v>
      </c>
      <c r="K253">
        <f>IFERROR(VLOOKUP(D253,'PCI-Metro'!A:R,E253-2005,FALSE),VLOOKUP(D253,'PCI-Micro'!A:R,E253-2005,FALSE))</f>
        <v>82603</v>
      </c>
      <c r="L253">
        <f>IFERROR(IF(IFERROR(VLOOKUP($A253,Attendance1!$B:$H,5,FALSE),VLOOKUP($B253,Attendance1!$B:$H,5,FALSE))="","",IFERROR(VLOOKUP($A253,Attendance1!$B:$H,5,FALSE),VLOOKUP($B253,Attendance1!$B:$H,5,FALSE))),"")</f>
        <v>1200</v>
      </c>
    </row>
    <row r="254" spans="1:12">
      <c r="A254" t="s">
        <v>220</v>
      </c>
      <c r="B254" t="s">
        <v>220</v>
      </c>
      <c r="C254">
        <v>122931</v>
      </c>
      <c r="D254">
        <v>41940</v>
      </c>
      <c r="E254">
        <f t="shared" si="3"/>
        <v>2015</v>
      </c>
      <c r="F254" t="str">
        <f>IFERROR(IF(VLOOKUP(C254,TotalRev1!A:C,3,FALSE)="","",VLOOKUP(C254,TotalRev1!A:C,3,FALSE)),"")</f>
        <v/>
      </c>
      <c r="G254" t="str">
        <f>IFERROR(IF(VLOOKUP(C254,TotalRevL!A:C,3,FALSE)="","",VLOOKUP(C254,TotalRevL!A:C,3,FALSE)),"")</f>
        <v/>
      </c>
      <c r="H254" s="26">
        <f>IFERROR(IFERROR(VLOOKUP($A254,Winpct1!$A:$K,9,FALSE),VLOOKUP($B254,Winpct1!$A:$K,9,FALSE)),"")</f>
        <v>0.68799999999999994</v>
      </c>
      <c r="I254">
        <f>IFERROR(IFERROR(VLOOKUP($A254,Attendance1!$B:$H,3,FALSE),VLOOKUP($B254,Attendance1!$B:$H,3,FALSE)),"")</f>
        <v>2848</v>
      </c>
      <c r="J254">
        <f>IFERROR(VLOOKUP(D254,'Pop-Metro'!A:R,E254-2005,FALSE),VLOOKUP(D254,'Pop-Micro'!A:R,E254-2005,FALSE))</f>
        <v>1985975</v>
      </c>
      <c r="K254">
        <f>IFERROR(VLOOKUP(D254,'PCI-Metro'!A:R,E254-2005,FALSE),VLOOKUP(D254,'PCI-Micro'!A:R,E254-2005,FALSE))</f>
        <v>82603</v>
      </c>
      <c r="L254">
        <f>IFERROR(IF(IFERROR(VLOOKUP($A254,Attendance1!$B:$H,5,FALSE),VLOOKUP($B254,Attendance1!$B:$H,5,FALSE))="","",IFERROR(VLOOKUP($A254,Attendance1!$B:$H,5,FALSE),VLOOKUP($B254,Attendance1!$B:$H,5,FALSE))),"")</f>
        <v>4200</v>
      </c>
    </row>
    <row r="255" spans="1:12">
      <c r="A255" t="s">
        <v>221</v>
      </c>
      <c r="B255" t="s">
        <v>221</v>
      </c>
      <c r="C255">
        <v>236595</v>
      </c>
      <c r="D255">
        <v>42660</v>
      </c>
      <c r="E255">
        <f t="shared" si="3"/>
        <v>2015</v>
      </c>
      <c r="F255" t="str">
        <f>IFERROR(IF(VLOOKUP(C255,TotalRev1!A:C,3,FALSE)="","",VLOOKUP(C255,TotalRev1!A:C,3,FALSE)),"")</f>
        <v/>
      </c>
      <c r="G255" t="str">
        <f>IFERROR(IF(VLOOKUP(C255,TotalRevL!A:C,3,FALSE)="","",VLOOKUP(C255,TotalRevL!A:C,3,FALSE)),"")</f>
        <v/>
      </c>
      <c r="H255" s="26">
        <f>IFERROR(IFERROR(VLOOKUP($A255,Winpct1!$A:$K,9,FALSE),VLOOKUP($B255,Winpct1!$A:$K,9,FALSE)),"")</f>
        <v>0.45200000000000001</v>
      </c>
      <c r="I255">
        <f>IFERROR(IFERROR(VLOOKUP($A255,Attendance1!$B:$H,3,FALSE),VLOOKUP($B255,Attendance1!$B:$H,3,FALSE)),"")</f>
        <v>2072</v>
      </c>
      <c r="J255">
        <f>IFERROR(VLOOKUP(D255,'Pop-Metro'!A:R,E255-2005,FALSE),VLOOKUP(D255,'Pop-Micro'!A:R,E255-2005,FALSE))</f>
        <v>3745182</v>
      </c>
      <c r="K255">
        <f>IFERROR(VLOOKUP(D255,'PCI-Metro'!A:R,E255-2005,FALSE),VLOOKUP(D255,'PCI-Micro'!A:R,E255-2005,FALSE))</f>
        <v>62060</v>
      </c>
      <c r="L255">
        <f>IFERROR(IF(IFERROR(VLOOKUP($A255,Attendance1!$B:$H,5,FALSE),VLOOKUP($B255,Attendance1!$B:$H,5,FALSE))="","",IFERROR(VLOOKUP($A255,Attendance1!$B:$H,5,FALSE),VLOOKUP($B255,Attendance1!$B:$H,5,FALSE))),"")</f>
        <v>1000</v>
      </c>
    </row>
    <row r="256" spans="1:12">
      <c r="A256" t="s">
        <v>222</v>
      </c>
      <c r="B256" t="s">
        <v>222</v>
      </c>
      <c r="C256">
        <v>186584</v>
      </c>
      <c r="D256">
        <v>35620</v>
      </c>
      <c r="E256">
        <f t="shared" si="3"/>
        <v>2015</v>
      </c>
      <c r="F256" t="str">
        <f>IFERROR(IF(VLOOKUP(C256,TotalRev1!A:C,3,FALSE)="","",VLOOKUP(C256,TotalRev1!A:C,3,FALSE)),"")</f>
        <v/>
      </c>
      <c r="G256" t="str">
        <f>IFERROR(IF(VLOOKUP(C256,TotalRevL!A:C,3,FALSE)="","",VLOOKUP(C256,TotalRevL!A:C,3,FALSE)),"")</f>
        <v/>
      </c>
      <c r="H256" s="26">
        <f>IFERROR(IFERROR(VLOOKUP($A256,Winpct1!$A:$K,9,FALSE),VLOOKUP($B256,Winpct1!$A:$K,9,FALSE)),"")</f>
        <v>0.77800000000000002</v>
      </c>
      <c r="I256">
        <f>IFERROR(IFERROR(VLOOKUP($A256,Attendance1!$B:$H,3,FALSE),VLOOKUP($B256,Attendance1!$B:$H,3,FALSE)),"")</f>
        <v>4250</v>
      </c>
      <c r="J256">
        <f>IFERROR(VLOOKUP(D256,'Pop-Metro'!A:R,E256-2005,FALSE),VLOOKUP(D256,'Pop-Micro'!A:R,E256-2005,FALSE))</f>
        <v>19830288</v>
      </c>
      <c r="K256">
        <f>IFERROR(VLOOKUP(D256,'PCI-Metro'!A:R,E256-2005,FALSE),VLOOKUP(D256,'PCI-Micro'!A:R,E256-2005,FALSE))</f>
        <v>62877</v>
      </c>
      <c r="L256">
        <f>IFERROR(IF(IFERROR(VLOOKUP($A256,Attendance1!$B:$H,5,FALSE),VLOOKUP($B256,Attendance1!$B:$H,5,FALSE))="","",IFERROR(VLOOKUP($A256,Attendance1!$B:$H,5,FALSE),VLOOKUP($B256,Attendance1!$B:$H,5,FALSE))),"")</f>
        <v>2600</v>
      </c>
    </row>
    <row r="257" spans="1:12">
      <c r="A257" t="s">
        <v>223</v>
      </c>
      <c r="B257" t="s">
        <v>223</v>
      </c>
      <c r="C257">
        <v>228431</v>
      </c>
      <c r="D257">
        <v>34860</v>
      </c>
      <c r="E257">
        <f t="shared" si="3"/>
        <v>2015</v>
      </c>
      <c r="F257">
        <f>IFERROR(IF(VLOOKUP(C257,TotalRev1!A:C,3,FALSE)="","",VLOOKUP(C257,TotalRev1!A:C,3,FALSE)),"")</f>
        <v>506575</v>
      </c>
      <c r="G257">
        <f>IFERROR(IF(VLOOKUP(C257,TotalRevL!A:C,3,FALSE)="","",VLOOKUP(C257,TotalRevL!A:C,3,FALSE)),"")</f>
        <v>517461</v>
      </c>
      <c r="H257" s="26">
        <f>IFERROR(IFERROR(VLOOKUP($A257,Winpct1!$A:$K,9,FALSE),VLOOKUP($B257,Winpct1!$A:$K,9,FALSE)),"")</f>
        <v>0.75</v>
      </c>
      <c r="I257">
        <f>IFERROR(IFERROR(VLOOKUP($A257,Attendance1!$B:$H,3,FALSE),VLOOKUP($B257,Attendance1!$B:$H,3,FALSE)),"")</f>
        <v>3728</v>
      </c>
      <c r="J257">
        <f>IFERROR(VLOOKUP(D257,'Pop-Metro'!A:R,E257-2005,FALSE),VLOOKUP(D257,'Pop-Micro'!A:R,E257-2005,FALSE))</f>
        <v>65393</v>
      </c>
      <c r="K257">
        <f>IFERROR(VLOOKUP(D257,'PCI-Metro'!A:R,E257-2005,FALSE),VLOOKUP(D257,'PCI-Micro'!A:R,E257-2005,FALSE))</f>
        <v>35576</v>
      </c>
      <c r="L257">
        <f>IFERROR(IF(IFERROR(VLOOKUP($A257,Attendance1!$B:$H,5,FALSE),VLOOKUP($B257,Attendance1!$B:$H,5,FALSE))="","",IFERROR(VLOOKUP($A257,Attendance1!$B:$H,5,FALSE),VLOOKUP($B257,Attendance1!$B:$H,5,FALSE))),"")</f>
        <v>600</v>
      </c>
    </row>
    <row r="258" spans="1:12">
      <c r="A258" t="s">
        <v>224</v>
      </c>
      <c r="B258" t="s">
        <v>224</v>
      </c>
      <c r="C258">
        <v>195474</v>
      </c>
      <c r="D258">
        <v>10580</v>
      </c>
      <c r="E258">
        <f t="shared" si="3"/>
        <v>2015</v>
      </c>
      <c r="F258" t="str">
        <f>IFERROR(IF(VLOOKUP(C258,TotalRev1!A:C,3,FALSE)="","",VLOOKUP(C258,TotalRev1!A:C,3,FALSE)),"")</f>
        <v/>
      </c>
      <c r="G258" t="str">
        <f>IFERROR(IF(VLOOKUP(C258,TotalRevL!A:C,3,FALSE)="","",VLOOKUP(C258,TotalRevL!A:C,3,FALSE)),"")</f>
        <v/>
      </c>
      <c r="H258" s="26">
        <f>IFERROR(IFERROR(VLOOKUP($A258,Winpct1!$A:$K,9,FALSE),VLOOKUP($B258,Winpct1!$A:$K,9,FALSE)),"")</f>
        <v>0.55900000000000005</v>
      </c>
      <c r="I258">
        <f>IFERROR(IFERROR(VLOOKUP($A258,Attendance1!$B:$H,3,FALSE),VLOOKUP($B258,Attendance1!$B:$H,3,FALSE)),"")</f>
        <v>1080</v>
      </c>
      <c r="J258">
        <f>IFERROR(VLOOKUP(D258,'Pop-Metro'!A:R,E258-2005,FALSE),VLOOKUP(D258,'Pop-Micro'!A:R,E258-2005,FALSE))</f>
        <v>889918</v>
      </c>
      <c r="K258">
        <f>IFERROR(VLOOKUP(D258,'PCI-Metro'!A:R,E258-2005,FALSE),VLOOKUP(D258,'PCI-Micro'!A:R,E258-2005,FALSE))</f>
        <v>51103</v>
      </c>
      <c r="L258">
        <f>IFERROR(IF(IFERROR(VLOOKUP($A258,Attendance1!$B:$H,5,FALSE),VLOOKUP($B258,Attendance1!$B:$H,5,FALSE))="","",IFERROR(VLOOKUP($A258,Attendance1!$B:$H,5,FALSE),VLOOKUP($B258,Attendance1!$B:$H,5,FALSE))),"")</f>
        <v>4000</v>
      </c>
    </row>
    <row r="259" spans="1:12">
      <c r="A259" t="s">
        <v>225</v>
      </c>
      <c r="B259" t="s">
        <v>225</v>
      </c>
      <c r="C259">
        <v>149231</v>
      </c>
      <c r="D259">
        <v>41180</v>
      </c>
      <c r="E259">
        <f t="shared" si="3"/>
        <v>2015</v>
      </c>
      <c r="F259">
        <f>IFERROR(IF(VLOOKUP(C259,TotalRev1!A:C,3,FALSE)="","",VLOOKUP(C259,TotalRev1!A:C,3,FALSE)),"")</f>
        <v>377824</v>
      </c>
      <c r="G259">
        <f>IFERROR(IF(VLOOKUP(C259,TotalRevL!A:C,3,FALSE)="","",VLOOKUP(C259,TotalRevL!A:C,3,FALSE)),"")</f>
        <v>440708</v>
      </c>
      <c r="H259" s="26">
        <f>IFERROR(IFERROR(VLOOKUP($A259,Winpct1!$A:$K,9,FALSE),VLOOKUP($B259,Winpct1!$A:$K,9,FALSE)),"")</f>
        <v>0.45200000000000001</v>
      </c>
      <c r="I259">
        <f>IFERROR(IFERROR(VLOOKUP($A259,Attendance1!$B:$H,3,FALSE),VLOOKUP($B259,Attendance1!$B:$H,3,FALSE)),"")</f>
        <v>3487</v>
      </c>
      <c r="J259">
        <f>IFERROR(VLOOKUP(D259,'Pop-Metro'!A:R,E259-2005,FALSE),VLOOKUP(D259,'Pop-Micro'!A:R,E259-2005,FALSE))</f>
        <v>2815929</v>
      </c>
      <c r="K259">
        <f>IFERROR(VLOOKUP(D259,'PCI-Metro'!A:R,E259-2005,FALSE),VLOOKUP(D259,'PCI-Micro'!A:R,E259-2005,FALSE))</f>
        <v>49025</v>
      </c>
      <c r="L259">
        <f>IFERROR(IF(IFERROR(VLOOKUP($A259,Attendance1!$B:$H,5,FALSE),VLOOKUP($B259,Attendance1!$B:$H,5,FALSE))="","",IFERROR(VLOOKUP($A259,Attendance1!$B:$H,5,FALSE),VLOOKUP($B259,Attendance1!$B:$H,5,FALSE))),"")</f>
        <v>4000</v>
      </c>
    </row>
    <row r="260" spans="1:12">
      <c r="A260" t="s">
        <v>1302</v>
      </c>
      <c r="B260" t="s">
        <v>1302</v>
      </c>
      <c r="C260">
        <v>228246</v>
      </c>
      <c r="D260">
        <v>19100</v>
      </c>
      <c r="E260">
        <f t="shared" ref="E260:E323" si="4">E$2</f>
        <v>2015</v>
      </c>
      <c r="F260" t="str">
        <f>IFERROR(IF(VLOOKUP(C260,TotalRev1!A:C,3,FALSE)="","",VLOOKUP(C260,TotalRev1!A:C,3,FALSE)),"")</f>
        <v/>
      </c>
      <c r="G260" t="str">
        <f>IFERROR(IF(VLOOKUP(C260,TotalRevL!A:C,3,FALSE)="","",VLOOKUP(C260,TotalRevL!A:C,3,FALSE)),"")</f>
        <v/>
      </c>
      <c r="H260" s="26">
        <f>IFERROR(IFERROR(VLOOKUP($A260,Winpct1!$A:$K,9,FALSE),VLOOKUP($B260,Winpct1!$A:$K,9,FALSE)),"")</f>
        <v>0.81299999999999994</v>
      </c>
      <c r="I260">
        <f>IFERROR(IFERROR(VLOOKUP($A260,Attendance1!$B:$H,3,FALSE),VLOOKUP($B260,Attendance1!$B:$H,3,FALSE)),"")</f>
        <v>8625</v>
      </c>
      <c r="J260">
        <f>IFERROR(VLOOKUP(D260,'Pop-Metro'!A:R,E260-2005,FALSE),VLOOKUP(D260,'Pop-Micro'!A:R,E260-2005,FALSE))</f>
        <v>7026835</v>
      </c>
      <c r="K260">
        <f>IFERROR(VLOOKUP(D260,'PCI-Metro'!A:R,E260-2005,FALSE),VLOOKUP(D260,'PCI-Micro'!A:R,E260-2005,FALSE))</f>
        <v>50821</v>
      </c>
      <c r="L260">
        <f>IFERROR(IF(IFERROR(VLOOKUP($A260,Attendance1!$B:$H,5,FALSE),VLOOKUP($B260,Attendance1!$B:$H,5,FALSE))="","",IFERROR(VLOOKUP($A260,Attendance1!$B:$H,5,FALSE),VLOOKUP($B260,Attendance1!$B:$H,5,FALSE))),"")</f>
        <v>8998</v>
      </c>
    </row>
    <row r="261" spans="1:12">
      <c r="A261" t="s">
        <v>226</v>
      </c>
      <c r="B261" t="s">
        <v>226</v>
      </c>
      <c r="C261">
        <v>102094</v>
      </c>
      <c r="D261">
        <v>33660</v>
      </c>
      <c r="E261">
        <f t="shared" si="4"/>
        <v>2015</v>
      </c>
      <c r="F261" t="str">
        <f>IFERROR(IF(VLOOKUP(C261,TotalRev1!A:C,3,FALSE)="","",VLOOKUP(C261,TotalRev1!A:C,3,FALSE)),"")</f>
        <v/>
      </c>
      <c r="G261">
        <f>IFERROR(IF(VLOOKUP(C261,TotalRevL!A:C,3,FALSE)="","",VLOOKUP(C261,TotalRevL!A:C,3,FALSE)),"")</f>
        <v>705994</v>
      </c>
      <c r="H261" s="26">
        <f>IFERROR(IFERROR(VLOOKUP($A261,Winpct1!$A:$K,9,FALSE),VLOOKUP($B261,Winpct1!$A:$K,9,FALSE)),"")</f>
        <v>0.38700000000000001</v>
      </c>
      <c r="I261">
        <f>IFERROR(IFERROR(VLOOKUP($A261,Attendance1!$B:$H,3,FALSE),VLOOKUP($B261,Attendance1!$B:$H,3,FALSE)),"")</f>
        <v>2417</v>
      </c>
      <c r="J261">
        <f>IFERROR(VLOOKUP(D261,'Pop-Metro'!A:R,E261-2005,FALSE),VLOOKUP(D261,'Pop-Micro'!A:R,E261-2005,FALSE))</f>
        <v>432080</v>
      </c>
      <c r="K261">
        <f>IFERROR(VLOOKUP(D261,'PCI-Metro'!A:R,E261-2005,FALSE),VLOOKUP(D261,'PCI-Micro'!A:R,E261-2005,FALSE))</f>
        <v>35705</v>
      </c>
      <c r="L261">
        <f>IFERROR(IF(IFERROR(VLOOKUP($A261,Attendance1!$B:$H,5,FALSE),VLOOKUP($B261,Attendance1!$B:$H,5,FALSE))="","",IFERROR(VLOOKUP($A261,Attendance1!$B:$H,5,FALSE),VLOOKUP($B261,Attendance1!$B:$H,5,FALSE))),"")</f>
        <v>800</v>
      </c>
    </row>
    <row r="262" spans="1:12">
      <c r="A262" t="s">
        <v>227</v>
      </c>
      <c r="B262" t="s">
        <v>227</v>
      </c>
      <c r="C262">
        <v>218663</v>
      </c>
      <c r="D262">
        <v>17900</v>
      </c>
      <c r="E262">
        <f t="shared" si="4"/>
        <v>2015</v>
      </c>
      <c r="F262">
        <f>IFERROR(IF(VLOOKUP(C262,TotalRev1!A:C,3,FALSE)="","",VLOOKUP(C262,TotalRev1!A:C,3,FALSE)),"")</f>
        <v>190009</v>
      </c>
      <c r="G262">
        <f>IFERROR(IF(VLOOKUP(C262,TotalRevL!A:C,3,FALSE)="","",VLOOKUP(C262,TotalRevL!A:C,3,FALSE)),"")</f>
        <v>116317</v>
      </c>
      <c r="H262" s="26">
        <f>IFERROR(IFERROR(VLOOKUP($A262,Winpct1!$A:$K,9,FALSE),VLOOKUP($B262,Winpct1!$A:$K,9,FALSE)),"")</f>
        <v>0.54800000000000004</v>
      </c>
      <c r="I262">
        <f>IFERROR(IFERROR(VLOOKUP($A262,Attendance1!$B:$H,3,FALSE),VLOOKUP($B262,Attendance1!$B:$H,3,FALSE)),"")</f>
        <v>18581</v>
      </c>
      <c r="J262">
        <f>IFERROR(VLOOKUP(D262,'Pop-Metro'!A:R,E262-2005,FALSE),VLOOKUP(D262,'Pop-Micro'!A:R,E262-2005,FALSE))</f>
        <v>801380</v>
      </c>
      <c r="K262">
        <f>IFERROR(VLOOKUP(D262,'PCI-Metro'!A:R,E262-2005,FALSE),VLOOKUP(D262,'PCI-Micro'!A:R,E262-2005,FALSE))</f>
        <v>41217</v>
      </c>
      <c r="L262">
        <f>IFERROR(IF(IFERROR(VLOOKUP($A262,Attendance1!$B:$H,5,FALSE),VLOOKUP($B262,Attendance1!$B:$H,5,FALSE))="","",IFERROR(VLOOKUP($A262,Attendance1!$B:$H,5,FALSE),VLOOKUP($B262,Attendance1!$B:$H,5,FALSE))),"")</f>
        <v>1200</v>
      </c>
    </row>
    <row r="263" spans="1:12">
      <c r="A263" t="s">
        <v>228</v>
      </c>
      <c r="B263" t="s">
        <v>228</v>
      </c>
      <c r="C263">
        <v>218733</v>
      </c>
      <c r="D263">
        <v>36700</v>
      </c>
      <c r="E263">
        <f t="shared" si="4"/>
        <v>2015</v>
      </c>
      <c r="F263" t="str">
        <f>IFERROR(IF(VLOOKUP(C263,TotalRev1!A:C,3,FALSE)="","",VLOOKUP(C263,TotalRev1!A:C,3,FALSE)),"")</f>
        <v/>
      </c>
      <c r="G263" t="str">
        <f>IFERROR(IF(VLOOKUP(C263,TotalRevL!A:C,3,FALSE)="","",VLOOKUP(C263,TotalRevL!A:C,3,FALSE)),"")</f>
        <v/>
      </c>
      <c r="H263" s="26">
        <f>IFERROR(IFERROR(VLOOKUP($A263,Winpct1!$A:$K,9,FALSE),VLOOKUP($B263,Winpct1!$A:$K,9,FALSE)),"")</f>
        <v>0.111</v>
      </c>
      <c r="I263">
        <f>IFERROR(IFERROR(VLOOKUP($A263,Attendance1!$B:$H,3,FALSE),VLOOKUP($B263,Attendance1!$B:$H,3,FALSE)),"")</f>
        <v>1541</v>
      </c>
      <c r="J263">
        <f>IFERROR(VLOOKUP(D263,'Pop-Metro'!A:R,E263-2005,FALSE),VLOOKUP(D263,'Pop-Micro'!A:R,E263-2005,FALSE))</f>
        <v>88402</v>
      </c>
      <c r="K263">
        <f>IFERROR(VLOOKUP(D263,'PCI-Metro'!A:R,E263-2005,FALSE),VLOOKUP(D263,'PCI-Micro'!A:R,E263-2005,FALSE))</f>
        <v>31046</v>
      </c>
      <c r="L263">
        <f>IFERROR(IF(IFERROR(VLOOKUP($A263,Attendance1!$B:$H,5,FALSE),VLOOKUP($B263,Attendance1!$B:$H,5,FALSE))="","",IFERROR(VLOOKUP($A263,Attendance1!$B:$H,5,FALSE),VLOOKUP($B263,Attendance1!$B:$H,5,FALSE))),"")</f>
        <v>3200</v>
      </c>
    </row>
    <row r="264" spans="1:12">
      <c r="A264" t="s">
        <v>229</v>
      </c>
      <c r="B264" t="s">
        <v>229</v>
      </c>
      <c r="C264">
        <v>219471</v>
      </c>
      <c r="D264">
        <v>46820</v>
      </c>
      <c r="E264">
        <f t="shared" si="4"/>
        <v>2015</v>
      </c>
      <c r="F264">
        <f>IFERROR(IF(VLOOKUP(C264,TotalRev1!A:C,3,FALSE)="","",VLOOKUP(C264,TotalRev1!A:C,3,FALSE)),"")</f>
        <v>290041</v>
      </c>
      <c r="G264">
        <f>IFERROR(IF(VLOOKUP(C264,TotalRevL!A:C,3,FALSE)="","",VLOOKUP(C264,TotalRevL!A:C,3,FALSE)),"")</f>
        <v>507268</v>
      </c>
      <c r="H264" s="26">
        <f>IFERROR(IFERROR(VLOOKUP($A264,Winpct1!$A:$K,9,FALSE),VLOOKUP($B264,Winpct1!$A:$K,9,FALSE)),"")</f>
        <v>0.61299999999999999</v>
      </c>
      <c r="I264">
        <f>IFERROR(IFERROR(VLOOKUP($A264,Attendance1!$B:$H,3,FALSE),VLOOKUP($B264,Attendance1!$B:$H,3,FALSE)),"")</f>
        <v>2893</v>
      </c>
      <c r="J264">
        <f>IFERROR(VLOOKUP(D264,'Pop-Metro'!A:R,E264-2005,FALSE),VLOOKUP(D264,'Pop-Micro'!A:R,E264-2005,FALSE))</f>
        <v>14175</v>
      </c>
      <c r="K264">
        <f>IFERROR(VLOOKUP(D264,'PCI-Metro'!A:R,E264-2005,FALSE),VLOOKUP(D264,'PCI-Micro'!A:R,E264-2005,FALSE))</f>
        <v>33909</v>
      </c>
      <c r="L264">
        <f>IFERROR(IF(IFERROR(VLOOKUP($A264,Attendance1!$B:$H,5,FALSE),VLOOKUP($B264,Attendance1!$B:$H,5,FALSE))="","",IFERROR(VLOOKUP($A264,Attendance1!$B:$H,5,FALSE),VLOOKUP($B264,Attendance1!$B:$H,5,FALSE))),"")</f>
        <v>10000</v>
      </c>
    </row>
    <row r="265" spans="1:12">
      <c r="A265" t="s">
        <v>230</v>
      </c>
      <c r="B265" t="s">
        <v>230</v>
      </c>
      <c r="C265">
        <v>219356</v>
      </c>
      <c r="D265">
        <v>15100</v>
      </c>
      <c r="E265">
        <f t="shared" si="4"/>
        <v>2015</v>
      </c>
      <c r="F265">
        <f>IFERROR(IF(VLOOKUP(C265,TotalRev1!A:C,3,FALSE)="","",VLOOKUP(C265,TotalRev1!A:C,3,FALSE)),"")</f>
        <v>9558</v>
      </c>
      <c r="G265">
        <f>IFERROR(IF(VLOOKUP(C265,TotalRevL!A:C,3,FALSE)="","",VLOOKUP(C265,TotalRevL!A:C,3,FALSE)),"")</f>
        <v>7497</v>
      </c>
      <c r="H265" s="26">
        <f>IFERROR(IFERROR(VLOOKUP($A265,Winpct1!$A:$K,9,FALSE),VLOOKUP($B265,Winpct1!$A:$K,9,FALSE)),"")</f>
        <v>0.182</v>
      </c>
      <c r="I265">
        <f>IFERROR(IFERROR(VLOOKUP($A265,Attendance1!$B:$H,3,FALSE),VLOOKUP($B265,Attendance1!$B:$H,3,FALSE)),"")</f>
        <v>6660</v>
      </c>
      <c r="J265">
        <f>IFERROR(VLOOKUP(D265,'Pop-Metro'!A:R,E265-2005,FALSE),VLOOKUP(D265,'Pop-Micro'!A:R,E265-2005,FALSE))</f>
        <v>33261</v>
      </c>
      <c r="K265">
        <f>IFERROR(VLOOKUP(D265,'PCI-Metro'!A:R,E265-2005,FALSE),VLOOKUP(D265,'PCI-Micro'!A:R,E265-2005,FALSE))</f>
        <v>44552</v>
      </c>
      <c r="L265">
        <f>IFERROR(IF(IFERROR(VLOOKUP($A265,Attendance1!$B:$H,5,FALSE),VLOOKUP($B265,Attendance1!$B:$H,5,FALSE))="","",IFERROR(VLOOKUP($A265,Attendance1!$B:$H,5,FALSE),VLOOKUP($B265,Attendance1!$B:$H,5,FALSE))),"")</f>
        <v>6100</v>
      </c>
    </row>
    <row r="266" spans="1:12">
      <c r="A266" t="s">
        <v>231</v>
      </c>
      <c r="B266" t="s">
        <v>231</v>
      </c>
      <c r="C266">
        <v>137351</v>
      </c>
      <c r="D266">
        <v>45300</v>
      </c>
      <c r="E266">
        <f t="shared" si="4"/>
        <v>2015</v>
      </c>
      <c r="F266">
        <f>IFERROR(IF(VLOOKUP(C266,TotalRev1!A:C,3,FALSE)="","",VLOOKUP(C266,TotalRev1!A:C,3,FALSE)),"")</f>
        <v>95500</v>
      </c>
      <c r="G266">
        <f>IFERROR(IF(VLOOKUP(C266,TotalRevL!A:C,3,FALSE)="","",VLOOKUP(C266,TotalRevL!A:C,3,FALSE)),"")</f>
        <v>88942</v>
      </c>
      <c r="H266" s="26">
        <f>IFERROR(IFERROR(VLOOKUP($A266,Winpct1!$A:$K,9,FALSE),VLOOKUP($B266,Winpct1!$A:$K,9,FALSE)),"")</f>
        <v>0.438</v>
      </c>
      <c r="I266">
        <f>IFERROR(IFERROR(VLOOKUP($A266,Attendance1!$B:$H,3,FALSE),VLOOKUP($B266,Attendance1!$B:$H,3,FALSE)),"")</f>
        <v>6281</v>
      </c>
      <c r="J266">
        <f>IFERROR(VLOOKUP(D266,'Pop-Metro'!A:R,E266-2005,FALSE),VLOOKUP(D266,'Pop-Micro'!A:R,E266-2005,FALSE))</f>
        <v>2957181</v>
      </c>
      <c r="K266">
        <f>IFERROR(VLOOKUP(D266,'PCI-Metro'!A:R,E266-2005,FALSE),VLOOKUP(D266,'PCI-Micro'!A:R,E266-2005,FALSE))</f>
        <v>43131</v>
      </c>
      <c r="L266">
        <f>IFERROR(IF(IFERROR(VLOOKUP($A266,Attendance1!$B:$H,5,FALSE),VLOOKUP($B266,Attendance1!$B:$H,5,FALSE))="","",IFERROR(VLOOKUP($A266,Attendance1!$B:$H,5,FALSE),VLOOKUP($B266,Attendance1!$B:$H,5,FALSE))),"")</f>
        <v>1000</v>
      </c>
    </row>
    <row r="267" spans="1:12">
      <c r="A267" t="s">
        <v>232</v>
      </c>
      <c r="B267" t="s">
        <v>232</v>
      </c>
      <c r="C267">
        <v>179557</v>
      </c>
      <c r="D267">
        <v>16020</v>
      </c>
      <c r="E267">
        <f t="shared" si="4"/>
        <v>2015</v>
      </c>
      <c r="F267">
        <f>IFERROR(IF(VLOOKUP(C267,TotalRev1!A:C,3,FALSE)="","",VLOOKUP(C267,TotalRev1!A:C,3,FALSE)),"")</f>
        <v>323554</v>
      </c>
      <c r="G267">
        <f>IFERROR(IF(VLOOKUP(C267,TotalRevL!A:C,3,FALSE)="","",VLOOKUP(C267,TotalRevL!A:C,3,FALSE)),"")</f>
        <v>285872</v>
      </c>
      <c r="H267" s="26">
        <f>IFERROR(IFERROR(VLOOKUP($A267,Winpct1!$A:$K,9,FALSE),VLOOKUP($B267,Winpct1!$A:$K,9,FALSE)),"")</f>
        <v>0.35499999999999998</v>
      </c>
      <c r="I267">
        <f>IFERROR(IFERROR(VLOOKUP($A267,Attendance1!$B:$H,3,FALSE),VLOOKUP($B267,Attendance1!$B:$H,3,FALSE)),"")</f>
        <v>3277</v>
      </c>
      <c r="J267">
        <f>IFERROR(VLOOKUP(D267,'Pop-Metro'!A:R,E267-2005,FALSE),VLOOKUP(D267,'Pop-Micro'!A:R,E267-2005,FALSE))</f>
        <v>97470</v>
      </c>
      <c r="K267">
        <f>IFERROR(VLOOKUP(D267,'PCI-Metro'!A:R,E267-2005,FALSE),VLOOKUP(D267,'PCI-Micro'!A:R,E267-2005,FALSE))</f>
        <v>38641</v>
      </c>
      <c r="L267">
        <f>IFERROR(IF(IFERROR(VLOOKUP($A267,Attendance1!$B:$H,5,FALSE),VLOOKUP($B267,Attendance1!$B:$H,5,FALSE))="","",IFERROR(VLOOKUP($A267,Attendance1!$B:$H,5,FALSE),VLOOKUP($B267,Attendance1!$B:$H,5,FALSE))),"")</f>
        <v>1000</v>
      </c>
    </row>
    <row r="268" spans="1:12">
      <c r="A268" t="s">
        <v>233</v>
      </c>
      <c r="B268" t="s">
        <v>233</v>
      </c>
      <c r="C268">
        <v>160612</v>
      </c>
      <c r="D268">
        <v>25220</v>
      </c>
      <c r="E268">
        <f t="shared" si="4"/>
        <v>2015</v>
      </c>
      <c r="F268" t="str">
        <f>IFERROR(IF(VLOOKUP(C268,TotalRev1!A:C,3,FALSE)="","",VLOOKUP(C268,TotalRev1!A:C,3,FALSE)),"")</f>
        <v/>
      </c>
      <c r="G268" t="str">
        <f>IFERROR(IF(VLOOKUP(C268,TotalRevL!A:C,3,FALSE)="","",VLOOKUP(C268,TotalRevL!A:C,3,FALSE)),"")</f>
        <v/>
      </c>
      <c r="H268" s="26">
        <f>IFERROR(IFERROR(VLOOKUP($A268,Winpct1!$A:$K,9,FALSE),VLOOKUP($B268,Winpct1!$A:$K,9,FALSE)),"")</f>
        <v>0.379</v>
      </c>
      <c r="I268">
        <f>IFERROR(IFERROR(VLOOKUP($A268,Attendance1!$B:$H,3,FALSE),VLOOKUP($B268,Attendance1!$B:$H,3,FALSE)),"")</f>
        <v>2000</v>
      </c>
      <c r="J268">
        <f>IFERROR(VLOOKUP(D268,'Pop-Metro'!A:R,E268-2005,FALSE),VLOOKUP(D268,'Pop-Micro'!A:R,E268-2005,FALSE))</f>
        <v>127239</v>
      </c>
      <c r="K268">
        <f>IFERROR(VLOOKUP(D268,'PCI-Metro'!A:R,E268-2005,FALSE),VLOOKUP(D268,'PCI-Micro'!A:R,E268-2005,FALSE))</f>
        <v>35643</v>
      </c>
      <c r="L268">
        <f>IFERROR(IF(IFERROR(VLOOKUP($A268,Attendance1!$B:$H,5,FALSE),VLOOKUP($B268,Attendance1!$B:$H,5,FALSE))="","",IFERROR(VLOOKUP($A268,Attendance1!$B:$H,5,FALSE),VLOOKUP($B268,Attendance1!$B:$H,5,FALSE))),"")</f>
        <v>7500</v>
      </c>
    </row>
    <row r="269" spans="1:12">
      <c r="A269" t="s">
        <v>1303</v>
      </c>
      <c r="B269" t="s">
        <v>1303</v>
      </c>
      <c r="C269">
        <v>123961</v>
      </c>
      <c r="D269">
        <v>31080</v>
      </c>
      <c r="E269">
        <f t="shared" si="4"/>
        <v>2015</v>
      </c>
      <c r="F269" t="str">
        <f>IFERROR(IF(VLOOKUP(C269,TotalRev1!A:C,3,FALSE)="","",VLOOKUP(C269,TotalRev1!A:C,3,FALSE)),"")</f>
        <v/>
      </c>
      <c r="G269" t="str">
        <f>IFERROR(IF(VLOOKUP(C269,TotalRevL!A:C,3,FALSE)="","",VLOOKUP(C269,TotalRevL!A:C,3,FALSE)),"")</f>
        <v/>
      </c>
      <c r="H269" s="26">
        <f>IFERROR(IFERROR(VLOOKUP($A269,Winpct1!$A:$K,9,FALSE),VLOOKUP($B269,Winpct1!$A:$K,9,FALSE)),"")</f>
        <v>0.5</v>
      </c>
      <c r="I269">
        <f>IFERROR(IFERROR(VLOOKUP($A269,Attendance1!$B:$H,3,FALSE),VLOOKUP($B269,Attendance1!$B:$H,3,FALSE)),"")</f>
        <v>12640</v>
      </c>
      <c r="J269">
        <f>IFERROR(VLOOKUP(D269,'Pop-Metro'!A:R,E269-2005,FALSE),VLOOKUP(D269,'Pop-Micro'!A:R,E269-2005,FALSE))</f>
        <v>13256931</v>
      </c>
      <c r="K269">
        <f>IFERROR(VLOOKUP(D269,'PCI-Metro'!A:R,E269-2005,FALSE),VLOOKUP(D269,'PCI-Micro'!A:R,E269-2005,FALSE))</f>
        <v>54538</v>
      </c>
      <c r="L269">
        <f>IFERROR(IF(IFERROR(VLOOKUP($A269,Attendance1!$B:$H,5,FALSE),VLOOKUP($B269,Attendance1!$B:$H,5,FALSE))="","",IFERROR(VLOOKUP($A269,Attendance1!$B:$H,5,FALSE),VLOOKUP($B269,Attendance1!$B:$H,5,FALSE))),"")</f>
        <v>10258</v>
      </c>
    </row>
    <row r="270" spans="1:12">
      <c r="A270" t="s">
        <v>234</v>
      </c>
      <c r="B270" t="s">
        <v>234</v>
      </c>
      <c r="C270">
        <v>149222</v>
      </c>
      <c r="D270">
        <v>16060</v>
      </c>
      <c r="E270">
        <f t="shared" si="4"/>
        <v>2015</v>
      </c>
      <c r="F270">
        <f>IFERROR(IF(VLOOKUP(C270,TotalRev1!A:C,3,FALSE)="","",VLOOKUP(C270,TotalRev1!A:C,3,FALSE)),"")</f>
        <v>207877</v>
      </c>
      <c r="G270">
        <f>IFERROR(IF(VLOOKUP(C270,TotalRevL!A:C,3,FALSE)="","",VLOOKUP(C270,TotalRevL!A:C,3,FALSE)),"")</f>
        <v>204777.16</v>
      </c>
      <c r="H270" s="26">
        <f>IFERROR(IFERROR(VLOOKUP($A270,Winpct1!$A:$K,9,FALSE),VLOOKUP($B270,Winpct1!$A:$K,9,FALSE)),"")</f>
        <v>0.51600000000000001</v>
      </c>
      <c r="I270">
        <f>IFERROR(IFERROR(VLOOKUP($A270,Attendance1!$B:$H,3,FALSE),VLOOKUP($B270,Attendance1!$B:$H,3,FALSE)),"")</f>
        <v>4592</v>
      </c>
      <c r="J270">
        <f>IFERROR(VLOOKUP(D270,'Pop-Metro'!A:R,E270-2005,FALSE),VLOOKUP(D270,'Pop-Micro'!A:R,E270-2005,FALSE))</f>
        <v>138289</v>
      </c>
      <c r="K270">
        <f>IFERROR(VLOOKUP(D270,'PCI-Metro'!A:R,E270-2005,FALSE),VLOOKUP(D270,'PCI-Micro'!A:R,E270-2005,FALSE))</f>
        <v>37273</v>
      </c>
      <c r="L270">
        <f>IFERROR(IF(IFERROR(VLOOKUP($A270,Attendance1!$B:$H,5,FALSE),VLOOKUP($B270,Attendance1!$B:$H,5,FALSE))="","",IFERROR(VLOOKUP($A270,Attendance1!$B:$H,5,FALSE),VLOOKUP($B270,Attendance1!$B:$H,5,FALSE))),"")</f>
        <v>1250</v>
      </c>
    </row>
    <row r="271" spans="1:12">
      <c r="A271" t="s">
        <v>235</v>
      </c>
      <c r="B271" t="s">
        <v>235</v>
      </c>
      <c r="C271">
        <v>176372</v>
      </c>
      <c r="D271">
        <v>25620</v>
      </c>
      <c r="E271">
        <f t="shared" si="4"/>
        <v>2015</v>
      </c>
      <c r="F271">
        <f>IFERROR(IF(VLOOKUP(C271,TotalRev1!A:C,3,FALSE)="","",VLOOKUP(C271,TotalRev1!A:C,3,FALSE)),"")</f>
        <v>46404</v>
      </c>
      <c r="G271">
        <f>IFERROR(IF(VLOOKUP(C271,TotalRevL!A:C,3,FALSE)="","",VLOOKUP(C271,TotalRevL!A:C,3,FALSE)),"")</f>
        <v>44296</v>
      </c>
      <c r="H271" s="26">
        <f>IFERROR(IFERROR(VLOOKUP($A271,Winpct1!$A:$K,9,FALSE),VLOOKUP($B271,Winpct1!$A:$K,9,FALSE)),"")</f>
        <v>0.58799999999999997</v>
      </c>
      <c r="I271">
        <f>IFERROR(IFERROR(VLOOKUP($A271,Attendance1!$B:$H,3,FALSE),VLOOKUP($B271,Attendance1!$B:$H,3,FALSE)),"")</f>
        <v>3686</v>
      </c>
      <c r="J271">
        <f>IFERROR(VLOOKUP(D271,'Pop-Metro'!A:R,E271-2005,FALSE),VLOOKUP(D271,'Pop-Micro'!A:R,E271-2005,FALSE))</f>
        <v>169393</v>
      </c>
      <c r="K271">
        <f>IFERROR(VLOOKUP(D271,'PCI-Metro'!A:R,E271-2005,FALSE),VLOOKUP(D271,'PCI-Micro'!A:R,E271-2005,FALSE))</f>
        <v>35792</v>
      </c>
      <c r="L271">
        <f>IFERROR(IF(IFERROR(VLOOKUP($A271,Attendance1!$B:$H,5,FALSE),VLOOKUP($B271,Attendance1!$B:$H,5,FALSE))="","",IFERROR(VLOOKUP($A271,Attendance1!$B:$H,5,FALSE),VLOOKUP($B271,Attendance1!$B:$H,5,FALSE))),"")</f>
        <v>8095</v>
      </c>
    </row>
    <row r="272" spans="1:12">
      <c r="A272" t="s">
        <v>236</v>
      </c>
      <c r="B272" t="s">
        <v>236</v>
      </c>
      <c r="C272">
        <v>160621</v>
      </c>
      <c r="D272">
        <v>12940</v>
      </c>
      <c r="E272">
        <f t="shared" si="4"/>
        <v>2015</v>
      </c>
      <c r="F272">
        <f>IFERROR(IF(VLOOKUP(C272,TotalRev1!A:C,3,FALSE)="","",VLOOKUP(C272,TotalRev1!A:C,3,FALSE)),"")</f>
        <v>46516</v>
      </c>
      <c r="G272">
        <f>IFERROR(IF(VLOOKUP(C272,TotalRevL!A:C,3,FALSE)="","",VLOOKUP(C272,TotalRevL!A:C,3,FALSE)),"")</f>
        <v>27737</v>
      </c>
      <c r="H272" s="26">
        <f>IFERROR(IFERROR(VLOOKUP($A272,Winpct1!$A:$K,9,FALSE),VLOOKUP($B272,Winpct1!$A:$K,9,FALSE)),"")</f>
        <v>0.44400000000000001</v>
      </c>
      <c r="I272">
        <f>IFERROR(IFERROR(VLOOKUP($A272,Attendance1!$B:$H,3,FALSE),VLOOKUP($B272,Attendance1!$B:$H,3,FALSE)),"")</f>
        <v>2194</v>
      </c>
      <c r="J272">
        <f>IFERROR(VLOOKUP(D272,'Pop-Metro'!A:R,E272-2005,FALSE),VLOOKUP(D272,'Pop-Micro'!A:R,E272-2005,FALSE))</f>
        <v>857755</v>
      </c>
      <c r="K272">
        <f>IFERROR(VLOOKUP(D272,'PCI-Metro'!A:R,E272-2005,FALSE),VLOOKUP(D272,'PCI-Micro'!A:R,E272-2005,FALSE))</f>
        <v>43452</v>
      </c>
      <c r="L272">
        <f>IFERROR(IF(IFERROR(VLOOKUP($A272,Attendance1!$B:$H,5,FALSE),VLOOKUP($B272,Attendance1!$B:$H,5,FALSE))="","",IFERROR(VLOOKUP($A272,Attendance1!$B:$H,5,FALSE),VLOOKUP($B272,Attendance1!$B:$H,5,FALSE))),"")</f>
        <v>800</v>
      </c>
    </row>
    <row r="273" spans="1:12">
      <c r="A273" t="s">
        <v>237</v>
      </c>
      <c r="B273" t="s">
        <v>237</v>
      </c>
      <c r="C273">
        <v>230603</v>
      </c>
      <c r="D273">
        <v>16260</v>
      </c>
      <c r="E273">
        <f t="shared" si="4"/>
        <v>2015</v>
      </c>
      <c r="F273">
        <f>IFERROR(IF(VLOOKUP(C273,TotalRev1!A:C,3,FALSE)="","",VLOOKUP(C273,TotalRev1!A:C,3,FALSE)),"")</f>
        <v>488518</v>
      </c>
      <c r="G273">
        <f>IFERROR(IF(VLOOKUP(C273,TotalRevL!A:C,3,FALSE)="","",VLOOKUP(C273,TotalRevL!A:C,3,FALSE)),"")</f>
        <v>498698</v>
      </c>
      <c r="H273" s="26">
        <f>IFERROR(IFERROR(VLOOKUP($A273,Winpct1!$A:$K,9,FALSE),VLOOKUP($B273,Winpct1!$A:$K,9,FALSE)),"")</f>
        <v>0.48299999999999998</v>
      </c>
      <c r="I273">
        <f>IFERROR(IFERROR(VLOOKUP($A273,Attendance1!$B:$H,3,FALSE),VLOOKUP($B273,Attendance1!$B:$H,3,FALSE)),"")</f>
        <v>7164</v>
      </c>
      <c r="J273">
        <f>IFERROR(VLOOKUP(D273,'Pop-Metro'!A:R,E273-2005,FALSE),VLOOKUP(D273,'Pop-Micro'!A:R,E273-2005,FALSE))</f>
        <v>48531</v>
      </c>
      <c r="K273">
        <f>IFERROR(VLOOKUP(D273,'PCI-Metro'!A:R,E273-2005,FALSE),VLOOKUP(D273,'PCI-Micro'!A:R,E273-2005,FALSE))</f>
        <v>28232</v>
      </c>
      <c r="L273">
        <f>IFERROR(IF(IFERROR(VLOOKUP($A273,Attendance1!$B:$H,5,FALSE),VLOOKUP($B273,Attendance1!$B:$H,5,FALSE))="","",IFERROR(VLOOKUP($A273,Attendance1!$B:$H,5,FALSE),VLOOKUP($B273,Attendance1!$B:$H,5,FALSE))),"")</f>
        <v>5300</v>
      </c>
    </row>
    <row r="274" spans="1:12">
      <c r="A274" t="s">
        <v>238</v>
      </c>
      <c r="B274" t="s">
        <v>238</v>
      </c>
      <c r="C274">
        <v>195164</v>
      </c>
      <c r="D274">
        <v>18500</v>
      </c>
      <c r="E274">
        <f t="shared" si="4"/>
        <v>2015</v>
      </c>
      <c r="F274" t="str">
        <f>IFERROR(IF(VLOOKUP(C274,TotalRev1!A:C,3,FALSE)="","",VLOOKUP(C274,TotalRev1!A:C,3,FALSE)),"")</f>
        <v/>
      </c>
      <c r="G274" t="str">
        <f>IFERROR(IF(VLOOKUP(C274,TotalRevL!A:C,3,FALSE)="","",VLOOKUP(C274,TotalRevL!A:C,3,FALSE)),"")</f>
        <v/>
      </c>
      <c r="H274" s="26" t="str">
        <f>IFERROR(IFERROR(VLOOKUP($A274,Winpct1!$A:$K,9,FALSE),VLOOKUP($B274,Winpct1!$A:$K,9,FALSE)),"")</f>
        <v/>
      </c>
      <c r="I274" t="str">
        <f>IFERROR(IFERROR(VLOOKUP($A274,Attendance1!$B:$H,3,FALSE),VLOOKUP($B274,Attendance1!$B:$H,3,FALSE)),"")</f>
        <v/>
      </c>
      <c r="J274">
        <f>IFERROR(VLOOKUP(D274,'Pop-Metro'!A:R,E274-2005,FALSE),VLOOKUP(D274,'Pop-Micro'!A:R,E274-2005,FALSE))</f>
        <v>96911</v>
      </c>
      <c r="K274">
        <f>IFERROR(VLOOKUP(D274,'PCI-Metro'!A:R,E274-2005,FALSE),VLOOKUP(D274,'PCI-Micro'!A:R,E274-2005,FALSE))</f>
        <v>40661</v>
      </c>
      <c r="L274" t="str">
        <f>IFERROR(IF(IFERROR(VLOOKUP($A274,Attendance1!$B:$H,5,FALSE),VLOOKUP($B274,Attendance1!$B:$H,5,FALSE))="","",IFERROR(VLOOKUP($A274,Attendance1!$B:$H,5,FALSE),VLOOKUP($B274,Attendance1!$B:$H,5,FALSE))),"")</f>
        <v/>
      </c>
    </row>
    <row r="275" spans="1:12">
      <c r="A275" t="s">
        <v>1304</v>
      </c>
      <c r="B275" t="s">
        <v>1304</v>
      </c>
      <c r="C275">
        <v>195173</v>
      </c>
      <c r="D275">
        <v>15100</v>
      </c>
      <c r="E275">
        <f t="shared" si="4"/>
        <v>2015</v>
      </c>
      <c r="F275" t="str">
        <f>IFERROR(IF(VLOOKUP(C275,TotalRev1!A:C,3,FALSE)="","",VLOOKUP(C275,TotalRev1!A:C,3,FALSE)),"")</f>
        <v/>
      </c>
      <c r="G275" t="str">
        <f>IFERROR(IF(VLOOKUP(C275,TotalRevL!A:C,3,FALSE)="","",VLOOKUP(C275,TotalRevL!A:C,3,FALSE)),"")</f>
        <v/>
      </c>
      <c r="H275" s="26">
        <f>IFERROR(IFERROR(VLOOKUP($A275,Winpct1!$A:$K,9,FALSE),VLOOKUP($B275,Winpct1!$A:$K,9,FALSE)),"")</f>
        <v>6.7000000000000004E-2</v>
      </c>
      <c r="I275">
        <f>IFERROR(IFERROR(VLOOKUP($A275,Attendance1!$B:$H,3,FALSE),VLOOKUP($B275,Attendance1!$B:$H,3,FALSE)),"")</f>
        <v>1220</v>
      </c>
      <c r="J275">
        <f>IFERROR(VLOOKUP(D275,'Pop-Metro'!A:R,E275-2005,FALSE),VLOOKUP(D275,'Pop-Micro'!A:R,E275-2005,FALSE))</f>
        <v>33261</v>
      </c>
      <c r="K275">
        <f>IFERROR(VLOOKUP(D275,'PCI-Metro'!A:R,E275-2005,FALSE),VLOOKUP(D275,'PCI-Micro'!A:R,E275-2005,FALSE))</f>
        <v>44552</v>
      </c>
      <c r="L275">
        <f>IFERROR(IF(IFERROR(VLOOKUP($A275,Attendance1!$B:$H,5,FALSE),VLOOKUP($B275,Attendance1!$B:$H,5,FALSE))="","",IFERROR(VLOOKUP($A275,Attendance1!$B:$H,5,FALSE),VLOOKUP($B275,Attendance1!$B:$H,5,FALSE))),"")</f>
        <v>500</v>
      </c>
    </row>
    <row r="276" spans="1:12">
      <c r="A276" t="s">
        <v>239</v>
      </c>
      <c r="B276" t="s">
        <v>239</v>
      </c>
      <c r="C276">
        <v>195809</v>
      </c>
      <c r="D276">
        <v>35620</v>
      </c>
      <c r="E276">
        <f t="shared" si="4"/>
        <v>2015</v>
      </c>
      <c r="F276" t="str">
        <f>IFERROR(IF(VLOOKUP(C276,TotalRev1!A:C,3,FALSE)="","",VLOOKUP(C276,TotalRev1!A:C,3,FALSE)),"")</f>
        <v/>
      </c>
      <c r="G276" t="str">
        <f>IFERROR(IF(VLOOKUP(C276,TotalRevL!A:C,3,FALSE)="","",VLOOKUP(C276,TotalRevL!A:C,3,FALSE)),"")</f>
        <v/>
      </c>
      <c r="H276" s="26">
        <f>IFERROR(IFERROR(VLOOKUP($A276,Winpct1!$A:$K,9,FALSE),VLOOKUP($B276,Winpct1!$A:$K,9,FALSE)),"")</f>
        <v>0.57599999999999996</v>
      </c>
      <c r="I276">
        <f>IFERROR(IFERROR(VLOOKUP($A276,Attendance1!$B:$H,3,FALSE),VLOOKUP($B276,Attendance1!$B:$H,3,FALSE)),"")</f>
        <v>3527</v>
      </c>
      <c r="J276">
        <f>IFERROR(VLOOKUP(D276,'Pop-Metro'!A:R,E276-2005,FALSE),VLOOKUP(D276,'Pop-Micro'!A:R,E276-2005,FALSE))</f>
        <v>19830288</v>
      </c>
      <c r="K276">
        <f>IFERROR(VLOOKUP(D276,'PCI-Metro'!A:R,E276-2005,FALSE),VLOOKUP(D276,'PCI-Micro'!A:R,E276-2005,FALSE))</f>
        <v>62877</v>
      </c>
      <c r="L276">
        <f>IFERROR(IF(IFERROR(VLOOKUP($A276,Attendance1!$B:$H,5,FALSE),VLOOKUP($B276,Attendance1!$B:$H,5,FALSE))="","",IFERROR(VLOOKUP($A276,Attendance1!$B:$H,5,FALSE),VLOOKUP($B276,Attendance1!$B:$H,5,FALSE))),"")</f>
        <v>5602</v>
      </c>
    </row>
    <row r="277" spans="1:12">
      <c r="A277" t="s">
        <v>240</v>
      </c>
      <c r="B277" t="s">
        <v>240</v>
      </c>
      <c r="C277">
        <v>243744</v>
      </c>
      <c r="D277">
        <v>41940</v>
      </c>
      <c r="E277">
        <f t="shared" si="4"/>
        <v>2015</v>
      </c>
      <c r="F277" t="str">
        <f>IFERROR(IF(VLOOKUP(C277,TotalRev1!A:C,3,FALSE)="","",VLOOKUP(C277,TotalRev1!A:C,3,FALSE)),"")</f>
        <v/>
      </c>
      <c r="G277" t="str">
        <f>IFERROR(IF(VLOOKUP(C277,TotalRevL!A:C,3,FALSE)="","",VLOOKUP(C277,TotalRevL!A:C,3,FALSE)),"")</f>
        <v/>
      </c>
      <c r="H277" s="26">
        <f>IFERROR(IFERROR(VLOOKUP($A277,Winpct1!$A:$K,9,FALSE),VLOOKUP($B277,Winpct1!$A:$K,9,FALSE)),"")</f>
        <v>0.94299999999999995</v>
      </c>
      <c r="I277">
        <f>IFERROR(IFERROR(VLOOKUP($A277,Attendance1!$B:$H,3,FALSE),VLOOKUP($B277,Attendance1!$B:$H,3,FALSE)),"")</f>
        <v>36136</v>
      </c>
      <c r="J277">
        <f>IFERROR(VLOOKUP(D277,'Pop-Metro'!A:R,E277-2005,FALSE),VLOOKUP(D277,'Pop-Micro'!A:R,E277-2005,FALSE))</f>
        <v>1985975</v>
      </c>
      <c r="K277">
        <f>IFERROR(VLOOKUP(D277,'PCI-Metro'!A:R,E277-2005,FALSE),VLOOKUP(D277,'PCI-Micro'!A:R,E277-2005,FALSE))</f>
        <v>82603</v>
      </c>
      <c r="L277">
        <f>IFERROR(IF(IFERROR(VLOOKUP($A277,Attendance1!$B:$H,5,FALSE),VLOOKUP($B277,Attendance1!$B:$H,5,FALSE))="","",IFERROR(VLOOKUP($A277,Attendance1!$B:$H,5,FALSE),VLOOKUP($B277,Attendance1!$B:$H,5,FALSE))),"")</f>
        <v>7500</v>
      </c>
    </row>
    <row r="278" spans="1:12">
      <c r="A278" t="s">
        <v>241</v>
      </c>
      <c r="B278" t="s">
        <v>241</v>
      </c>
      <c r="C278">
        <v>137546</v>
      </c>
      <c r="D278">
        <v>36740</v>
      </c>
      <c r="E278">
        <f t="shared" si="4"/>
        <v>2015</v>
      </c>
      <c r="F278" t="str">
        <f>IFERROR(IF(VLOOKUP(C278,TotalRev1!A:C,3,FALSE)="","",VLOOKUP(C278,TotalRev1!A:C,3,FALSE)),"")</f>
        <v/>
      </c>
      <c r="G278" t="str">
        <f>IFERROR(IF(VLOOKUP(C278,TotalRevL!A:C,3,FALSE)="","",VLOOKUP(C278,TotalRevL!A:C,3,FALSE)),"")</f>
        <v/>
      </c>
      <c r="H278" s="26">
        <f>IFERROR(IFERROR(VLOOKUP($A278,Winpct1!$A:$K,9,FALSE),VLOOKUP($B278,Winpct1!$A:$K,9,FALSE)),"")</f>
        <v>0.55200000000000005</v>
      </c>
      <c r="I278">
        <f>IFERROR(IFERROR(VLOOKUP($A278,Attendance1!$B:$H,3,FALSE),VLOOKUP($B278,Attendance1!$B:$H,3,FALSE)),"")</f>
        <v>1746</v>
      </c>
      <c r="J278">
        <f>IFERROR(VLOOKUP(D278,'Pop-Metro'!A:R,E278-2005,FALSE),VLOOKUP(D278,'Pop-Micro'!A:R,E278-2005,FALSE))</f>
        <v>2407405</v>
      </c>
      <c r="K278">
        <f>IFERROR(VLOOKUP(D278,'PCI-Metro'!A:R,E278-2005,FALSE),VLOOKUP(D278,'PCI-Micro'!A:R,E278-2005,FALSE))</f>
        <v>38884</v>
      </c>
      <c r="L278">
        <f>IFERROR(IF(IFERROR(VLOOKUP($A278,Attendance1!$B:$H,5,FALSE),VLOOKUP($B278,Attendance1!$B:$H,5,FALSE))="","",IFERROR(VLOOKUP($A278,Attendance1!$B:$H,5,FALSE),VLOOKUP($B278,Attendance1!$B:$H,5,FALSE))),"")</f>
        <v>4000</v>
      </c>
    </row>
    <row r="279" spans="1:12">
      <c r="A279" t="s">
        <v>242</v>
      </c>
      <c r="B279" t="s">
        <v>242</v>
      </c>
      <c r="C279">
        <v>196097</v>
      </c>
      <c r="D279">
        <v>35620</v>
      </c>
      <c r="E279">
        <f t="shared" si="4"/>
        <v>2015</v>
      </c>
      <c r="F279">
        <f>IFERROR(IF(VLOOKUP(C279,TotalRev1!A:C,3,FALSE)="","",VLOOKUP(C279,TotalRev1!A:C,3,FALSE)),"")</f>
        <v>535862</v>
      </c>
      <c r="G279">
        <f>IFERROR(IF(VLOOKUP(C279,TotalRevL!A:C,3,FALSE)="","",VLOOKUP(C279,TotalRevL!A:C,3,FALSE)),"")</f>
        <v>118638</v>
      </c>
      <c r="H279" s="26">
        <f>IFERROR(IFERROR(VLOOKUP($A279,Winpct1!$A:$K,9,FALSE),VLOOKUP($B279,Winpct1!$A:$K,9,FALSE)),"")</f>
        <v>0.53100000000000003</v>
      </c>
      <c r="I279">
        <f>IFERROR(IFERROR(VLOOKUP($A279,Attendance1!$B:$H,3,FALSE),VLOOKUP($B279,Attendance1!$B:$H,3,FALSE)),"")</f>
        <v>3365</v>
      </c>
      <c r="J279">
        <f>IFERROR(VLOOKUP(D279,'Pop-Metro'!A:R,E279-2005,FALSE),VLOOKUP(D279,'Pop-Micro'!A:R,E279-2005,FALSE))</f>
        <v>19830288</v>
      </c>
      <c r="K279">
        <f>IFERROR(VLOOKUP(D279,'PCI-Metro'!A:R,E279-2005,FALSE),VLOOKUP(D279,'PCI-Micro'!A:R,E279-2005,FALSE))</f>
        <v>62877</v>
      </c>
      <c r="L279">
        <f>IFERROR(IF(IFERROR(VLOOKUP($A279,Attendance1!$B:$H,5,FALSE),VLOOKUP($B279,Attendance1!$B:$H,5,FALSE))="","",IFERROR(VLOOKUP($A279,Attendance1!$B:$H,5,FALSE),VLOOKUP($B279,Attendance1!$B:$H,5,FALSE))),"")</f>
        <v>1680</v>
      </c>
    </row>
    <row r="280" spans="1:12">
      <c r="A280" t="s">
        <v>243</v>
      </c>
      <c r="B280" t="s">
        <v>243</v>
      </c>
      <c r="C280">
        <v>196413</v>
      </c>
      <c r="D280">
        <v>45060</v>
      </c>
      <c r="E280">
        <f t="shared" si="4"/>
        <v>2015</v>
      </c>
      <c r="F280" t="str">
        <f>IFERROR(IF(VLOOKUP(C280,TotalRev1!A:C,3,FALSE)="","",VLOOKUP(C280,TotalRev1!A:C,3,FALSE)),"")</f>
        <v/>
      </c>
      <c r="G280" t="str">
        <f>IFERROR(IF(VLOOKUP(C280,TotalRevL!A:C,3,FALSE)="","",VLOOKUP(C280,TotalRevL!A:C,3,FALSE)),"")</f>
        <v/>
      </c>
      <c r="H280" s="26">
        <f>IFERROR(IFERROR(VLOOKUP($A280,Winpct1!$A:$K,9,FALSE),VLOOKUP($B280,Winpct1!$A:$K,9,FALSE)),"")</f>
        <v>0.3</v>
      </c>
      <c r="I280">
        <f>IFERROR(IFERROR(VLOOKUP($A280,Attendance1!$B:$H,3,FALSE),VLOOKUP($B280,Attendance1!$B:$H,3,FALSE)),"")</f>
        <v>2437</v>
      </c>
      <c r="J280">
        <f>IFERROR(VLOOKUP(D280,'Pop-Metro'!A:R,E280-2005,FALSE),VLOOKUP(D280,'Pop-Micro'!A:R,E280-2005,FALSE))</f>
        <v>665829</v>
      </c>
      <c r="K280">
        <f>IFERROR(VLOOKUP(D280,'PCI-Metro'!A:R,E280-2005,FALSE),VLOOKUP(D280,'PCI-Micro'!A:R,E280-2005,FALSE))</f>
        <v>43533</v>
      </c>
      <c r="L280">
        <f>IFERROR(IF(IFERROR(VLOOKUP($A280,Attendance1!$B:$H,5,FALSE),VLOOKUP($B280,Attendance1!$B:$H,5,FALSE))="","",IFERROR(VLOOKUP($A280,Attendance1!$B:$H,5,FALSE),VLOOKUP($B280,Attendance1!$B:$H,5,FALSE))),"")</f>
        <v>3000</v>
      </c>
    </row>
    <row r="281" spans="1:12">
      <c r="A281" t="s">
        <v>1305</v>
      </c>
      <c r="B281" t="s">
        <v>1305</v>
      </c>
      <c r="C281">
        <v>228875</v>
      </c>
      <c r="D281">
        <v>19100</v>
      </c>
      <c r="E281">
        <f t="shared" si="4"/>
        <v>2015</v>
      </c>
      <c r="F281" t="str">
        <f>IFERROR(IF(VLOOKUP(C281,TotalRev1!A:C,3,FALSE)="","",VLOOKUP(C281,TotalRev1!A:C,3,FALSE)),"")</f>
        <v/>
      </c>
      <c r="G281" t="str">
        <f>IFERROR(IF(VLOOKUP(C281,TotalRevL!A:C,3,FALSE)="","",VLOOKUP(C281,TotalRevL!A:C,3,FALSE)),"")</f>
        <v/>
      </c>
      <c r="H281" s="26">
        <f>IFERROR(IFERROR(VLOOKUP($A281,Winpct1!$A:$K,9,FALSE),VLOOKUP($B281,Winpct1!$A:$K,9,FALSE)),"")</f>
        <v>0.53100000000000003</v>
      </c>
      <c r="I281">
        <f>IFERROR(IFERROR(VLOOKUP($A281,Attendance1!$B:$H,3,FALSE),VLOOKUP($B281,Attendance1!$B:$H,3,FALSE)),"")</f>
        <v>16856</v>
      </c>
      <c r="J281">
        <f>IFERROR(VLOOKUP(D281,'Pop-Metro'!A:R,E281-2005,FALSE),VLOOKUP(D281,'Pop-Micro'!A:R,E281-2005,FALSE))</f>
        <v>7026835</v>
      </c>
      <c r="K281">
        <f>IFERROR(VLOOKUP(D281,'PCI-Metro'!A:R,E281-2005,FALSE),VLOOKUP(D281,'PCI-Micro'!A:R,E281-2005,FALSE))</f>
        <v>50821</v>
      </c>
      <c r="L281">
        <f>IFERROR(IF(IFERROR(VLOOKUP($A281,Attendance1!$B:$H,5,FALSE),VLOOKUP($B281,Attendance1!$B:$H,5,FALSE))="","",IFERROR(VLOOKUP($A281,Attendance1!$B:$H,5,FALSE),VLOOKUP($B281,Attendance1!$B:$H,5,FALSE))),"")</f>
        <v>1350</v>
      </c>
    </row>
    <row r="282" spans="1:12">
      <c r="A282" t="s">
        <v>1306</v>
      </c>
      <c r="B282" t="s">
        <v>1306</v>
      </c>
      <c r="C282">
        <v>216339</v>
      </c>
      <c r="D282">
        <v>37980</v>
      </c>
      <c r="E282">
        <f t="shared" si="4"/>
        <v>2015</v>
      </c>
      <c r="F282" t="str">
        <f>IFERROR(IF(VLOOKUP(C282,TotalRev1!A:C,3,FALSE)="","",VLOOKUP(C282,TotalRev1!A:C,3,FALSE)),"")</f>
        <v/>
      </c>
      <c r="G282" t="str">
        <f>IFERROR(IF(VLOOKUP(C282,TotalRevL!A:C,3,FALSE)="","",VLOOKUP(C282,TotalRevL!A:C,3,FALSE)),"")</f>
        <v/>
      </c>
      <c r="H282" s="26">
        <f>IFERROR(IFERROR(VLOOKUP($A282,Winpct1!$A:$K,9,FALSE),VLOOKUP($B282,Winpct1!$A:$K,9,FALSE)),"")</f>
        <v>0.75</v>
      </c>
      <c r="I282">
        <f>IFERROR(IFERROR(VLOOKUP($A282,Attendance1!$B:$H,3,FALSE),VLOOKUP($B282,Attendance1!$B:$H,3,FALSE)),"")</f>
        <v>3145</v>
      </c>
      <c r="J282">
        <f>IFERROR(VLOOKUP(D282,'Pop-Metro'!A:R,E282-2005,FALSE),VLOOKUP(D282,'Pop-Micro'!A:R,E282-2005,FALSE))</f>
        <v>6129946</v>
      </c>
      <c r="K282">
        <f>IFERROR(VLOOKUP(D282,'PCI-Metro'!A:R,E282-2005,FALSE),VLOOKUP(D282,'PCI-Micro'!A:R,E282-2005,FALSE))</f>
        <v>56629</v>
      </c>
      <c r="L282">
        <f>IFERROR(IF(IFERROR(VLOOKUP($A282,Attendance1!$B:$H,5,FALSE),VLOOKUP($B282,Attendance1!$B:$H,5,FALSE))="","",IFERROR(VLOOKUP($A282,Attendance1!$B:$H,5,FALSE),VLOOKUP($B282,Attendance1!$B:$H,5,FALSE))),"")</f>
        <v>3900</v>
      </c>
    </row>
    <row r="283" spans="1:12">
      <c r="A283" t="s">
        <v>244</v>
      </c>
      <c r="B283" t="s">
        <v>244</v>
      </c>
      <c r="C283">
        <v>221759</v>
      </c>
      <c r="D283">
        <v>28940</v>
      </c>
      <c r="E283">
        <f t="shared" si="4"/>
        <v>2015</v>
      </c>
      <c r="F283">
        <f>IFERROR(IF(VLOOKUP(C283,TotalRev1!A:C,3,FALSE)="","",VLOOKUP(C283,TotalRev1!A:C,3,FALSE)),"")</f>
        <v>313972</v>
      </c>
      <c r="G283">
        <f>IFERROR(IF(VLOOKUP(C283,TotalRevL!A:C,3,FALSE)="","",VLOOKUP(C283,TotalRevL!A:C,3,FALSE)),"")</f>
        <v>513727</v>
      </c>
      <c r="H283" s="26">
        <f>IFERROR(IFERROR(VLOOKUP($A283,Winpct1!$A:$K,9,FALSE),VLOOKUP($B283,Winpct1!$A:$K,9,FALSE)),"")</f>
        <v>0.25</v>
      </c>
      <c r="I283">
        <f>IFERROR(IFERROR(VLOOKUP($A283,Attendance1!$B:$H,3,FALSE),VLOOKUP($B283,Attendance1!$B:$H,3,FALSE)),"")</f>
        <v>10406</v>
      </c>
      <c r="J283">
        <f>IFERROR(VLOOKUP(D283,'Pop-Metro'!A:R,E283-2005,FALSE),VLOOKUP(D283,'Pop-Micro'!A:R,E283-2005,FALSE))</f>
        <v>840236</v>
      </c>
      <c r="K283">
        <f>IFERROR(VLOOKUP(D283,'PCI-Metro'!A:R,E283-2005,FALSE),VLOOKUP(D283,'PCI-Micro'!A:R,E283-2005,FALSE))</f>
        <v>41134</v>
      </c>
      <c r="L283">
        <f>IFERROR(IF(IFERROR(VLOOKUP($A283,Attendance1!$B:$H,5,FALSE),VLOOKUP($B283,Attendance1!$B:$H,5,FALSE))="","",IFERROR(VLOOKUP($A283,Attendance1!$B:$H,5,FALSE),VLOOKUP($B283,Attendance1!$B:$H,5,FALSE))),"")</f>
        <v>7500</v>
      </c>
    </row>
    <row r="284" spans="1:12">
      <c r="A284" t="s">
        <v>245</v>
      </c>
      <c r="B284" t="s">
        <v>245</v>
      </c>
      <c r="C284">
        <v>221838</v>
      </c>
      <c r="D284">
        <v>34980</v>
      </c>
      <c r="E284">
        <f t="shared" si="4"/>
        <v>2015</v>
      </c>
      <c r="F284" t="str">
        <f>IFERROR(IF(VLOOKUP(C284,TotalRev1!A:C,3,FALSE)="","",VLOOKUP(C284,TotalRev1!A:C,3,FALSE)),"")</f>
        <v/>
      </c>
      <c r="G284" t="str">
        <f>IFERROR(IF(VLOOKUP(C284,TotalRevL!A:C,3,FALSE)="","",VLOOKUP(C284,TotalRevL!A:C,3,FALSE)),"")</f>
        <v/>
      </c>
      <c r="H284" s="26">
        <f>IFERROR(IFERROR(VLOOKUP($A284,Winpct1!$A:$K,9,FALSE),VLOOKUP($B284,Winpct1!$A:$K,9,FALSE)),"")</f>
        <v>0.32300000000000001</v>
      </c>
      <c r="I284">
        <f>IFERROR(IFERROR(VLOOKUP($A284,Attendance1!$B:$H,3,FALSE),VLOOKUP($B284,Attendance1!$B:$H,3,FALSE)),"")</f>
        <v>2772</v>
      </c>
      <c r="J284">
        <f>IFERROR(VLOOKUP(D284,'Pop-Metro'!A:R,E284-2005,FALSE),VLOOKUP(D284,'Pop-Micro'!A:R,E284-2005,FALSE))</f>
        <v>1822874</v>
      </c>
      <c r="K284">
        <f>IFERROR(VLOOKUP(D284,'PCI-Metro'!A:R,E284-2005,FALSE),VLOOKUP(D284,'PCI-Micro'!A:R,E284-2005,FALSE))</f>
        <v>50712</v>
      </c>
      <c r="L284">
        <f>IFERROR(IF(IFERROR(VLOOKUP($A284,Attendance1!$B:$H,5,FALSE),VLOOKUP($B284,Attendance1!$B:$H,5,FALSE))="","",IFERROR(VLOOKUP($A284,Attendance1!$B:$H,5,FALSE),VLOOKUP($B284,Attendance1!$B:$H,5,FALSE))),"")</f>
        <v>2500</v>
      </c>
    </row>
    <row r="285" spans="1:12">
      <c r="A285" t="s">
        <v>246</v>
      </c>
      <c r="B285" t="s">
        <v>246</v>
      </c>
      <c r="C285">
        <v>221847</v>
      </c>
      <c r="D285">
        <v>18260</v>
      </c>
      <c r="E285">
        <f t="shared" si="4"/>
        <v>2015</v>
      </c>
      <c r="F285">
        <f>IFERROR(IF(VLOOKUP(C285,TotalRev1!A:C,3,FALSE)="","",VLOOKUP(C285,TotalRev1!A:C,3,FALSE)),"")</f>
        <v>9171</v>
      </c>
      <c r="G285">
        <f>IFERROR(IF(VLOOKUP(C285,TotalRevL!A:C,3,FALSE)="","",VLOOKUP(C285,TotalRevL!A:C,3,FALSE)),"")</f>
        <v>16691</v>
      </c>
      <c r="H285" s="26">
        <f>IFERROR(IFERROR(VLOOKUP($A285,Winpct1!$A:$K,9,FALSE),VLOOKUP($B285,Winpct1!$A:$K,9,FALSE)),"")</f>
        <v>0.441</v>
      </c>
      <c r="I285">
        <f>IFERROR(IFERROR(VLOOKUP($A285,Attendance1!$B:$H,3,FALSE),VLOOKUP($B285,Attendance1!$B:$H,3,FALSE)),"")</f>
        <v>4917</v>
      </c>
      <c r="J285">
        <f>IFERROR(VLOOKUP(D285,'Pop-Metro'!A:R,E285-2005,FALSE),VLOOKUP(D285,'Pop-Micro'!A:R,E285-2005,FALSE))</f>
        <v>108163</v>
      </c>
      <c r="K285">
        <f>IFERROR(VLOOKUP(D285,'PCI-Metro'!A:R,E285-2005,FALSE),VLOOKUP(D285,'PCI-Micro'!A:R,E285-2005,FALSE))</f>
        <v>34389</v>
      </c>
      <c r="L285">
        <f>IFERROR(IF(IFERROR(VLOOKUP($A285,Attendance1!$B:$H,5,FALSE),VLOOKUP($B285,Attendance1!$B:$H,5,FALSE))="","",IFERROR(VLOOKUP($A285,Attendance1!$B:$H,5,FALSE),VLOOKUP($B285,Attendance1!$B:$H,5,FALSE))),"")</f>
        <v>9282</v>
      </c>
    </row>
    <row r="286" spans="1:12">
      <c r="A286" t="s">
        <v>247</v>
      </c>
      <c r="B286" t="s">
        <v>247</v>
      </c>
      <c r="C286">
        <v>228778</v>
      </c>
      <c r="D286">
        <v>12420</v>
      </c>
      <c r="E286">
        <f t="shared" si="4"/>
        <v>2015</v>
      </c>
      <c r="F286">
        <f>IFERROR(IF(VLOOKUP(C286,TotalRev1!A:C,3,FALSE)="","",VLOOKUP(C286,TotalRev1!A:C,3,FALSE)),"")</f>
        <v>1737835</v>
      </c>
      <c r="G286">
        <f>IFERROR(IF(VLOOKUP(C286,TotalRevL!A:C,3,FALSE)="","",VLOOKUP(C286,TotalRevL!A:C,3,FALSE)),"")</f>
        <v>1576393</v>
      </c>
      <c r="H286" s="26">
        <f>IFERROR(IFERROR(VLOOKUP($A286,Winpct1!$A:$K,9,FALSE),VLOOKUP($B286,Winpct1!$A:$K,9,FALSE)),"")</f>
        <v>0.9</v>
      </c>
      <c r="I286">
        <f>IFERROR(IFERROR(VLOOKUP($A286,Attendance1!$B:$H,3,FALSE),VLOOKUP($B286,Attendance1!$B:$H,3,FALSE)),"")</f>
        <v>40378</v>
      </c>
      <c r="J286">
        <f>IFERROR(VLOOKUP(D286,'Pop-Metro'!A:R,E286-2005,FALSE),VLOOKUP(D286,'Pop-Micro'!A:R,E286-2005,FALSE))</f>
        <v>2004539</v>
      </c>
      <c r="K286">
        <f>IFERROR(VLOOKUP(D286,'PCI-Metro'!A:R,E286-2005,FALSE),VLOOKUP(D286,'PCI-Micro'!A:R,E286-2005,FALSE))</f>
        <v>51884</v>
      </c>
      <c r="L286">
        <f>IFERROR(IF(IFERROR(VLOOKUP($A286,Attendance1!$B:$H,5,FALSE),VLOOKUP($B286,Attendance1!$B:$H,5,FALSE))="","",IFERROR(VLOOKUP($A286,Attendance1!$B:$H,5,FALSE),VLOOKUP($B286,Attendance1!$B:$H,5,FALSE))),"")</f>
        <v>4000</v>
      </c>
    </row>
    <row r="287" spans="1:12">
      <c r="A287" t="s">
        <v>248</v>
      </c>
      <c r="B287" t="s">
        <v>248</v>
      </c>
      <c r="C287">
        <v>228723</v>
      </c>
      <c r="D287">
        <v>17780</v>
      </c>
      <c r="E287">
        <f t="shared" si="4"/>
        <v>2015</v>
      </c>
      <c r="F287">
        <f>IFERROR(IF(VLOOKUP(C287,TotalRev1!A:C,3,FALSE)="","",VLOOKUP(C287,TotalRev1!A:C,3,FALSE)),"")</f>
        <v>615752</v>
      </c>
      <c r="G287">
        <f>IFERROR(IF(VLOOKUP(C287,TotalRevL!A:C,3,FALSE)="","",VLOOKUP(C287,TotalRevL!A:C,3,FALSE)),"")</f>
        <v>592994.85999999987</v>
      </c>
      <c r="H287" s="26">
        <f>IFERROR(IFERROR(VLOOKUP($A287,Winpct1!$A:$K,9,FALSE),VLOOKUP($B287,Winpct1!$A:$K,9,FALSE)),"")</f>
        <v>0.7</v>
      </c>
      <c r="I287">
        <f>IFERROR(IFERROR(VLOOKUP($A287,Attendance1!$B:$H,3,FALSE),VLOOKUP($B287,Attendance1!$B:$H,3,FALSE)),"")</f>
        <v>19635</v>
      </c>
      <c r="J287">
        <f>IFERROR(VLOOKUP(D287,'Pop-Metro'!A:R,E287-2005,FALSE),VLOOKUP(D287,'Pop-Micro'!A:R,E287-2005,FALSE))</f>
        <v>250932</v>
      </c>
      <c r="K287">
        <f>IFERROR(VLOOKUP(D287,'PCI-Metro'!A:R,E287-2005,FALSE),VLOOKUP(D287,'PCI-Micro'!A:R,E287-2005,FALSE))</f>
        <v>36341</v>
      </c>
      <c r="L287">
        <f>IFERROR(IF(IFERROR(VLOOKUP($A287,Attendance1!$B:$H,5,FALSE),VLOOKUP($B287,Attendance1!$B:$H,5,FALSE))="","",IFERROR(VLOOKUP($A287,Attendance1!$B:$H,5,FALSE),VLOOKUP($B287,Attendance1!$B:$H,5,FALSE))),"")</f>
        <v>12989</v>
      </c>
    </row>
    <row r="288" spans="1:12">
      <c r="A288" t="s">
        <v>249</v>
      </c>
      <c r="B288" t="s">
        <v>249</v>
      </c>
      <c r="C288">
        <v>229063</v>
      </c>
      <c r="D288">
        <v>26420</v>
      </c>
      <c r="E288">
        <f t="shared" si="4"/>
        <v>2015</v>
      </c>
      <c r="F288">
        <f>IFERROR(IF(VLOOKUP(C288,TotalRev1!A:C,3,FALSE)="","",VLOOKUP(C288,TotalRev1!A:C,3,FALSE)),"")</f>
        <v>180431</v>
      </c>
      <c r="G288">
        <f>IFERROR(IF(VLOOKUP(C288,TotalRevL!A:C,3,FALSE)="","",VLOOKUP(C288,TotalRevL!A:C,3,FALSE)),"")</f>
        <v>7681</v>
      </c>
      <c r="H288" s="26">
        <f>IFERROR(IFERROR(VLOOKUP($A288,Winpct1!$A:$K,9,FALSE),VLOOKUP($B288,Winpct1!$A:$K,9,FALSE)),"")</f>
        <v>0.4</v>
      </c>
      <c r="I288">
        <f>IFERROR(IFERROR(VLOOKUP($A288,Attendance1!$B:$H,3,FALSE),VLOOKUP($B288,Attendance1!$B:$H,3,FALSE)),"")</f>
        <v>2574</v>
      </c>
      <c r="J288">
        <f>IFERROR(VLOOKUP(D288,'Pop-Metro'!A:R,E288-2005,FALSE),VLOOKUP(D288,'Pop-Micro'!A:R,E288-2005,FALSE))</f>
        <v>6663596</v>
      </c>
      <c r="K288">
        <f>IFERROR(VLOOKUP(D288,'PCI-Metro'!A:R,E288-2005,FALSE),VLOOKUP(D288,'PCI-Micro'!A:R,E288-2005,FALSE))</f>
        <v>54210</v>
      </c>
      <c r="L288">
        <f>IFERROR(IF(IFERROR(VLOOKUP($A288,Attendance1!$B:$H,5,FALSE),VLOOKUP($B288,Attendance1!$B:$H,5,FALSE))="","",IFERROR(VLOOKUP($A288,Attendance1!$B:$H,5,FALSE),VLOOKUP($B288,Attendance1!$B:$H,5,FALSE))),"")</f>
        <v>8100</v>
      </c>
    </row>
    <row r="289" spans="1:12">
      <c r="A289" t="s">
        <v>250</v>
      </c>
      <c r="B289" t="s">
        <v>250</v>
      </c>
      <c r="C289">
        <v>228459</v>
      </c>
      <c r="D289">
        <v>12420</v>
      </c>
      <c r="E289">
        <f t="shared" si="4"/>
        <v>2015</v>
      </c>
      <c r="F289">
        <f>IFERROR(IF(VLOOKUP(C289,TotalRev1!A:C,3,FALSE)="","",VLOOKUP(C289,TotalRev1!A:C,3,FALSE)),"")</f>
        <v>146242</v>
      </c>
      <c r="G289">
        <f>IFERROR(IF(VLOOKUP(C289,TotalRevL!A:C,3,FALSE)="","",VLOOKUP(C289,TotalRevL!A:C,3,FALSE)),"")</f>
        <v>167683</v>
      </c>
      <c r="H289" s="26">
        <f>IFERROR(IFERROR(VLOOKUP($A289,Winpct1!$A:$K,9,FALSE),VLOOKUP($B289,Winpct1!$A:$K,9,FALSE)),"")</f>
        <v>0.629</v>
      </c>
      <c r="I289">
        <f>IFERROR(IFERROR(VLOOKUP($A289,Attendance1!$B:$H,3,FALSE),VLOOKUP($B289,Attendance1!$B:$H,3,FALSE)),"")</f>
        <v>13750</v>
      </c>
      <c r="J289">
        <f>IFERROR(VLOOKUP(D289,'Pop-Metro'!A:R,E289-2005,FALSE),VLOOKUP(D289,'Pop-Micro'!A:R,E289-2005,FALSE))</f>
        <v>2004539</v>
      </c>
      <c r="K289">
        <f>IFERROR(VLOOKUP(D289,'PCI-Metro'!A:R,E289-2005,FALSE),VLOOKUP(D289,'PCI-Micro'!A:R,E289-2005,FALSE))</f>
        <v>51884</v>
      </c>
      <c r="L289">
        <f>IFERROR(IF(IFERROR(VLOOKUP($A289,Attendance1!$B:$H,5,FALSE),VLOOKUP($B289,Attendance1!$B:$H,5,FALSE))="","",IFERROR(VLOOKUP($A289,Attendance1!$B:$H,5,FALSE),VLOOKUP($B289,Attendance1!$B:$H,5,FALSE))),"")</f>
        <v>7200</v>
      </c>
    </row>
    <row r="290" spans="1:12">
      <c r="A290" t="s">
        <v>251</v>
      </c>
      <c r="B290" t="s">
        <v>251</v>
      </c>
      <c r="C290">
        <v>229115</v>
      </c>
      <c r="D290">
        <v>31180</v>
      </c>
      <c r="E290">
        <f t="shared" si="4"/>
        <v>2015</v>
      </c>
      <c r="F290">
        <f>IFERROR(IF(VLOOKUP(C290,TotalRev1!A:C,3,FALSE)="","",VLOOKUP(C290,TotalRev1!A:C,3,FALSE)),"")</f>
        <v>149012</v>
      </c>
      <c r="G290">
        <f>IFERROR(IF(VLOOKUP(C290,TotalRevL!A:C,3,FALSE)="","",VLOOKUP(C290,TotalRevL!A:C,3,FALSE)),"")</f>
        <v>126106</v>
      </c>
      <c r="H290" s="26">
        <f>IFERROR(IFERROR(VLOOKUP($A290,Winpct1!$A:$K,9,FALSE),VLOOKUP($B290,Winpct1!$A:$K,9,FALSE)),"")</f>
        <v>0.5</v>
      </c>
      <c r="I290">
        <f>IFERROR(IFERROR(VLOOKUP($A290,Attendance1!$B:$H,3,FALSE),VLOOKUP($B290,Attendance1!$B:$H,3,FALSE)),"")</f>
        <v>9202</v>
      </c>
      <c r="J290">
        <f>IFERROR(VLOOKUP(D290,'Pop-Metro'!A:R,E290-2005,FALSE),VLOOKUP(D290,'Pop-Micro'!A:R,E290-2005,FALSE))</f>
        <v>308090</v>
      </c>
      <c r="K290">
        <f>IFERROR(VLOOKUP(D290,'PCI-Metro'!A:R,E290-2005,FALSE),VLOOKUP(D290,'PCI-Micro'!A:R,E290-2005,FALSE))</f>
        <v>39588</v>
      </c>
      <c r="L290">
        <f>IFERROR(IF(IFERROR(VLOOKUP($A290,Attendance1!$B:$H,5,FALSE),VLOOKUP($B290,Attendance1!$B:$H,5,FALSE))="","",IFERROR(VLOOKUP($A290,Attendance1!$B:$H,5,FALSE),VLOOKUP($B290,Attendance1!$B:$H,5,FALSE))),"")</f>
        <v>15050</v>
      </c>
    </row>
    <row r="291" spans="1:12">
      <c r="A291" t="s">
        <v>1308</v>
      </c>
      <c r="B291" t="s">
        <v>1307</v>
      </c>
      <c r="C291">
        <v>217864</v>
      </c>
      <c r="D291">
        <v>16700</v>
      </c>
      <c r="E291">
        <f t="shared" si="4"/>
        <v>2015</v>
      </c>
      <c r="F291">
        <f>IFERROR(IF(VLOOKUP(C291,TotalRev1!A:C,3,FALSE)="","",VLOOKUP(C291,TotalRev1!A:C,3,FALSE)),"")</f>
        <v>503916</v>
      </c>
      <c r="G291">
        <f>IFERROR(IF(VLOOKUP(C291,TotalRevL!A:C,3,FALSE)="","",VLOOKUP(C291,TotalRevL!A:C,3,FALSE)),"")</f>
        <v>489227</v>
      </c>
      <c r="H291" s="26">
        <f>IFERROR(IFERROR(VLOOKUP($A291,Winpct1!$A:$K,9,FALSE),VLOOKUP($B291,Winpct1!$A:$K,9,FALSE)),"")</f>
        <v>0.23499999999999999</v>
      </c>
      <c r="I291">
        <f>IFERROR(IFERROR(VLOOKUP($A291,Attendance1!$B:$H,3,FALSE),VLOOKUP($B291,Attendance1!$B:$H,3,FALSE)),"")</f>
        <v>1184</v>
      </c>
      <c r="J291">
        <f>IFERROR(VLOOKUP(D291,'Pop-Metro'!A:R,E291-2005,FALSE),VLOOKUP(D291,'Pop-Micro'!A:R,E291-2005,FALSE))</f>
        <v>738057</v>
      </c>
      <c r="K291">
        <f>IFERROR(VLOOKUP(D291,'PCI-Metro'!A:R,E291-2005,FALSE),VLOOKUP(D291,'PCI-Micro'!A:R,E291-2005,FALSE))</f>
        <v>45617</v>
      </c>
      <c r="L291">
        <f>IFERROR(IF(IFERROR(VLOOKUP($A291,Attendance1!$B:$H,5,FALSE),VLOOKUP($B291,Attendance1!$B:$H,5,FALSE))="","",IFERROR(VLOOKUP($A291,Attendance1!$B:$H,5,FALSE),VLOOKUP($B291,Attendance1!$B:$H,5,FALSE))),"")</f>
        <v>6600</v>
      </c>
    </row>
    <row r="292" spans="1:12">
      <c r="A292" t="s">
        <v>252</v>
      </c>
      <c r="B292" t="s">
        <v>252</v>
      </c>
      <c r="C292">
        <v>206084</v>
      </c>
      <c r="D292">
        <v>45780</v>
      </c>
      <c r="E292">
        <f t="shared" si="4"/>
        <v>2015</v>
      </c>
      <c r="F292">
        <f>IFERROR(IF(VLOOKUP(C292,TotalRev1!A:C,3,FALSE)="","",VLOOKUP(C292,TotalRev1!A:C,3,FALSE)),"")</f>
        <v>19034</v>
      </c>
      <c r="G292">
        <f>IFERROR(IF(VLOOKUP(C292,TotalRevL!A:C,3,FALSE)="","",VLOOKUP(C292,TotalRevL!A:C,3,FALSE)),"")</f>
        <v>29461</v>
      </c>
      <c r="H292" s="26">
        <f>IFERROR(IFERROR(VLOOKUP($A292,Winpct1!$A:$K,9,FALSE),VLOOKUP($B292,Winpct1!$A:$K,9,FALSE)),"")</f>
        <v>3.4000000000000002E-2</v>
      </c>
      <c r="I292">
        <f>IFERROR(IFERROR(VLOOKUP($A292,Attendance1!$B:$H,3,FALSE),VLOOKUP($B292,Attendance1!$B:$H,3,FALSE)),"")</f>
        <v>3656</v>
      </c>
      <c r="J292">
        <f>IFERROR(VLOOKUP(D292,'Pop-Metro'!A:R,E292-2005,FALSE),VLOOKUP(D292,'Pop-Micro'!A:R,E292-2005,FALSE))</f>
        <v>648575</v>
      </c>
      <c r="K292">
        <f>IFERROR(VLOOKUP(D292,'PCI-Metro'!A:R,E292-2005,FALSE),VLOOKUP(D292,'PCI-Micro'!A:R,E292-2005,FALSE))</f>
        <v>42269</v>
      </c>
      <c r="L292">
        <f>IFERROR(IF(IFERROR(VLOOKUP($A292,Attendance1!$B:$H,5,FALSE),VLOOKUP($B292,Attendance1!$B:$H,5,FALSE))="","",IFERROR(VLOOKUP($A292,Attendance1!$B:$H,5,FALSE),VLOOKUP($B292,Attendance1!$B:$H,5,FALSE))),"")</f>
        <v>7014</v>
      </c>
    </row>
    <row r="293" spans="1:12">
      <c r="A293" t="s">
        <v>253</v>
      </c>
      <c r="B293" t="s">
        <v>253</v>
      </c>
      <c r="C293">
        <v>164076</v>
      </c>
      <c r="D293">
        <v>12580</v>
      </c>
      <c r="E293">
        <f t="shared" si="4"/>
        <v>2015</v>
      </c>
      <c r="F293">
        <f>IFERROR(IF(VLOOKUP(C293,TotalRev1!A:C,3,FALSE)="","",VLOOKUP(C293,TotalRev1!A:C,3,FALSE)),"")</f>
        <v>178861</v>
      </c>
      <c r="G293">
        <f>IFERROR(IF(VLOOKUP(C293,TotalRevL!A:C,3,FALSE)="","",VLOOKUP(C293,TotalRevL!A:C,3,FALSE)),"")</f>
        <v>175811</v>
      </c>
      <c r="H293" s="26">
        <f>IFERROR(IFERROR(VLOOKUP($A293,Winpct1!$A:$K,9,FALSE),VLOOKUP($B293,Winpct1!$A:$K,9,FALSE)),"")</f>
        <v>0.84399999999999997</v>
      </c>
      <c r="I293">
        <f>IFERROR(IFERROR(VLOOKUP($A293,Attendance1!$B:$H,3,FALSE),VLOOKUP($B293,Attendance1!$B:$H,3,FALSE)),"")</f>
        <v>3100</v>
      </c>
      <c r="J293">
        <f>IFERROR(VLOOKUP(D293,'Pop-Metro'!A:R,E293-2005,FALSE),VLOOKUP(D293,'Pop-Micro'!A:R,E293-2005,FALSE))</f>
        <v>2812978</v>
      </c>
      <c r="K293">
        <f>IFERROR(VLOOKUP(D293,'PCI-Metro'!A:R,E293-2005,FALSE),VLOOKUP(D293,'PCI-Micro'!A:R,E293-2005,FALSE))</f>
        <v>54356</v>
      </c>
      <c r="L293">
        <f>IFERROR(IF(IFERROR(VLOOKUP($A293,Attendance1!$B:$H,5,FALSE),VLOOKUP($B293,Attendance1!$B:$H,5,FALSE))="","",IFERROR(VLOOKUP($A293,Attendance1!$B:$H,5,FALSE),VLOOKUP($B293,Attendance1!$B:$H,5,FALSE))),"")</f>
        <v>5200</v>
      </c>
    </row>
    <row r="294" spans="1:12">
      <c r="A294" t="s">
        <v>254</v>
      </c>
      <c r="B294" t="s">
        <v>254</v>
      </c>
      <c r="C294">
        <v>102368</v>
      </c>
      <c r="D294">
        <v>45980</v>
      </c>
      <c r="E294">
        <f t="shared" si="4"/>
        <v>2015</v>
      </c>
      <c r="F294" t="str">
        <f>IFERROR(IF(VLOOKUP(C294,TotalRev1!A:C,3,FALSE)="","",VLOOKUP(C294,TotalRev1!A:C,3,FALSE)),"")</f>
        <v/>
      </c>
      <c r="G294">
        <f>IFERROR(IF(VLOOKUP(C294,TotalRevL!A:C,3,FALSE)="","",VLOOKUP(C294,TotalRevL!A:C,3,FALSE)),"")</f>
        <v>1314452</v>
      </c>
      <c r="H294" s="26">
        <f>IFERROR(IFERROR(VLOOKUP($A294,Winpct1!$A:$K,9,FALSE),VLOOKUP($B294,Winpct1!$A:$K,9,FALSE)),"")</f>
        <v>0.313</v>
      </c>
      <c r="I294">
        <f>IFERROR(IFERROR(VLOOKUP($A294,Attendance1!$B:$H,3,FALSE),VLOOKUP($B294,Attendance1!$B:$H,3,FALSE)),"")</f>
        <v>4989</v>
      </c>
      <c r="J294">
        <f>IFERROR(VLOOKUP(D294,'Pop-Metro'!A:R,E294-2005,FALSE),VLOOKUP(D294,'Pop-Micro'!A:R,E294-2005,FALSE))</f>
        <v>33540</v>
      </c>
      <c r="K294">
        <f>IFERROR(VLOOKUP(D294,'PCI-Metro'!A:R,E294-2005,FALSE),VLOOKUP(D294,'PCI-Micro'!A:R,E294-2005,FALSE))</f>
        <v>34329</v>
      </c>
      <c r="L294">
        <f>IFERROR(IF(IFERROR(VLOOKUP($A294,Attendance1!$B:$H,5,FALSE),VLOOKUP($B294,Attendance1!$B:$H,5,FALSE))="","",IFERROR(VLOOKUP($A294,Attendance1!$B:$H,5,FALSE),VLOOKUP($B294,Attendance1!$B:$H,5,FALSE))),"")</f>
        <v>5200</v>
      </c>
    </row>
    <row r="295" spans="1:12">
      <c r="A295" t="s">
        <v>1309</v>
      </c>
      <c r="B295" t="s">
        <v>1309</v>
      </c>
      <c r="C295">
        <v>160755</v>
      </c>
      <c r="D295">
        <v>35380</v>
      </c>
      <c r="E295">
        <f t="shared" si="4"/>
        <v>2015</v>
      </c>
      <c r="F295" t="str">
        <f>IFERROR(IF(VLOOKUP(C295,TotalRev1!A:C,3,FALSE)="","",VLOOKUP(C295,TotalRev1!A:C,3,FALSE)),"")</f>
        <v/>
      </c>
      <c r="G295" t="str">
        <f>IFERROR(IF(VLOOKUP(C295,TotalRevL!A:C,3,FALSE)="","",VLOOKUP(C295,TotalRevL!A:C,3,FALSE)),"")</f>
        <v/>
      </c>
      <c r="H295" s="26">
        <f>IFERROR(IFERROR(VLOOKUP($A295,Winpct1!$A:$K,9,FALSE),VLOOKUP($B295,Winpct1!$A:$K,9,FALSE)),"")</f>
        <v>0.156</v>
      </c>
      <c r="I295">
        <f>IFERROR(IFERROR(VLOOKUP($A295,Attendance1!$B:$H,3,FALSE),VLOOKUP($B295,Attendance1!$B:$H,3,FALSE)),"")</f>
        <v>2502</v>
      </c>
      <c r="J295">
        <f>IFERROR(VLOOKUP(D295,'Pop-Metro'!A:R,E295-2005,FALSE),VLOOKUP(D295,'Pop-Micro'!A:R,E295-2005,FALSE))</f>
        <v>1260322</v>
      </c>
      <c r="K295">
        <f>IFERROR(VLOOKUP(D295,'PCI-Metro'!A:R,E295-2005,FALSE),VLOOKUP(D295,'PCI-Micro'!A:R,E295-2005,FALSE))</f>
        <v>48248</v>
      </c>
      <c r="L295">
        <f>IFERROR(IF(IFERROR(VLOOKUP($A295,Attendance1!$B:$H,5,FALSE),VLOOKUP($B295,Attendance1!$B:$H,5,FALSE))="","",IFERROR(VLOOKUP($A295,Attendance1!$B:$H,5,FALSE),VLOOKUP($B295,Attendance1!$B:$H,5,FALSE))),"")</f>
        <v>3600</v>
      </c>
    </row>
    <row r="296" spans="1:12">
      <c r="A296" t="s">
        <v>255</v>
      </c>
      <c r="B296" t="s">
        <v>255</v>
      </c>
      <c r="C296">
        <v>207971</v>
      </c>
      <c r="D296">
        <v>46140</v>
      </c>
      <c r="E296">
        <f t="shared" si="4"/>
        <v>2015</v>
      </c>
      <c r="F296" t="str">
        <f>IFERROR(IF(VLOOKUP(C296,TotalRev1!A:C,3,FALSE)="","",VLOOKUP(C296,TotalRev1!A:C,3,FALSE)),"")</f>
        <v/>
      </c>
      <c r="G296" t="str">
        <f>IFERROR(IF(VLOOKUP(C296,TotalRevL!A:C,3,FALSE)="","",VLOOKUP(C296,TotalRevL!A:C,3,FALSE)),"")</f>
        <v/>
      </c>
      <c r="H296" s="26">
        <f>IFERROR(IFERROR(VLOOKUP($A296,Winpct1!$A:$K,9,FALSE),VLOOKUP($B296,Winpct1!$A:$K,9,FALSE)),"")</f>
        <v>0.71</v>
      </c>
      <c r="I296">
        <f>IFERROR(IFERROR(VLOOKUP($A296,Attendance1!$B:$H,3,FALSE),VLOOKUP($B296,Attendance1!$B:$H,3,FALSE)),"")</f>
        <v>4947</v>
      </c>
      <c r="J296">
        <f>IFERROR(VLOOKUP(D296,'Pop-Metro'!A:R,E296-2005,FALSE),VLOOKUP(D296,'Pop-Micro'!A:R,E296-2005,FALSE))</f>
        <v>986572</v>
      </c>
      <c r="K296">
        <f>IFERROR(VLOOKUP(D296,'PCI-Metro'!A:R,E296-2005,FALSE),VLOOKUP(D296,'PCI-Micro'!A:R,E296-2005,FALSE))</f>
        <v>53544</v>
      </c>
      <c r="L296">
        <f>IFERROR(IF(IFERROR(VLOOKUP($A296,Attendance1!$B:$H,5,FALSE),VLOOKUP($B296,Attendance1!$B:$H,5,FALSE))="","",IFERROR(VLOOKUP($A296,Attendance1!$B:$H,5,FALSE),VLOOKUP($B296,Attendance1!$B:$H,5,FALSE))),"")</f>
        <v>26</v>
      </c>
    </row>
    <row r="297" spans="1:12">
      <c r="A297" t="s">
        <v>256</v>
      </c>
      <c r="B297" t="s">
        <v>256</v>
      </c>
      <c r="C297">
        <v>100663</v>
      </c>
      <c r="D297">
        <v>13820</v>
      </c>
      <c r="E297">
        <f t="shared" si="4"/>
        <v>2015</v>
      </c>
      <c r="F297">
        <f>IFERROR(IF(VLOOKUP(C297,TotalRev1!A:C,3,FALSE)="","",VLOOKUP(C297,TotalRev1!A:C,3,FALSE)),"")</f>
        <v>957961</v>
      </c>
      <c r="G297">
        <f>IFERROR(IF(VLOOKUP(C297,TotalRevL!A:C,3,FALSE)="","",VLOOKUP(C297,TotalRevL!A:C,3,FALSE)),"")</f>
        <v>811301</v>
      </c>
      <c r="H297" s="26">
        <f>IFERROR(IFERROR(VLOOKUP($A297,Winpct1!$A:$K,9,FALSE),VLOOKUP($B297,Winpct1!$A:$K,9,FALSE)),"")</f>
        <v>0.25</v>
      </c>
      <c r="I297">
        <f>IFERROR(IFERROR(VLOOKUP($A297,Attendance1!$B:$H,3,FALSE),VLOOKUP($B297,Attendance1!$B:$H,3,FALSE)),"")</f>
        <v>3115</v>
      </c>
      <c r="J297">
        <f>IFERROR(VLOOKUP(D297,'Pop-Metro'!A:R,E297-2005,FALSE),VLOOKUP(D297,'Pop-Micro'!A:R,E297-2005,FALSE))</f>
        <v>1092150</v>
      </c>
      <c r="K297">
        <f>IFERROR(VLOOKUP(D297,'PCI-Metro'!A:R,E297-2005,FALSE),VLOOKUP(D297,'PCI-Micro'!A:R,E297-2005,FALSE))</f>
        <v>45440</v>
      </c>
      <c r="L297">
        <f>IFERROR(IF(IFERROR(VLOOKUP($A297,Attendance1!$B:$H,5,FALSE),VLOOKUP($B297,Attendance1!$B:$H,5,FALSE))="","",IFERROR(VLOOKUP($A297,Attendance1!$B:$H,5,FALSE),VLOOKUP($B297,Attendance1!$B:$H,5,FALSE))),"")</f>
        <v>8500</v>
      </c>
    </row>
    <row r="298" spans="1:12">
      <c r="A298" t="s">
        <v>1239</v>
      </c>
      <c r="B298" t="s">
        <v>10</v>
      </c>
      <c r="C298">
        <v>196060</v>
      </c>
      <c r="D298">
        <v>10580</v>
      </c>
      <c r="E298">
        <f t="shared" si="4"/>
        <v>2015</v>
      </c>
      <c r="F298" t="str">
        <f>IFERROR(IF(VLOOKUP(C298,TotalRev1!A:C,3,FALSE)="","",VLOOKUP(C298,TotalRev1!A:C,3,FALSE)),"")</f>
        <v/>
      </c>
      <c r="G298">
        <f>IFERROR(IF(VLOOKUP(C298,TotalRevL!A:C,3,FALSE)="","",VLOOKUP(C298,TotalRevL!A:C,3,FALSE)),"")</f>
        <v>155156</v>
      </c>
      <c r="H298" s="26">
        <f>IFERROR(IFERROR(VLOOKUP($A298,Winpct1!$A:$K,9,FALSE),VLOOKUP($B298,Winpct1!$A:$K,9,FALSE)),"")</f>
        <v>0.37</v>
      </c>
      <c r="I298">
        <f>IFERROR(IFERROR(VLOOKUP($A298,Attendance1!$B:$H,3,FALSE),VLOOKUP($B298,Attendance1!$B:$H,3,FALSE)),"")</f>
        <v>1216</v>
      </c>
      <c r="J298">
        <f>IFERROR(VLOOKUP(D298,'Pop-Metro'!A:R,E298-2005,FALSE),VLOOKUP(D298,'Pop-Micro'!A:R,E298-2005,FALSE))</f>
        <v>889918</v>
      </c>
      <c r="K298">
        <f>IFERROR(VLOOKUP(D298,'PCI-Metro'!A:R,E298-2005,FALSE),VLOOKUP(D298,'PCI-Micro'!A:R,E298-2005,FALSE))</f>
        <v>51103</v>
      </c>
      <c r="L298">
        <f>IFERROR(IF(IFERROR(VLOOKUP($A298,Attendance1!$B:$H,5,FALSE),VLOOKUP($B298,Attendance1!$B:$H,5,FALSE))="","",IFERROR(VLOOKUP($A298,Attendance1!$B:$H,5,FALSE),VLOOKUP($B298,Attendance1!$B:$H,5,FALSE))),"")</f>
        <v>2600</v>
      </c>
    </row>
    <row r="299" spans="1:12">
      <c r="A299" t="s">
        <v>257</v>
      </c>
      <c r="B299" t="s">
        <v>257</v>
      </c>
      <c r="C299">
        <v>110644</v>
      </c>
      <c r="D299">
        <v>40900</v>
      </c>
      <c r="E299">
        <f t="shared" si="4"/>
        <v>2015</v>
      </c>
      <c r="F299">
        <f>IFERROR(IF(VLOOKUP(C299,TotalRev1!A:C,3,FALSE)="","",VLOOKUP(C299,TotalRev1!A:C,3,FALSE)),"")</f>
        <v>395956</v>
      </c>
      <c r="G299">
        <f>IFERROR(IF(VLOOKUP(C299,TotalRevL!A:C,3,FALSE)="","",VLOOKUP(C299,TotalRevL!A:C,3,FALSE)),"")</f>
        <v>347852</v>
      </c>
      <c r="H299" s="26">
        <f>IFERROR(IFERROR(VLOOKUP($A299,Winpct1!$A:$K,9,FALSE),VLOOKUP($B299,Winpct1!$A:$K,9,FALSE)),"")</f>
        <v>0.51700000000000002</v>
      </c>
      <c r="I299">
        <f>IFERROR(IFERROR(VLOOKUP($A299,Attendance1!$B:$H,3,FALSE),VLOOKUP($B299,Attendance1!$B:$H,3,FALSE)),"")</f>
        <v>5637</v>
      </c>
      <c r="J299">
        <f>IFERROR(VLOOKUP(D299,'Pop-Metro'!A:R,E299-2005,FALSE),VLOOKUP(D299,'Pop-Micro'!A:R,E299-2005,FALSE))</f>
        <v>2274649</v>
      </c>
      <c r="K299">
        <f>IFERROR(VLOOKUP(D299,'PCI-Metro'!A:R,E299-2005,FALSE),VLOOKUP(D299,'PCI-Micro'!A:R,E299-2005,FALSE))</f>
        <v>49286</v>
      </c>
      <c r="L299">
        <f>IFERROR(IF(IFERROR(VLOOKUP($A299,Attendance1!$B:$H,5,FALSE),VLOOKUP($B299,Attendance1!$B:$H,5,FALSE))="","",IFERROR(VLOOKUP($A299,Attendance1!$B:$H,5,FALSE),VLOOKUP($B299,Attendance1!$B:$H,5,FALSE))),"")</f>
        <v>5931</v>
      </c>
    </row>
    <row r="300" spans="1:12">
      <c r="A300" t="s">
        <v>1310</v>
      </c>
      <c r="B300" t="s">
        <v>1310</v>
      </c>
      <c r="C300">
        <v>110653</v>
      </c>
      <c r="D300">
        <v>31080</v>
      </c>
      <c r="E300">
        <f t="shared" si="4"/>
        <v>2015</v>
      </c>
      <c r="F300">
        <f>IFERROR(IF(VLOOKUP(C300,TotalRev1!A:C,3,FALSE)="","",VLOOKUP(C300,TotalRev1!A:C,3,FALSE)),"")</f>
        <v>755506</v>
      </c>
      <c r="G300">
        <f>IFERROR(IF(VLOOKUP(C300,TotalRevL!A:C,3,FALSE)="","",VLOOKUP(C300,TotalRevL!A:C,3,FALSE)),"")</f>
        <v>701372</v>
      </c>
      <c r="H300" s="26">
        <f>IFERROR(IFERROR(VLOOKUP($A300,Winpct1!$A:$K,9,FALSE),VLOOKUP($B300,Winpct1!$A:$K,9,FALSE)),"")</f>
        <v>0.61299999999999999</v>
      </c>
      <c r="I300">
        <f>IFERROR(IFERROR(VLOOKUP($A300,Attendance1!$B:$H,3,FALSE),VLOOKUP($B300,Attendance1!$B:$H,3,FALSE)),"")</f>
        <v>4071</v>
      </c>
      <c r="J300">
        <f>IFERROR(VLOOKUP(D300,'Pop-Metro'!A:R,E300-2005,FALSE),VLOOKUP(D300,'Pop-Micro'!A:R,E300-2005,FALSE))</f>
        <v>13256931</v>
      </c>
      <c r="K300">
        <f>IFERROR(VLOOKUP(D300,'PCI-Metro'!A:R,E300-2005,FALSE),VLOOKUP(D300,'PCI-Micro'!A:R,E300-2005,FALSE))</f>
        <v>54538</v>
      </c>
      <c r="L300">
        <f>IFERROR(IF(IFERROR(VLOOKUP($A300,Attendance1!$B:$H,5,FALSE),VLOOKUP($B300,Attendance1!$B:$H,5,FALSE))="","",IFERROR(VLOOKUP($A300,Attendance1!$B:$H,5,FALSE),VLOOKUP($B300,Attendance1!$B:$H,5,FALSE))),"")</f>
        <v>5000</v>
      </c>
    </row>
    <row r="301" spans="1:12">
      <c r="A301" t="s">
        <v>258</v>
      </c>
      <c r="B301" t="s">
        <v>258</v>
      </c>
      <c r="C301">
        <v>110671</v>
      </c>
      <c r="D301">
        <v>40140</v>
      </c>
      <c r="E301">
        <f t="shared" si="4"/>
        <v>2015</v>
      </c>
      <c r="F301">
        <f>IFERROR(IF(VLOOKUP(C301,TotalRev1!A:C,3,FALSE)="","",VLOOKUP(C301,TotalRev1!A:C,3,FALSE)),"")</f>
        <v>956004</v>
      </c>
      <c r="G301">
        <f>IFERROR(IF(VLOOKUP(C301,TotalRevL!A:C,3,FALSE)="","",VLOOKUP(C301,TotalRevL!A:C,3,FALSE)),"")</f>
        <v>876876</v>
      </c>
      <c r="H301" s="26">
        <f>IFERROR(IFERROR(VLOOKUP($A301,Winpct1!$A:$K,9,FALSE),VLOOKUP($B301,Winpct1!$A:$K,9,FALSE)),"")</f>
        <v>7.0999999999999994E-2</v>
      </c>
      <c r="I301">
        <f>IFERROR(IFERROR(VLOOKUP($A301,Attendance1!$B:$H,3,FALSE),VLOOKUP($B301,Attendance1!$B:$H,3,FALSE)),"")</f>
        <v>2730</v>
      </c>
      <c r="J301">
        <f>IFERROR(VLOOKUP(D301,'Pop-Metro'!A:R,E301-2005,FALSE),VLOOKUP(D301,'Pop-Micro'!A:R,E301-2005,FALSE))</f>
        <v>4422911</v>
      </c>
      <c r="K301">
        <f>IFERROR(VLOOKUP(D301,'PCI-Metro'!A:R,E301-2005,FALSE),VLOOKUP(D301,'PCI-Micro'!A:R,E301-2005,FALSE))</f>
        <v>35917</v>
      </c>
      <c r="L301">
        <f>IFERROR(IF(IFERROR(VLOOKUP($A301,Attendance1!$B:$H,5,FALSE),VLOOKUP($B301,Attendance1!$B:$H,5,FALSE))="","",IFERROR(VLOOKUP($A301,Attendance1!$B:$H,5,FALSE),VLOOKUP($B301,Attendance1!$B:$H,5,FALSE))),"")</f>
        <v>1922</v>
      </c>
    </row>
    <row r="302" spans="1:12">
      <c r="A302" t="s">
        <v>259</v>
      </c>
      <c r="B302" t="s">
        <v>259</v>
      </c>
      <c r="C302">
        <v>110705</v>
      </c>
      <c r="D302">
        <v>42200</v>
      </c>
      <c r="E302">
        <f t="shared" si="4"/>
        <v>2015</v>
      </c>
      <c r="F302">
        <f>IFERROR(IF(VLOOKUP(C302,TotalRev1!A:C,3,FALSE)="","",VLOOKUP(C302,TotalRev1!A:C,3,FALSE)),"")</f>
        <v>470470</v>
      </c>
      <c r="G302">
        <f>IFERROR(IF(VLOOKUP(C302,TotalRevL!A:C,3,FALSE)="","",VLOOKUP(C302,TotalRevL!A:C,3,FALSE)),"")</f>
        <v>732338</v>
      </c>
      <c r="H302" s="26">
        <f>IFERROR(IFERROR(VLOOKUP($A302,Winpct1!$A:$K,9,FALSE),VLOOKUP($B302,Winpct1!$A:$K,9,FALSE)),"")</f>
        <v>0.48099999999999998</v>
      </c>
      <c r="I302">
        <f>IFERROR(IFERROR(VLOOKUP($A302,Attendance1!$B:$H,3,FALSE),VLOOKUP($B302,Attendance1!$B:$H,3,FALSE)),"")</f>
        <v>3359</v>
      </c>
      <c r="J302">
        <f>IFERROR(VLOOKUP(D302,'Pop-Metro'!A:R,E302-2005,FALSE),VLOOKUP(D302,'Pop-Micro'!A:R,E302-2005,FALSE))</f>
        <v>443677</v>
      </c>
      <c r="K302">
        <f>IFERROR(VLOOKUP(D302,'PCI-Metro'!A:R,E302-2005,FALSE),VLOOKUP(D302,'PCI-Micro'!A:R,E302-2005,FALSE))</f>
        <v>54318</v>
      </c>
      <c r="L302">
        <f>IFERROR(IF(IFERROR(VLOOKUP($A302,Attendance1!$B:$H,5,FALSE),VLOOKUP($B302,Attendance1!$B:$H,5,FALSE))="","",IFERROR(VLOOKUP($A302,Attendance1!$B:$H,5,FALSE),VLOOKUP($B302,Attendance1!$B:$H,5,FALSE))),"")</f>
        <v>6000</v>
      </c>
    </row>
    <row r="303" spans="1:12">
      <c r="A303" t="s">
        <v>260</v>
      </c>
      <c r="B303" t="s">
        <v>260</v>
      </c>
      <c r="C303">
        <v>132903</v>
      </c>
      <c r="D303">
        <v>36740</v>
      </c>
      <c r="E303">
        <f t="shared" si="4"/>
        <v>2015</v>
      </c>
      <c r="F303">
        <f>IFERROR(IF(VLOOKUP(C303,TotalRev1!A:C,3,FALSE)="","",VLOOKUP(C303,TotalRev1!A:C,3,FALSE)),"")</f>
        <v>315472</v>
      </c>
      <c r="G303">
        <f>IFERROR(IF(VLOOKUP(C303,TotalRevL!A:C,3,FALSE)="","",VLOOKUP(C303,TotalRevL!A:C,3,FALSE)),"")</f>
        <v>352531</v>
      </c>
      <c r="H303" s="26">
        <f>IFERROR(IFERROR(VLOOKUP($A303,Winpct1!$A:$K,9,FALSE),VLOOKUP($B303,Winpct1!$A:$K,9,FALSE)),"")</f>
        <v>0.75800000000000001</v>
      </c>
      <c r="I303">
        <f>IFERROR(IFERROR(VLOOKUP($A303,Attendance1!$B:$H,3,FALSE),VLOOKUP($B303,Attendance1!$B:$H,3,FALSE)),"")</f>
        <v>6227</v>
      </c>
      <c r="J303">
        <f>IFERROR(VLOOKUP(D303,'Pop-Metro'!A:R,E303-2005,FALSE),VLOOKUP(D303,'Pop-Micro'!A:R,E303-2005,FALSE))</f>
        <v>2407405</v>
      </c>
      <c r="K303">
        <f>IFERROR(VLOOKUP(D303,'PCI-Metro'!A:R,E303-2005,FALSE),VLOOKUP(D303,'PCI-Micro'!A:R,E303-2005,FALSE))</f>
        <v>38884</v>
      </c>
      <c r="L303">
        <f>IFERROR(IF(IFERROR(VLOOKUP($A303,Attendance1!$B:$H,5,FALSE),VLOOKUP($B303,Attendance1!$B:$H,5,FALSE))="","",IFERROR(VLOOKUP($A303,Attendance1!$B:$H,5,FALSE),VLOOKUP($B303,Attendance1!$B:$H,5,FALSE))),"")</f>
        <v>2000</v>
      </c>
    </row>
    <row r="304" spans="1:12">
      <c r="A304" t="s">
        <v>261</v>
      </c>
      <c r="B304" t="s">
        <v>261</v>
      </c>
      <c r="C304">
        <v>110662</v>
      </c>
      <c r="D304">
        <v>31080</v>
      </c>
      <c r="E304">
        <f t="shared" si="4"/>
        <v>2015</v>
      </c>
      <c r="F304">
        <f>IFERROR(IF(VLOOKUP(C304,TotalRev1!A:C,3,FALSE)="","",VLOOKUP(C304,TotalRev1!A:C,3,FALSE)),"")</f>
        <v>629583</v>
      </c>
      <c r="G304">
        <f>IFERROR(IF(VLOOKUP(C304,TotalRevL!A:C,3,FALSE)="","",VLOOKUP(C304,TotalRevL!A:C,3,FALSE)),"")</f>
        <v>438313</v>
      </c>
      <c r="H304" s="26">
        <f>IFERROR(IFERROR(VLOOKUP($A304,Winpct1!$A:$K,9,FALSE),VLOOKUP($B304,Winpct1!$A:$K,9,FALSE)),"")</f>
        <v>0.64700000000000002</v>
      </c>
      <c r="I304">
        <f>IFERROR(IFERROR(VLOOKUP($A304,Attendance1!$B:$H,3,FALSE),VLOOKUP($B304,Attendance1!$B:$H,3,FALSE)),"")</f>
        <v>10536</v>
      </c>
      <c r="J304">
        <f>IFERROR(VLOOKUP(D304,'Pop-Metro'!A:R,E304-2005,FALSE),VLOOKUP(D304,'Pop-Micro'!A:R,E304-2005,FALSE))</f>
        <v>13256931</v>
      </c>
      <c r="K304">
        <f>IFERROR(VLOOKUP(D304,'PCI-Metro'!A:R,E304-2005,FALSE),VLOOKUP(D304,'PCI-Micro'!A:R,E304-2005,FALSE))</f>
        <v>54538</v>
      </c>
      <c r="L304">
        <f>IFERROR(IF(IFERROR(VLOOKUP($A304,Attendance1!$B:$H,5,FALSE),VLOOKUP($B304,Attendance1!$B:$H,5,FALSE))="","",IFERROR(VLOOKUP($A304,Attendance1!$B:$H,5,FALSE),VLOOKUP($B304,Attendance1!$B:$H,5,FALSE))),"")</f>
        <v>13800</v>
      </c>
    </row>
    <row r="305" spans="1:12">
      <c r="A305" t="s">
        <v>262</v>
      </c>
      <c r="B305" t="s">
        <v>262</v>
      </c>
      <c r="C305">
        <v>129020</v>
      </c>
      <c r="D305">
        <v>25540</v>
      </c>
      <c r="E305">
        <f t="shared" si="4"/>
        <v>2015</v>
      </c>
      <c r="F305">
        <f>IFERROR(IF(VLOOKUP(C305,TotalRev1!A:C,3,FALSE)="","",VLOOKUP(C305,TotalRev1!A:C,3,FALSE)),"")</f>
        <v>11691</v>
      </c>
      <c r="G305">
        <f>IFERROR(IF(VLOOKUP(C305,TotalRevL!A:C,3,FALSE)="","",VLOOKUP(C305,TotalRevL!A:C,3,FALSE)),"")</f>
        <v>13114</v>
      </c>
      <c r="H305" s="26">
        <f>IFERROR(IFERROR(VLOOKUP($A305,Winpct1!$A:$K,9,FALSE),VLOOKUP($B305,Winpct1!$A:$K,9,FALSE)),"")</f>
        <v>0.38700000000000001</v>
      </c>
      <c r="I305">
        <f>IFERROR(IFERROR(VLOOKUP($A305,Attendance1!$B:$H,3,FALSE),VLOOKUP($B305,Attendance1!$B:$H,3,FALSE)),"")</f>
        <v>3997</v>
      </c>
      <c r="J305">
        <f>IFERROR(VLOOKUP(D305,'Pop-Metro'!A:R,E305-2005,FALSE),VLOOKUP(D305,'Pop-Micro'!A:R,E305-2005,FALSE))</f>
        <v>1217737</v>
      </c>
      <c r="K305">
        <f>IFERROR(VLOOKUP(D305,'PCI-Metro'!A:R,E305-2005,FALSE),VLOOKUP(D305,'PCI-Micro'!A:R,E305-2005,FALSE))</f>
        <v>57378</v>
      </c>
      <c r="L305">
        <f>IFERROR(IF(IFERROR(VLOOKUP($A305,Attendance1!$B:$H,5,FALSE),VLOOKUP($B305,Attendance1!$B:$H,5,FALSE))="","",IFERROR(VLOOKUP($A305,Attendance1!$B:$H,5,FALSE),VLOOKUP($B305,Attendance1!$B:$H,5,FALSE))),"")</f>
        <v>10241</v>
      </c>
    </row>
    <row r="306" spans="1:12">
      <c r="A306" t="s">
        <v>263</v>
      </c>
      <c r="B306" t="s">
        <v>263</v>
      </c>
      <c r="C306">
        <v>145600</v>
      </c>
      <c r="D306">
        <v>16980</v>
      </c>
      <c r="E306">
        <f t="shared" si="4"/>
        <v>2015</v>
      </c>
      <c r="F306">
        <f>IFERROR(IF(VLOOKUP(C306,TotalRev1!A:C,3,FALSE)="","",VLOOKUP(C306,TotalRev1!A:C,3,FALSE)),"")</f>
        <v>147328</v>
      </c>
      <c r="G306">
        <f>IFERROR(IF(VLOOKUP(C306,TotalRevL!A:C,3,FALSE)="","",VLOOKUP(C306,TotalRevL!A:C,3,FALSE)),"")</f>
        <v>428628</v>
      </c>
      <c r="H306" s="26">
        <f>IFERROR(IFERROR(VLOOKUP($A306,Winpct1!$A:$K,9,FALSE),VLOOKUP($B306,Winpct1!$A:$K,9,FALSE)),"")</f>
        <v>0.45200000000000001</v>
      </c>
      <c r="I306">
        <f>IFERROR(IFERROR(VLOOKUP($A306,Attendance1!$B:$H,3,FALSE),VLOOKUP($B306,Attendance1!$B:$H,3,FALSE)),"")</f>
        <v>3159</v>
      </c>
      <c r="J306">
        <f>IFERROR(VLOOKUP(D306,'Pop-Metro'!A:R,E306-2005,FALSE),VLOOKUP(D306,'Pop-Micro'!A:R,E306-2005,FALSE))</f>
        <v>9655619</v>
      </c>
      <c r="K306">
        <f>IFERROR(VLOOKUP(D306,'PCI-Metro'!A:R,E306-2005,FALSE),VLOOKUP(D306,'PCI-Micro'!A:R,E306-2005,FALSE))</f>
        <v>54358</v>
      </c>
      <c r="L306">
        <f>IFERROR(IF(IFERROR(VLOOKUP($A306,Attendance1!$B:$H,5,FALSE),VLOOKUP($B306,Attendance1!$B:$H,5,FALSE))="","",IFERROR(VLOOKUP($A306,Attendance1!$B:$H,5,FALSE),VLOOKUP($B306,Attendance1!$B:$H,5,FALSE))),"")</f>
        <v>500</v>
      </c>
    </row>
    <row r="307" spans="1:12">
      <c r="A307" t="s">
        <v>1244</v>
      </c>
      <c r="B307" t="s">
        <v>107</v>
      </c>
      <c r="C307">
        <v>225627</v>
      </c>
      <c r="D307">
        <v>41700</v>
      </c>
      <c r="E307">
        <f t="shared" si="4"/>
        <v>2015</v>
      </c>
      <c r="F307" t="str">
        <f>IFERROR(IF(VLOOKUP(C307,TotalRev1!A:C,3,FALSE)="","",VLOOKUP(C307,TotalRev1!A:C,3,FALSE)),"")</f>
        <v/>
      </c>
      <c r="G307" t="str">
        <f>IFERROR(IF(VLOOKUP(C307,TotalRevL!A:C,3,FALSE)="","",VLOOKUP(C307,TotalRevL!A:C,3,FALSE)),"")</f>
        <v/>
      </c>
      <c r="H307" s="26" t="str">
        <f>IFERROR(IFERROR(VLOOKUP($A307,Winpct1!$A:$K,9,FALSE),VLOOKUP($B307,Winpct1!$A:$K,9,FALSE)),"")</f>
        <v/>
      </c>
      <c r="I307">
        <f>IFERROR(IFERROR(VLOOKUP($A307,Attendance1!$B:$H,3,FALSE),VLOOKUP($B307,Attendance1!$B:$H,3,FALSE)),"")</f>
        <v>3063</v>
      </c>
      <c r="J307">
        <f>IFERROR(VLOOKUP(D307,'Pop-Metro'!A:R,E307-2005,FALSE),VLOOKUP(D307,'Pop-Micro'!A:R,E307-2005,FALSE))</f>
        <v>2368219</v>
      </c>
      <c r="K307">
        <f>IFERROR(VLOOKUP(D307,'PCI-Metro'!A:R,E307-2005,FALSE),VLOOKUP(D307,'PCI-Micro'!A:R,E307-2005,FALSE))</f>
        <v>43712</v>
      </c>
      <c r="L307">
        <f>IFERROR(IF(IFERROR(VLOOKUP($A307,Attendance1!$B:$H,5,FALSE),VLOOKUP($B307,Attendance1!$B:$H,5,FALSE))="","",IFERROR(VLOOKUP($A307,Attendance1!$B:$H,5,FALSE),VLOOKUP($B307,Attendance1!$B:$H,5,FALSE))),"")</f>
        <v>2000</v>
      </c>
    </row>
    <row r="308" spans="1:12">
      <c r="A308" t="s">
        <v>1245</v>
      </c>
      <c r="B308" t="s">
        <v>122</v>
      </c>
      <c r="C308">
        <v>159993</v>
      </c>
      <c r="D308">
        <v>33740</v>
      </c>
      <c r="E308">
        <f t="shared" si="4"/>
        <v>2015</v>
      </c>
      <c r="F308">
        <f>IFERROR(IF(VLOOKUP(C308,TotalRev1!A:C,3,FALSE)="","",VLOOKUP(C308,TotalRev1!A:C,3,FALSE)),"")</f>
        <v>39195</v>
      </c>
      <c r="G308">
        <f>IFERROR(IF(VLOOKUP(C308,TotalRevL!A:C,3,FALSE)="","",VLOOKUP(C308,TotalRevL!A:C,3,FALSE)),"")</f>
        <v>62054</v>
      </c>
      <c r="H308" s="26">
        <f>IFERROR(IFERROR(VLOOKUP($A308,Winpct1!$A:$K,9,FALSE),VLOOKUP($B308,Winpct1!$A:$K,9,FALSE)),"")</f>
        <v>0.27300000000000002</v>
      </c>
      <c r="I308">
        <f>IFERROR(IFERROR(VLOOKUP($A308,Attendance1!$B:$H,3,FALSE),VLOOKUP($B308,Attendance1!$B:$H,3,FALSE)),"")</f>
        <v>2425</v>
      </c>
      <c r="J308">
        <f>IFERROR(VLOOKUP(D308,'Pop-Metro'!A:R,E308-2005,FALSE),VLOOKUP(D308,'Pop-Micro'!A:R,E308-2005,FALSE))</f>
        <v>209803</v>
      </c>
      <c r="K308">
        <f>IFERROR(VLOOKUP(D308,'PCI-Metro'!A:R,E308-2005,FALSE),VLOOKUP(D308,'PCI-Micro'!A:R,E308-2005,FALSE))</f>
        <v>35581</v>
      </c>
      <c r="L308">
        <f>IFERROR(IF(IFERROR(VLOOKUP($A308,Attendance1!$B:$H,5,FALSE),VLOOKUP($B308,Attendance1!$B:$H,5,FALSE))="","",IFERROR(VLOOKUP($A308,Attendance1!$B:$H,5,FALSE),VLOOKUP($B308,Attendance1!$B:$H,5,FALSE))),"")</f>
        <v>500</v>
      </c>
    </row>
    <row r="309" spans="1:12">
      <c r="A309" t="s">
        <v>264</v>
      </c>
      <c r="B309" t="s">
        <v>264</v>
      </c>
      <c r="C309">
        <v>166513</v>
      </c>
      <c r="D309">
        <v>31700</v>
      </c>
      <c r="E309">
        <f t="shared" si="4"/>
        <v>2015</v>
      </c>
      <c r="F309">
        <f>IFERROR(IF(VLOOKUP(C309,TotalRev1!A:C,3,FALSE)="","",VLOOKUP(C309,TotalRev1!A:C,3,FALSE)),"")</f>
        <v>510614</v>
      </c>
      <c r="G309">
        <f>IFERROR(IF(VLOOKUP(C309,TotalRevL!A:C,3,FALSE)="","",VLOOKUP(C309,TotalRevL!A:C,3,FALSE)),"")</f>
        <v>390346</v>
      </c>
      <c r="H309" s="26" t="str">
        <f>IFERROR(IFERROR(VLOOKUP($A309,Winpct1!$A:$K,9,FALSE),VLOOKUP($B309,Winpct1!$A:$K,9,FALSE)),"")</f>
        <v/>
      </c>
      <c r="I309">
        <f>IFERROR(IFERROR(VLOOKUP($A309,Attendance1!$B:$H,3,FALSE),VLOOKUP($B309,Attendance1!$B:$H,3,FALSE)),"")</f>
        <v>1334</v>
      </c>
      <c r="J309">
        <f>IFERROR(VLOOKUP(D309,'Pop-Metro'!A:R,E309-2005,FALSE),VLOOKUP(D309,'Pop-Micro'!A:R,E309-2005,FALSE))</f>
        <v>411330</v>
      </c>
      <c r="K309">
        <f>IFERROR(VLOOKUP(D309,'PCI-Metro'!A:R,E309-2005,FALSE),VLOOKUP(D309,'PCI-Micro'!A:R,E309-2005,FALSE))</f>
        <v>54070</v>
      </c>
      <c r="L309">
        <f>IFERROR(IF(IFERROR(VLOOKUP($A309,Attendance1!$B:$H,5,FALSE),VLOOKUP($B309,Attendance1!$B:$H,5,FALSE))="","",IFERROR(VLOOKUP($A309,Attendance1!$B:$H,5,FALSE),VLOOKUP($B309,Attendance1!$B:$H,5,FALSE))),"")</f>
        <v>2100</v>
      </c>
    </row>
    <row r="310" spans="1:12">
      <c r="A310" t="s">
        <v>265</v>
      </c>
      <c r="B310" t="s">
        <v>265</v>
      </c>
      <c r="C310">
        <v>163268</v>
      </c>
      <c r="D310">
        <v>12580</v>
      </c>
      <c r="E310">
        <f t="shared" si="4"/>
        <v>2015</v>
      </c>
      <c r="F310">
        <f>IFERROR(IF(VLOOKUP(C310,TotalRev1!A:C,3,FALSE)="","",VLOOKUP(C310,TotalRev1!A:C,3,FALSE)),"")</f>
        <v>125327</v>
      </c>
      <c r="G310" t="str">
        <f>IFERROR(IF(VLOOKUP(C310,TotalRevL!A:C,3,FALSE)="","",VLOOKUP(C310,TotalRevL!A:C,3,FALSE)),"")</f>
        <v/>
      </c>
      <c r="H310" s="26">
        <f>IFERROR(IFERROR(VLOOKUP($A310,Winpct1!$A:$K,9,FALSE),VLOOKUP($B310,Winpct1!$A:$K,9,FALSE)),"")</f>
        <v>0.4</v>
      </c>
      <c r="I310">
        <f>IFERROR(IFERROR(VLOOKUP($A310,Attendance1!$B:$H,3,FALSE),VLOOKUP($B310,Attendance1!$B:$H,3,FALSE)),"")</f>
        <v>2502</v>
      </c>
      <c r="J310">
        <f>IFERROR(VLOOKUP(D310,'Pop-Metro'!A:R,E310-2005,FALSE),VLOOKUP(D310,'Pop-Micro'!A:R,E310-2005,FALSE))</f>
        <v>2812978</v>
      </c>
      <c r="K310">
        <f>IFERROR(VLOOKUP(D310,'PCI-Metro'!A:R,E310-2005,FALSE),VLOOKUP(D310,'PCI-Micro'!A:R,E310-2005,FALSE))</f>
        <v>54356</v>
      </c>
      <c r="L310">
        <f>IFERROR(IF(IFERROR(VLOOKUP($A310,Attendance1!$B:$H,5,FALSE),VLOOKUP($B310,Attendance1!$B:$H,5,FALSE))="","",IFERROR(VLOOKUP($A310,Attendance1!$B:$H,5,FALSE),VLOOKUP($B310,Attendance1!$B:$H,5,FALSE))),"")</f>
        <v>3824</v>
      </c>
    </row>
    <row r="311" spans="1:12">
      <c r="A311" t="s">
        <v>266</v>
      </c>
      <c r="B311" t="s">
        <v>266</v>
      </c>
      <c r="C311">
        <v>163338</v>
      </c>
      <c r="D311">
        <v>41540</v>
      </c>
      <c r="E311">
        <f t="shared" si="4"/>
        <v>2015</v>
      </c>
      <c r="F311">
        <f>IFERROR(IF(VLOOKUP(C311,TotalRev1!A:C,3,FALSE)="","",VLOOKUP(C311,TotalRev1!A:C,3,FALSE)),"")</f>
        <v>270099</v>
      </c>
      <c r="G311">
        <f>IFERROR(IF(VLOOKUP(C311,TotalRevL!A:C,3,FALSE)="","",VLOOKUP(C311,TotalRevL!A:C,3,FALSE)),"")</f>
        <v>413931</v>
      </c>
      <c r="H311" s="26">
        <f>IFERROR(IFERROR(VLOOKUP($A311,Winpct1!$A:$K,9,FALSE),VLOOKUP($B311,Winpct1!$A:$K,9,FALSE)),"")</f>
        <v>0.379</v>
      </c>
      <c r="I311">
        <f>IFERROR(IFERROR(VLOOKUP($A311,Attendance1!$B:$H,3,FALSE),VLOOKUP($B311,Attendance1!$B:$H,3,FALSE)),"")</f>
        <v>10168</v>
      </c>
      <c r="J311">
        <f>IFERROR(VLOOKUP(D311,'Pop-Metro'!A:R,E311-2005,FALSE),VLOOKUP(D311,'Pop-Micro'!A:R,E311-2005,FALSE))</f>
        <v>391913</v>
      </c>
      <c r="K311">
        <f>IFERROR(VLOOKUP(D311,'PCI-Metro'!A:R,E311-2005,FALSE),VLOOKUP(D311,'PCI-Micro'!A:R,E311-2005,FALSE))</f>
        <v>45030</v>
      </c>
      <c r="L311">
        <f>IFERROR(IF(IFERROR(VLOOKUP($A311,Attendance1!$B:$H,5,FALSE),VLOOKUP($B311,Attendance1!$B:$H,5,FALSE))="","",IFERROR(VLOOKUP($A311,Attendance1!$B:$H,5,FALSE),VLOOKUP($B311,Attendance1!$B:$H,5,FALSE))),"")</f>
        <v>5500</v>
      </c>
    </row>
    <row r="312" spans="1:12">
      <c r="A312" t="s">
        <v>1311</v>
      </c>
      <c r="B312" t="s">
        <v>1311</v>
      </c>
      <c r="C312">
        <v>199111</v>
      </c>
      <c r="D312">
        <v>11700</v>
      </c>
      <c r="E312">
        <f t="shared" si="4"/>
        <v>2015</v>
      </c>
      <c r="F312" t="str">
        <f>IFERROR(IF(VLOOKUP(C312,TotalRev1!A:C,3,FALSE)="","",VLOOKUP(C312,TotalRev1!A:C,3,FALSE)),"")</f>
        <v/>
      </c>
      <c r="G312">
        <f>IFERROR(IF(VLOOKUP(C312,TotalRevL!A:C,3,FALSE)="","",VLOOKUP(C312,TotalRevL!A:C,3,FALSE)),"")</f>
        <v>66368</v>
      </c>
      <c r="H312" s="26">
        <f>IFERROR(IFERROR(VLOOKUP($A312,Winpct1!$A:$K,9,FALSE),VLOOKUP($B312,Winpct1!$A:$K,9,FALSE)),"")</f>
        <v>0.26700000000000002</v>
      </c>
      <c r="I312">
        <f>IFERROR(IFERROR(VLOOKUP($A312,Attendance1!$B:$H,3,FALSE),VLOOKUP($B312,Attendance1!$B:$H,3,FALSE)),"")</f>
        <v>3159</v>
      </c>
      <c r="J312">
        <f>IFERROR(VLOOKUP(D312,'Pop-Metro'!A:R,E312-2005,FALSE),VLOOKUP(D312,'Pop-Micro'!A:R,E312-2005,FALSE))</f>
        <v>446457</v>
      </c>
      <c r="K312">
        <f>IFERROR(VLOOKUP(D312,'PCI-Metro'!A:R,E312-2005,FALSE),VLOOKUP(D312,'PCI-Micro'!A:R,E312-2005,FALSE))</f>
        <v>39947</v>
      </c>
      <c r="L312">
        <f>IFERROR(IF(IFERROR(VLOOKUP($A312,Attendance1!$B:$H,5,FALSE),VLOOKUP($B312,Attendance1!$B:$H,5,FALSE))="","",IFERROR(VLOOKUP($A312,Attendance1!$B:$H,5,FALSE),VLOOKUP($B312,Attendance1!$B:$H,5,FALSE))),"")</f>
        <v>1100</v>
      </c>
    </row>
    <row r="313" spans="1:12">
      <c r="A313" t="s">
        <v>268</v>
      </c>
      <c r="B313" t="s">
        <v>268</v>
      </c>
      <c r="C313">
        <v>199148</v>
      </c>
      <c r="D313">
        <v>24660</v>
      </c>
      <c r="E313">
        <f t="shared" si="4"/>
        <v>2015</v>
      </c>
      <c r="F313">
        <f>IFERROR(IF(VLOOKUP(C313,TotalRev1!A:C,3,FALSE)="","",VLOOKUP(C313,TotalRev1!A:C,3,FALSE)),"")</f>
        <v>548185</v>
      </c>
      <c r="G313">
        <f>IFERROR(IF(VLOOKUP(C313,TotalRevL!A:C,3,FALSE)="","",VLOOKUP(C313,TotalRevL!A:C,3,FALSE)),"")</f>
        <v>538704</v>
      </c>
      <c r="H313" s="26">
        <f>IFERROR(IFERROR(VLOOKUP($A313,Winpct1!$A:$K,9,FALSE),VLOOKUP($B313,Winpct1!$A:$K,9,FALSE)),"")</f>
        <v>0.64500000000000002</v>
      </c>
      <c r="I313">
        <f>IFERROR(IFERROR(VLOOKUP($A313,Attendance1!$B:$H,3,FALSE),VLOOKUP($B313,Attendance1!$B:$H,3,FALSE)),"")</f>
        <v>6956</v>
      </c>
      <c r="J313">
        <f>IFERROR(VLOOKUP(D313,'Pop-Metro'!A:R,E313-2005,FALSE),VLOOKUP(D313,'Pop-Micro'!A:R,E313-2005,FALSE))</f>
        <v>751869</v>
      </c>
      <c r="K313">
        <f>IFERROR(VLOOKUP(D313,'PCI-Metro'!A:R,E313-2005,FALSE),VLOOKUP(D313,'PCI-Micro'!A:R,E313-2005,FALSE))</f>
        <v>39613</v>
      </c>
      <c r="L313">
        <f>IFERROR(IF(IFERROR(VLOOKUP($A313,Attendance1!$B:$H,5,FALSE),VLOOKUP($B313,Attendance1!$B:$H,5,FALSE))="","",IFERROR(VLOOKUP($A313,Attendance1!$B:$H,5,FALSE),VLOOKUP($B313,Attendance1!$B:$H,5,FALSE))),"")</f>
        <v>1833</v>
      </c>
    </row>
    <row r="314" spans="1:12">
      <c r="A314" t="s">
        <v>269</v>
      </c>
      <c r="B314" t="s">
        <v>269</v>
      </c>
      <c r="C314">
        <v>199218</v>
      </c>
      <c r="D314">
        <v>48900</v>
      </c>
      <c r="E314">
        <f t="shared" si="4"/>
        <v>2015</v>
      </c>
      <c r="F314">
        <f>IFERROR(IF(VLOOKUP(C314,TotalRev1!A:C,3,FALSE)="","",VLOOKUP(C314,TotalRev1!A:C,3,FALSE)),"")</f>
        <v>32632</v>
      </c>
      <c r="G314">
        <f>IFERROR(IF(VLOOKUP(C314,TotalRevL!A:C,3,FALSE)="","",VLOOKUP(C314,TotalRevL!A:C,3,FALSE)),"")</f>
        <v>42564</v>
      </c>
      <c r="H314" s="26">
        <f>IFERROR(IFERROR(VLOOKUP($A314,Winpct1!$A:$K,9,FALSE),VLOOKUP($B314,Winpct1!$A:$K,9,FALSE)),"")</f>
        <v>0.65600000000000003</v>
      </c>
      <c r="I314">
        <f>IFERROR(IFERROR(VLOOKUP($A314,Attendance1!$B:$H,3,FALSE),VLOOKUP($B314,Attendance1!$B:$H,3,FALSE)),"")</f>
        <v>6115</v>
      </c>
      <c r="J314">
        <f>IFERROR(VLOOKUP(D314,'Pop-Metro'!A:R,E314-2005,FALSE),VLOOKUP(D314,'Pop-Micro'!A:R,E314-2005,FALSE))</f>
        <v>270164</v>
      </c>
      <c r="K314">
        <f>IFERROR(VLOOKUP(D314,'PCI-Metro'!A:R,E314-2005,FALSE),VLOOKUP(D314,'PCI-Micro'!A:R,E314-2005,FALSE))</f>
        <v>40987</v>
      </c>
      <c r="L314">
        <f>IFERROR(IF(IFERROR(VLOOKUP($A314,Attendance1!$B:$H,5,FALSE),VLOOKUP($B314,Attendance1!$B:$H,5,FALSE))="","",IFERROR(VLOOKUP($A314,Attendance1!$B:$H,5,FALSE),VLOOKUP($B314,Attendance1!$B:$H,5,FALSE))),"")</f>
        <v>1000</v>
      </c>
    </row>
    <row r="315" spans="1:12">
      <c r="A315" t="s">
        <v>270</v>
      </c>
      <c r="B315" t="s">
        <v>270</v>
      </c>
      <c r="C315">
        <v>154095</v>
      </c>
      <c r="D315">
        <v>47940</v>
      </c>
      <c r="E315">
        <f t="shared" si="4"/>
        <v>2015</v>
      </c>
      <c r="F315">
        <f>IFERROR(IF(VLOOKUP(C315,TotalRev1!A:C,3,FALSE)="","",VLOOKUP(C315,TotalRev1!A:C,3,FALSE)),"")</f>
        <v>626481</v>
      </c>
      <c r="G315">
        <f>IFERROR(IF(VLOOKUP(C315,TotalRevL!A:C,3,FALSE)="","",VLOOKUP(C315,TotalRevL!A:C,3,FALSE)),"")</f>
        <v>484960</v>
      </c>
      <c r="H315" s="26">
        <f>IFERROR(IFERROR(VLOOKUP($A315,Winpct1!$A:$K,9,FALSE),VLOOKUP($B315,Winpct1!$A:$K,9,FALSE)),"")</f>
        <v>0.65600000000000003</v>
      </c>
      <c r="I315">
        <f>IFERROR(IFERROR(VLOOKUP($A315,Attendance1!$B:$H,3,FALSE),VLOOKUP($B315,Attendance1!$B:$H,3,FALSE)),"")</f>
        <v>40537</v>
      </c>
      <c r="J315">
        <f>IFERROR(VLOOKUP(D315,'Pop-Metro'!A:R,E315-2005,FALSE),VLOOKUP(D315,'Pop-Micro'!A:R,E315-2005,FALSE))</f>
        <v>170956</v>
      </c>
      <c r="K315">
        <f>IFERROR(VLOOKUP(D315,'PCI-Metro'!A:R,E315-2005,FALSE),VLOOKUP(D315,'PCI-Micro'!A:R,E315-2005,FALSE))</f>
        <v>41449</v>
      </c>
      <c r="L315">
        <f>IFERROR(IF(IFERROR(VLOOKUP($A315,Attendance1!$B:$H,5,FALSE),VLOOKUP($B315,Attendance1!$B:$H,5,FALSE))="","",IFERROR(VLOOKUP($A315,Attendance1!$B:$H,5,FALSE),VLOOKUP($B315,Attendance1!$B:$H,5,FALSE))),"")</f>
        <v>6650</v>
      </c>
    </row>
    <row r="316" spans="1:12">
      <c r="A316" t="s">
        <v>271</v>
      </c>
      <c r="B316" t="s">
        <v>271</v>
      </c>
      <c r="C316">
        <v>182281</v>
      </c>
      <c r="D316">
        <v>29820</v>
      </c>
      <c r="E316">
        <f t="shared" si="4"/>
        <v>2015</v>
      </c>
      <c r="F316">
        <f>IFERROR(IF(VLOOKUP(C316,TotalRev1!A:C,3,FALSE)="","",VLOOKUP(C316,TotalRev1!A:C,3,FALSE)),"")</f>
        <v>85405</v>
      </c>
      <c r="G316">
        <f>IFERROR(IF(VLOOKUP(C316,TotalRevL!A:C,3,FALSE)="","",VLOOKUP(C316,TotalRevL!A:C,3,FALSE)),"")</f>
        <v>81473</v>
      </c>
      <c r="H316" s="26">
        <f>IFERROR(IFERROR(VLOOKUP($A316,Winpct1!$A:$K,9,FALSE),VLOOKUP($B316,Winpct1!$A:$K,9,FALSE)),"")</f>
        <v>0.78800000000000003</v>
      </c>
      <c r="I316">
        <f>IFERROR(IFERROR(VLOOKUP($A316,Attendance1!$B:$H,3,FALSE),VLOOKUP($B316,Attendance1!$B:$H,3,FALSE)),"")</f>
        <v>7768</v>
      </c>
      <c r="J316">
        <f>IFERROR(VLOOKUP(D316,'Pop-Metro'!A:R,E316-2005,FALSE),VLOOKUP(D316,'Pop-Micro'!A:R,E316-2005,FALSE))</f>
        <v>2077790</v>
      </c>
      <c r="K316">
        <f>IFERROR(VLOOKUP(D316,'PCI-Metro'!A:R,E316-2005,FALSE),VLOOKUP(D316,'PCI-Micro'!A:R,E316-2005,FALSE))</f>
        <v>42829</v>
      </c>
      <c r="L316">
        <f>IFERROR(IF(IFERROR(VLOOKUP($A316,Attendance1!$B:$H,5,FALSE),VLOOKUP($B316,Attendance1!$B:$H,5,FALSE))="","",IFERROR(VLOOKUP($A316,Attendance1!$B:$H,5,FALSE),VLOOKUP($B316,Attendance1!$B:$H,5,FALSE))),"")</f>
        <v>2500</v>
      </c>
    </row>
    <row r="317" spans="1:12">
      <c r="A317" t="s">
        <v>272</v>
      </c>
      <c r="B317" t="s">
        <v>272</v>
      </c>
      <c r="C317">
        <v>218742</v>
      </c>
      <c r="D317">
        <v>43900</v>
      </c>
      <c r="E317">
        <f t="shared" si="4"/>
        <v>2015</v>
      </c>
      <c r="F317">
        <f>IFERROR(IF(VLOOKUP(C317,TotalRev1!A:C,3,FALSE)="","",VLOOKUP(C317,TotalRev1!A:C,3,FALSE)),"")</f>
        <v>329714</v>
      </c>
      <c r="G317">
        <f>IFERROR(IF(VLOOKUP(C317,TotalRevL!A:C,3,FALSE)="","",VLOOKUP(C317,TotalRevL!A:C,3,FALSE)),"")</f>
        <v>321994</v>
      </c>
      <c r="H317" s="26">
        <f>IFERROR(IFERROR(VLOOKUP($A317,Winpct1!$A:$K,9,FALSE),VLOOKUP($B317,Winpct1!$A:$K,9,FALSE)),"")</f>
        <v>0.33300000000000002</v>
      </c>
      <c r="I317">
        <f>IFERROR(IFERROR(VLOOKUP($A317,Attendance1!$B:$H,3,FALSE),VLOOKUP($B317,Attendance1!$B:$H,3,FALSE)),"")</f>
        <v>1410</v>
      </c>
      <c r="J317">
        <f>IFERROR(VLOOKUP(D317,'Pop-Metro'!A:R,E317-2005,FALSE),VLOOKUP(D317,'Pop-Micro'!A:R,E317-2005,FALSE))</f>
        <v>298115</v>
      </c>
      <c r="K317">
        <f>IFERROR(VLOOKUP(D317,'PCI-Metro'!A:R,E317-2005,FALSE),VLOOKUP(D317,'PCI-Micro'!A:R,E317-2005,FALSE))</f>
        <v>39198</v>
      </c>
      <c r="L317">
        <f>IFERROR(IF(IFERROR(VLOOKUP($A317,Attendance1!$B:$H,5,FALSE),VLOOKUP($B317,Attendance1!$B:$H,5,FALSE))="","",IFERROR(VLOOKUP($A317,Attendance1!$B:$H,5,FALSE),VLOOKUP($B317,Attendance1!$B:$H,5,FALSE))),"")</f>
        <v>818</v>
      </c>
    </row>
    <row r="318" spans="1:12">
      <c r="A318" t="s">
        <v>273</v>
      </c>
      <c r="B318" t="s">
        <v>273</v>
      </c>
      <c r="C318">
        <v>228769</v>
      </c>
      <c r="D318">
        <v>19100</v>
      </c>
      <c r="E318">
        <f t="shared" si="4"/>
        <v>2015</v>
      </c>
      <c r="F318">
        <f>IFERROR(IF(VLOOKUP(C318,TotalRev1!A:C,3,FALSE)="","",VLOOKUP(C318,TotalRev1!A:C,3,FALSE)),"")</f>
        <v>59163</v>
      </c>
      <c r="G318">
        <f>IFERROR(IF(VLOOKUP(C318,TotalRevL!A:C,3,FALSE)="","",VLOOKUP(C318,TotalRevL!A:C,3,FALSE)),"")</f>
        <v>76072</v>
      </c>
      <c r="H318" s="26">
        <f>IFERROR(IFERROR(VLOOKUP($A318,Winpct1!$A:$K,9,FALSE),VLOOKUP($B318,Winpct1!$A:$K,9,FALSE)),"")</f>
        <v>0.73499999999999999</v>
      </c>
      <c r="I318">
        <f>IFERROR(IFERROR(VLOOKUP($A318,Attendance1!$B:$H,3,FALSE),VLOOKUP($B318,Attendance1!$B:$H,3,FALSE)),"")</f>
        <v>9505</v>
      </c>
      <c r="J318">
        <f>IFERROR(VLOOKUP(D318,'Pop-Metro'!A:R,E318-2005,FALSE),VLOOKUP(D318,'Pop-Micro'!A:R,E318-2005,FALSE))</f>
        <v>7026835</v>
      </c>
      <c r="K318">
        <f>IFERROR(VLOOKUP(D318,'PCI-Metro'!A:R,E318-2005,FALSE),VLOOKUP(D318,'PCI-Micro'!A:R,E318-2005,FALSE))</f>
        <v>50821</v>
      </c>
      <c r="L318">
        <f>IFERROR(IF(IFERROR(VLOOKUP($A318,Attendance1!$B:$H,5,FALSE),VLOOKUP($B318,Attendance1!$B:$H,5,FALSE))="","",IFERROR(VLOOKUP($A318,Attendance1!$B:$H,5,FALSE),VLOOKUP($B318,Attendance1!$B:$H,5,FALSE))),"")</f>
        <v>7000</v>
      </c>
    </row>
    <row r="319" spans="1:12">
      <c r="A319" t="s">
        <v>274</v>
      </c>
      <c r="B319" t="s">
        <v>274</v>
      </c>
      <c r="C319">
        <v>221768</v>
      </c>
      <c r="D319">
        <v>32280</v>
      </c>
      <c r="E319">
        <f t="shared" si="4"/>
        <v>2015</v>
      </c>
      <c r="F319" t="str">
        <f>IFERROR(IF(VLOOKUP(C319,TotalRev1!A:C,3,FALSE)="","",VLOOKUP(C319,TotalRev1!A:C,3,FALSE)),"")</f>
        <v/>
      </c>
      <c r="G319">
        <f>IFERROR(IF(VLOOKUP(C319,TotalRevL!A:C,3,FALSE)="","",VLOOKUP(C319,TotalRevL!A:C,3,FALSE)),"")</f>
        <v>460407</v>
      </c>
      <c r="H319" s="26">
        <f>IFERROR(IFERROR(VLOOKUP($A319,Winpct1!$A:$K,9,FALSE),VLOOKUP($B319,Winpct1!$A:$K,9,FALSE)),"")</f>
        <v>0.36699999999999999</v>
      </c>
      <c r="I319">
        <f>IFERROR(IFERROR(VLOOKUP($A319,Attendance1!$B:$H,3,FALSE),VLOOKUP($B319,Attendance1!$B:$H,3,FALSE)),"")</f>
        <v>4359</v>
      </c>
      <c r="J319">
        <f>IFERROR(VLOOKUP(D319,'Pop-Metro'!A:R,E319-2005,FALSE),VLOOKUP(D319,'Pop-Micro'!A:R,E319-2005,FALSE))</f>
        <v>33640</v>
      </c>
      <c r="K319">
        <f>IFERROR(VLOOKUP(D319,'PCI-Metro'!A:R,E319-2005,FALSE),VLOOKUP(D319,'PCI-Micro'!A:R,E319-2005,FALSE))</f>
        <v>32312</v>
      </c>
      <c r="L319">
        <f>IFERROR(IF(IFERROR(VLOOKUP($A319,Attendance1!$B:$H,5,FALSE),VLOOKUP($B319,Attendance1!$B:$H,5,FALSE))="","",IFERROR(VLOOKUP($A319,Attendance1!$B:$H,5,FALSE),VLOOKUP($B319,Attendance1!$B:$H,5,FALSE))),"")</f>
        <v>3000</v>
      </c>
    </row>
    <row r="320" spans="1:12">
      <c r="A320" t="s">
        <v>275</v>
      </c>
      <c r="B320" t="s">
        <v>275</v>
      </c>
      <c r="C320">
        <v>230764</v>
      </c>
      <c r="D320">
        <v>41620</v>
      </c>
      <c r="E320">
        <f t="shared" si="4"/>
        <v>2015</v>
      </c>
      <c r="F320">
        <f>IFERROR(IF(VLOOKUP(C320,TotalRev1!A:C,3,FALSE)="","",VLOOKUP(C320,TotalRev1!A:C,3,FALSE)),"")</f>
        <v>238277</v>
      </c>
      <c r="G320">
        <f>IFERROR(IF(VLOOKUP(C320,TotalRevL!A:C,3,FALSE)="","",VLOOKUP(C320,TotalRevL!A:C,3,FALSE)),"")</f>
        <v>170437</v>
      </c>
      <c r="H320" s="26">
        <f>IFERROR(IFERROR(VLOOKUP($A320,Winpct1!$A:$K,9,FALSE),VLOOKUP($B320,Winpct1!$A:$K,9,FALSE)),"")</f>
        <v>0.60599999999999998</v>
      </c>
      <c r="I320">
        <f>IFERROR(IFERROR(VLOOKUP($A320,Attendance1!$B:$H,3,FALSE),VLOOKUP($B320,Attendance1!$B:$H,3,FALSE)),"")</f>
        <v>13446</v>
      </c>
      <c r="J320">
        <f>IFERROR(VLOOKUP(D320,'Pop-Metro'!A:R,E320-2005,FALSE),VLOOKUP(D320,'Pop-Micro'!A:R,E320-2005,FALSE))</f>
        <v>1175028</v>
      </c>
      <c r="K320">
        <f>IFERROR(VLOOKUP(D320,'PCI-Metro'!A:R,E320-2005,FALSE),VLOOKUP(D320,'PCI-Micro'!A:R,E320-2005,FALSE))</f>
        <v>44347</v>
      </c>
      <c r="L320">
        <f>IFERROR(IF(IFERROR(VLOOKUP($A320,Attendance1!$B:$H,5,FALSE),VLOOKUP($B320,Attendance1!$B:$H,5,FALSE))="","",IFERROR(VLOOKUP($A320,Attendance1!$B:$H,5,FALSE),VLOOKUP($B320,Attendance1!$B:$H,5,FALSE))),"")</f>
        <v>15000</v>
      </c>
    </row>
    <row r="321" spans="1:12">
      <c r="A321" t="s">
        <v>276</v>
      </c>
      <c r="B321" t="s">
        <v>276</v>
      </c>
      <c r="C321">
        <v>230728</v>
      </c>
      <c r="D321">
        <v>30860</v>
      </c>
      <c r="E321">
        <f t="shared" si="4"/>
        <v>2015</v>
      </c>
      <c r="F321">
        <f>IFERROR(IF(VLOOKUP(C321,TotalRev1!A:C,3,FALSE)="","",VLOOKUP(C321,TotalRev1!A:C,3,FALSE)),"")</f>
        <v>292945</v>
      </c>
      <c r="G321">
        <f>IFERROR(IF(VLOOKUP(C321,TotalRevL!A:C,3,FALSE)="","",VLOOKUP(C321,TotalRevL!A:C,3,FALSE)),"")</f>
        <v>285673</v>
      </c>
      <c r="H321" s="26">
        <f>IFERROR(IFERROR(VLOOKUP($A321,Winpct1!$A:$K,9,FALSE),VLOOKUP($B321,Winpct1!$A:$K,9,FALSE)),"")</f>
        <v>0.44800000000000001</v>
      </c>
      <c r="I321">
        <f>IFERROR(IFERROR(VLOOKUP($A321,Attendance1!$B:$H,3,FALSE),VLOOKUP($B321,Attendance1!$B:$H,3,FALSE)),"")</f>
        <v>13144</v>
      </c>
      <c r="J321">
        <f>IFERROR(VLOOKUP(D321,'Pop-Metro'!A:R,E321-2005,FALSE),VLOOKUP(D321,'Pop-Micro'!A:R,E321-2005,FALSE))</f>
        <v>134451</v>
      </c>
      <c r="K321">
        <f>IFERROR(VLOOKUP(D321,'PCI-Metro'!A:R,E321-2005,FALSE),VLOOKUP(D321,'PCI-Micro'!A:R,E321-2005,FALSE))</f>
        <v>33547</v>
      </c>
      <c r="L321">
        <f>IFERROR(IF(IFERROR(VLOOKUP($A321,Attendance1!$B:$H,5,FALSE),VLOOKUP($B321,Attendance1!$B:$H,5,FALSE))="","",IFERROR(VLOOKUP($A321,Attendance1!$B:$H,5,FALSE),VLOOKUP($B321,Attendance1!$B:$H,5,FALSE))),"")</f>
        <v>1400</v>
      </c>
    </row>
    <row r="322" spans="1:12">
      <c r="A322" t="s">
        <v>277</v>
      </c>
      <c r="B322" t="s">
        <v>277</v>
      </c>
      <c r="C322">
        <v>230737</v>
      </c>
      <c r="D322">
        <v>39340</v>
      </c>
      <c r="E322">
        <f t="shared" si="4"/>
        <v>2015</v>
      </c>
      <c r="F322">
        <f>IFERROR(IF(VLOOKUP(C322,TotalRev1!A:C,3,FALSE)="","",VLOOKUP(C322,TotalRev1!A:C,3,FALSE)),"")</f>
        <v>5500</v>
      </c>
      <c r="G322">
        <f>IFERROR(IF(VLOOKUP(C322,TotalRevL!A:C,3,FALSE)="","",VLOOKUP(C322,TotalRevL!A:C,3,FALSE)),"")</f>
        <v>11024</v>
      </c>
      <c r="H322" s="26">
        <f>IFERROR(IFERROR(VLOOKUP($A322,Winpct1!$A:$K,9,FALSE),VLOOKUP($B322,Winpct1!$A:$K,9,FALSE)),"")</f>
        <v>0.438</v>
      </c>
      <c r="I322">
        <f>IFERROR(IFERROR(VLOOKUP($A322,Attendance1!$B:$H,3,FALSE),VLOOKUP($B322,Attendance1!$B:$H,3,FALSE)),"")</f>
        <v>7208</v>
      </c>
      <c r="J322">
        <f>IFERROR(VLOOKUP(D322,'Pop-Metro'!A:R,E322-2005,FALSE),VLOOKUP(D322,'Pop-Micro'!A:R,E322-2005,FALSE))</f>
        <v>589239</v>
      </c>
      <c r="K322">
        <f>IFERROR(VLOOKUP(D322,'PCI-Metro'!A:R,E322-2005,FALSE),VLOOKUP(D322,'PCI-Micro'!A:R,E322-2005,FALSE))</f>
        <v>34752</v>
      </c>
      <c r="L322">
        <f>IFERROR(IF(IFERROR(VLOOKUP($A322,Attendance1!$B:$H,5,FALSE),VLOOKUP($B322,Attendance1!$B:$H,5,FALSE))="","",IFERROR(VLOOKUP($A322,Attendance1!$B:$H,5,FALSE),VLOOKUP($B322,Attendance1!$B:$H,5,FALSE))),"")</f>
        <v>2000</v>
      </c>
    </row>
    <row r="323" spans="1:12">
      <c r="A323" t="s">
        <v>278</v>
      </c>
      <c r="B323" t="s">
        <v>278</v>
      </c>
      <c r="C323">
        <v>228796</v>
      </c>
      <c r="D323">
        <v>21340</v>
      </c>
      <c r="E323">
        <f t="shared" si="4"/>
        <v>2015</v>
      </c>
      <c r="F323">
        <f>IFERROR(IF(VLOOKUP(C323,TotalRev1!A:C,3,FALSE)="","",VLOOKUP(C323,TotalRev1!A:C,3,FALSE)),"")</f>
        <v>1235099</v>
      </c>
      <c r="G323">
        <f>IFERROR(IF(VLOOKUP(C323,TotalRevL!A:C,3,FALSE)="","",VLOOKUP(C323,TotalRevL!A:C,3,FALSE)),"")</f>
        <v>1319598</v>
      </c>
      <c r="H323" s="26">
        <f>IFERROR(IFERROR(VLOOKUP($A323,Winpct1!$A:$K,9,FALSE),VLOOKUP($B323,Winpct1!$A:$K,9,FALSE)),"")</f>
        <v>0.20699999999999999</v>
      </c>
      <c r="I323">
        <f>IFERROR(IFERROR(VLOOKUP($A323,Attendance1!$B:$H,3,FALSE),VLOOKUP($B323,Attendance1!$B:$H,3,FALSE)),"")</f>
        <v>5361</v>
      </c>
      <c r="J323">
        <f>IFERROR(VLOOKUP(D323,'Pop-Metro'!A:R,E323-2005,FALSE),VLOOKUP(D323,'Pop-Micro'!A:R,E323-2005,FALSE))</f>
        <v>846733</v>
      </c>
      <c r="K323">
        <f>IFERROR(VLOOKUP(D323,'PCI-Metro'!A:R,E323-2005,FALSE),VLOOKUP(D323,'PCI-Micro'!A:R,E323-2005,FALSE))</f>
        <v>32484</v>
      </c>
      <c r="L323">
        <f>IFERROR(IF(IFERROR(VLOOKUP($A323,Attendance1!$B:$H,5,FALSE),VLOOKUP($B323,Attendance1!$B:$H,5,FALSE))="","",IFERROR(VLOOKUP($A323,Attendance1!$B:$H,5,FALSE),VLOOKUP($B323,Attendance1!$B:$H,5,FALSE))),"")</f>
        <v>5000</v>
      </c>
    </row>
    <row r="324" spans="1:12">
      <c r="A324" t="s">
        <v>1312</v>
      </c>
      <c r="B324" t="s">
        <v>1312</v>
      </c>
      <c r="C324">
        <v>227368</v>
      </c>
      <c r="D324">
        <v>32580</v>
      </c>
      <c r="E324">
        <f t="shared" ref="E324:E353" si="5">E$2</f>
        <v>2015</v>
      </c>
      <c r="F324">
        <f>IFERROR(IF(VLOOKUP(C324,TotalRev1!A:C,3,FALSE)="","",VLOOKUP(C324,TotalRev1!A:C,3,FALSE)),"")</f>
        <v>64284</v>
      </c>
      <c r="G324" t="str">
        <f>IFERROR(IF(VLOOKUP(C324,TotalRevL!A:C,3,FALSE)="","",VLOOKUP(C324,TotalRevL!A:C,3,FALSE)),"")</f>
        <v/>
      </c>
      <c r="H324" s="26">
        <f>IFERROR(IFERROR(VLOOKUP($A324,Winpct1!$A:$K,9,FALSE),VLOOKUP($B324,Winpct1!$A:$K,9,FALSE)),"")</f>
        <v>0.23300000000000001</v>
      </c>
      <c r="I324">
        <f>IFERROR(IFERROR(VLOOKUP($A324,Attendance1!$B:$H,3,FALSE),VLOOKUP($B324,Attendance1!$B:$H,3,FALSE)),"")</f>
        <v>5389</v>
      </c>
      <c r="J324">
        <f>IFERROR(VLOOKUP(D324,'Pop-Metro'!A:R,E324-2005,FALSE),VLOOKUP(D324,'Pop-Micro'!A:R,E324-2005,FALSE))</f>
        <v>837320</v>
      </c>
      <c r="K324">
        <f>IFERROR(VLOOKUP(D324,'PCI-Metro'!A:R,E324-2005,FALSE),VLOOKUP(D324,'PCI-Micro'!A:R,E324-2005,FALSE))</f>
        <v>25133</v>
      </c>
      <c r="L324">
        <f>IFERROR(IF(IFERROR(VLOOKUP($A324,Attendance1!$B:$H,5,FALSE),VLOOKUP($B324,Attendance1!$B:$H,5,FALSE))="","",IFERROR(VLOOKUP($A324,Attendance1!$B:$H,5,FALSE),VLOOKUP($B324,Attendance1!$B:$H,5,FALSE))),"")</f>
        <v>2500</v>
      </c>
    </row>
    <row r="325" spans="1:12">
      <c r="A325" t="s">
        <v>279</v>
      </c>
      <c r="B325" t="s">
        <v>279</v>
      </c>
      <c r="C325">
        <v>229027</v>
      </c>
      <c r="D325">
        <v>41700</v>
      </c>
      <c r="E325">
        <f t="shared" si="5"/>
        <v>2015</v>
      </c>
      <c r="F325">
        <f>IFERROR(IF(VLOOKUP(C325,TotalRev1!A:C,3,FALSE)="","",VLOOKUP(C325,TotalRev1!A:C,3,FALSE)),"")</f>
        <v>39473</v>
      </c>
      <c r="G325">
        <f>IFERROR(IF(VLOOKUP(C325,TotalRevL!A:C,3,FALSE)="","",VLOOKUP(C325,TotalRevL!A:C,3,FALSE)),"")</f>
        <v>115426</v>
      </c>
      <c r="H325" s="26">
        <f>IFERROR(IFERROR(VLOOKUP($A325,Winpct1!$A:$K,9,FALSE),VLOOKUP($B325,Winpct1!$A:$K,9,FALSE)),"")</f>
        <v>0.69</v>
      </c>
      <c r="I325">
        <f>IFERROR(IFERROR(VLOOKUP($A325,Attendance1!$B:$H,3,FALSE),VLOOKUP($B325,Attendance1!$B:$H,3,FALSE)),"")</f>
        <v>6440</v>
      </c>
      <c r="J325">
        <f>IFERROR(VLOOKUP(D325,'Pop-Metro'!A:R,E325-2005,FALSE),VLOOKUP(D325,'Pop-Micro'!A:R,E325-2005,FALSE))</f>
        <v>2368219</v>
      </c>
      <c r="K325">
        <f>IFERROR(VLOOKUP(D325,'PCI-Metro'!A:R,E325-2005,FALSE),VLOOKUP(D325,'PCI-Micro'!A:R,E325-2005,FALSE))</f>
        <v>43712</v>
      </c>
      <c r="L325">
        <f>IFERROR(IF(IFERROR(VLOOKUP($A325,Attendance1!$B:$H,5,FALSE),VLOOKUP($B325,Attendance1!$B:$H,5,FALSE))="","",IFERROR(VLOOKUP($A325,Attendance1!$B:$H,5,FALSE),VLOOKUP($B325,Attendance1!$B:$H,5,FALSE))),"")</f>
        <v>4080</v>
      </c>
    </row>
    <row r="326" spans="1:12">
      <c r="A326" t="s">
        <v>280</v>
      </c>
      <c r="B326" t="s">
        <v>280</v>
      </c>
      <c r="C326">
        <v>152600</v>
      </c>
      <c r="D326">
        <v>16980</v>
      </c>
      <c r="E326">
        <f t="shared" si="5"/>
        <v>2015</v>
      </c>
      <c r="F326" t="str">
        <f>IFERROR(IF(VLOOKUP(C326,TotalRev1!A:C,3,FALSE)="","",VLOOKUP(C326,TotalRev1!A:C,3,FALSE)),"")</f>
        <v/>
      </c>
      <c r="G326" t="str">
        <f>IFERROR(IF(VLOOKUP(C326,TotalRevL!A:C,3,FALSE)="","",VLOOKUP(C326,TotalRevL!A:C,3,FALSE)),"")</f>
        <v/>
      </c>
      <c r="H326" s="26">
        <f>IFERROR(IFERROR(VLOOKUP($A326,Winpct1!$A:$K,9,FALSE),VLOOKUP($B326,Winpct1!$A:$K,9,FALSE)),"")</f>
        <v>0.75800000000000001</v>
      </c>
      <c r="I326">
        <f>IFERROR(IFERROR(VLOOKUP($A326,Attendance1!$B:$H,3,FALSE),VLOOKUP($B326,Attendance1!$B:$H,3,FALSE)),"")</f>
        <v>6997</v>
      </c>
      <c r="J326">
        <f>IFERROR(VLOOKUP(D326,'Pop-Metro'!A:R,E326-2005,FALSE),VLOOKUP(D326,'Pop-Micro'!A:R,E326-2005,FALSE))</f>
        <v>9655619</v>
      </c>
      <c r="K326">
        <f>IFERROR(VLOOKUP(D326,'PCI-Metro'!A:R,E326-2005,FALSE),VLOOKUP(D326,'PCI-Micro'!A:R,E326-2005,FALSE))</f>
        <v>54358</v>
      </c>
      <c r="L326">
        <f>IFERROR(IF(IFERROR(VLOOKUP($A326,Attendance1!$B:$H,5,FALSE),VLOOKUP($B326,Attendance1!$B:$H,5,FALSE))="","",IFERROR(VLOOKUP($A326,Attendance1!$B:$H,5,FALSE),VLOOKUP($B326,Attendance1!$B:$H,5,FALSE))),"")</f>
        <v>5000</v>
      </c>
    </row>
    <row r="327" spans="1:12">
      <c r="A327" t="s">
        <v>1313</v>
      </c>
      <c r="B327" t="s">
        <v>1313</v>
      </c>
      <c r="C327">
        <v>221999</v>
      </c>
      <c r="D327">
        <v>34980</v>
      </c>
      <c r="E327">
        <f t="shared" si="5"/>
        <v>2015</v>
      </c>
      <c r="F327" t="str">
        <f>IFERROR(IF(VLOOKUP(C327,TotalRev1!A:C,3,FALSE)="","",VLOOKUP(C327,TotalRev1!A:C,3,FALSE)),"")</f>
        <v/>
      </c>
      <c r="G327" t="str">
        <f>IFERROR(IF(VLOOKUP(C327,TotalRevL!A:C,3,FALSE)="","",VLOOKUP(C327,TotalRevL!A:C,3,FALSE)),"")</f>
        <v/>
      </c>
      <c r="H327" s="26" t="str">
        <f>IFERROR(IFERROR(VLOOKUP($A327,Winpct1!$A:$K,9,FALSE),VLOOKUP($B327,Winpct1!$A:$K,9,FALSE)),"")</f>
        <v/>
      </c>
      <c r="I327" t="str">
        <f>IFERROR(IFERROR(VLOOKUP($A327,Attendance1!$B:$H,3,FALSE),VLOOKUP($B327,Attendance1!$B:$H,3,FALSE)),"")</f>
        <v/>
      </c>
      <c r="J327">
        <f>IFERROR(VLOOKUP(D327,'Pop-Metro'!A:R,E327-2005,FALSE),VLOOKUP(D327,'Pop-Micro'!A:R,E327-2005,FALSE))</f>
        <v>1822874</v>
      </c>
      <c r="K327">
        <f>IFERROR(VLOOKUP(D327,'PCI-Metro'!A:R,E327-2005,FALSE),VLOOKUP(D327,'PCI-Micro'!A:R,E327-2005,FALSE))</f>
        <v>50712</v>
      </c>
      <c r="L327" t="str">
        <f>IFERROR(IF(IFERROR(VLOOKUP($A327,Attendance1!$B:$H,5,FALSE),VLOOKUP($B327,Attendance1!$B:$H,5,FALSE))="","",IFERROR(VLOOKUP($A327,Attendance1!$B:$H,5,FALSE),VLOOKUP($B327,Attendance1!$B:$H,5,FALSE))),"")</f>
        <v/>
      </c>
    </row>
    <row r="328" spans="1:12">
      <c r="A328" t="s">
        <v>1314</v>
      </c>
      <c r="B328" t="s">
        <v>1314</v>
      </c>
      <c r="C328">
        <v>234030</v>
      </c>
      <c r="D328">
        <v>40060</v>
      </c>
      <c r="E328">
        <f t="shared" si="5"/>
        <v>2015</v>
      </c>
      <c r="F328">
        <f>IFERROR(IF(VLOOKUP(C328,TotalRev1!A:C,3,FALSE)="","",VLOOKUP(C328,TotalRev1!A:C,3,FALSE)),"")</f>
        <v>7948</v>
      </c>
      <c r="G328">
        <f>IFERROR(IF(VLOOKUP(C328,TotalRevL!A:C,3,FALSE)="","",VLOOKUP(C328,TotalRevL!A:C,3,FALSE)),"")</f>
        <v>5129</v>
      </c>
      <c r="H328" s="26">
        <f>IFERROR(IFERROR(VLOOKUP($A328,Winpct1!$A:$K,9,FALSE),VLOOKUP($B328,Winpct1!$A:$K,9,FALSE)),"")</f>
        <v>0.56699999999999995</v>
      </c>
      <c r="I328">
        <f>IFERROR(IFERROR(VLOOKUP($A328,Attendance1!$B:$H,3,FALSE),VLOOKUP($B328,Attendance1!$B:$H,3,FALSE)),"")</f>
        <v>4024</v>
      </c>
      <c r="J328">
        <f>IFERROR(VLOOKUP(D328,'Pop-Metro'!A:R,E328-2005,FALSE),VLOOKUP(D328,'Pop-Micro'!A:R,E328-2005,FALSE))</f>
        <v>1253770</v>
      </c>
      <c r="K328">
        <f>IFERROR(VLOOKUP(D328,'PCI-Metro'!A:R,E328-2005,FALSE),VLOOKUP(D328,'PCI-Micro'!A:R,E328-2005,FALSE))</f>
        <v>50627</v>
      </c>
      <c r="L328">
        <f>IFERROR(IF(IFERROR(VLOOKUP($A328,Attendance1!$B:$H,5,FALSE),VLOOKUP($B328,Attendance1!$B:$H,5,FALSE))="","",IFERROR(VLOOKUP($A328,Attendance1!$B:$H,5,FALSE),VLOOKUP($B328,Attendance1!$B:$H,5,FALSE))),"")</f>
        <v>7500</v>
      </c>
    </row>
    <row r="329" spans="1:12">
      <c r="A329" t="s">
        <v>1315</v>
      </c>
      <c r="B329" t="s">
        <v>1315</v>
      </c>
      <c r="C329">
        <v>231174</v>
      </c>
      <c r="D329">
        <v>15540</v>
      </c>
      <c r="E329">
        <f t="shared" si="5"/>
        <v>2015</v>
      </c>
      <c r="F329" t="str">
        <f>IFERROR(IF(VLOOKUP(C329,TotalRev1!A:C,3,FALSE)="","",VLOOKUP(C329,TotalRev1!A:C,3,FALSE)),"")</f>
        <v/>
      </c>
      <c r="G329" t="str">
        <f>IFERROR(IF(VLOOKUP(C329,TotalRevL!A:C,3,FALSE)="","",VLOOKUP(C329,TotalRevL!A:C,3,FALSE)),"")</f>
        <v/>
      </c>
      <c r="H329" s="26" t="str">
        <f>IFERROR(IFERROR(VLOOKUP($A329,Winpct1!$A:$K,9,FALSE),VLOOKUP($B329,Winpct1!$A:$K,9,FALSE)),"")</f>
        <v/>
      </c>
      <c r="I329" t="str">
        <f>IFERROR(IFERROR(VLOOKUP($A329,Attendance1!$B:$H,3,FALSE),VLOOKUP($B329,Attendance1!$B:$H,3,FALSE)),"")</f>
        <v/>
      </c>
      <c r="J329">
        <f>IFERROR(VLOOKUP(D329,'Pop-Metro'!A:R,E329-2005,FALSE),VLOOKUP(D329,'Pop-Micro'!A:R,E329-2005,FALSE))</f>
        <v>219701</v>
      </c>
      <c r="K329">
        <f>IFERROR(VLOOKUP(D329,'PCI-Metro'!A:R,E329-2005,FALSE),VLOOKUP(D329,'PCI-Micro'!A:R,E329-2005,FALSE))</f>
        <v>51600</v>
      </c>
      <c r="L329" t="str">
        <f>IFERROR(IF(IFERROR(VLOOKUP($A329,Attendance1!$B:$H,5,FALSE),VLOOKUP($B329,Attendance1!$B:$H,5,FALSE))="","",IFERROR(VLOOKUP($A329,Attendance1!$B:$H,5,FALSE),VLOOKUP($B329,Attendance1!$B:$H,5,FALSE))),"")</f>
        <v/>
      </c>
    </row>
    <row r="330" spans="1:12">
      <c r="A330" t="s">
        <v>281</v>
      </c>
      <c r="B330" t="s">
        <v>281</v>
      </c>
      <c r="C330">
        <v>216597</v>
      </c>
      <c r="D330">
        <v>37980</v>
      </c>
      <c r="E330">
        <f t="shared" si="5"/>
        <v>2015</v>
      </c>
      <c r="F330" t="str">
        <f>IFERROR(IF(VLOOKUP(C330,TotalRev1!A:C,3,FALSE)="","",VLOOKUP(C330,TotalRev1!A:C,3,FALSE)),"")</f>
        <v/>
      </c>
      <c r="G330" t="str">
        <f>IFERROR(IF(VLOOKUP(C330,TotalRevL!A:C,3,FALSE)="","",VLOOKUP(C330,TotalRevL!A:C,3,FALSE)),"")</f>
        <v/>
      </c>
      <c r="H330" s="26">
        <f>IFERROR(IFERROR(VLOOKUP($A330,Winpct1!$A:$K,9,FALSE),VLOOKUP($B330,Winpct1!$A:$K,9,FALSE)),"")</f>
        <v>0.39400000000000002</v>
      </c>
      <c r="I330">
        <f>IFERROR(IFERROR(VLOOKUP($A330,Attendance1!$B:$H,3,FALSE),VLOOKUP($B330,Attendance1!$B:$H,3,FALSE)),"")</f>
        <v>4660</v>
      </c>
      <c r="J330">
        <f>IFERROR(VLOOKUP(D330,'Pop-Metro'!A:R,E330-2005,FALSE),VLOOKUP(D330,'Pop-Micro'!A:R,E330-2005,FALSE))</f>
        <v>6129946</v>
      </c>
      <c r="K330">
        <f>IFERROR(VLOOKUP(D330,'PCI-Metro'!A:R,E330-2005,FALSE),VLOOKUP(D330,'PCI-Micro'!A:R,E330-2005,FALSE))</f>
        <v>56629</v>
      </c>
      <c r="L330">
        <f>IFERROR(IF(IFERROR(VLOOKUP($A330,Attendance1!$B:$H,5,FALSE),VLOOKUP($B330,Attendance1!$B:$H,5,FALSE))="","",IFERROR(VLOOKUP($A330,Attendance1!$B:$H,5,FALSE),VLOOKUP($B330,Attendance1!$B:$H,5,FALSE))),"")</f>
        <v>1500</v>
      </c>
    </row>
    <row r="331" spans="1:12">
      <c r="A331" t="s">
        <v>282</v>
      </c>
      <c r="B331" t="s">
        <v>282</v>
      </c>
      <c r="C331">
        <v>234076</v>
      </c>
      <c r="D331">
        <v>16820</v>
      </c>
      <c r="E331">
        <f t="shared" si="5"/>
        <v>2015</v>
      </c>
      <c r="F331">
        <f>IFERROR(IF(VLOOKUP(C331,TotalRev1!A:C,3,FALSE)="","",VLOOKUP(C331,TotalRev1!A:C,3,FALSE)),"")</f>
        <v>679012</v>
      </c>
      <c r="G331">
        <f>IFERROR(IF(VLOOKUP(C331,TotalRevL!A:C,3,FALSE)="","",VLOOKUP(C331,TotalRevL!A:C,3,FALSE)),"")</f>
        <v>857790</v>
      </c>
      <c r="H331" s="26">
        <f>IFERROR(IFERROR(VLOOKUP($A331,Winpct1!$A:$K,9,FALSE),VLOOKUP($B331,Winpct1!$A:$K,9,FALSE)),"")</f>
        <v>0.54800000000000004</v>
      </c>
      <c r="I331">
        <f>IFERROR(IFERROR(VLOOKUP($A331,Attendance1!$B:$H,3,FALSE),VLOOKUP($B331,Attendance1!$B:$H,3,FALSE)),"")</f>
        <v>6977</v>
      </c>
      <c r="J331">
        <f>IFERROR(VLOOKUP(D331,'Pop-Metro'!A:R,E331-2005,FALSE),VLOOKUP(D331,'Pop-Micro'!A:R,E331-2005,FALSE))</f>
        <v>212514</v>
      </c>
      <c r="K331">
        <f>IFERROR(VLOOKUP(D331,'PCI-Metro'!A:R,E331-2005,FALSE),VLOOKUP(D331,'PCI-Micro'!A:R,E331-2005,FALSE))</f>
        <v>55164</v>
      </c>
      <c r="L331">
        <f>IFERROR(IF(IFERROR(VLOOKUP($A331,Attendance1!$B:$H,5,FALSE),VLOOKUP($B331,Attendance1!$B:$H,5,FALSE))="","",IFERROR(VLOOKUP($A331,Attendance1!$B:$H,5,FALSE),VLOOKUP($B331,Attendance1!$B:$H,5,FALSE))),"")</f>
        <v>744</v>
      </c>
    </row>
    <row r="332" spans="1:12">
      <c r="A332" t="s">
        <v>283</v>
      </c>
      <c r="B332" t="s">
        <v>283</v>
      </c>
      <c r="C332">
        <v>233921</v>
      </c>
      <c r="D332">
        <v>13980</v>
      </c>
      <c r="E332">
        <f t="shared" si="5"/>
        <v>2015</v>
      </c>
      <c r="F332">
        <f>IFERROR(IF(VLOOKUP(C332,TotalRev1!A:C,3,FALSE)="","",VLOOKUP(C332,TotalRev1!A:C,3,FALSE)),"")</f>
        <v>626876</v>
      </c>
      <c r="G332">
        <f>IFERROR(IF(VLOOKUP(C332,TotalRevL!A:C,3,FALSE)="","",VLOOKUP(C332,TotalRevL!A:C,3,FALSE)),"")</f>
        <v>573176</v>
      </c>
      <c r="H332" s="26">
        <f>IFERROR(IFERROR(VLOOKUP($A332,Winpct1!$A:$K,9,FALSE),VLOOKUP($B332,Winpct1!$A:$K,9,FALSE)),"")</f>
        <v>0.54800000000000004</v>
      </c>
      <c r="I332">
        <f>IFERROR(IFERROR(VLOOKUP($A332,Attendance1!$B:$H,3,FALSE),VLOOKUP($B332,Attendance1!$B:$H,3,FALSE)),"")</f>
        <v>7954</v>
      </c>
      <c r="J332">
        <f>IFERROR(VLOOKUP(D332,'Pop-Metro'!A:R,E332-2005,FALSE),VLOOKUP(D332,'Pop-Micro'!A:R,E332-2005,FALSE))</f>
        <v>165333</v>
      </c>
      <c r="K332">
        <f>IFERROR(VLOOKUP(D332,'PCI-Metro'!A:R,E332-2005,FALSE),VLOOKUP(D332,'PCI-Micro'!A:R,E332-2005,FALSE))</f>
        <v>33884</v>
      </c>
      <c r="L332">
        <f>IFERROR(IF(IFERROR(VLOOKUP($A332,Attendance1!$B:$H,5,FALSE),VLOOKUP($B332,Attendance1!$B:$H,5,FALSE))="","",IFERROR(VLOOKUP($A332,Attendance1!$B:$H,5,FALSE),VLOOKUP($B332,Attendance1!$B:$H,5,FALSE))),"")</f>
        <v>10052</v>
      </c>
    </row>
    <row r="333" spans="1:12">
      <c r="A333" t="s">
        <v>1316</v>
      </c>
      <c r="B333" t="s">
        <v>1316</v>
      </c>
      <c r="C333">
        <v>234085</v>
      </c>
      <c r="D333">
        <v>31340</v>
      </c>
      <c r="E333">
        <f t="shared" si="5"/>
        <v>2015</v>
      </c>
      <c r="F333" t="str">
        <f>IFERROR(IF(VLOOKUP(C333,TotalRev1!A:C,3,FALSE)="","",VLOOKUP(C333,TotalRev1!A:C,3,FALSE)),"")</f>
        <v/>
      </c>
      <c r="G333" t="str">
        <f>IFERROR(IF(VLOOKUP(C333,TotalRevL!A:C,3,FALSE)="","",VLOOKUP(C333,TotalRevL!A:C,3,FALSE)),"")</f>
        <v/>
      </c>
      <c r="H333" s="26" t="str">
        <f>IFERROR(IFERROR(VLOOKUP($A333,Winpct1!$A:$K,9,FALSE),VLOOKUP($B333,Winpct1!$A:$K,9,FALSE)),"")</f>
        <v/>
      </c>
      <c r="I333" t="str">
        <f>IFERROR(IFERROR(VLOOKUP($A333,Attendance1!$B:$H,3,FALSE),VLOOKUP($B333,Attendance1!$B:$H,3,FALSE)),"")</f>
        <v/>
      </c>
      <c r="J333">
        <f>IFERROR(VLOOKUP(D333,'Pop-Metro'!A:R,E333-2005,FALSE),VLOOKUP(D333,'Pop-Micro'!A:R,E333-2005,FALSE))</f>
        <v>258199</v>
      </c>
      <c r="K333">
        <f>IFERROR(VLOOKUP(D333,'PCI-Metro'!A:R,E333-2005,FALSE),VLOOKUP(D333,'PCI-Micro'!A:R,E333-2005,FALSE))</f>
        <v>36846</v>
      </c>
      <c r="L333" t="str">
        <f>IFERROR(IF(IFERROR(VLOOKUP($A333,Attendance1!$B:$H,5,FALSE),VLOOKUP($B333,Attendance1!$B:$H,5,FALSE))="","",IFERROR(VLOOKUP($A333,Attendance1!$B:$H,5,FALSE),VLOOKUP($B333,Attendance1!$B:$H,5,FALSE))),"")</f>
        <v/>
      </c>
    </row>
    <row r="334" spans="1:12">
      <c r="A334" t="s">
        <v>1258</v>
      </c>
      <c r="B334" t="s">
        <v>1258</v>
      </c>
      <c r="C334">
        <v>197197</v>
      </c>
      <c r="D334">
        <v>35620</v>
      </c>
      <c r="E334">
        <f t="shared" si="5"/>
        <v>2015</v>
      </c>
      <c r="F334" t="str">
        <f>IFERROR(IF(VLOOKUP(C334,TotalRev1!A:C,3,FALSE)="","",VLOOKUP(C334,TotalRev1!A:C,3,FALSE)),"")</f>
        <v/>
      </c>
      <c r="G334" t="str">
        <f>IFERROR(IF(VLOOKUP(C334,TotalRevL!A:C,3,FALSE)="","",VLOOKUP(C334,TotalRevL!A:C,3,FALSE)),"")</f>
        <v/>
      </c>
      <c r="H334" s="26" t="str">
        <f>IFERROR(IFERROR(VLOOKUP($A334,Winpct1!$A:$K,9,FALSE),VLOOKUP($B334,Winpct1!$A:$K,9,FALSE)),"")</f>
        <v/>
      </c>
      <c r="I334" t="str">
        <f>IFERROR(IFERROR(VLOOKUP($A334,Attendance1!$B:$H,3,FALSE),VLOOKUP($B334,Attendance1!$B:$H,3,FALSE)),"")</f>
        <v/>
      </c>
      <c r="J334">
        <f>IFERROR(VLOOKUP(D334,'Pop-Metro'!A:R,E334-2005,FALSE),VLOOKUP(D334,'Pop-Micro'!A:R,E334-2005,FALSE))</f>
        <v>19830288</v>
      </c>
      <c r="K334">
        <f>IFERROR(VLOOKUP(D334,'PCI-Metro'!A:R,E334-2005,FALSE),VLOOKUP(D334,'PCI-Micro'!A:R,E334-2005,FALSE))</f>
        <v>62877</v>
      </c>
      <c r="L334" t="str">
        <f>IFERROR(IF(IFERROR(VLOOKUP($A334,Attendance1!$B:$H,5,FALSE),VLOOKUP($B334,Attendance1!$B:$H,5,FALSE))="","",IFERROR(VLOOKUP($A334,Attendance1!$B:$H,5,FALSE),VLOOKUP($B334,Attendance1!$B:$H,5,FALSE))),"")</f>
        <v/>
      </c>
    </row>
    <row r="335" spans="1:12">
      <c r="A335" t="s">
        <v>1317</v>
      </c>
      <c r="B335" t="s">
        <v>1317</v>
      </c>
      <c r="C335">
        <v>199847</v>
      </c>
      <c r="D335">
        <v>49180</v>
      </c>
      <c r="E335">
        <f t="shared" si="5"/>
        <v>2015</v>
      </c>
      <c r="F335" t="str">
        <f>IFERROR(IF(VLOOKUP(C335,TotalRev1!A:C,3,FALSE)="","",VLOOKUP(C335,TotalRev1!A:C,3,FALSE)),"")</f>
        <v/>
      </c>
      <c r="G335" t="str">
        <f>IFERROR(IF(VLOOKUP(C335,TotalRevL!A:C,3,FALSE)="","",VLOOKUP(C335,TotalRevL!A:C,3,FALSE)),"")</f>
        <v/>
      </c>
      <c r="H335" s="26">
        <f>IFERROR(IFERROR(VLOOKUP($A335,Winpct1!$A:$K,9,FALSE),VLOOKUP($B335,Winpct1!$A:$K,9,FALSE)),"")</f>
        <v>0.5</v>
      </c>
      <c r="I335">
        <f>IFERROR(IFERROR(VLOOKUP($A335,Attendance1!$B:$H,3,FALSE),VLOOKUP($B335,Attendance1!$B:$H,3,FALSE)),"")</f>
        <v>9069</v>
      </c>
      <c r="J335">
        <f>IFERROR(VLOOKUP(D335,'Pop-Metro'!A:R,E335-2005,FALSE),VLOOKUP(D335,'Pop-Micro'!A:R,E335-2005,FALSE))</f>
        <v>654916</v>
      </c>
      <c r="K335">
        <f>IFERROR(VLOOKUP(D335,'PCI-Metro'!A:R,E335-2005,FALSE),VLOOKUP(D335,'PCI-Micro'!A:R,E335-2005,FALSE))</f>
        <v>40547</v>
      </c>
      <c r="L335">
        <f>IFERROR(IF(IFERROR(VLOOKUP($A335,Attendance1!$B:$H,5,FALSE),VLOOKUP($B335,Attendance1!$B:$H,5,FALSE))="","",IFERROR(VLOOKUP($A335,Attendance1!$B:$H,5,FALSE),VLOOKUP($B335,Attendance1!$B:$H,5,FALSE))),"")</f>
        <v>2000</v>
      </c>
    </row>
    <row r="336" spans="1:12">
      <c r="A336" t="s">
        <v>284</v>
      </c>
      <c r="B336" t="s">
        <v>284</v>
      </c>
      <c r="C336">
        <v>236948</v>
      </c>
      <c r="D336">
        <v>42660</v>
      </c>
      <c r="E336">
        <f t="shared" si="5"/>
        <v>2015</v>
      </c>
      <c r="F336">
        <f>IFERROR(IF(VLOOKUP(C336,TotalRev1!A:C,3,FALSE)="","",VLOOKUP(C336,TotalRev1!A:C,3,FALSE)),"")</f>
        <v>1102304</v>
      </c>
      <c r="G336">
        <f>IFERROR(IF(VLOOKUP(C336,TotalRevL!A:C,3,FALSE)="","",VLOOKUP(C336,TotalRevL!A:C,3,FALSE)),"")</f>
        <v>768811</v>
      </c>
      <c r="H336" s="26">
        <f>IFERROR(IFERROR(VLOOKUP($A336,Winpct1!$A:$K,9,FALSE),VLOOKUP($B336,Winpct1!$A:$K,9,FALSE)),"")</f>
        <v>0.91200000000000003</v>
      </c>
      <c r="I336">
        <f>IFERROR(IFERROR(VLOOKUP($A336,Attendance1!$B:$H,3,FALSE),VLOOKUP($B336,Attendance1!$B:$H,3,FALSE)),"")</f>
        <v>60829</v>
      </c>
      <c r="J336">
        <f>IFERROR(VLOOKUP(D336,'Pop-Metro'!A:R,E336-2005,FALSE),VLOOKUP(D336,'Pop-Micro'!A:R,E336-2005,FALSE))</f>
        <v>3745182</v>
      </c>
      <c r="K336">
        <f>IFERROR(VLOOKUP(D336,'PCI-Metro'!A:R,E336-2005,FALSE),VLOOKUP(D336,'PCI-Micro'!A:R,E336-2005,FALSE))</f>
        <v>62060</v>
      </c>
      <c r="L336">
        <f>IFERROR(IF(IFERROR(VLOOKUP($A336,Attendance1!$B:$H,5,FALSE),VLOOKUP($B336,Attendance1!$B:$H,5,FALSE))="","",IFERROR(VLOOKUP($A336,Attendance1!$B:$H,5,FALSE),VLOOKUP($B336,Attendance1!$B:$H,5,FALSE))),"")</f>
        <v>10000</v>
      </c>
    </row>
    <row r="337" spans="1:12">
      <c r="A337" t="s">
        <v>1318</v>
      </c>
      <c r="B337" t="s">
        <v>1318</v>
      </c>
      <c r="C337">
        <v>236939</v>
      </c>
      <c r="D337">
        <v>39420</v>
      </c>
      <c r="E337">
        <f t="shared" si="5"/>
        <v>2015</v>
      </c>
      <c r="F337">
        <f>IFERROR(IF(VLOOKUP(C337,TotalRev1!A:C,3,FALSE)="","",VLOOKUP(C337,TotalRev1!A:C,3,FALSE)),"")</f>
        <v>791494</v>
      </c>
      <c r="G337">
        <f>IFERROR(IF(VLOOKUP(C337,TotalRevL!A:C,3,FALSE)="","",VLOOKUP(C337,TotalRevL!A:C,3,FALSE)),"")</f>
        <v>75554</v>
      </c>
      <c r="H337" s="26">
        <f>IFERROR(IFERROR(VLOOKUP($A337,Winpct1!$A:$K,9,FALSE),VLOOKUP($B337,Winpct1!$A:$K,9,FALSE)),"")</f>
        <v>0.313</v>
      </c>
      <c r="I337">
        <f>IFERROR(IFERROR(VLOOKUP($A337,Attendance1!$B:$H,3,FALSE),VLOOKUP($B337,Attendance1!$B:$H,3,FALSE)),"")</f>
        <v>8740</v>
      </c>
      <c r="J337">
        <f>IFERROR(VLOOKUP(D337,'Pop-Metro'!A:R,E337-2005,FALSE),VLOOKUP(D337,'Pop-Micro'!A:R,E337-2005,FALSE))</f>
        <v>47369</v>
      </c>
      <c r="K337">
        <f>IFERROR(VLOOKUP(D337,'PCI-Metro'!A:R,E337-2005,FALSE),VLOOKUP(D337,'PCI-Micro'!A:R,E337-2005,FALSE))</f>
        <v>34975</v>
      </c>
      <c r="L337">
        <f>IFERROR(IF(IFERROR(VLOOKUP($A337,Attendance1!$B:$H,5,FALSE),VLOOKUP($B337,Attendance1!$B:$H,5,FALSE))="","",IFERROR(VLOOKUP($A337,Attendance1!$B:$H,5,FALSE),VLOOKUP($B337,Attendance1!$B:$H,5,FALSE))),"")</f>
        <v>3000</v>
      </c>
    </row>
    <row r="338" spans="1:12">
      <c r="A338" t="s">
        <v>285</v>
      </c>
      <c r="B338" t="s">
        <v>285</v>
      </c>
      <c r="C338">
        <v>230782</v>
      </c>
      <c r="D338">
        <v>36260</v>
      </c>
      <c r="E338">
        <f t="shared" si="5"/>
        <v>2015</v>
      </c>
      <c r="F338">
        <f>IFERROR(IF(VLOOKUP(C338,TotalRev1!A:C,3,FALSE)="","",VLOOKUP(C338,TotalRev1!A:C,3,FALSE)),"")</f>
        <v>337946</v>
      </c>
      <c r="G338">
        <f>IFERROR(IF(VLOOKUP(C338,TotalRevL!A:C,3,FALSE)="","",VLOOKUP(C338,TotalRevL!A:C,3,FALSE)),"")</f>
        <v>308371</v>
      </c>
      <c r="H338" s="26">
        <f>IFERROR(IFERROR(VLOOKUP($A338,Winpct1!$A:$K,9,FALSE),VLOOKUP($B338,Winpct1!$A:$K,9,FALSE)),"")</f>
        <v>0.22600000000000001</v>
      </c>
      <c r="I338">
        <f>IFERROR(IFERROR(VLOOKUP($A338,Attendance1!$B:$H,3,FALSE),VLOOKUP($B338,Attendance1!$B:$H,3,FALSE)),"")</f>
        <v>3696</v>
      </c>
      <c r="J338">
        <f>IFERROR(VLOOKUP(D338,'Pop-Metro'!A:R,E338-2005,FALSE),VLOOKUP(D338,'Pop-Micro'!A:R,E338-2005,FALSE))</f>
        <v>643219</v>
      </c>
      <c r="K338">
        <f>IFERROR(VLOOKUP(D338,'PCI-Metro'!A:R,E338-2005,FALSE),VLOOKUP(D338,'PCI-Micro'!A:R,E338-2005,FALSE))</f>
        <v>38234</v>
      </c>
      <c r="L338">
        <f>IFERROR(IF(IFERROR(VLOOKUP($A338,Attendance1!$B:$H,5,FALSE),VLOOKUP($B338,Attendance1!$B:$H,5,FALSE))="","",IFERROR(VLOOKUP($A338,Attendance1!$B:$H,5,FALSE),VLOOKUP($B338,Attendance1!$B:$H,5,FALSE))),"")</f>
        <v>1000</v>
      </c>
    </row>
    <row r="339" spans="1:12">
      <c r="A339" t="s">
        <v>1319</v>
      </c>
      <c r="B339" t="s">
        <v>1319</v>
      </c>
      <c r="C339">
        <v>238032</v>
      </c>
      <c r="D339">
        <v>34060</v>
      </c>
      <c r="E339">
        <f t="shared" si="5"/>
        <v>2015</v>
      </c>
      <c r="F339">
        <f>IFERROR(IF(VLOOKUP(C339,TotalRev1!A:C,3,FALSE)="","",VLOOKUP(C339,TotalRev1!A:C,3,FALSE)),"")</f>
        <v>44657</v>
      </c>
      <c r="G339">
        <f>IFERROR(IF(VLOOKUP(C339,TotalRevL!A:C,3,FALSE)="","",VLOOKUP(C339,TotalRevL!A:C,3,FALSE)),"")</f>
        <v>98367</v>
      </c>
      <c r="H339" s="26">
        <f>IFERROR(IFERROR(VLOOKUP($A339,Winpct1!$A:$K,9,FALSE),VLOOKUP($B339,Winpct1!$A:$K,9,FALSE)),"")</f>
        <v>0.53300000000000003</v>
      </c>
      <c r="I339">
        <f>IFERROR(IFERROR(VLOOKUP($A339,Attendance1!$B:$H,3,FALSE),VLOOKUP($B339,Attendance1!$B:$H,3,FALSE)),"")</f>
        <v>8714</v>
      </c>
      <c r="J339">
        <f>IFERROR(VLOOKUP(D339,'Pop-Metro'!A:R,E339-2005,FALSE),VLOOKUP(D339,'Pop-Micro'!A:R,E339-2005,FALSE))</f>
        <v>138703</v>
      </c>
      <c r="K339">
        <f>IFERROR(VLOOKUP(D339,'PCI-Metro'!A:R,E339-2005,FALSE),VLOOKUP(D339,'PCI-Micro'!A:R,E339-2005,FALSE))</f>
        <v>40015</v>
      </c>
      <c r="L339">
        <f>IFERROR(IF(IFERROR(VLOOKUP($A339,Attendance1!$B:$H,5,FALSE),VLOOKUP($B339,Attendance1!$B:$H,5,FALSE))="","",IFERROR(VLOOKUP($A339,Attendance1!$B:$H,5,FALSE),VLOOKUP($B339,Attendance1!$B:$H,5,FALSE))),"")</f>
        <v>14000</v>
      </c>
    </row>
    <row r="340" spans="1:12">
      <c r="A340" t="s">
        <v>286</v>
      </c>
      <c r="B340" t="s">
        <v>286</v>
      </c>
      <c r="C340">
        <v>200004</v>
      </c>
      <c r="D340">
        <v>19000</v>
      </c>
      <c r="E340">
        <f t="shared" si="5"/>
        <v>2015</v>
      </c>
      <c r="F340">
        <f>IFERROR(IF(VLOOKUP(C340,TotalRev1!A:C,3,FALSE)="","",VLOOKUP(C340,TotalRev1!A:C,3,FALSE)),"")</f>
        <v>26942</v>
      </c>
      <c r="G340">
        <f>IFERROR(IF(VLOOKUP(C340,TotalRevL!A:C,3,FALSE)="","",VLOOKUP(C340,TotalRevL!A:C,3,FALSE)),"")</f>
        <v>19700</v>
      </c>
      <c r="H340" s="26">
        <f>IFERROR(IFERROR(VLOOKUP($A340,Winpct1!$A:$K,9,FALSE),VLOOKUP($B340,Winpct1!$A:$K,9,FALSE)),"")</f>
        <v>0.53100000000000003</v>
      </c>
      <c r="I340">
        <f>IFERROR(IFERROR(VLOOKUP($A340,Attendance1!$B:$H,3,FALSE),VLOOKUP($B340,Attendance1!$B:$H,3,FALSE)),"")</f>
        <v>2323</v>
      </c>
      <c r="J340">
        <f>IFERROR(VLOOKUP(D340,'Pop-Metro'!A:R,E340-2005,FALSE),VLOOKUP(D340,'Pop-Micro'!A:R,E340-2005,FALSE))</f>
        <v>55204</v>
      </c>
      <c r="K340">
        <f>IFERROR(VLOOKUP(D340,'PCI-Metro'!A:R,E340-2005,FALSE),VLOOKUP(D340,'PCI-Micro'!A:R,E340-2005,FALSE))</f>
        <v>31676</v>
      </c>
      <c r="L340">
        <f>IFERROR(IF(IFERROR(VLOOKUP($A340,Attendance1!$B:$H,5,FALSE),VLOOKUP($B340,Attendance1!$B:$H,5,FALSE))="","",IFERROR(VLOOKUP($A340,Attendance1!$B:$H,5,FALSE),VLOOKUP($B340,Attendance1!$B:$H,5,FALSE))),"")</f>
        <v>7826</v>
      </c>
    </row>
    <row r="341" spans="1:12">
      <c r="A341" t="s">
        <v>287</v>
      </c>
      <c r="B341" t="s">
        <v>287</v>
      </c>
      <c r="C341">
        <v>149772</v>
      </c>
      <c r="D341">
        <v>31380</v>
      </c>
      <c r="E341">
        <f t="shared" si="5"/>
        <v>2015</v>
      </c>
      <c r="F341">
        <f>IFERROR(IF(VLOOKUP(C341,TotalRev1!A:C,3,FALSE)="","",VLOOKUP(C341,TotalRev1!A:C,3,FALSE)),"")</f>
        <v>301803</v>
      </c>
      <c r="G341">
        <f>IFERROR(IF(VLOOKUP(C341,TotalRevL!A:C,3,FALSE)="","",VLOOKUP(C341,TotalRevL!A:C,3,FALSE)),"")</f>
        <v>232812</v>
      </c>
      <c r="H341" s="26">
        <f>IFERROR(IFERROR(VLOOKUP($A341,Winpct1!$A:$K,9,FALSE),VLOOKUP($B341,Winpct1!$A:$K,9,FALSE)),"")</f>
        <v>0.20699999999999999</v>
      </c>
      <c r="I341">
        <f>IFERROR(IFERROR(VLOOKUP($A341,Attendance1!$B:$H,3,FALSE),VLOOKUP($B341,Attendance1!$B:$H,3,FALSE)),"")</f>
        <v>3362</v>
      </c>
      <c r="J341">
        <f>IFERROR(VLOOKUP(D341,'Pop-Metro'!A:R,E341-2005,FALSE),VLOOKUP(D341,'Pop-Micro'!A:R,E341-2005,FALSE))</f>
        <v>30225</v>
      </c>
      <c r="K341">
        <f>IFERROR(VLOOKUP(D341,'PCI-Metro'!A:R,E341-2005,FALSE),VLOOKUP(D341,'PCI-Micro'!A:R,E341-2005,FALSE))</f>
        <v>36463</v>
      </c>
      <c r="L341">
        <f>IFERROR(IF(IFERROR(VLOOKUP($A341,Attendance1!$B:$H,5,FALSE),VLOOKUP($B341,Attendance1!$B:$H,5,FALSE))="","",IFERROR(VLOOKUP($A341,Attendance1!$B:$H,5,FALSE),VLOOKUP($B341,Attendance1!$B:$H,5,FALSE))),"")</f>
        <v>1500</v>
      </c>
    </row>
    <row r="342" spans="1:12">
      <c r="A342" t="s">
        <v>288</v>
      </c>
      <c r="B342" t="s">
        <v>288</v>
      </c>
      <c r="C342">
        <v>157951</v>
      </c>
      <c r="D342">
        <v>14540</v>
      </c>
      <c r="E342">
        <f t="shared" si="5"/>
        <v>2015</v>
      </c>
      <c r="F342">
        <f>IFERROR(IF(VLOOKUP(C342,TotalRev1!A:C,3,FALSE)="","",VLOOKUP(C342,TotalRev1!A:C,3,FALSE)),"")</f>
        <v>773772</v>
      </c>
      <c r="G342">
        <f>IFERROR(IF(VLOOKUP(C342,TotalRevL!A:C,3,FALSE)="","",VLOOKUP(C342,TotalRevL!A:C,3,FALSE)),"")</f>
        <v>758205</v>
      </c>
      <c r="H342" s="26">
        <f>IFERROR(IFERROR(VLOOKUP($A342,Winpct1!$A:$K,9,FALSE),VLOOKUP($B342,Winpct1!$A:$K,9,FALSE)),"")</f>
        <v>0.83299999999999996</v>
      </c>
      <c r="I342">
        <f>IFERROR(IFERROR(VLOOKUP($A342,Attendance1!$B:$H,3,FALSE),VLOOKUP($B342,Attendance1!$B:$H,3,FALSE)),"")</f>
        <v>9435</v>
      </c>
      <c r="J342">
        <f>IFERROR(VLOOKUP(D342,'Pop-Metro'!A:R,E342-2005,FALSE),VLOOKUP(D342,'Pop-Micro'!A:R,E342-2005,FALSE))</f>
        <v>169252</v>
      </c>
      <c r="K342">
        <f>IFERROR(VLOOKUP(D342,'PCI-Metro'!A:R,E342-2005,FALSE),VLOOKUP(D342,'PCI-Micro'!A:R,E342-2005,FALSE))</f>
        <v>34408</v>
      </c>
      <c r="L342">
        <f>IFERROR(IF(IFERROR(VLOOKUP($A342,Attendance1!$B:$H,5,FALSE),VLOOKUP($B342,Attendance1!$B:$H,5,FALSE))="","",IFERROR(VLOOKUP($A342,Attendance1!$B:$H,5,FALSE),VLOOKUP($B342,Attendance1!$B:$H,5,FALSE))),"")</f>
        <v>7326</v>
      </c>
    </row>
    <row r="343" spans="1:12">
      <c r="A343" t="s">
        <v>289</v>
      </c>
      <c r="B343" t="s">
        <v>289</v>
      </c>
      <c r="C343">
        <v>172699</v>
      </c>
      <c r="D343">
        <v>28020</v>
      </c>
      <c r="E343">
        <f t="shared" si="5"/>
        <v>2015</v>
      </c>
      <c r="F343">
        <f>IFERROR(IF(VLOOKUP(C343,TotalRev1!A:C,3,FALSE)="","",VLOOKUP(C343,TotalRev1!A:C,3,FALSE)),"")</f>
        <v>188616</v>
      </c>
      <c r="G343">
        <f>IFERROR(IF(VLOOKUP(C343,TotalRevL!A:C,3,FALSE)="","",VLOOKUP(C343,TotalRevL!A:C,3,FALSE)),"")</f>
        <v>180420</v>
      </c>
      <c r="H343" s="26">
        <f>IFERROR(IFERROR(VLOOKUP($A343,Winpct1!$A:$K,9,FALSE),VLOOKUP($B343,Winpct1!$A:$K,9,FALSE)),"")</f>
        <v>0.61099999999999999</v>
      </c>
      <c r="I343">
        <f>IFERROR(IFERROR(VLOOKUP($A343,Attendance1!$B:$H,3,FALSE),VLOOKUP($B343,Attendance1!$B:$H,3,FALSE)),"")</f>
        <v>8342</v>
      </c>
      <c r="J343">
        <f>IFERROR(VLOOKUP(D343,'Pop-Metro'!A:R,E343-2005,FALSE),VLOOKUP(D343,'Pop-Micro'!A:R,E343-2005,FALSE))</f>
        <v>257654</v>
      </c>
      <c r="K343">
        <f>IFERROR(VLOOKUP(D343,'PCI-Metro'!A:R,E343-2005,FALSE),VLOOKUP(D343,'PCI-Micro'!A:R,E343-2005,FALSE))</f>
        <v>43971</v>
      </c>
      <c r="L343">
        <f>IFERROR(IF(IFERROR(VLOOKUP($A343,Attendance1!$B:$H,5,FALSE),VLOOKUP($B343,Attendance1!$B:$H,5,FALSE))="","",IFERROR(VLOOKUP($A343,Attendance1!$B:$H,5,FALSE),VLOOKUP($B343,Attendance1!$B:$H,5,FALSE))),"")</f>
        <v>5421</v>
      </c>
    </row>
    <row r="344" spans="1:12">
      <c r="A344" t="s">
        <v>290</v>
      </c>
      <c r="B344" t="s">
        <v>290</v>
      </c>
      <c r="C344">
        <v>156125</v>
      </c>
      <c r="D344">
        <v>48620</v>
      </c>
      <c r="E344">
        <f t="shared" si="5"/>
        <v>2015</v>
      </c>
      <c r="F344">
        <f>IFERROR(IF(VLOOKUP(C344,TotalRev1!A:C,3,FALSE)="","",VLOOKUP(C344,TotalRev1!A:C,3,FALSE)),"")</f>
        <v>396937</v>
      </c>
      <c r="G344">
        <f>IFERROR(IF(VLOOKUP(C344,TotalRevL!A:C,3,FALSE)="","",VLOOKUP(C344,TotalRevL!A:C,3,FALSE)),"")</f>
        <v>407630</v>
      </c>
      <c r="H344" s="26">
        <f>IFERROR(IFERROR(VLOOKUP($A344,Winpct1!$A:$K,9,FALSE),VLOOKUP($B344,Winpct1!$A:$K,9,FALSE)),"")</f>
        <v>0.66700000000000004</v>
      </c>
      <c r="I344">
        <f>IFERROR(IFERROR(VLOOKUP($A344,Attendance1!$B:$H,3,FALSE),VLOOKUP($B344,Attendance1!$B:$H,3,FALSE)),"")</f>
        <v>27706</v>
      </c>
      <c r="J344">
        <f>IFERROR(VLOOKUP(D344,'Pop-Metro'!A:R,E344-2005,FALSE),VLOOKUP(D344,'Pop-Micro'!A:R,E344-2005,FALSE))</f>
        <v>637932</v>
      </c>
      <c r="K344">
        <f>IFERROR(VLOOKUP(D344,'PCI-Metro'!A:R,E344-2005,FALSE),VLOOKUP(D344,'PCI-Micro'!A:R,E344-2005,FALSE))</f>
        <v>46320</v>
      </c>
      <c r="L344">
        <f>IFERROR(IF(IFERROR(VLOOKUP($A344,Attendance1!$B:$H,5,FALSE),VLOOKUP($B344,Attendance1!$B:$H,5,FALSE))="","",IFERROR(VLOOKUP($A344,Attendance1!$B:$H,5,FALSE),VLOOKUP($B344,Attendance1!$B:$H,5,FALSE))),"")</f>
        <v>10400</v>
      </c>
    </row>
    <row r="345" spans="1:12">
      <c r="A345" t="s">
        <v>1320</v>
      </c>
      <c r="B345" t="s">
        <v>1320</v>
      </c>
      <c r="C345">
        <v>231624</v>
      </c>
      <c r="D345">
        <v>47260</v>
      </c>
      <c r="E345">
        <f t="shared" si="5"/>
        <v>2015</v>
      </c>
      <c r="F345">
        <f>IFERROR(IF(VLOOKUP(C345,TotalRev1!A:C,3,FALSE)="","",VLOOKUP(C345,TotalRev1!A:C,3,FALSE)),"")</f>
        <v>142519</v>
      </c>
      <c r="G345">
        <f>IFERROR(IF(VLOOKUP(C345,TotalRevL!A:C,3,FALSE)="","",VLOOKUP(C345,TotalRevL!A:C,3,FALSE)),"")</f>
        <v>167676</v>
      </c>
      <c r="H345" s="26">
        <f>IFERROR(IFERROR(VLOOKUP($A345,Winpct1!$A:$K,9,FALSE),VLOOKUP($B345,Winpct1!$A:$K,9,FALSE)),"")</f>
        <v>0.22600000000000001</v>
      </c>
      <c r="I345">
        <f>IFERROR(IFERROR(VLOOKUP($A345,Attendance1!$B:$H,3,FALSE),VLOOKUP($B345,Attendance1!$B:$H,3,FALSE)),"")</f>
        <v>2209</v>
      </c>
      <c r="J345">
        <f>IFERROR(VLOOKUP(D345,'Pop-Metro'!A:R,E345-2005,FALSE),VLOOKUP(D345,'Pop-Micro'!A:R,E345-2005,FALSE))</f>
        <v>1768411</v>
      </c>
      <c r="K345">
        <f>IFERROR(VLOOKUP(D345,'PCI-Metro'!A:R,E345-2005,FALSE),VLOOKUP(D345,'PCI-Micro'!A:R,E345-2005,FALSE))</f>
        <v>45068</v>
      </c>
      <c r="L345">
        <f>IFERROR(IF(IFERROR(VLOOKUP($A345,Attendance1!$B:$H,5,FALSE),VLOOKUP($B345,Attendance1!$B:$H,5,FALSE))="","",IFERROR(VLOOKUP($A345,Attendance1!$B:$H,5,FALSE),VLOOKUP($B345,Attendance1!$B:$H,5,FALSE))),"")</f>
        <v>8600</v>
      </c>
    </row>
    <row r="346" spans="1:12">
      <c r="A346" t="s">
        <v>291</v>
      </c>
      <c r="B346" t="s">
        <v>291</v>
      </c>
      <c r="C346">
        <v>218964</v>
      </c>
      <c r="D346">
        <v>16740</v>
      </c>
      <c r="E346">
        <f t="shared" si="5"/>
        <v>2015</v>
      </c>
      <c r="F346">
        <f>IFERROR(IF(VLOOKUP(C346,TotalRev1!A:C,3,FALSE)="","",VLOOKUP(C346,TotalRev1!A:C,3,FALSE)),"")</f>
        <v>280493</v>
      </c>
      <c r="G346">
        <f>IFERROR(IF(VLOOKUP(C346,TotalRevL!A:C,3,FALSE)="","",VLOOKUP(C346,TotalRevL!A:C,3,FALSE)),"")</f>
        <v>265408</v>
      </c>
      <c r="H346" s="26">
        <f>IFERROR(IFERROR(VLOOKUP($A346,Winpct1!$A:$K,9,FALSE),VLOOKUP($B346,Winpct1!$A:$K,9,FALSE)),"")</f>
        <v>0.625</v>
      </c>
      <c r="I346">
        <f>IFERROR(IFERROR(VLOOKUP($A346,Attendance1!$B:$H,3,FALSE),VLOOKUP($B346,Attendance1!$B:$H,3,FALSE)),"")</f>
        <v>3209</v>
      </c>
      <c r="J346">
        <f>IFERROR(VLOOKUP(D346,'Pop-Metro'!A:R,E346-2005,FALSE),VLOOKUP(D346,'Pop-Micro'!A:R,E346-2005,FALSE))</f>
        <v>2443016</v>
      </c>
      <c r="K346">
        <f>IFERROR(VLOOKUP(D346,'PCI-Metro'!A:R,E346-2005,FALSE),VLOOKUP(D346,'PCI-Micro'!A:R,E346-2005,FALSE))</f>
        <v>46408</v>
      </c>
      <c r="L346">
        <f>IFERROR(IF(IFERROR(VLOOKUP($A346,Attendance1!$B:$H,5,FALSE),VLOOKUP($B346,Attendance1!$B:$H,5,FALSE))="","",IFERROR(VLOOKUP($A346,Attendance1!$B:$H,5,FALSE),VLOOKUP($B346,Attendance1!$B:$H,5,FALSE))),"")</f>
        <v>6000</v>
      </c>
    </row>
    <row r="347" spans="1:12">
      <c r="A347" t="s">
        <v>292</v>
      </c>
      <c r="B347" t="s">
        <v>292</v>
      </c>
      <c r="C347">
        <v>240444</v>
      </c>
      <c r="D347">
        <v>31540</v>
      </c>
      <c r="E347">
        <f t="shared" si="5"/>
        <v>2015</v>
      </c>
      <c r="F347">
        <f>IFERROR(IF(VLOOKUP(C347,TotalRev1!A:C,3,FALSE)="","",VLOOKUP(C347,TotalRev1!A:C,3,FALSE)),"")</f>
        <v>1061317</v>
      </c>
      <c r="G347">
        <f>IFERROR(IF(VLOOKUP(C347,TotalRevL!A:C,3,FALSE)="","",VLOOKUP(C347,TotalRevL!A:C,3,FALSE)),"")</f>
        <v>731820</v>
      </c>
      <c r="H347" s="26">
        <f>IFERROR(IFERROR(VLOOKUP($A347,Winpct1!$A:$K,9,FALSE),VLOOKUP($B347,Winpct1!$A:$K,9,FALSE)),"")</f>
        <v>0.91200000000000003</v>
      </c>
      <c r="I347">
        <f>IFERROR(IFERROR(VLOOKUP($A347,Attendance1!$B:$H,3,FALSE),VLOOKUP($B347,Attendance1!$B:$H,3,FALSE)),"")</f>
        <v>73999</v>
      </c>
      <c r="J347">
        <f>IFERROR(VLOOKUP(D347,'Pop-Metro'!A:R,E347-2005,FALSE),VLOOKUP(D347,'Pop-Micro'!A:R,E347-2005,FALSE))</f>
        <v>646126</v>
      </c>
      <c r="K347">
        <f>IFERROR(VLOOKUP(D347,'PCI-Metro'!A:R,E347-2005,FALSE),VLOOKUP(D347,'PCI-Micro'!A:R,E347-2005,FALSE))</f>
        <v>52095</v>
      </c>
      <c r="L347">
        <f>IFERROR(IF(IFERROR(VLOOKUP($A347,Attendance1!$B:$H,5,FALSE),VLOOKUP($B347,Attendance1!$B:$H,5,FALSE))="","",IFERROR(VLOOKUP($A347,Attendance1!$B:$H,5,FALSE),VLOOKUP($B347,Attendance1!$B:$H,5,FALSE))),"")</f>
        <v>6000</v>
      </c>
    </row>
    <row r="348" spans="1:12">
      <c r="A348" t="s">
        <v>293</v>
      </c>
      <c r="B348" t="s">
        <v>293</v>
      </c>
      <c r="C348">
        <v>218973</v>
      </c>
      <c r="D348">
        <v>43900</v>
      </c>
      <c r="E348">
        <f t="shared" si="5"/>
        <v>2015</v>
      </c>
      <c r="F348" t="str">
        <f>IFERROR(IF(VLOOKUP(C348,TotalRev1!A:C,3,FALSE)="","",VLOOKUP(C348,TotalRev1!A:C,3,FALSE)),"")</f>
        <v/>
      </c>
      <c r="G348" t="str">
        <f>IFERROR(IF(VLOOKUP(C348,TotalRevL!A:C,3,FALSE)="","",VLOOKUP(C348,TotalRevL!A:C,3,FALSE)),"")</f>
        <v/>
      </c>
      <c r="H348" s="26">
        <f>IFERROR(IFERROR(VLOOKUP($A348,Winpct1!$A:$K,9,FALSE),VLOOKUP($B348,Winpct1!$A:$K,9,FALSE)),"")</f>
        <v>0.371</v>
      </c>
      <c r="I348">
        <f>IFERROR(IFERROR(VLOOKUP($A348,Attendance1!$B:$H,3,FALSE),VLOOKUP($B348,Attendance1!$B:$H,3,FALSE)),"")</f>
        <v>4531</v>
      </c>
      <c r="J348">
        <f>IFERROR(VLOOKUP(D348,'Pop-Metro'!A:R,E348-2005,FALSE),VLOOKUP(D348,'Pop-Micro'!A:R,E348-2005,FALSE))</f>
        <v>298115</v>
      </c>
      <c r="K348">
        <f>IFERROR(VLOOKUP(D348,'PCI-Metro'!A:R,E348-2005,FALSE),VLOOKUP(D348,'PCI-Micro'!A:R,E348-2005,FALSE))</f>
        <v>39198</v>
      </c>
      <c r="L348">
        <f>IFERROR(IF(IFERROR(VLOOKUP($A348,Attendance1!$B:$H,5,FALSE),VLOOKUP($B348,Attendance1!$B:$H,5,FALSE))="","",IFERROR(VLOOKUP($A348,Attendance1!$B:$H,5,FALSE),VLOOKUP($B348,Attendance1!$B:$H,5,FALSE))),"")</f>
        <v>3000</v>
      </c>
    </row>
    <row r="349" spans="1:12">
      <c r="A349" t="s">
        <v>1321</v>
      </c>
      <c r="B349" t="s">
        <v>1321</v>
      </c>
      <c r="C349">
        <v>206604</v>
      </c>
      <c r="D349">
        <v>19430</v>
      </c>
      <c r="E349">
        <f t="shared" si="5"/>
        <v>2015</v>
      </c>
      <c r="F349">
        <f>IFERROR(IF(VLOOKUP(C349,TotalRev1!A:C,3,FALSE)="","",VLOOKUP(C349,TotalRev1!A:C,3,FALSE)),"")</f>
        <v>484864</v>
      </c>
      <c r="G349">
        <f>IFERROR(IF(VLOOKUP(C349,TotalRevL!A:C,3,FALSE)="","",VLOOKUP(C349,TotalRevL!A:C,3,FALSE)),"")</f>
        <v>591027</v>
      </c>
      <c r="H349" s="26">
        <f>IFERROR(IFERROR(VLOOKUP($A349,Winpct1!$A:$K,9,FALSE),VLOOKUP($B349,Winpct1!$A:$K,9,FALSE)),"")</f>
        <v>0.17899999999999999</v>
      </c>
      <c r="I349">
        <f>IFERROR(IFERROR(VLOOKUP($A349,Attendance1!$B:$H,3,FALSE),VLOOKUP($B349,Attendance1!$B:$H,3,FALSE)),"")</f>
        <v>3534</v>
      </c>
      <c r="J349">
        <f>IFERROR(VLOOKUP(D349,'Pop-Metro'!A:R,E349-2005,FALSE),VLOOKUP(D349,'Pop-Micro'!A:R,E349-2005,FALSE))</f>
        <v>802897</v>
      </c>
      <c r="K349">
        <f>IFERROR(VLOOKUP(D349,'PCI-Metro'!A:R,E349-2005,FALSE),VLOOKUP(D349,'PCI-Micro'!A:R,E349-2005,FALSE))</f>
        <v>42619</v>
      </c>
      <c r="L349">
        <f>IFERROR(IF(IFERROR(VLOOKUP($A349,Attendance1!$B:$H,5,FALSE),VLOOKUP($B349,Attendance1!$B:$H,5,FALSE))="","",IFERROR(VLOOKUP($A349,Attendance1!$B:$H,5,FALSE),VLOOKUP($B349,Attendance1!$B:$H,5,FALSE))),"")</f>
        <v>500</v>
      </c>
    </row>
    <row r="350" spans="1:12">
      <c r="A350" t="s">
        <v>1322</v>
      </c>
      <c r="B350" t="s">
        <v>1322</v>
      </c>
      <c r="C350">
        <v>240727</v>
      </c>
      <c r="D350">
        <v>29660</v>
      </c>
      <c r="E350">
        <f t="shared" si="5"/>
        <v>2015</v>
      </c>
      <c r="F350">
        <f>IFERROR(IF(VLOOKUP(C350,TotalRev1!A:C,3,FALSE)="","",VLOOKUP(C350,TotalRev1!A:C,3,FALSE)),"")</f>
        <v>532040</v>
      </c>
      <c r="G350">
        <f>IFERROR(IF(VLOOKUP(C350,TotalRevL!A:C,3,FALSE)="","",VLOOKUP(C350,TotalRevL!A:C,3,FALSE)),"")</f>
        <v>538841</v>
      </c>
      <c r="H350" s="26">
        <f>IFERROR(IFERROR(VLOOKUP($A350,Winpct1!$A:$K,9,FALSE),VLOOKUP($B350,Winpct1!$A:$K,9,FALSE)),"")</f>
        <v>0.74199999999999999</v>
      </c>
      <c r="I350">
        <f>IFERROR(IFERROR(VLOOKUP($A350,Attendance1!$B:$H,3,FALSE),VLOOKUP($B350,Attendance1!$B:$H,3,FALSE)),"")</f>
        <v>9879</v>
      </c>
      <c r="J350">
        <f>IFERROR(VLOOKUP(D350,'Pop-Metro'!A:R,E350-2005,FALSE),VLOOKUP(D350,'Pop-Micro'!A:R,E350-2005,FALSE))</f>
        <v>37099</v>
      </c>
      <c r="K350">
        <f>IFERROR(VLOOKUP(D350,'PCI-Metro'!A:R,E350-2005,FALSE),VLOOKUP(D350,'PCI-Micro'!A:R,E350-2005,FALSE))</f>
        <v>40601</v>
      </c>
      <c r="L350">
        <f>IFERROR(IF(IFERROR(VLOOKUP($A350,Attendance1!$B:$H,5,FALSE),VLOOKUP($B350,Attendance1!$B:$H,5,FALSE))="","",IFERROR(VLOOKUP($A350,Attendance1!$B:$H,5,FALSE),VLOOKUP($B350,Attendance1!$B:$H,5,FALSE))),"")</f>
        <v>1200</v>
      </c>
    </row>
    <row r="351" spans="1:12">
      <c r="A351" t="s">
        <v>1323</v>
      </c>
      <c r="B351" t="s">
        <v>1323</v>
      </c>
      <c r="C351">
        <v>206622</v>
      </c>
      <c r="D351">
        <v>17140</v>
      </c>
      <c r="E351">
        <f t="shared" si="5"/>
        <v>2015</v>
      </c>
      <c r="F351" t="str">
        <f>IFERROR(IF(VLOOKUP(C351,TotalRev1!A:C,3,FALSE)="","",VLOOKUP(C351,TotalRev1!A:C,3,FALSE)),"")</f>
        <v/>
      </c>
      <c r="G351" t="str">
        <f>IFERROR(IF(VLOOKUP(C351,TotalRevL!A:C,3,FALSE)="","",VLOOKUP(C351,TotalRevL!A:C,3,FALSE)),"")</f>
        <v/>
      </c>
      <c r="H351" s="26">
        <f>IFERROR(IFERROR(VLOOKUP($A351,Winpct1!$A:$K,9,FALSE),VLOOKUP($B351,Winpct1!$A:$K,9,FALSE)),"")</f>
        <v>0.61299999999999999</v>
      </c>
      <c r="I351">
        <f>IFERROR(IFERROR(VLOOKUP($A351,Attendance1!$B:$H,3,FALSE),VLOOKUP($B351,Attendance1!$B:$H,3,FALSE)),"")</f>
        <v>8681</v>
      </c>
      <c r="J351">
        <f>IFERROR(VLOOKUP(D351,'Pop-Metro'!A:R,E351-2005,FALSE),VLOOKUP(D351,'Pop-Micro'!A:R,E351-2005,FALSE))</f>
        <v>2195796</v>
      </c>
      <c r="K351">
        <f>IFERROR(VLOOKUP(D351,'PCI-Metro'!A:R,E351-2005,FALSE),VLOOKUP(D351,'PCI-Micro'!A:R,E351-2005,FALSE))</f>
        <v>47906</v>
      </c>
      <c r="L351">
        <f>IFERROR(IF(IFERROR(VLOOKUP($A351,Attendance1!$B:$H,5,FALSE),VLOOKUP($B351,Attendance1!$B:$H,5,FALSE))="","",IFERROR(VLOOKUP($A351,Attendance1!$B:$H,5,FALSE),VLOOKUP($B351,Attendance1!$B:$H,5,FALSE))),"")</f>
        <v>10250</v>
      </c>
    </row>
    <row r="352" spans="1:12">
      <c r="A352" t="s">
        <v>294</v>
      </c>
      <c r="B352" t="s">
        <v>294</v>
      </c>
      <c r="C352">
        <v>130794</v>
      </c>
      <c r="D352">
        <v>35300</v>
      </c>
      <c r="E352">
        <f t="shared" si="5"/>
        <v>2015</v>
      </c>
      <c r="F352" t="str">
        <f>IFERROR(IF(VLOOKUP(C352,TotalRev1!A:C,3,FALSE)="","",VLOOKUP(C352,TotalRev1!A:C,3,FALSE)),"")</f>
        <v/>
      </c>
      <c r="G352" t="str">
        <f>IFERROR(IF(VLOOKUP(C352,TotalRevL!A:C,3,FALSE)="","",VLOOKUP(C352,TotalRevL!A:C,3,FALSE)),"")</f>
        <v/>
      </c>
      <c r="H352" s="26">
        <f>IFERROR(IFERROR(VLOOKUP($A352,Winpct1!$A:$K,9,FALSE),VLOOKUP($B352,Winpct1!$A:$K,9,FALSE)),"")</f>
        <v>0.69199999999999995</v>
      </c>
      <c r="I352">
        <f>IFERROR(IFERROR(VLOOKUP($A352,Attendance1!$B:$H,3,FALSE),VLOOKUP($B352,Attendance1!$B:$H,3,FALSE)),"")</f>
        <v>4479</v>
      </c>
      <c r="J352">
        <f>IFERROR(VLOOKUP(D352,'Pop-Metro'!A:R,E352-2005,FALSE),VLOOKUP(D352,'Pop-Micro'!A:R,E352-2005,FALSE))</f>
        <v>866734</v>
      </c>
      <c r="K352">
        <f>IFERROR(VLOOKUP(D352,'PCI-Metro'!A:R,E352-2005,FALSE),VLOOKUP(D352,'PCI-Micro'!A:R,E352-2005,FALSE))</f>
        <v>50082</v>
      </c>
      <c r="L352">
        <f>IFERROR(IF(IFERROR(VLOOKUP($A352,Attendance1!$B:$H,5,FALSE),VLOOKUP($B352,Attendance1!$B:$H,5,FALSE))="","",IFERROR(VLOOKUP($A352,Attendance1!$B:$H,5,FALSE),VLOOKUP($B352,Attendance1!$B:$H,5,FALSE))),"")</f>
        <v>2532</v>
      </c>
    </row>
    <row r="353" spans="1:12">
      <c r="A353" t="s">
        <v>295</v>
      </c>
      <c r="B353" t="s">
        <v>295</v>
      </c>
      <c r="C353">
        <v>206695</v>
      </c>
      <c r="D353">
        <v>49660</v>
      </c>
      <c r="E353">
        <f t="shared" si="5"/>
        <v>2015</v>
      </c>
      <c r="F353">
        <f>IFERROR(IF(VLOOKUP(C353,TotalRev1!A:C,3,FALSE)="","",VLOOKUP(C353,TotalRev1!A:C,3,FALSE)),"")</f>
        <v>94975</v>
      </c>
      <c r="G353">
        <f>IFERROR(IF(VLOOKUP(C353,TotalRevL!A:C,3,FALSE)="","",VLOOKUP(C353,TotalRevL!A:C,3,FALSE)),"")</f>
        <v>62487</v>
      </c>
      <c r="H353" s="26">
        <f>IFERROR(IFERROR(VLOOKUP($A353,Winpct1!$A:$K,9,FALSE),VLOOKUP($B353,Winpct1!$A:$K,9,FALSE)),"")</f>
        <v>0.54800000000000004</v>
      </c>
      <c r="I353">
        <f>IFERROR(IFERROR(VLOOKUP($A353,Attendance1!$B:$H,3,FALSE),VLOOKUP($B353,Attendance1!$B:$H,3,FALSE)),"")</f>
        <v>1100</v>
      </c>
      <c r="J353">
        <f>IFERROR(VLOOKUP(D353,'Pop-Metro'!A:R,E353-2005,FALSE),VLOOKUP(D353,'Pop-Micro'!A:R,E353-2005,FALSE))</f>
        <v>553591</v>
      </c>
      <c r="K353">
        <f>IFERROR(VLOOKUP(D353,'PCI-Metro'!A:R,E353-2005,FALSE),VLOOKUP(D353,'PCI-Micro'!A:R,E353-2005,FALSE))</f>
        <v>38143</v>
      </c>
      <c r="L353">
        <f>IFERROR(IF(IFERROR(VLOOKUP($A353,Attendance1!$B:$H,5,FALSE),VLOOKUP($B353,Attendance1!$B:$H,5,FALSE))="","",IFERROR(VLOOKUP($A353,Attendance1!$B:$H,5,FALSE),VLOOKUP($B353,Attendance1!$B:$H,5,FALSE))),"")</f>
        <v>6000</v>
      </c>
    </row>
    <row r="354" spans="1:12">
      <c r="A354" s="1" t="s">
        <v>4</v>
      </c>
      <c r="B354" s="1" t="s">
        <v>4</v>
      </c>
      <c r="C354" s="1">
        <v>224147</v>
      </c>
      <c r="D354" s="1">
        <v>18580</v>
      </c>
      <c r="E354">
        <f>E353+1</f>
        <v>2016</v>
      </c>
      <c r="F354">
        <f>IFERROR(IF(VLOOKUP(C354,TotalRev2!A:C,3,FALSE)="","",VLOOKUP(C354,TotalRev2!A:C,3,FALSE)),"")</f>
        <v>565073</v>
      </c>
      <c r="G354">
        <f>IFERROR(IF(VLOOKUP(C354,TotalRev1!A:C,3,FALSE)="","",VLOOKUP(C354,TotalRev1!A:C,3,FALSE)),"")</f>
        <v>577051</v>
      </c>
      <c r="H354" s="26">
        <f>IFERROR(IFERROR(VLOOKUP($A354,Winpct2!$A:$K,9,FALSE),VLOOKUP($B354,Winpct2!$A:$K,9,FALSE)),"")</f>
        <v>0.86099999999999999</v>
      </c>
      <c r="I354">
        <f>IFERROR(IFERROR(VLOOKUP($A354,Attendance2!$B:$H,3,FALSE),VLOOKUP($B354,Attendance2!$B:$H,3,FALSE)),"")</f>
        <v>9856</v>
      </c>
      <c r="J354">
        <f>IFERROR(VLOOKUP(D354,'Pop-Metro'!A:R,E354-2005,FALSE),VLOOKUP(D354,'Pop-Micro'!A:R,E354-2005,FALSE))</f>
        <v>423993</v>
      </c>
      <c r="K354">
        <f>IFERROR(VLOOKUP(D354,'PCI-Metro'!A:R,E354-2005,FALSE),VLOOKUP(D354,'PCI-Micro'!A:R,E354-2005,FALSE))</f>
        <v>40817</v>
      </c>
      <c r="L354">
        <f>IFERROR(IF(IFERROR(VLOOKUP($A354,Attendance2!$B:$H,5,FALSE),VLOOKUP($B354,Attendance2!$B:$H,5,FALSE))="","",IFERROR(VLOOKUP($A354,Attendance2!$B:$H,5,FALSE),VLOOKUP($B354,Attendance2!$B:$H,5,FALSE))),"")</f>
        <v>1200</v>
      </c>
    </row>
    <row r="355" spans="1:12">
      <c r="A355" t="s">
        <v>5</v>
      </c>
      <c r="B355" t="s">
        <v>5</v>
      </c>
      <c r="C355">
        <v>222178</v>
      </c>
      <c r="D355">
        <v>10180</v>
      </c>
      <c r="E355">
        <f t="shared" ref="E355:E418" si="6">E354</f>
        <v>2016</v>
      </c>
      <c r="F355" t="str">
        <f>IFERROR(IF(VLOOKUP(C355,TotalRev2!A:C,3,FALSE)="","",VLOOKUP(C355,TotalRev2!A:C,3,FALSE)),"")</f>
        <v/>
      </c>
      <c r="G355" t="str">
        <f>IFERROR(IF(VLOOKUP(C355,TotalRev1!A:C,3,FALSE)="","",VLOOKUP(C355,TotalRev1!A:C,3,FALSE)),"")</f>
        <v/>
      </c>
      <c r="H355" s="26" t="str">
        <f>IFERROR(IFERROR(VLOOKUP($A355,Winpct2!$A:$K,9,FALSE),VLOOKUP($B355,Winpct2!$A:$K,9,FALSE)),"")</f>
        <v/>
      </c>
      <c r="I355">
        <f>IFERROR(IFERROR(VLOOKUP($A355,Ra2W!$A:$K,6,FALSE),VLOOKUP($B355,Ra2W!$A:$K,6,FALSE)),"")</f>
        <v>2972</v>
      </c>
      <c r="J355">
        <f>IFERROR(VLOOKUP(D355,'Pop-Metro'!A:R,E355-2005,FALSE),VLOOKUP(D355,'Pop-Micro'!A:R,E355-2005,FALSE))</f>
        <v>172242</v>
      </c>
      <c r="K355">
        <f>IFERROR(VLOOKUP(D355,'PCI-Metro'!A:R,E355-2005,FALSE),VLOOKUP(D355,'PCI-Micro'!A:R,E355-2005,FALSE))</f>
        <v>39163</v>
      </c>
      <c r="L355">
        <f>IFERROR(IF(IFERROR(VLOOKUP($A355,Attendance2!$B:$H,5,FALSE),VLOOKUP($B355,Attendance2!$B:$H,5,FALSE))="","",IFERROR(VLOOKUP($A355,Attendance2!$B:$H,5,FALSE),VLOOKUP($B355,Attendance2!$B:$H,5,FALSE))),"")</f>
        <v>4600</v>
      </c>
    </row>
    <row r="356" spans="1:12">
      <c r="A356" t="s">
        <v>1265</v>
      </c>
      <c r="B356" t="s">
        <v>1265</v>
      </c>
      <c r="C356">
        <v>500002</v>
      </c>
      <c r="D356">
        <v>17820</v>
      </c>
      <c r="E356">
        <f t="shared" si="6"/>
        <v>2016</v>
      </c>
      <c r="F356" t="str">
        <f>IFERROR(IF(VLOOKUP(C356,TotalRev2!A:C,3,FALSE)="","",VLOOKUP(C356,TotalRev2!A:C,3,FALSE)),"")</f>
        <v/>
      </c>
      <c r="G356" t="str">
        <f>IFERROR(IF(VLOOKUP(C356,TotalRev1!A:C,3,FALSE)="","",VLOOKUP(C356,TotalRev1!A:C,3,FALSE)),"")</f>
        <v/>
      </c>
      <c r="H356" s="26">
        <f>IFERROR(IFERROR(VLOOKUP($A356,Winpct2!$A:$K,9,FALSE),VLOOKUP($B356,Winpct2!$A:$K,9,FALSE)),"")</f>
        <v>0.36399999999999999</v>
      </c>
      <c r="I356">
        <f>IFERROR(IFERROR(VLOOKUP($A356,Ra2W!$A:$K,6,FALSE),VLOOKUP($B356,Ra2W!$A:$K,6,FALSE)),"")</f>
        <v>4884</v>
      </c>
      <c r="J356">
        <f>IFERROR(VLOOKUP(D356,'Pop-Metro'!A:R,E356-2005,FALSE),VLOOKUP(D356,'Pop-Micro'!A:R,E356-2005,FALSE))</f>
        <v>714179</v>
      </c>
      <c r="K356">
        <f>IFERROR(VLOOKUP(D356,'PCI-Metro'!A:R,E356-2005,FALSE),VLOOKUP(D356,'PCI-Micro'!A:R,E356-2005,FALSE))</f>
        <v>44612</v>
      </c>
      <c r="L356">
        <f>IFERROR(IF(IFERROR(VLOOKUP($A356,Attendance2!$B:$H,5,FALSE),VLOOKUP($B356,Attendance2!$B:$H,5,FALSE))="","",IFERROR(VLOOKUP($A356,Attendance2!$B:$H,5,FALSE),VLOOKUP($B356,Attendance2!$B:$H,5,FALSE))),"")</f>
        <v>1000</v>
      </c>
    </row>
    <row r="357" spans="1:12">
      <c r="A357" t="s">
        <v>6</v>
      </c>
      <c r="B357" t="s">
        <v>6</v>
      </c>
      <c r="C357">
        <v>200800</v>
      </c>
      <c r="D357">
        <v>10420</v>
      </c>
      <c r="E357">
        <f t="shared" si="6"/>
        <v>2016</v>
      </c>
      <c r="F357">
        <f>IFERROR(IF(VLOOKUP(C357,TotalRev2!A:C,3,FALSE)="","",VLOOKUP(C357,TotalRev2!A:C,3,FALSE)),"")</f>
        <v>27194</v>
      </c>
      <c r="G357">
        <f>IFERROR(IF(VLOOKUP(C357,TotalRev1!A:C,3,FALSE)="","",VLOOKUP(C357,TotalRev1!A:C,3,FALSE)),"")</f>
        <v>38063</v>
      </c>
      <c r="H357" s="26">
        <f>IFERROR(IFERROR(VLOOKUP($A357,Winpct2!$A:$K,9,FALSE),VLOOKUP($B357,Winpct2!$A:$K,9,FALSE)),"")</f>
        <v>0.27600000000000002</v>
      </c>
      <c r="I357">
        <f>IFERROR(IFERROR(VLOOKUP($A357,Ra2W!$A:$K,6,FALSE),VLOOKUP($B357,Ra2W!$A:$K,6,FALSE)),"")</f>
        <v>4186</v>
      </c>
      <c r="J357">
        <f>IFERROR(VLOOKUP(D357,'Pop-Metro'!A:R,E357-2005,FALSE),VLOOKUP(D357,'Pop-Micro'!A:R,E357-2005,FALSE))</f>
        <v>703862</v>
      </c>
      <c r="K357">
        <f>IFERROR(VLOOKUP(D357,'PCI-Metro'!A:R,E357-2005,FALSE),VLOOKUP(D357,'PCI-Micro'!A:R,E357-2005,FALSE))</f>
        <v>45463</v>
      </c>
      <c r="L357">
        <f>IFERROR(IF(IFERROR(VLOOKUP($A357,Attendance2!$B:$H,5,FALSE),VLOOKUP($B357,Attendance2!$B:$H,5,FALSE))="","",IFERROR(VLOOKUP($A357,Attendance2!$B:$H,5,FALSE),VLOOKUP($B357,Attendance2!$B:$H,5,FALSE))),"")</f>
        <v>5500</v>
      </c>
    </row>
    <row r="358" spans="1:12">
      <c r="A358" t="s">
        <v>7</v>
      </c>
      <c r="B358" t="s">
        <v>7</v>
      </c>
      <c r="C358">
        <v>100751</v>
      </c>
      <c r="D358">
        <v>46220</v>
      </c>
      <c r="E358">
        <f t="shared" si="6"/>
        <v>2016</v>
      </c>
      <c r="F358">
        <f>IFERROR(IF(VLOOKUP(C358,TotalRev2!A:C,3,FALSE)="","",VLOOKUP(C358,TotalRev2!A:C,3,FALSE)),"")</f>
        <v>661383</v>
      </c>
      <c r="G358">
        <f>IFERROR(IF(VLOOKUP(C358,TotalRev1!A:C,3,FALSE)="","",VLOOKUP(C358,TotalRev1!A:C,3,FALSE)),"")</f>
        <v>677222</v>
      </c>
      <c r="H358" s="26">
        <f>IFERROR(IFERROR(VLOOKUP($A358,Winpct2!$A:$K,9,FALSE),VLOOKUP($B358,Winpct2!$A:$K,9,FALSE)),"")</f>
        <v>0.53100000000000003</v>
      </c>
      <c r="I358">
        <f>IFERROR(IFERROR(VLOOKUP($A358,Ra2W!$A:$K,6,FALSE),VLOOKUP($B358,Ra2W!$A:$K,6,FALSE)),"")</f>
        <v>15003</v>
      </c>
      <c r="J358">
        <f>IFERROR(VLOOKUP(D358,'Pop-Metro'!A:R,E358-2005,FALSE),VLOOKUP(D358,'Pop-Micro'!A:R,E358-2005,FALSE))</f>
        <v>259612</v>
      </c>
      <c r="K358">
        <f>IFERROR(VLOOKUP(D358,'PCI-Metro'!A:R,E358-2005,FALSE),VLOOKUP(D358,'PCI-Micro'!A:R,E358-2005,FALSE))</f>
        <v>34178</v>
      </c>
      <c r="L358">
        <f>IFERROR(IF(IFERROR(VLOOKUP($A358,Attendance2!$B:$H,5,FALSE),VLOOKUP($B358,Attendance2!$B:$H,5,FALSE))="","",IFERROR(VLOOKUP($A358,Attendance2!$B:$H,5,FALSE),VLOOKUP($B358,Attendance2!$B:$H,5,FALSE))),"")</f>
        <v>3800</v>
      </c>
    </row>
    <row r="359" spans="1:12">
      <c r="A359" t="s">
        <v>8</v>
      </c>
      <c r="B359" t="s">
        <v>8</v>
      </c>
      <c r="C359">
        <v>100654</v>
      </c>
      <c r="D359">
        <v>26620</v>
      </c>
      <c r="E359">
        <f t="shared" si="6"/>
        <v>2016</v>
      </c>
      <c r="F359" t="str">
        <f>IFERROR(IF(VLOOKUP(C359,TotalRev2!A:C,3,FALSE)="","",VLOOKUP(C359,TotalRev2!A:C,3,FALSE)),"")</f>
        <v/>
      </c>
      <c r="G359" t="str">
        <f>IFERROR(IF(VLOOKUP(C359,TotalRev1!A:C,3,FALSE)="","",VLOOKUP(C359,TotalRev1!A:C,3,FALSE)),"")</f>
        <v/>
      </c>
      <c r="H359" s="26">
        <f>IFERROR(IFERROR(VLOOKUP($A359,Winpct2!$A:$K,9,FALSE),VLOOKUP($B359,Winpct2!$A:$K,9,FALSE)),"")</f>
        <v>0.34200000000000003</v>
      </c>
      <c r="I359">
        <f>IFERROR(IFERROR(VLOOKUP($A359,Ra2W!$A:$K,6,FALSE),VLOOKUP($B359,Ra2W!$A:$K,6,FALSE)),"")</f>
        <v>1360</v>
      </c>
      <c r="J359">
        <f>IFERROR(VLOOKUP(D359,'Pop-Metro'!A:R,E359-2005,FALSE),VLOOKUP(D359,'Pop-Micro'!A:R,E359-2005,FALSE))</f>
        <v>457090</v>
      </c>
      <c r="K359">
        <f>IFERROR(VLOOKUP(D359,'PCI-Metro'!A:R,E359-2005,FALSE),VLOOKUP(D359,'PCI-Micro'!A:R,E359-2005,FALSE))</f>
        <v>45464</v>
      </c>
      <c r="L359">
        <f>IFERROR(IF(IFERROR(VLOOKUP($A359,Attendance2!$B:$H,5,FALSE),VLOOKUP($B359,Attendance2!$B:$H,5,FALSE))="","",IFERROR(VLOOKUP($A359,Attendance2!$B:$H,5,FALSE),VLOOKUP($B359,Attendance2!$B:$H,5,FALSE))),"")</f>
        <v>5500</v>
      </c>
    </row>
    <row r="360" spans="1:12">
      <c r="A360" t="s">
        <v>9</v>
      </c>
      <c r="B360" t="s">
        <v>9</v>
      </c>
      <c r="C360">
        <v>100724</v>
      </c>
      <c r="D360">
        <v>33860</v>
      </c>
      <c r="E360">
        <f t="shared" si="6"/>
        <v>2016</v>
      </c>
      <c r="F360" t="str">
        <f>IFERROR(IF(VLOOKUP(C360,TotalRev2!A:C,3,FALSE)="","",VLOOKUP(C360,TotalRev2!A:C,3,FALSE)),"")</f>
        <v/>
      </c>
      <c r="G360" t="str">
        <f>IFERROR(IF(VLOOKUP(C360,TotalRev1!A:C,3,FALSE)="","",VLOOKUP(C360,TotalRev1!A:C,3,FALSE)),"")</f>
        <v/>
      </c>
      <c r="H360" s="26">
        <f>IFERROR(IFERROR(VLOOKUP($A360,Winpct2!$A:$K,9,FALSE),VLOOKUP($B360,Winpct2!$A:$K,9,FALSE)),"")</f>
        <v>0.58299999999999996</v>
      </c>
      <c r="I360">
        <f>IFERROR(IFERROR(VLOOKUP($A360,Ra2W!$A:$K,6,FALSE),VLOOKUP($B360,Ra2W!$A:$K,6,FALSE)),"")</f>
        <v>805</v>
      </c>
      <c r="J360">
        <f>IFERROR(VLOOKUP(D360,'Pop-Metro'!A:R,E360-2005,FALSE),VLOOKUP(D360,'Pop-Micro'!A:R,E360-2005,FALSE))</f>
        <v>382309</v>
      </c>
      <c r="K360">
        <f>IFERROR(VLOOKUP(D360,'PCI-Metro'!A:R,E360-2005,FALSE),VLOOKUP(D360,'PCI-Micro'!A:R,E360-2005,FALSE))</f>
        <v>39809</v>
      </c>
      <c r="L360">
        <f>IFERROR(IF(IFERROR(VLOOKUP($A360,Attendance2!$B:$H,5,FALSE),VLOOKUP($B360,Attendance2!$B:$H,5,FALSE))="","",IFERROR(VLOOKUP($A360,Attendance2!$B:$H,5,FALSE),VLOOKUP($B360,Attendance2!$B:$H,5,FALSE))),"")</f>
        <v>500</v>
      </c>
    </row>
    <row r="361" spans="1:12">
      <c r="A361" t="s">
        <v>11</v>
      </c>
      <c r="B361" t="s">
        <v>11</v>
      </c>
      <c r="C361">
        <v>175342</v>
      </c>
      <c r="D361">
        <v>35020</v>
      </c>
      <c r="E361">
        <f t="shared" si="6"/>
        <v>2016</v>
      </c>
      <c r="F361" t="str">
        <f>IFERROR(IF(VLOOKUP(C361,TotalRev2!A:C,3,FALSE)="","",VLOOKUP(C361,TotalRev2!A:C,3,FALSE)),"")</f>
        <v/>
      </c>
      <c r="G361" t="str">
        <f>IFERROR(IF(VLOOKUP(C361,TotalRev1!A:C,3,FALSE)="","",VLOOKUP(C361,TotalRev1!A:C,3,FALSE)),"")</f>
        <v/>
      </c>
      <c r="H361" s="26">
        <f>IFERROR(IFERROR(VLOOKUP($A361,Winpct2!$A:$K,9,FALSE),VLOOKUP($B361,Winpct2!$A:$K,9,FALSE)),"")</f>
        <v>0.35299999999999998</v>
      </c>
      <c r="I361">
        <f>IFERROR(IFERROR(VLOOKUP($A361,Ra2W!$A:$K,6,FALSE),VLOOKUP($B361,Ra2W!$A:$K,6,FALSE)),"")</f>
        <v>1077</v>
      </c>
      <c r="J361">
        <f>IFERROR(VLOOKUP(D361,'Pop-Metro'!A:R,E361-2005,FALSE),VLOOKUP(D361,'Pop-Micro'!A:R,E361-2005,FALSE))</f>
        <v>50811</v>
      </c>
      <c r="K361">
        <f>IFERROR(VLOOKUP(D361,'PCI-Metro'!A:R,E361-2005,FALSE),VLOOKUP(D361,'PCI-Micro'!A:R,E361-2005,FALSE))</f>
        <v>31281</v>
      </c>
      <c r="L361">
        <f>IFERROR(IF(IFERROR(VLOOKUP($A361,Attendance2!$B:$H,5,FALSE),VLOOKUP($B361,Attendance2!$B:$H,5,FALSE))="","",IFERROR(VLOOKUP($A361,Attendance2!$B:$H,5,FALSE),VLOOKUP($B361,Attendance2!$B:$H,5,FALSE))),"")</f>
        <v>10000</v>
      </c>
    </row>
    <row r="362" spans="1:12">
      <c r="A362" t="s">
        <v>1266</v>
      </c>
      <c r="B362" t="s">
        <v>1266</v>
      </c>
      <c r="C362">
        <v>131159</v>
      </c>
      <c r="D362">
        <v>47900</v>
      </c>
      <c r="E362">
        <f t="shared" si="6"/>
        <v>2016</v>
      </c>
      <c r="F362" t="str">
        <f>IFERROR(IF(VLOOKUP(C362,TotalRev2!A:C,3,FALSE)="","",VLOOKUP(C362,TotalRev2!A:C,3,FALSE)),"")</f>
        <v/>
      </c>
      <c r="G362" t="str">
        <f>IFERROR(IF(VLOOKUP(C362,TotalRev1!A:C,3,FALSE)="","",VLOOKUP(C362,TotalRev1!A:C,3,FALSE)),"")</f>
        <v/>
      </c>
      <c r="H362" s="26">
        <f>IFERROR(IFERROR(VLOOKUP($A362,Winpct2!$A:$K,9,FALSE),VLOOKUP($B362,Winpct2!$A:$K,9,FALSE)),"")</f>
        <v>0.8</v>
      </c>
      <c r="I362">
        <f>IFERROR(IFERROR(VLOOKUP($A362,Ra2W!$A:$K,6,FALSE),VLOOKUP($B362,Ra2W!$A:$K,6,FALSE)),"")</f>
        <v>6366</v>
      </c>
      <c r="J362">
        <f>IFERROR(VLOOKUP(D362,'Pop-Metro'!A:R,E362-2005,FALSE),VLOOKUP(D362,'Pop-Micro'!A:R,E362-2005,FALSE))</f>
        <v>6193671</v>
      </c>
      <c r="K362">
        <f>IFERROR(VLOOKUP(D362,'PCI-Metro'!A:R,E362-2005,FALSE),VLOOKUP(D362,'PCI-Micro'!A:R,E362-2005,FALSE))</f>
        <v>66189</v>
      </c>
      <c r="L362">
        <f>IFERROR(IF(IFERROR(VLOOKUP($A362,Attendance2!$B:$H,5,FALSE),VLOOKUP($B362,Attendance2!$B:$H,5,FALSE))="","",IFERROR(VLOOKUP($A362,Attendance2!$B:$H,5,FALSE),VLOOKUP($B362,Attendance2!$B:$H,5,FALSE))),"")</f>
        <v>2000</v>
      </c>
    </row>
    <row r="363" spans="1:12">
      <c r="A363" t="s">
        <v>12</v>
      </c>
      <c r="B363" t="s">
        <v>1240</v>
      </c>
      <c r="C363">
        <v>197869</v>
      </c>
      <c r="D363">
        <v>14380</v>
      </c>
      <c r="E363">
        <f t="shared" si="6"/>
        <v>2016</v>
      </c>
      <c r="F363">
        <f>IFERROR(IF(VLOOKUP(C363,TotalRev2!A:C,3,FALSE)="","",VLOOKUP(C363,TotalRev2!A:C,3,FALSE)),"")</f>
        <v>7562</v>
      </c>
      <c r="G363">
        <f>IFERROR(IF(VLOOKUP(C363,TotalRev1!A:C,3,FALSE)="","",VLOOKUP(C363,TotalRev1!A:C,3,FALSE)),"")</f>
        <v>29840</v>
      </c>
      <c r="H363" s="26">
        <f>IFERROR(IFERROR(VLOOKUP($A363,Winpct2!$A:$K,9,FALSE),VLOOKUP($B363,Winpct2!$A:$K,9,FALSE)),"")</f>
        <v>0.73299999999999998</v>
      </c>
      <c r="I363">
        <f>IFERROR(IFERROR(VLOOKUP($A363,Ra2W!$A:$K,6,FALSE),VLOOKUP($B363,Ra2W!$A:$K,6,FALSE)),"")</f>
        <v>5894</v>
      </c>
      <c r="J363">
        <f>IFERROR(VLOOKUP(D363,'Pop-Metro'!A:R,E363-2005,FALSE),VLOOKUP(D363,'Pop-Micro'!A:R,E363-2005,FALSE))</f>
        <v>52785</v>
      </c>
      <c r="K363">
        <f>IFERROR(VLOOKUP(D363,'PCI-Metro'!A:R,E363-2005,FALSE),VLOOKUP(D363,'PCI-Micro'!A:R,E363-2005,FALSE))</f>
        <v>34422</v>
      </c>
      <c r="L363">
        <f>IFERROR(IF(IFERROR(VLOOKUP($A363,Attendance2!$B:$H,5,FALSE),VLOOKUP($B363,Attendance2!$B:$H,5,FALSE))="","",IFERROR(VLOOKUP($A363,Attendance2!$B:$H,5,FALSE),VLOOKUP($B363,Attendance2!$B:$H,5,FALSE))),"")</f>
        <v>8325</v>
      </c>
    </row>
    <row r="364" spans="1:12">
      <c r="A364" t="s">
        <v>13</v>
      </c>
      <c r="B364" t="s">
        <v>13</v>
      </c>
      <c r="C364">
        <v>104179</v>
      </c>
      <c r="D364">
        <v>46060</v>
      </c>
      <c r="E364">
        <f t="shared" si="6"/>
        <v>2016</v>
      </c>
      <c r="F364">
        <f>IFERROR(IF(VLOOKUP(C364,TotalRev2!A:C,3,FALSE)="","",VLOOKUP(C364,TotalRev2!A:C,3,FALSE)),"")</f>
        <v>466246</v>
      </c>
      <c r="G364">
        <f>IFERROR(IF(VLOOKUP(C364,TotalRev1!A:C,3,FALSE)="","",VLOOKUP(C364,TotalRev1!A:C,3,FALSE)),"")</f>
        <v>485291</v>
      </c>
      <c r="H364" s="26">
        <f>IFERROR(IFERROR(VLOOKUP($A364,Winpct2!$A:$K,9,FALSE),VLOOKUP($B364,Winpct2!$A:$K,9,FALSE)),"")</f>
        <v>0.57599999999999996</v>
      </c>
      <c r="I364">
        <f>IFERROR(IFERROR(VLOOKUP($A364,Ra2W!$A:$K,6,FALSE),VLOOKUP($B364,Ra2W!$A:$K,6,FALSE)),"")</f>
        <v>23391</v>
      </c>
      <c r="J364">
        <f>IFERROR(VLOOKUP(D364,'Pop-Metro'!A:R,E364-2005,FALSE),VLOOKUP(D364,'Pop-Micro'!A:R,E364-2005,FALSE))</f>
        <v>1007258</v>
      </c>
      <c r="K364">
        <f>IFERROR(VLOOKUP(D364,'PCI-Metro'!A:R,E364-2005,FALSE),VLOOKUP(D364,'PCI-Micro'!A:R,E364-2005,FALSE))</f>
        <v>39723</v>
      </c>
      <c r="L364">
        <f>IFERROR(IF(IFERROR(VLOOKUP($A364,Attendance2!$B:$H,5,FALSE),VLOOKUP($B364,Attendance2!$B:$H,5,FALSE))="","",IFERROR(VLOOKUP($A364,Attendance2!$B:$H,5,FALSE),VLOOKUP($B364,Attendance2!$B:$H,5,FALSE))),"")</f>
        <v>14545</v>
      </c>
    </row>
    <row r="365" spans="1:12">
      <c r="A365" t="s">
        <v>14</v>
      </c>
      <c r="B365" t="s">
        <v>14</v>
      </c>
      <c r="C365">
        <v>104151</v>
      </c>
      <c r="D365">
        <v>38060</v>
      </c>
      <c r="E365">
        <f t="shared" si="6"/>
        <v>2016</v>
      </c>
      <c r="F365">
        <f>IFERROR(IF(VLOOKUP(C365,TotalRev2!A:C,3,FALSE)="","",VLOOKUP(C365,TotalRev2!A:C,3,FALSE)),"")</f>
        <v>411288</v>
      </c>
      <c r="G365">
        <f>IFERROR(IF(VLOOKUP(C365,TotalRev1!A:C,3,FALSE)="","",VLOOKUP(C365,TotalRev1!A:C,3,FALSE)),"")</f>
        <v>248561</v>
      </c>
      <c r="H365" s="26">
        <f>IFERROR(IFERROR(VLOOKUP($A365,Winpct2!$A:$K,9,FALSE),VLOOKUP($B365,Winpct2!$A:$K,9,FALSE)),"")</f>
        <v>0.59399999999999997</v>
      </c>
      <c r="I365">
        <f>IFERROR(IFERROR(VLOOKUP($A365,Ra2W!$A:$K,6,FALSE),VLOOKUP($B365,Ra2W!$A:$K,6,FALSE)),"")</f>
        <v>28182</v>
      </c>
      <c r="J365">
        <f>IFERROR(VLOOKUP(D365,'Pop-Metro'!A:R,E365-2005,FALSE),VLOOKUP(D365,'Pop-Micro'!A:R,E365-2005,FALSE))</f>
        <v>4564173</v>
      </c>
      <c r="K365">
        <f>IFERROR(VLOOKUP(D365,'PCI-Metro'!A:R,E365-2005,FALSE),VLOOKUP(D365,'PCI-Micro'!A:R,E365-2005,FALSE))</f>
        <v>43196</v>
      </c>
      <c r="L365">
        <f>IFERROR(IF(IFERROR(VLOOKUP($A365,Attendance2!$B:$H,5,FALSE),VLOOKUP($B365,Attendance2!$B:$H,5,FALSE))="","",IFERROR(VLOOKUP($A365,Attendance2!$B:$H,5,FALSE),VLOOKUP($B365,Attendance2!$B:$H,5,FALSE))),"")</f>
        <v>10734</v>
      </c>
    </row>
    <row r="366" spans="1:12">
      <c r="A366" t="s">
        <v>15</v>
      </c>
      <c r="B366" t="s">
        <v>15</v>
      </c>
      <c r="C366">
        <v>106412</v>
      </c>
      <c r="D366">
        <v>38220</v>
      </c>
      <c r="E366">
        <f t="shared" si="6"/>
        <v>2016</v>
      </c>
      <c r="F366">
        <f>IFERROR(IF(VLOOKUP(C366,TotalRev2!A:C,3,FALSE)="","",VLOOKUP(C366,TotalRev2!A:C,3,FALSE)),"")</f>
        <v>4000</v>
      </c>
      <c r="G366">
        <f>IFERROR(IF(VLOOKUP(C366,TotalRev1!A:C,3,FALSE)="","",VLOOKUP(C366,TotalRev1!A:C,3,FALSE)),"")</f>
        <v>250</v>
      </c>
      <c r="H366" s="26">
        <f>IFERROR(IFERROR(VLOOKUP($A366,Winpct2!$A:$K,9,FALSE),VLOOKUP($B366,Winpct2!$A:$K,9,FALSE)),"")</f>
        <v>0.20599999999999999</v>
      </c>
      <c r="I366">
        <f>IFERROR(IFERROR(VLOOKUP($A366,Ra2W!$A:$K,6,FALSE),VLOOKUP($B366,Ra2W!$A:$K,6,FALSE)),"")</f>
        <v>902</v>
      </c>
      <c r="J366">
        <f>IFERROR(VLOOKUP(D366,'Pop-Metro'!A:R,E366-2005,FALSE),VLOOKUP(D366,'Pop-Micro'!A:R,E366-2005,FALSE))</f>
        <v>93144</v>
      </c>
      <c r="K366">
        <f>IFERROR(VLOOKUP(D366,'PCI-Metro'!A:R,E366-2005,FALSE),VLOOKUP(D366,'PCI-Micro'!A:R,E366-2005,FALSE))</f>
        <v>31376</v>
      </c>
      <c r="L366">
        <f>IFERROR(IF(IFERROR(VLOOKUP($A366,Attendance2!$B:$H,5,FALSE),VLOOKUP($B366,Attendance2!$B:$H,5,FALSE))="","",IFERROR(VLOOKUP($A366,Attendance2!$B:$H,5,FALSE),VLOOKUP($B366,Attendance2!$B:$H,5,FALSE))),"")</f>
        <v>4500</v>
      </c>
    </row>
    <row r="367" spans="1:12">
      <c r="A367" t="s">
        <v>16</v>
      </c>
      <c r="B367" t="s">
        <v>16</v>
      </c>
      <c r="C367">
        <v>106397</v>
      </c>
      <c r="D367">
        <v>22220</v>
      </c>
      <c r="E367">
        <f t="shared" si="6"/>
        <v>2016</v>
      </c>
      <c r="F367">
        <f>IFERROR(IF(VLOOKUP(C367,TotalRev2!A:C,3,FALSE)="","",VLOOKUP(C367,TotalRev2!A:C,3,FALSE)),"")</f>
        <v>32096</v>
      </c>
      <c r="G367">
        <f>IFERROR(IF(VLOOKUP(C367,TotalRev1!A:C,3,FALSE)="","",VLOOKUP(C367,TotalRev1!A:C,3,FALSE)),"")</f>
        <v>26259</v>
      </c>
      <c r="H367" s="26">
        <f>IFERROR(IFERROR(VLOOKUP($A367,Winpct2!$A:$K,9,FALSE),VLOOKUP($B367,Winpct2!$A:$K,9,FALSE)),"")</f>
        <v>0.56699999999999995</v>
      </c>
      <c r="I367">
        <f>IFERROR(IFERROR(VLOOKUP($A367,Ra2W!$A:$K,6,FALSE),VLOOKUP($B367,Ra2W!$A:$K,6,FALSE)),"")</f>
        <v>14697</v>
      </c>
      <c r="J367">
        <f>IFERROR(VLOOKUP(D367,'Pop-Metro'!A:R,E367-2005,FALSE),VLOOKUP(D367,'Pop-Micro'!A:R,E367-2005,FALSE))</f>
        <v>504839</v>
      </c>
      <c r="K367">
        <f>IFERROR(VLOOKUP(D367,'PCI-Metro'!A:R,E367-2005,FALSE),VLOOKUP(D367,'PCI-Micro'!A:R,E367-2005,FALSE))</f>
        <v>59389</v>
      </c>
      <c r="L367">
        <f>IFERROR(IF(IFERROR(VLOOKUP($A367,Attendance2!$B:$H,5,FALSE),VLOOKUP($B367,Attendance2!$B:$H,5,FALSE))="","",IFERROR(VLOOKUP($A367,Attendance2!$B:$H,5,FALSE),VLOOKUP($B367,Attendance2!$B:$H,5,FALSE))),"")</f>
        <v>8500</v>
      </c>
    </row>
    <row r="368" spans="1:12">
      <c r="A368" t="s">
        <v>1267</v>
      </c>
      <c r="B368" t="s">
        <v>1267</v>
      </c>
      <c r="C368">
        <v>106458</v>
      </c>
      <c r="D368">
        <v>27860</v>
      </c>
      <c r="E368">
        <f t="shared" si="6"/>
        <v>2016</v>
      </c>
      <c r="F368" t="str">
        <f>IFERROR(IF(VLOOKUP(C368,TotalRev2!A:C,3,FALSE)="","",VLOOKUP(C368,TotalRev2!A:C,3,FALSE)),"")</f>
        <v/>
      </c>
      <c r="G368">
        <f>IFERROR(IF(VLOOKUP(C368,TotalRev1!A:C,3,FALSE)="","",VLOOKUP(C368,TotalRev1!A:C,3,FALSE)),"")</f>
        <v>381665</v>
      </c>
      <c r="H368" s="26">
        <f>IFERROR(IFERROR(VLOOKUP($A368,Winpct2!$A:$K,9,FALSE),VLOOKUP($B368,Winpct2!$A:$K,9,FALSE)),"")</f>
        <v>0.93300000000000005</v>
      </c>
      <c r="I368">
        <f>IFERROR(IFERROR(VLOOKUP($A368,Ra2W!$A:$K,6,FALSE),VLOOKUP($B368,Ra2W!$A:$K,6,FALSE)),"")</f>
        <v>6600</v>
      </c>
      <c r="J368">
        <f>IFERROR(VLOOKUP(D368,'Pop-Metro'!A:R,E368-2005,FALSE),VLOOKUP(D368,'Pop-Micro'!A:R,E368-2005,FALSE))</f>
        <v>129403</v>
      </c>
      <c r="K368">
        <f>IFERROR(VLOOKUP(D368,'PCI-Metro'!A:R,E368-2005,FALSE),VLOOKUP(D368,'PCI-Micro'!A:R,E368-2005,FALSE))</f>
        <v>34645</v>
      </c>
      <c r="L368">
        <f>IFERROR(IF(IFERROR(VLOOKUP($A368,Attendance2!$B:$H,5,FALSE),VLOOKUP($B368,Attendance2!$B:$H,5,FALSE))="","",IFERROR(VLOOKUP($A368,Attendance2!$B:$H,5,FALSE),VLOOKUP($B368,Attendance2!$B:$H,5,FALSE))),"")</f>
        <v>10563</v>
      </c>
    </row>
    <row r="369" spans="1:12">
      <c r="A369" t="s">
        <v>17</v>
      </c>
      <c r="B369" t="s">
        <v>17</v>
      </c>
      <c r="C369">
        <v>500001</v>
      </c>
      <c r="D369">
        <v>35620</v>
      </c>
      <c r="E369">
        <f t="shared" si="6"/>
        <v>2016</v>
      </c>
      <c r="F369">
        <f>IFERROR(IF(VLOOKUP(C369,TotalRev2!A:C,3,FALSE)="","",VLOOKUP(C369,TotalRev2!A:C,3,FALSE)),"")</f>
        <v>487483</v>
      </c>
      <c r="G369">
        <f>IFERROR(IF(VLOOKUP(C369,TotalRev1!A:C,3,FALSE)="","",VLOOKUP(C369,TotalRev1!A:C,3,FALSE)),"")</f>
        <v>352123</v>
      </c>
      <c r="H369" s="26">
        <f>IFERROR(IFERROR(VLOOKUP($A369,Winpct2!$A:$K,9,FALSE),VLOOKUP($B369,Winpct2!$A:$K,9,FALSE)),"")</f>
        <v>0.67700000000000005</v>
      </c>
      <c r="I369">
        <f>IFERROR(IFERROR(VLOOKUP($A369,Ra2W!$A:$K,6,FALSE),VLOOKUP($B369,Ra2W!$A:$K,6,FALSE)),"")</f>
        <v>2915</v>
      </c>
      <c r="J369">
        <f>IFERROR(VLOOKUP(D369,'Pop-Metro'!A:R,E369-2005,FALSE),VLOOKUP(D369,'Pop-Micro'!A:R,E369-2005,FALSE))</f>
        <v>19943198</v>
      </c>
      <c r="K369">
        <f>IFERROR(VLOOKUP(D369,'PCI-Metro'!A:R,E369-2005,FALSE),VLOOKUP(D369,'PCI-Micro'!A:R,E369-2005,FALSE))</f>
        <v>64886</v>
      </c>
      <c r="L369">
        <f>IFERROR(IF(IFERROR(VLOOKUP($A369,Attendance2!$B:$H,5,FALSE),VLOOKUP($B369,Attendance2!$B:$H,5,FALSE))="","",IFERROR(VLOOKUP($A369,Attendance2!$B:$H,5,FALSE),VLOOKUP($B369,Attendance2!$B:$H,5,FALSE))),"")</f>
        <v>500</v>
      </c>
    </row>
    <row r="370" spans="1:12">
      <c r="A370" t="s">
        <v>18</v>
      </c>
      <c r="B370" t="s">
        <v>18</v>
      </c>
      <c r="C370">
        <v>100858</v>
      </c>
      <c r="D370">
        <v>12220</v>
      </c>
      <c r="E370">
        <f t="shared" si="6"/>
        <v>2016</v>
      </c>
      <c r="F370">
        <f>IFERROR(IF(VLOOKUP(C370,TotalRev2!A:C,3,FALSE)="","",VLOOKUP(C370,TotalRev2!A:C,3,FALSE)),"")</f>
        <v>110791</v>
      </c>
      <c r="G370">
        <f>IFERROR(IF(VLOOKUP(C370,TotalRev1!A:C,3,FALSE)="","",VLOOKUP(C370,TotalRev1!A:C,3,FALSE)),"")</f>
        <v>133233</v>
      </c>
      <c r="H370" s="26">
        <f>IFERROR(IFERROR(VLOOKUP($A370,Winpct2!$A:$K,9,FALSE),VLOOKUP($B370,Winpct2!$A:$K,9,FALSE)),"")</f>
        <v>0.6</v>
      </c>
      <c r="I370">
        <f>IFERROR(IFERROR(VLOOKUP($A370,Ra2W!$A:$K,6,FALSE),VLOOKUP($B370,Ra2W!$A:$K,6,FALSE)),"")</f>
        <v>9436</v>
      </c>
      <c r="J370">
        <f>IFERROR(VLOOKUP(D370,'Pop-Metro'!A:R,E370-2005,FALSE),VLOOKUP(D370,'Pop-Micro'!A:R,E370-2005,FALSE))</f>
        <v>164008</v>
      </c>
      <c r="K370">
        <f>IFERROR(VLOOKUP(D370,'PCI-Metro'!A:R,E370-2005,FALSE),VLOOKUP(D370,'PCI-Micro'!A:R,E370-2005,FALSE))</f>
        <v>34783</v>
      </c>
      <c r="L370">
        <f>IFERROR(IF(IFERROR(VLOOKUP($A370,Attendance2!$B:$H,5,FALSE),VLOOKUP($B370,Attendance2!$B:$H,5,FALSE))="","",IFERROR(VLOOKUP($A370,Attendance2!$B:$H,5,FALSE),VLOOKUP($B370,Attendance2!$B:$H,5,FALSE))),"")</f>
        <v>9121</v>
      </c>
    </row>
    <row r="371" spans="1:12">
      <c r="A371" t="s">
        <v>19</v>
      </c>
      <c r="B371" t="s">
        <v>19</v>
      </c>
      <c r="C371">
        <v>219602</v>
      </c>
      <c r="D371">
        <v>17300</v>
      </c>
      <c r="E371">
        <f t="shared" si="6"/>
        <v>2016</v>
      </c>
      <c r="F371">
        <f>IFERROR(IF(VLOOKUP(C371,TotalRev2!A:C,3,FALSE)="","",VLOOKUP(C371,TotalRev2!A:C,3,FALSE)),"")</f>
        <v>22980</v>
      </c>
      <c r="G371">
        <f>IFERROR(IF(VLOOKUP(C371,TotalRev1!A:C,3,FALSE)="","",VLOOKUP(C371,TotalRev1!A:C,3,FALSE)),"")</f>
        <v>8424</v>
      </c>
      <c r="H371" s="26">
        <f>IFERROR(IFERROR(VLOOKUP($A371,Winpct2!$A:$K,9,FALSE),VLOOKUP($B371,Winpct2!$A:$K,9,FALSE)),"")</f>
        <v>0.313</v>
      </c>
      <c r="I371">
        <f>IFERROR(IFERROR(VLOOKUP($A371,Ra2W!$A:$K,6,FALSE),VLOOKUP($B371,Ra2W!$A:$K,6,FALSE)),"")</f>
        <v>3990</v>
      </c>
      <c r="J371">
        <f>IFERROR(VLOOKUP(D371,'Pop-Metro'!A:R,E371-2005,FALSE),VLOOKUP(D371,'Pop-Micro'!A:R,E371-2005,FALSE))</f>
        <v>298403</v>
      </c>
      <c r="K371">
        <f>IFERROR(VLOOKUP(D371,'PCI-Metro'!A:R,E371-2005,FALSE),VLOOKUP(D371,'PCI-Micro'!A:R,E371-2005,FALSE))</f>
        <v>38445</v>
      </c>
      <c r="L371">
        <f>IFERROR(IF(IFERROR(VLOOKUP($A371,Attendance2!$B:$H,5,FALSE),VLOOKUP($B371,Attendance2!$B:$H,5,FALSE))="","",IFERROR(VLOOKUP($A371,Attendance2!$B:$H,5,FALSE),VLOOKUP($B371,Attendance2!$B:$H,5,FALSE))),"")</f>
        <v>7257</v>
      </c>
    </row>
    <row r="372" spans="1:12">
      <c r="A372" t="s">
        <v>20</v>
      </c>
      <c r="B372" t="s">
        <v>20</v>
      </c>
      <c r="C372">
        <v>150136</v>
      </c>
      <c r="D372">
        <v>34620</v>
      </c>
      <c r="E372">
        <f t="shared" si="6"/>
        <v>2016</v>
      </c>
      <c r="F372">
        <f>IFERROR(IF(VLOOKUP(C372,TotalRev2!A:C,3,FALSE)="","",VLOOKUP(C372,TotalRev2!A:C,3,FALSE)),"")</f>
        <v>113443</v>
      </c>
      <c r="G372">
        <f>IFERROR(IF(VLOOKUP(C372,TotalRev1!A:C,3,FALSE)="","",VLOOKUP(C372,TotalRev1!A:C,3,FALSE)),"")</f>
        <v>113074</v>
      </c>
      <c r="H372" s="26">
        <f>IFERROR(IFERROR(VLOOKUP($A372,Winpct2!$A:$K,9,FALSE),VLOOKUP($B372,Winpct2!$A:$K,9,FALSE)),"")</f>
        <v>0.46899999999999997</v>
      </c>
      <c r="I372">
        <f>IFERROR(IFERROR(VLOOKUP($A372,Ra2W!$A:$K,6,FALSE),VLOOKUP($B372,Ra2W!$A:$K,6,FALSE)),"")</f>
        <v>7504</v>
      </c>
      <c r="J372">
        <f>IFERROR(VLOOKUP(D372,'Pop-Metro'!A:R,E372-2005,FALSE),VLOOKUP(D372,'Pop-Micro'!A:R,E372-2005,FALSE))</f>
        <v>114627</v>
      </c>
      <c r="K372">
        <f>IFERROR(VLOOKUP(D372,'PCI-Metro'!A:R,E372-2005,FALSE),VLOOKUP(D372,'PCI-Micro'!A:R,E372-2005,FALSE))</f>
        <v>34344</v>
      </c>
      <c r="L372">
        <f>IFERROR(IF(IFERROR(VLOOKUP($A372,Attendance2!$B:$H,5,FALSE),VLOOKUP($B372,Attendance2!$B:$H,5,FALSE))="","",IFERROR(VLOOKUP($A372,Attendance2!$B:$H,5,FALSE),VLOOKUP($B372,Attendance2!$B:$H,5,FALSE))),"")</f>
        <v>11500</v>
      </c>
    </row>
    <row r="373" spans="1:12">
      <c r="A373" t="s">
        <v>21</v>
      </c>
      <c r="B373" t="s">
        <v>21</v>
      </c>
      <c r="C373">
        <v>223232</v>
      </c>
      <c r="D373">
        <v>47380</v>
      </c>
      <c r="E373">
        <f t="shared" si="6"/>
        <v>2016</v>
      </c>
      <c r="F373" t="str">
        <f>IFERROR(IF(VLOOKUP(C373,TotalRev2!A:C,3,FALSE)="","",VLOOKUP(C373,TotalRev2!A:C,3,FALSE)),"")</f>
        <v/>
      </c>
      <c r="G373" t="str">
        <f>IFERROR(IF(VLOOKUP(C373,TotalRev1!A:C,3,FALSE)="","",VLOOKUP(C373,TotalRev1!A:C,3,FALSE)),"")</f>
        <v/>
      </c>
      <c r="H373" s="26">
        <f>IFERROR(IFERROR(VLOOKUP($A373,Winpct2!$A:$K,9,FALSE),VLOOKUP($B373,Winpct2!$A:$K,9,FALSE)),"")</f>
        <v>0.56699999999999995</v>
      </c>
      <c r="I373">
        <f>IFERROR(IFERROR(VLOOKUP($A373,Ra2W!$A:$K,6,FALSE),VLOOKUP($B373,Ra2W!$A:$K,6,FALSE)),"")</f>
        <v>10757</v>
      </c>
      <c r="J373">
        <f>IFERROR(VLOOKUP(D373,'Pop-Metro'!A:R,E373-2005,FALSE),VLOOKUP(D373,'Pop-Micro'!A:R,E373-2005,FALSE))</f>
        <v>265424</v>
      </c>
      <c r="K373">
        <f>IFERROR(VLOOKUP(D373,'PCI-Metro'!A:R,E373-2005,FALSE),VLOOKUP(D373,'PCI-Micro'!A:R,E373-2005,FALSE))</f>
        <v>37895</v>
      </c>
      <c r="L373">
        <f>IFERROR(IF(IFERROR(VLOOKUP($A373,Attendance2!$B:$H,5,FALSE),VLOOKUP($B373,Attendance2!$B:$H,5,FALSE))="","",IFERROR(VLOOKUP($A373,Attendance2!$B:$H,5,FALSE),VLOOKUP($B373,Attendance2!$B:$H,5,FALSE))),"")</f>
        <v>10080</v>
      </c>
    </row>
    <row r="374" spans="1:12">
      <c r="A374" t="s">
        <v>22</v>
      </c>
      <c r="B374" t="s">
        <v>22</v>
      </c>
      <c r="C374">
        <v>219709</v>
      </c>
      <c r="D374">
        <v>34980</v>
      </c>
      <c r="E374">
        <f t="shared" si="6"/>
        <v>2016</v>
      </c>
      <c r="F374" t="str">
        <f>IFERROR(IF(VLOOKUP(C374,TotalRev2!A:C,3,FALSE)="","",VLOOKUP(C374,TotalRev2!A:C,3,FALSE)),"")</f>
        <v/>
      </c>
      <c r="G374" t="str">
        <f>IFERROR(IF(VLOOKUP(C374,TotalRev1!A:C,3,FALSE)="","",VLOOKUP(C374,TotalRev1!A:C,3,FALSE)),"")</f>
        <v/>
      </c>
      <c r="H374" s="26">
        <f>IFERROR(IFERROR(VLOOKUP($A374,Winpct2!$A:$K,9,FALSE),VLOOKUP($B374,Winpct2!$A:$K,9,FALSE)),"")</f>
        <v>0.53100000000000003</v>
      </c>
      <c r="I374">
        <f>IFERROR(IFERROR(VLOOKUP($A374,Ra2W!$A:$K,6,FALSE),VLOOKUP($B374,Ra2W!$A:$K,6,FALSE)),"")</f>
        <v>3825</v>
      </c>
      <c r="J374">
        <f>IFERROR(VLOOKUP(D374,'Pop-Metro'!A:R,E374-2005,FALSE),VLOOKUP(D374,'Pop-Micro'!A:R,E374-2005,FALSE))</f>
        <v>1863407</v>
      </c>
      <c r="K374">
        <f>IFERROR(VLOOKUP(D374,'PCI-Metro'!A:R,E374-2005,FALSE),VLOOKUP(D374,'PCI-Micro'!A:R,E374-2005,FALSE))</f>
        <v>52406</v>
      </c>
      <c r="L374">
        <f>IFERROR(IF(IFERROR(VLOOKUP($A374,Attendance2!$B:$H,5,FALSE),VLOOKUP($B374,Attendance2!$B:$H,5,FALSE))="","",IFERROR(VLOOKUP($A374,Attendance2!$B:$H,5,FALSE),VLOOKUP($B374,Attendance2!$B:$H,5,FALSE))),"")</f>
        <v>5000</v>
      </c>
    </row>
    <row r="375" spans="1:12">
      <c r="A375" t="s">
        <v>23</v>
      </c>
      <c r="B375" t="s">
        <v>23</v>
      </c>
      <c r="C375">
        <v>132602</v>
      </c>
      <c r="D375">
        <v>19660</v>
      </c>
      <c r="E375">
        <f t="shared" si="6"/>
        <v>2016</v>
      </c>
      <c r="F375" t="str">
        <f>IFERROR(IF(VLOOKUP(C375,TotalRev2!A:C,3,FALSE)="","",VLOOKUP(C375,TotalRev2!A:C,3,FALSE)),"")</f>
        <v/>
      </c>
      <c r="G375" t="str">
        <f>IFERROR(IF(VLOOKUP(C375,TotalRev1!A:C,3,FALSE)="","",VLOOKUP(C375,TotalRev1!A:C,3,FALSE)),"")</f>
        <v/>
      </c>
      <c r="H375" s="26">
        <f>IFERROR(IFERROR(VLOOKUP($A375,Winpct2!$A:$K,9,FALSE),VLOOKUP($B375,Winpct2!$A:$K,9,FALSE)),"")</f>
        <v>0.48399999999999999</v>
      </c>
      <c r="I375">
        <f>IFERROR(IFERROR(VLOOKUP($A375,Ra2W!$A:$K,6,FALSE),VLOOKUP($B375,Ra2W!$A:$K,6,FALSE)),"")</f>
        <v>2969</v>
      </c>
      <c r="J375">
        <f>IFERROR(VLOOKUP(D375,'Pop-Metro'!A:R,E375-2005,FALSE),VLOOKUP(D375,'Pop-Micro'!A:R,E375-2005,FALSE))</f>
        <v>631664</v>
      </c>
      <c r="K375">
        <f>IFERROR(VLOOKUP(D375,'PCI-Metro'!A:R,E375-2005,FALSE),VLOOKUP(D375,'PCI-Micro'!A:R,E375-2005,FALSE))</f>
        <v>39817</v>
      </c>
      <c r="L375">
        <f>IFERROR(IF(IFERROR(VLOOKUP($A375,Attendance2!$B:$H,5,FALSE),VLOOKUP($B375,Attendance2!$B:$H,5,FALSE))="","",IFERROR(VLOOKUP($A375,Attendance2!$B:$H,5,FALSE),VLOOKUP($B375,Attendance2!$B:$H,5,FALSE))),"")</f>
        <v>3000</v>
      </c>
    </row>
    <row r="376" spans="1:12">
      <c r="A376" t="s">
        <v>24</v>
      </c>
      <c r="B376" t="s">
        <v>24</v>
      </c>
      <c r="C376">
        <v>196079</v>
      </c>
      <c r="D376">
        <v>13780</v>
      </c>
      <c r="E376">
        <f t="shared" si="6"/>
        <v>2016</v>
      </c>
      <c r="F376">
        <f>IFERROR(IF(VLOOKUP(C376,TotalRev2!A:C,3,FALSE)="","",VLOOKUP(C376,TotalRev2!A:C,3,FALSE)),"")</f>
        <v>625889</v>
      </c>
      <c r="G376">
        <f>IFERROR(IF(VLOOKUP(C376,TotalRev1!A:C,3,FALSE)="","",VLOOKUP(C376,TotalRev1!A:C,3,FALSE)),"")</f>
        <v>633340</v>
      </c>
      <c r="H376" s="26">
        <f>IFERROR(IFERROR(VLOOKUP($A376,Winpct2!$A:$K,9,FALSE),VLOOKUP($B376,Winpct2!$A:$K,9,FALSE)),"")</f>
        <v>0.32100000000000001</v>
      </c>
      <c r="I376">
        <f>IFERROR(IFERROR(VLOOKUP($A376,Ra2W!$A:$K,6,FALSE),VLOOKUP($B376,Ra2W!$A:$K,6,FALSE)),"")</f>
        <v>1694</v>
      </c>
      <c r="J376">
        <f>IFERROR(VLOOKUP(D376,'Pop-Metro'!A:R,E376-2005,FALSE),VLOOKUP(D376,'Pop-Micro'!A:R,E376-2005,FALSE))</f>
        <v>249300</v>
      </c>
      <c r="K376">
        <f>IFERROR(VLOOKUP(D376,'PCI-Metro'!A:R,E376-2005,FALSE),VLOOKUP(D376,'PCI-Micro'!A:R,E376-2005,FALSE))</f>
        <v>38905</v>
      </c>
      <c r="L376">
        <f>IFERROR(IF(IFERROR(VLOOKUP($A376,Attendance2!$B:$H,5,FALSE),VLOOKUP($B376,Attendance2!$B:$H,5,FALSE))="","",IFERROR(VLOOKUP($A376,Attendance2!$B:$H,5,FALSE),VLOOKUP($B376,Attendance2!$B:$H,5,FALSE))),"")</f>
        <v>1135</v>
      </c>
    </row>
    <row r="377" spans="1:12">
      <c r="A377" t="s">
        <v>25</v>
      </c>
      <c r="B377" t="s">
        <v>25</v>
      </c>
      <c r="C377">
        <v>142115</v>
      </c>
      <c r="D377">
        <v>14260</v>
      </c>
      <c r="E377">
        <f t="shared" si="6"/>
        <v>2016</v>
      </c>
      <c r="F377">
        <f>IFERROR(IF(VLOOKUP(C377,TotalRev2!A:C,3,FALSE)="","",VLOOKUP(C377,TotalRev2!A:C,3,FALSE)),"")</f>
        <v>375546</v>
      </c>
      <c r="G377">
        <f>IFERROR(IF(VLOOKUP(C377,TotalRev1!A:C,3,FALSE)="","",VLOOKUP(C377,TotalRev1!A:C,3,FALSE)),"")</f>
        <v>307432</v>
      </c>
      <c r="H377" s="26">
        <f>IFERROR(IFERROR(VLOOKUP($A377,Winpct2!$A:$K,9,FALSE),VLOOKUP($B377,Winpct2!$A:$K,9,FALSE)),"")</f>
        <v>0.76700000000000002</v>
      </c>
      <c r="I377">
        <f>IFERROR(IFERROR(VLOOKUP($A377,Ra2W!$A:$K,6,FALSE),VLOOKUP($B377,Ra2W!$A:$K,6,FALSE)),"")</f>
        <v>8079</v>
      </c>
      <c r="J377">
        <f>IFERROR(VLOOKUP(D377,'Pop-Metro'!A:R,E377-2005,FALSE),VLOOKUP(D377,'Pop-Micro'!A:R,E377-2005,FALSE))</f>
        <v>691695</v>
      </c>
      <c r="K377">
        <f>IFERROR(VLOOKUP(D377,'PCI-Metro'!A:R,E377-2005,FALSE),VLOOKUP(D377,'PCI-Micro'!A:R,E377-2005,FALSE))</f>
        <v>41559</v>
      </c>
      <c r="L377">
        <f>IFERROR(IF(IFERROR(VLOOKUP($A377,Attendance2!$B:$H,5,FALSE),VLOOKUP($B377,Attendance2!$B:$H,5,FALSE))="","",IFERROR(VLOOKUP($A377,Attendance2!$B:$H,5,FALSE),VLOOKUP($B377,Attendance2!$B:$H,5,FALSE))),"")</f>
        <v>1400</v>
      </c>
    </row>
    <row r="378" spans="1:12">
      <c r="A378" t="s">
        <v>26</v>
      </c>
      <c r="B378" t="s">
        <v>26</v>
      </c>
      <c r="C378">
        <v>164924</v>
      </c>
      <c r="D378">
        <v>14460</v>
      </c>
      <c r="E378">
        <f t="shared" si="6"/>
        <v>2016</v>
      </c>
      <c r="F378" t="str">
        <f>IFERROR(IF(VLOOKUP(C378,TotalRev2!A:C,3,FALSE)="","",VLOOKUP(C378,TotalRev2!A:C,3,FALSE)),"")</f>
        <v/>
      </c>
      <c r="G378" t="str">
        <f>IFERROR(IF(VLOOKUP(C378,TotalRev1!A:C,3,FALSE)="","",VLOOKUP(C378,TotalRev1!A:C,3,FALSE)),"")</f>
        <v/>
      </c>
      <c r="H378" s="26">
        <f>IFERROR(IFERROR(VLOOKUP($A378,Winpct2!$A:$K,9,FALSE),VLOOKUP($B378,Winpct2!$A:$K,9,FALSE)),"")</f>
        <v>0.375</v>
      </c>
      <c r="I378">
        <f>IFERROR(IFERROR(VLOOKUP($A378,Ra2W!$A:$K,6,FALSE),VLOOKUP($B378,Ra2W!$A:$K,6,FALSE)),"")</f>
        <v>4847</v>
      </c>
      <c r="J378">
        <f>IFERROR(VLOOKUP(D378,'Pop-Metro'!A:R,E378-2005,FALSE),VLOOKUP(D378,'Pop-Micro'!A:R,E378-2005,FALSE))</f>
        <v>4849741</v>
      </c>
      <c r="K378">
        <f>IFERROR(VLOOKUP(D378,'PCI-Metro'!A:R,E378-2005,FALSE),VLOOKUP(D378,'PCI-Micro'!A:R,E378-2005,FALSE))</f>
        <v>69736</v>
      </c>
      <c r="L378">
        <f>IFERROR(IF(IFERROR(VLOOKUP($A378,Attendance2!$B:$H,5,FALSE),VLOOKUP($B378,Attendance2!$B:$H,5,FALSE))="","",IFERROR(VLOOKUP($A378,Attendance2!$B:$H,5,FALSE),VLOOKUP($B378,Attendance2!$B:$H,5,FALSE))),"")</f>
        <v>1000</v>
      </c>
    </row>
    <row r="379" spans="1:12">
      <c r="A379" t="s">
        <v>27</v>
      </c>
      <c r="B379" t="s">
        <v>27</v>
      </c>
      <c r="C379">
        <v>164988</v>
      </c>
      <c r="D379">
        <v>14380</v>
      </c>
      <c r="E379">
        <f t="shared" si="6"/>
        <v>2016</v>
      </c>
      <c r="F379" t="str">
        <f>IFERROR(IF(VLOOKUP(C379,TotalRev2!A:C,3,FALSE)="","",VLOOKUP(C379,TotalRev2!A:C,3,FALSE)),"")</f>
        <v/>
      </c>
      <c r="G379" t="str">
        <f>IFERROR(IF(VLOOKUP(C379,TotalRev1!A:C,3,FALSE)="","",VLOOKUP(C379,TotalRev1!A:C,3,FALSE)),"")</f>
        <v/>
      </c>
      <c r="H379" s="26" t="str">
        <f>IFERROR(IFERROR(VLOOKUP($A379,Winpct2!$A:$K,9,FALSE),VLOOKUP($B379,Winpct2!$A:$K,9,FALSE)),"")</f>
        <v/>
      </c>
      <c r="I379" t="str">
        <f>IFERROR(IFERROR(VLOOKUP($A379,Ra2W!$A:$K,6,FALSE),VLOOKUP($B379,Ra2W!$A:$K,6,FALSE)),"")</f>
        <v/>
      </c>
      <c r="J379">
        <f>IFERROR(VLOOKUP(D379,'Pop-Metro'!A:R,E379-2005,FALSE),VLOOKUP(D379,'Pop-Micro'!A:R,E379-2005,FALSE))</f>
        <v>52785</v>
      </c>
      <c r="K379">
        <f>IFERROR(VLOOKUP(D379,'PCI-Metro'!A:R,E379-2005,FALSE),VLOOKUP(D379,'PCI-Micro'!A:R,E379-2005,FALSE))</f>
        <v>34422</v>
      </c>
      <c r="L379" t="str">
        <f>IFERROR(IF(IFERROR(VLOOKUP($A379,Attendance2!$B:$H,5,FALSE),VLOOKUP($B379,Attendance2!$B:$H,5,FALSE))="","",IFERROR(VLOOKUP($A379,Attendance2!$B:$H,5,FALSE),VLOOKUP($B379,Attendance2!$B:$H,5,FALSE))),"")</f>
        <v/>
      </c>
    </row>
    <row r="380" spans="1:12">
      <c r="A380" t="s">
        <v>28</v>
      </c>
      <c r="B380" t="s">
        <v>28</v>
      </c>
      <c r="C380">
        <v>201441</v>
      </c>
      <c r="D380">
        <v>45780</v>
      </c>
      <c r="E380">
        <f t="shared" si="6"/>
        <v>2016</v>
      </c>
      <c r="F380">
        <f>IFERROR(IF(VLOOKUP(C380,TotalRev2!A:C,3,FALSE)="","",VLOOKUP(C380,TotalRev2!A:C,3,FALSE)),"")</f>
        <v>38289</v>
      </c>
      <c r="G380">
        <f>IFERROR(IF(VLOOKUP(C380,TotalRev1!A:C,3,FALSE)="","",VLOOKUP(C380,TotalRev1!A:C,3,FALSE)),"")</f>
        <v>21666</v>
      </c>
      <c r="H380" s="26">
        <f>IFERROR(IFERROR(VLOOKUP($A380,Winpct2!$A:$K,9,FALSE),VLOOKUP($B380,Winpct2!$A:$K,9,FALSE)),"")</f>
        <v>0.24099999999999999</v>
      </c>
      <c r="I380">
        <f>IFERROR(IFERROR(VLOOKUP($A380,Ra2W!$A:$K,6,FALSE),VLOOKUP($B380,Ra2W!$A:$K,6,FALSE)),"")</f>
        <v>5614</v>
      </c>
      <c r="J380">
        <f>IFERROR(VLOOKUP(D380,'Pop-Metro'!A:R,E380-2005,FALSE),VLOOKUP(D380,'Pop-Micro'!A:R,E380-2005,FALSE))</f>
        <v>648629</v>
      </c>
      <c r="K380">
        <f>IFERROR(VLOOKUP(D380,'PCI-Metro'!A:R,E380-2005,FALSE),VLOOKUP(D380,'PCI-Micro'!A:R,E380-2005,FALSE))</f>
        <v>43206</v>
      </c>
      <c r="L380">
        <f>IFERROR(IF(IFERROR(VLOOKUP($A380,Attendance2!$B:$H,5,FALSE),VLOOKUP($B380,Attendance2!$B:$H,5,FALSE))="","",IFERROR(VLOOKUP($A380,Attendance2!$B:$H,5,FALSE),VLOOKUP($B380,Attendance2!$B:$H,5,FALSE))),"")</f>
        <v>4387</v>
      </c>
    </row>
    <row r="381" spans="1:12">
      <c r="A381" t="s">
        <v>29</v>
      </c>
      <c r="B381" t="s">
        <v>29</v>
      </c>
      <c r="C381">
        <v>143358</v>
      </c>
      <c r="D381">
        <v>37900</v>
      </c>
      <c r="E381">
        <f t="shared" si="6"/>
        <v>2016</v>
      </c>
      <c r="F381" t="str">
        <f>IFERROR(IF(VLOOKUP(C381,TotalRev2!A:C,3,FALSE)="","",VLOOKUP(C381,TotalRev2!A:C,3,FALSE)),"")</f>
        <v/>
      </c>
      <c r="G381" t="str">
        <f>IFERROR(IF(VLOOKUP(C381,TotalRev1!A:C,3,FALSE)="","",VLOOKUP(C381,TotalRev1!A:C,3,FALSE)),"")</f>
        <v/>
      </c>
      <c r="H381" s="26">
        <f>IFERROR(IFERROR(VLOOKUP($A381,Winpct2!$A:$K,9,FALSE),VLOOKUP($B381,Winpct2!$A:$K,9,FALSE)),"")</f>
        <v>0.2</v>
      </c>
      <c r="I381">
        <f>IFERROR(IFERROR(VLOOKUP($A381,Ra2W!$A:$K,6,FALSE),VLOOKUP($B381,Ra2W!$A:$K,6,FALSE)),"")</f>
        <v>5705</v>
      </c>
      <c r="J381">
        <f>IFERROR(VLOOKUP(D381,'Pop-Metro'!A:R,E381-2005,FALSE),VLOOKUP(D381,'Pop-Micro'!A:R,E381-2005,FALSE))</f>
        <v>413818</v>
      </c>
      <c r="K381">
        <f>IFERROR(VLOOKUP(D381,'PCI-Metro'!A:R,E381-2005,FALSE),VLOOKUP(D381,'PCI-Micro'!A:R,E381-2005,FALSE))</f>
        <v>44560</v>
      </c>
      <c r="L381">
        <f>IFERROR(IF(IFERROR(VLOOKUP($A381,Attendance2!$B:$H,5,FALSE),VLOOKUP($B381,Attendance2!$B:$H,5,FALSE))="","",IFERROR(VLOOKUP($A381,Attendance2!$B:$H,5,FALSE),VLOOKUP($B381,Attendance2!$B:$H,5,FALSE))),"")</f>
        <v>4200</v>
      </c>
    </row>
    <row r="382" spans="1:12">
      <c r="A382" t="s">
        <v>30</v>
      </c>
      <c r="B382" t="s">
        <v>30</v>
      </c>
      <c r="C382">
        <v>217156</v>
      </c>
      <c r="D382">
        <v>39300</v>
      </c>
      <c r="E382">
        <f t="shared" si="6"/>
        <v>2016</v>
      </c>
      <c r="F382" t="str">
        <f>IFERROR(IF(VLOOKUP(C382,TotalRev2!A:C,3,FALSE)="","",VLOOKUP(C382,TotalRev2!A:C,3,FALSE)),"")</f>
        <v/>
      </c>
      <c r="G382" t="str">
        <f>IFERROR(IF(VLOOKUP(C382,TotalRev1!A:C,3,FALSE)="","",VLOOKUP(C382,TotalRev1!A:C,3,FALSE)),"")</f>
        <v/>
      </c>
      <c r="H382" s="26">
        <f>IFERROR(IFERROR(VLOOKUP($A382,Winpct2!$A:$K,9,FALSE),VLOOKUP($B382,Winpct2!$A:$K,9,FALSE)),"")</f>
        <v>0.38500000000000001</v>
      </c>
      <c r="I382">
        <f>IFERROR(IFERROR(VLOOKUP($A382,Ra2W!$A:$K,6,FALSE),VLOOKUP($B382,Ra2W!$A:$K,6,FALSE)),"")</f>
        <v>1793</v>
      </c>
      <c r="J382">
        <f>IFERROR(VLOOKUP(D382,'Pop-Metro'!A:R,E382-2005,FALSE),VLOOKUP(D382,'Pop-Micro'!A:R,E382-2005,FALSE))</f>
        <v>1648427</v>
      </c>
      <c r="K382">
        <f>IFERROR(VLOOKUP(D382,'PCI-Metro'!A:R,E382-2005,FALSE),VLOOKUP(D382,'PCI-Micro'!A:R,E382-2005,FALSE))</f>
        <v>48395</v>
      </c>
      <c r="L382">
        <f>IFERROR(IF(IFERROR(VLOOKUP($A382,Attendance2!$B:$H,5,FALSE),VLOOKUP($B382,Attendance2!$B:$H,5,FALSE))="","",IFERROR(VLOOKUP($A382,Attendance2!$B:$H,5,FALSE),VLOOKUP($B382,Attendance2!$B:$H,5,FALSE))),"")</f>
        <v>3100</v>
      </c>
    </row>
    <row r="383" spans="1:12">
      <c r="A383" t="s">
        <v>31</v>
      </c>
      <c r="B383" t="s">
        <v>31</v>
      </c>
      <c r="C383">
        <v>217165</v>
      </c>
      <c r="D383">
        <v>39300</v>
      </c>
      <c r="E383">
        <f t="shared" si="6"/>
        <v>2016</v>
      </c>
      <c r="F383" t="str">
        <f>IFERROR(IF(VLOOKUP(C383,TotalRev2!A:C,3,FALSE)="","",VLOOKUP(C383,TotalRev2!A:C,3,FALSE)),"")</f>
        <v/>
      </c>
      <c r="G383" t="str">
        <f>IFERROR(IF(VLOOKUP(C383,TotalRev1!A:C,3,FALSE)="","",VLOOKUP(C383,TotalRev1!A:C,3,FALSE)),"")</f>
        <v/>
      </c>
      <c r="H383" s="26">
        <f>IFERROR(IFERROR(VLOOKUP($A383,Winpct2!$A:$K,9,FALSE),VLOOKUP($B383,Winpct2!$A:$K,9,FALSE)),"")</f>
        <v>0.57599999999999996</v>
      </c>
      <c r="I383">
        <f>IFERROR(IFERROR(VLOOKUP($A383,Ra2W!$A:$K,6,FALSE),VLOOKUP($B383,Ra2W!$A:$K,6,FALSE)),"")</f>
        <v>2460</v>
      </c>
      <c r="J383">
        <f>IFERROR(VLOOKUP(D383,'Pop-Metro'!A:R,E383-2005,FALSE),VLOOKUP(D383,'Pop-Micro'!A:R,E383-2005,FALSE))</f>
        <v>1648427</v>
      </c>
      <c r="K383">
        <f>IFERROR(VLOOKUP(D383,'PCI-Metro'!A:R,E383-2005,FALSE),VLOOKUP(D383,'PCI-Micro'!A:R,E383-2005,FALSE))</f>
        <v>48395</v>
      </c>
      <c r="L383">
        <f>IFERROR(IF(IFERROR(VLOOKUP($A383,Attendance2!$B:$H,5,FALSE),VLOOKUP($B383,Attendance2!$B:$H,5,FALSE))="","",IFERROR(VLOOKUP($A383,Attendance2!$B:$H,5,FALSE),VLOOKUP($B383,Attendance2!$B:$H,5,FALSE))),"")</f>
        <v>2800</v>
      </c>
    </row>
    <row r="384" spans="1:12">
      <c r="A384" t="s">
        <v>32</v>
      </c>
      <c r="B384" t="s">
        <v>32</v>
      </c>
      <c r="C384">
        <v>211291</v>
      </c>
      <c r="D384">
        <v>30260</v>
      </c>
      <c r="E384">
        <f t="shared" si="6"/>
        <v>2016</v>
      </c>
      <c r="F384" t="str">
        <f>IFERROR(IF(VLOOKUP(C384,TotalRev2!A:C,3,FALSE)="","",VLOOKUP(C384,TotalRev2!A:C,3,FALSE)),"")</f>
        <v/>
      </c>
      <c r="G384" t="str">
        <f>IFERROR(IF(VLOOKUP(C384,TotalRev1!A:C,3,FALSE)="","",VLOOKUP(C384,TotalRev1!A:C,3,FALSE)),"")</f>
        <v/>
      </c>
      <c r="H384" s="26">
        <f>IFERROR(IFERROR(VLOOKUP($A384,Winpct2!$A:$K,9,FALSE),VLOOKUP($B384,Winpct2!$A:$K,9,FALSE)),"")</f>
        <v>0.53800000000000003</v>
      </c>
      <c r="I384">
        <f>IFERROR(IFERROR(VLOOKUP($A384,Ra2W!$A:$K,6,FALSE),VLOOKUP($B384,Ra2W!$A:$K,6,FALSE)),"")</f>
        <v>1936</v>
      </c>
      <c r="J384">
        <f>IFERROR(VLOOKUP(D384,'Pop-Metro'!A:R,E384-2005,FALSE),VLOOKUP(D384,'Pop-Micro'!A:R,E384-2005,FALSE))</f>
        <v>44489</v>
      </c>
      <c r="K384">
        <f>IFERROR(VLOOKUP(D384,'PCI-Metro'!A:R,E384-2005,FALSE),VLOOKUP(D384,'PCI-Micro'!A:R,E384-2005,FALSE))</f>
        <v>36873</v>
      </c>
      <c r="L384">
        <f>IFERROR(IF(IFERROR(VLOOKUP($A384,Attendance2!$B:$H,5,FALSE),VLOOKUP($B384,Attendance2!$B:$H,5,FALSE))="","",IFERROR(VLOOKUP($A384,Attendance2!$B:$H,5,FALSE),VLOOKUP($B384,Attendance2!$B:$H,5,FALSE))),"")</f>
        <v>2300</v>
      </c>
    </row>
    <row r="385" spans="1:12">
      <c r="A385" t="s">
        <v>33</v>
      </c>
      <c r="B385" t="s">
        <v>33</v>
      </c>
      <c r="C385">
        <v>196088</v>
      </c>
      <c r="D385">
        <v>15380</v>
      </c>
      <c r="E385">
        <f t="shared" si="6"/>
        <v>2016</v>
      </c>
      <c r="F385">
        <f>IFERROR(IF(VLOOKUP(C385,TotalRev2!A:C,3,FALSE)="","",VLOOKUP(C385,TotalRev2!A:C,3,FALSE)),"")</f>
        <v>819948</v>
      </c>
      <c r="G385">
        <f>IFERROR(IF(VLOOKUP(C385,TotalRev1!A:C,3,FALSE)="","",VLOOKUP(C385,TotalRev1!A:C,3,FALSE)),"")</f>
        <v>891145</v>
      </c>
      <c r="H385" s="26">
        <f>IFERROR(IFERROR(VLOOKUP($A385,Winpct2!$A:$K,9,FALSE),VLOOKUP($B385,Winpct2!$A:$K,9,FALSE)),"")</f>
        <v>0.24099999999999999</v>
      </c>
      <c r="I385">
        <f>IFERROR(IFERROR(VLOOKUP($A385,Ra2W!$A:$K,6,FALSE),VLOOKUP($B385,Ra2W!$A:$K,6,FALSE)),"")</f>
        <v>2435</v>
      </c>
      <c r="J385">
        <f>IFERROR(VLOOKUP(D385,'Pop-Metro'!A:R,E385-2005,FALSE),VLOOKUP(D385,'Pop-Micro'!A:R,E385-2005,FALSE))</f>
        <v>1155397</v>
      </c>
      <c r="K385">
        <f>IFERROR(VLOOKUP(D385,'PCI-Metro'!A:R,E385-2005,FALSE),VLOOKUP(D385,'PCI-Micro'!A:R,E385-2005,FALSE))</f>
        <v>44390</v>
      </c>
      <c r="L385">
        <f>IFERROR(IF(IFERROR(VLOOKUP($A385,Attendance2!$B:$H,5,FALSE),VLOOKUP($B385,Attendance2!$B:$H,5,FALSE))="","",IFERROR(VLOOKUP($A385,Attendance2!$B:$H,5,FALSE),VLOOKUP($B385,Attendance2!$B:$H,5,FALSE))),"")</f>
        <v>6100</v>
      </c>
    </row>
    <row r="386" spans="1:12">
      <c r="A386" t="s">
        <v>34</v>
      </c>
      <c r="B386" t="s">
        <v>34</v>
      </c>
      <c r="C386">
        <v>150163</v>
      </c>
      <c r="D386">
        <v>26900</v>
      </c>
      <c r="E386">
        <f t="shared" si="6"/>
        <v>2016</v>
      </c>
      <c r="F386" t="str">
        <f>IFERROR(IF(VLOOKUP(C386,TotalRev2!A:C,3,FALSE)="","",VLOOKUP(C386,TotalRev2!A:C,3,FALSE)),"")</f>
        <v/>
      </c>
      <c r="G386" t="str">
        <f>IFERROR(IF(VLOOKUP(C386,TotalRev1!A:C,3,FALSE)="","",VLOOKUP(C386,TotalRev1!A:C,3,FALSE)),"")</f>
        <v/>
      </c>
      <c r="H386" s="26">
        <f>IFERROR(IFERROR(VLOOKUP($A386,Winpct2!$A:$K,9,FALSE),VLOOKUP($B386,Winpct2!$A:$K,9,FALSE)),"")</f>
        <v>0.38700000000000001</v>
      </c>
      <c r="I386">
        <f>IFERROR(IFERROR(VLOOKUP($A386,Ra2W!$A:$K,6,FALSE),VLOOKUP($B386,Ra2W!$A:$K,6,FALSE)),"")</f>
        <v>7804</v>
      </c>
      <c r="J386">
        <f>IFERROR(VLOOKUP(D386,'Pop-Metro'!A:R,E386-2005,FALSE),VLOOKUP(D386,'Pop-Micro'!A:R,E386-2005,FALSE))</f>
        <v>2021771</v>
      </c>
      <c r="K386">
        <f>IFERROR(VLOOKUP(D386,'PCI-Metro'!A:R,E386-2005,FALSE),VLOOKUP(D386,'PCI-Micro'!A:R,E386-2005,FALSE))</f>
        <v>50039</v>
      </c>
      <c r="L386">
        <f>IFERROR(IF(IFERROR(VLOOKUP($A386,Attendance2!$B:$H,5,FALSE),VLOOKUP($B386,Attendance2!$B:$H,5,FALSE))="","",IFERROR(VLOOKUP($A386,Attendance2!$B:$H,5,FALSE),VLOOKUP($B386,Attendance2!$B:$H,5,FALSE))),"")</f>
        <v>9100</v>
      </c>
    </row>
    <row r="387" spans="1:12">
      <c r="A387" t="s">
        <v>35</v>
      </c>
      <c r="B387" t="s">
        <v>35</v>
      </c>
      <c r="C387">
        <v>230038</v>
      </c>
      <c r="D387">
        <v>39340</v>
      </c>
      <c r="E387">
        <f t="shared" si="6"/>
        <v>2016</v>
      </c>
      <c r="F387" t="str">
        <f>IFERROR(IF(VLOOKUP(C387,TotalRev2!A:C,3,FALSE)="","",VLOOKUP(C387,TotalRev2!A:C,3,FALSE)),"")</f>
        <v/>
      </c>
      <c r="G387" t="str">
        <f>IFERROR(IF(VLOOKUP(C387,TotalRev1!A:C,3,FALSE)="","",VLOOKUP(C387,TotalRev1!A:C,3,FALSE)),"")</f>
        <v/>
      </c>
      <c r="H387" s="26">
        <f>IFERROR(IFERROR(VLOOKUP($A387,Winpct2!$A:$K,9,FALSE),VLOOKUP($B387,Winpct2!$A:$K,9,FALSE)),"")</f>
        <v>0.875</v>
      </c>
      <c r="I387">
        <f>IFERROR(IFERROR(VLOOKUP($A387,Ra2W!$A:$K,6,FALSE),VLOOKUP($B387,Ra2W!$A:$K,6,FALSE)),"")</f>
        <v>26205</v>
      </c>
      <c r="J387">
        <f>IFERROR(VLOOKUP(D387,'Pop-Metro'!A:R,E387-2005,FALSE),VLOOKUP(D387,'Pop-Micro'!A:R,E387-2005,FALSE))</f>
        <v>608760</v>
      </c>
      <c r="K387">
        <f>IFERROR(VLOOKUP(D387,'PCI-Metro'!A:R,E387-2005,FALSE),VLOOKUP(D387,'PCI-Micro'!A:R,E387-2005,FALSE))</f>
        <v>36471</v>
      </c>
      <c r="L387">
        <f>IFERROR(IF(IFERROR(VLOOKUP($A387,Attendance2!$B:$H,5,FALSE),VLOOKUP($B387,Attendance2!$B:$H,5,FALSE))="","",IFERROR(VLOOKUP($A387,Attendance2!$B:$H,5,FALSE),VLOOKUP($B387,Attendance2!$B:$H,5,FALSE))),"")</f>
        <v>5000</v>
      </c>
    </row>
    <row r="388" spans="1:12">
      <c r="A388" t="s">
        <v>36</v>
      </c>
      <c r="B388" t="s">
        <v>36</v>
      </c>
      <c r="C388">
        <v>110422</v>
      </c>
      <c r="D388">
        <v>42020</v>
      </c>
      <c r="E388">
        <f t="shared" si="6"/>
        <v>2016</v>
      </c>
      <c r="F388">
        <f>IFERROR(IF(VLOOKUP(C388,TotalRev2!A:C,3,FALSE)="","",VLOOKUP(C388,TotalRev2!A:C,3,FALSE)),"")</f>
        <v>81834</v>
      </c>
      <c r="G388">
        <f>IFERROR(IF(VLOOKUP(C388,TotalRev1!A:C,3,FALSE)="","",VLOOKUP(C388,TotalRev1!A:C,3,FALSE)),"")</f>
        <v>72889</v>
      </c>
      <c r="H388" s="26">
        <f>IFERROR(IFERROR(VLOOKUP($A388,Winpct2!$A:$K,9,FALSE),VLOOKUP($B388,Winpct2!$A:$K,9,FALSE)),"")</f>
        <v>0.70399999999999996</v>
      </c>
      <c r="I388">
        <f>IFERROR(IFERROR(VLOOKUP($A388,Ra2W!$A:$K,6,FALSE),VLOOKUP($B388,Ra2W!$A:$K,6,FALSE)),"")</f>
        <v>7218</v>
      </c>
      <c r="J388">
        <f>IFERROR(VLOOKUP(D388,'Pop-Metro'!A:R,E388-2005,FALSE),VLOOKUP(D388,'Pop-Micro'!A:R,E388-2005,FALSE))</f>
        <v>281825</v>
      </c>
      <c r="K388">
        <f>IFERROR(VLOOKUP(D388,'PCI-Metro'!A:R,E388-2005,FALSE),VLOOKUP(D388,'PCI-Micro'!A:R,E388-2005,FALSE))</f>
        <v>51118</v>
      </c>
      <c r="L388">
        <f>IFERROR(IF(IFERROR(VLOOKUP($A388,Attendance2!$B:$H,5,FALSE),VLOOKUP($B388,Attendance2!$B:$H,5,FALSE))="","",IFERROR(VLOOKUP($A388,Attendance2!$B:$H,5,FALSE),VLOOKUP($B388,Attendance2!$B:$H,5,FALSE))),"")</f>
        <v>3032</v>
      </c>
    </row>
    <row r="389" spans="1:12">
      <c r="A389" t="s">
        <v>37</v>
      </c>
      <c r="B389" t="s">
        <v>37</v>
      </c>
      <c r="C389">
        <v>110565</v>
      </c>
      <c r="D389">
        <v>31080</v>
      </c>
      <c r="E389">
        <f t="shared" si="6"/>
        <v>2016</v>
      </c>
      <c r="F389">
        <f>IFERROR(IF(VLOOKUP(C389,TotalRev2!A:C,3,FALSE)="","",VLOOKUP(C389,TotalRev2!A:C,3,FALSE)),"")</f>
        <v>705248</v>
      </c>
      <c r="G389">
        <f>IFERROR(IF(VLOOKUP(C389,TotalRev1!A:C,3,FALSE)="","",VLOOKUP(C389,TotalRev1!A:C,3,FALSE)),"")</f>
        <v>626540</v>
      </c>
      <c r="H389" s="26" t="str">
        <f>IFERROR(IFERROR(VLOOKUP($A389,Winpct2!$A:$K,9,FALSE),VLOOKUP($B389,Winpct2!$A:$K,9,FALSE)),"")</f>
        <v/>
      </c>
      <c r="I389">
        <f>IFERROR(IFERROR(VLOOKUP($A389,Ra2W!$A:$K,6,FALSE),VLOOKUP($B389,Ra2W!$A:$K,6,FALSE)),"")</f>
        <v>3321</v>
      </c>
      <c r="J389">
        <f>IFERROR(VLOOKUP(D389,'Pop-Metro'!A:R,E389-2005,FALSE),VLOOKUP(D389,'Pop-Micro'!A:R,E389-2005,FALSE))</f>
        <v>13295906</v>
      </c>
      <c r="K389">
        <f>IFERROR(VLOOKUP(D389,'PCI-Metro'!A:R,E389-2005,FALSE),VLOOKUP(D389,'PCI-Micro'!A:R,E389-2005,FALSE))</f>
        <v>56287</v>
      </c>
      <c r="L389">
        <f>IFERROR(IF(IFERROR(VLOOKUP($A389,Attendance2!$B:$H,5,FALSE),VLOOKUP($B389,Attendance2!$B:$H,5,FALSE))="","",IFERROR(VLOOKUP($A389,Attendance2!$B:$H,5,FALSE),VLOOKUP($B389,Attendance2!$B:$H,5,FALSE))),"")</f>
        <v>4000</v>
      </c>
    </row>
    <row r="390" spans="1:12">
      <c r="A390" t="s">
        <v>38</v>
      </c>
      <c r="B390" t="s">
        <v>38</v>
      </c>
      <c r="C390">
        <v>110635</v>
      </c>
      <c r="D390">
        <v>41860</v>
      </c>
      <c r="E390">
        <f t="shared" si="6"/>
        <v>2016</v>
      </c>
      <c r="F390">
        <f>IFERROR(IF(VLOOKUP(C390,TotalRev2!A:C,3,FALSE)="","",VLOOKUP(C390,TotalRev2!A:C,3,FALSE)),"")</f>
        <v>279155</v>
      </c>
      <c r="G390">
        <f>IFERROR(IF(VLOOKUP(C390,TotalRev1!A:C,3,FALSE)="","",VLOOKUP(C390,TotalRev1!A:C,3,FALSE)),"")</f>
        <v>603826</v>
      </c>
      <c r="H390" s="26">
        <f>IFERROR(IFERROR(VLOOKUP($A390,Winpct2!$A:$K,9,FALSE),VLOOKUP($B390,Winpct2!$A:$K,9,FALSE)),"")</f>
        <v>0.28999999999999998</v>
      </c>
      <c r="I390">
        <f>IFERROR(IFERROR(VLOOKUP($A390,Ra2W!$A:$K,6,FALSE),VLOOKUP($B390,Ra2W!$A:$K,6,FALSE)),"")</f>
        <v>9642</v>
      </c>
      <c r="J390">
        <f>IFERROR(VLOOKUP(D390,'Pop-Metro'!A:R,E390-2005,FALSE),VLOOKUP(D390,'Pop-Micro'!A:R,E390-2005,FALSE))</f>
        <v>4713129</v>
      </c>
      <c r="K390">
        <f>IFERROR(VLOOKUP(D390,'PCI-Metro'!A:R,E390-2005,FALSE),VLOOKUP(D390,'PCI-Micro'!A:R,E390-2005,FALSE))</f>
        <v>83812</v>
      </c>
      <c r="L390">
        <f>IFERROR(IF(IFERROR(VLOOKUP($A390,Attendance2!$B:$H,5,FALSE),VLOOKUP($B390,Attendance2!$B:$H,5,FALSE))="","",IFERROR(VLOOKUP($A390,Attendance2!$B:$H,5,FALSE),VLOOKUP($B390,Attendance2!$B:$H,5,FALSE))),"")</f>
        <v>11877</v>
      </c>
    </row>
    <row r="391" spans="1:12">
      <c r="A391" t="s">
        <v>1255</v>
      </c>
      <c r="B391" t="s">
        <v>1255</v>
      </c>
      <c r="C391">
        <v>110361</v>
      </c>
      <c r="D391">
        <v>40140</v>
      </c>
      <c r="E391">
        <f t="shared" si="6"/>
        <v>2016</v>
      </c>
      <c r="F391" t="str">
        <f>IFERROR(IF(VLOOKUP(C391,TotalRev2!A:C,3,FALSE)="","",VLOOKUP(C391,TotalRev2!A:C,3,FALSE)),"")</f>
        <v/>
      </c>
      <c r="G391" t="str">
        <f>IFERROR(IF(VLOOKUP(C391,TotalRev1!A:C,3,FALSE)="","",VLOOKUP(C391,TotalRev1!A:C,3,FALSE)),"")</f>
        <v/>
      </c>
      <c r="H391" s="26" t="str">
        <f>IFERROR(IFERROR(VLOOKUP($A391,Winpct2!$A:$K,9,FALSE),VLOOKUP($B391,Winpct2!$A:$K,9,FALSE)),"")</f>
        <v/>
      </c>
      <c r="I391" t="str">
        <f>IFERROR(IFERROR(VLOOKUP($A391,Ra2W!$A:$K,6,FALSE),VLOOKUP($B391,Ra2W!$A:$K,6,FALSE)),"")</f>
        <v/>
      </c>
      <c r="J391">
        <f>IFERROR(VLOOKUP(D391,'Pop-Metro'!A:R,E391-2005,FALSE),VLOOKUP(D391,'Pop-Micro'!A:R,E391-2005,FALSE))</f>
        <v>4465521</v>
      </c>
      <c r="K391">
        <f>IFERROR(VLOOKUP(D391,'PCI-Metro'!A:R,E391-2005,FALSE),VLOOKUP(D391,'PCI-Micro'!A:R,E391-2005,FALSE))</f>
        <v>37275</v>
      </c>
      <c r="L391" t="str">
        <f>IFERROR(IF(IFERROR(VLOOKUP($A391,Attendance2!$B:$H,5,FALSE),VLOOKUP($B391,Attendance2!$B:$H,5,FALSE))="","",IFERROR(VLOOKUP($A391,Attendance2!$B:$H,5,FALSE),VLOOKUP($B391,Attendance2!$B:$H,5,FALSE))),"")</f>
        <v/>
      </c>
    </row>
    <row r="392" spans="1:12">
      <c r="A392" t="s">
        <v>39</v>
      </c>
      <c r="B392" t="s">
        <v>39</v>
      </c>
      <c r="C392">
        <v>198136</v>
      </c>
      <c r="D392">
        <v>15820</v>
      </c>
      <c r="E392">
        <f t="shared" si="6"/>
        <v>2016</v>
      </c>
      <c r="F392" t="str">
        <f>IFERROR(IF(VLOOKUP(C392,TotalRev2!A:C,3,FALSE)="","",VLOOKUP(C392,TotalRev2!A:C,3,FALSE)),"")</f>
        <v/>
      </c>
      <c r="G392" t="str">
        <f>IFERROR(IF(VLOOKUP(C392,TotalRev1!A:C,3,FALSE)="","",VLOOKUP(C392,TotalRev1!A:C,3,FALSE)),"")</f>
        <v/>
      </c>
      <c r="H392" s="26">
        <f>IFERROR(IFERROR(VLOOKUP($A392,Winpct2!$A:$K,9,FALSE),VLOOKUP($B392,Winpct2!$A:$K,9,FALSE)),"")</f>
        <v>0.45200000000000001</v>
      </c>
      <c r="I392">
        <f>IFERROR(IFERROR(VLOOKUP($A392,Ra2W!$A:$K,6,FALSE),VLOOKUP($B392,Ra2W!$A:$K,6,FALSE)),"")</f>
        <v>2402</v>
      </c>
      <c r="J392">
        <f>IFERROR(VLOOKUP(D392,'Pop-Metro'!A:R,E392-2005,FALSE),VLOOKUP(D392,'Pop-Micro'!A:R,E392-2005,FALSE))</f>
        <v>36677</v>
      </c>
      <c r="K392">
        <f>IFERROR(VLOOKUP(D392,'PCI-Metro'!A:R,E392-2005,FALSE),VLOOKUP(D392,'PCI-Micro'!A:R,E392-2005,FALSE))</f>
        <v>31957</v>
      </c>
      <c r="L392">
        <f>IFERROR(IF(IFERROR(VLOOKUP($A392,Attendance2!$B:$H,5,FALSE),VLOOKUP($B392,Attendance2!$B:$H,5,FALSE))="","",IFERROR(VLOOKUP($A392,Attendance2!$B:$H,5,FALSE),VLOOKUP($B392,Attendance2!$B:$H,5,FALSE))),"")</f>
        <v>3095</v>
      </c>
    </row>
    <row r="393" spans="1:12">
      <c r="A393" t="s">
        <v>40</v>
      </c>
      <c r="B393" t="s">
        <v>40</v>
      </c>
      <c r="C393">
        <v>189705</v>
      </c>
      <c r="D393">
        <v>15380</v>
      </c>
      <c r="E393">
        <f t="shared" si="6"/>
        <v>2016</v>
      </c>
      <c r="F393" t="str">
        <f>IFERROR(IF(VLOOKUP(C393,TotalRev2!A:C,3,FALSE)="","",VLOOKUP(C393,TotalRev2!A:C,3,FALSE)),"")</f>
        <v/>
      </c>
      <c r="G393" t="str">
        <f>IFERROR(IF(VLOOKUP(C393,TotalRev1!A:C,3,FALSE)="","",VLOOKUP(C393,TotalRev1!A:C,3,FALSE)),"")</f>
        <v/>
      </c>
      <c r="H393" s="26">
        <f>IFERROR(IFERROR(VLOOKUP($A393,Winpct2!$A:$K,9,FALSE),VLOOKUP($B393,Winpct2!$A:$K,9,FALSE)),"")</f>
        <v>0.36699999999999999</v>
      </c>
      <c r="I393">
        <f>IFERROR(IFERROR(VLOOKUP($A393,Ra2W!$A:$K,6,FALSE),VLOOKUP($B393,Ra2W!$A:$K,6,FALSE)),"")</f>
        <v>2837</v>
      </c>
      <c r="J393">
        <f>IFERROR(VLOOKUP(D393,'Pop-Metro'!A:R,E393-2005,FALSE),VLOOKUP(D393,'Pop-Micro'!A:R,E393-2005,FALSE))</f>
        <v>1155397</v>
      </c>
      <c r="K393">
        <f>IFERROR(VLOOKUP(D393,'PCI-Metro'!A:R,E393-2005,FALSE),VLOOKUP(D393,'PCI-Micro'!A:R,E393-2005,FALSE))</f>
        <v>44390</v>
      </c>
      <c r="L393">
        <f>IFERROR(IF(IFERROR(VLOOKUP($A393,Attendance2!$B:$H,5,FALSE),VLOOKUP($B393,Attendance2!$B:$H,5,FALSE))="","",IFERROR(VLOOKUP($A393,Attendance2!$B:$H,5,FALSE),VLOOKUP($B393,Attendance2!$B:$H,5,FALSE))),"")</f>
        <v>1800</v>
      </c>
    </row>
    <row r="394" spans="1:12">
      <c r="A394" t="s">
        <v>41</v>
      </c>
      <c r="B394" t="s">
        <v>41</v>
      </c>
      <c r="C394">
        <v>106704</v>
      </c>
      <c r="D394">
        <v>30780</v>
      </c>
      <c r="E394">
        <f t="shared" si="6"/>
        <v>2016</v>
      </c>
      <c r="F394" t="str">
        <f>IFERROR(IF(VLOOKUP(C394,TotalRev2!A:C,3,FALSE)="","",VLOOKUP(C394,TotalRev2!A:C,3,FALSE)),"")</f>
        <v/>
      </c>
      <c r="G394">
        <f>IFERROR(IF(VLOOKUP(C394,TotalRev1!A:C,3,FALSE)="","",VLOOKUP(C394,TotalRev1!A:C,3,FALSE)),"")</f>
        <v>436227</v>
      </c>
      <c r="H394" s="26">
        <f>IFERROR(IFERROR(VLOOKUP($A394,Winpct2!$A:$K,9,FALSE),VLOOKUP($B394,Winpct2!$A:$K,9,FALSE)),"")</f>
        <v>0.55200000000000005</v>
      </c>
      <c r="I394">
        <f>IFERROR(IFERROR(VLOOKUP($A394,Ra2W!$A:$K,6,FALSE),VLOOKUP($B394,Ra2W!$A:$K,6,FALSE)),"")</f>
        <v>4299</v>
      </c>
      <c r="J394">
        <f>IFERROR(VLOOKUP(D394,'Pop-Metro'!A:R,E394-2005,FALSE),VLOOKUP(D394,'Pop-Micro'!A:R,E394-2005,FALSE))</f>
        <v>735662</v>
      </c>
      <c r="K394">
        <f>IFERROR(VLOOKUP(D394,'PCI-Metro'!A:R,E394-2005,FALSE),VLOOKUP(D394,'PCI-Micro'!A:R,E394-2005,FALSE))</f>
        <v>43156</v>
      </c>
      <c r="L394">
        <f>IFERROR(IF(IFERROR(VLOOKUP($A394,Attendance2!$B:$H,5,FALSE),VLOOKUP($B394,Attendance2!$B:$H,5,FALSE))="","",IFERROR(VLOOKUP($A394,Attendance2!$B:$H,5,FALSE),VLOOKUP($B394,Attendance2!$B:$H,5,FALSE))),"")</f>
        <v>350</v>
      </c>
    </row>
    <row r="395" spans="1:12">
      <c r="A395" t="s">
        <v>42</v>
      </c>
      <c r="B395" t="s">
        <v>42</v>
      </c>
      <c r="C395">
        <v>128771</v>
      </c>
      <c r="D395">
        <v>25540</v>
      </c>
      <c r="E395">
        <f t="shared" si="6"/>
        <v>2016</v>
      </c>
      <c r="F395">
        <f>IFERROR(IF(VLOOKUP(C395,TotalRev2!A:C,3,FALSE)="","",VLOOKUP(C395,TotalRev2!A:C,3,FALSE)),"")</f>
        <v>732361</v>
      </c>
      <c r="G395">
        <f>IFERROR(IF(VLOOKUP(C395,TotalRev1!A:C,3,FALSE)="","",VLOOKUP(C395,TotalRev1!A:C,3,FALSE)),"")</f>
        <v>629785</v>
      </c>
      <c r="H395" s="26">
        <f>IFERROR(IFERROR(VLOOKUP($A395,Winpct2!$A:$K,9,FALSE),VLOOKUP($B395,Winpct2!$A:$K,9,FALSE)),"")</f>
        <v>0.40699999999999997</v>
      </c>
      <c r="I395">
        <f>IFERROR(IFERROR(VLOOKUP($A395,Ra2W!$A:$K,6,FALSE),VLOOKUP($B395,Ra2W!$A:$K,6,FALSE)),"")</f>
        <v>1993</v>
      </c>
      <c r="J395">
        <f>IFERROR(VLOOKUP(D395,'Pop-Metro'!A:R,E395-2005,FALSE),VLOOKUP(D395,'Pop-Micro'!A:R,E395-2005,FALSE))</f>
        <v>1215505</v>
      </c>
      <c r="K395">
        <f>IFERROR(VLOOKUP(D395,'PCI-Metro'!A:R,E395-2005,FALSE),VLOOKUP(D395,'PCI-Micro'!A:R,E395-2005,FALSE))</f>
        <v>58296</v>
      </c>
      <c r="L395">
        <f>IFERROR(IF(IFERROR(VLOOKUP($A395,Attendance2!$B:$H,5,FALSE),VLOOKUP($B395,Attendance2!$B:$H,5,FALSE))="","",IFERROR(VLOOKUP($A395,Attendance2!$B:$H,5,FALSE),VLOOKUP($B395,Attendance2!$B:$H,5,FALSE))),"")</f>
        <v>2654</v>
      </c>
    </row>
    <row r="396" spans="1:12">
      <c r="A396" t="s">
        <v>43</v>
      </c>
      <c r="B396" t="s">
        <v>43</v>
      </c>
      <c r="C396">
        <v>169248</v>
      </c>
      <c r="D396">
        <v>34380</v>
      </c>
      <c r="E396">
        <f t="shared" si="6"/>
        <v>2016</v>
      </c>
      <c r="F396">
        <f>IFERROR(IF(VLOOKUP(C396,TotalRev2!A:C,3,FALSE)="","",VLOOKUP(C396,TotalRev2!A:C,3,FALSE)),"")</f>
        <v>71421</v>
      </c>
      <c r="G396">
        <f>IFERROR(IF(VLOOKUP(C396,TotalRev1!A:C,3,FALSE)="","",VLOOKUP(C396,TotalRev1!A:C,3,FALSE)),"")</f>
        <v>72687</v>
      </c>
      <c r="H396" s="26">
        <f>IFERROR(IFERROR(VLOOKUP($A396,Winpct2!$A:$K,9,FALSE),VLOOKUP($B396,Winpct2!$A:$K,9,FALSE)),"")</f>
        <v>0.379</v>
      </c>
      <c r="I396">
        <f>IFERROR(IFERROR(VLOOKUP($A396,Ra2W!$A:$K,6,FALSE),VLOOKUP($B396,Ra2W!$A:$K,6,FALSE)),"")</f>
        <v>4928</v>
      </c>
      <c r="J396">
        <f>IFERROR(VLOOKUP(D396,'Pop-Metro'!A:R,E396-2005,FALSE),VLOOKUP(D396,'Pop-Micro'!A:R,E396-2005,FALSE))</f>
        <v>68075</v>
      </c>
      <c r="K396">
        <f>IFERROR(VLOOKUP(D396,'PCI-Metro'!A:R,E396-2005,FALSE),VLOOKUP(D396,'PCI-Micro'!A:R,E396-2005,FALSE))</f>
        <v>34005</v>
      </c>
      <c r="L396">
        <f>IFERROR(IF(IFERROR(VLOOKUP($A396,Attendance2!$B:$H,5,FALSE),VLOOKUP($B396,Attendance2!$B:$H,5,FALSE))="","",IFERROR(VLOOKUP($A396,Attendance2!$B:$H,5,FALSE),VLOOKUP($B396,Attendance2!$B:$H,5,FALSE))),"")</f>
        <v>5500</v>
      </c>
    </row>
    <row r="397" spans="1:12">
      <c r="A397" t="s">
        <v>44</v>
      </c>
      <c r="B397" t="s">
        <v>44</v>
      </c>
      <c r="C397">
        <v>217688</v>
      </c>
      <c r="D397">
        <v>16700</v>
      </c>
      <c r="E397">
        <f t="shared" si="6"/>
        <v>2016</v>
      </c>
      <c r="F397" t="str">
        <f>IFERROR(IF(VLOOKUP(C397,TotalRev2!A:C,3,FALSE)="","",VLOOKUP(C397,TotalRev2!A:C,3,FALSE)),"")</f>
        <v/>
      </c>
      <c r="G397" t="str">
        <f>IFERROR(IF(VLOOKUP(C397,TotalRev1!A:C,3,FALSE)="","",VLOOKUP(C397,TotalRev1!A:C,3,FALSE)),"")</f>
        <v/>
      </c>
      <c r="H397" s="26">
        <f>IFERROR(IFERROR(VLOOKUP($A397,Winpct2!$A:$K,9,FALSE),VLOOKUP($B397,Winpct2!$A:$K,9,FALSE)),"")</f>
        <v>0.30299999999999999</v>
      </c>
      <c r="I397">
        <f>IFERROR(IFERROR(VLOOKUP($A397,Ra2W!$A:$K,6,FALSE),VLOOKUP($B397,Ra2W!$A:$K,6,FALSE)),"")</f>
        <v>2754</v>
      </c>
      <c r="J397">
        <f>IFERROR(VLOOKUP(D397,'Pop-Metro'!A:R,E397-2005,FALSE),VLOOKUP(D397,'Pop-Micro'!A:R,E397-2005,FALSE))</f>
        <v>752834</v>
      </c>
      <c r="K397">
        <f>IFERROR(VLOOKUP(D397,'PCI-Metro'!A:R,E397-2005,FALSE),VLOOKUP(D397,'PCI-Micro'!A:R,E397-2005,FALSE))</f>
        <v>47186</v>
      </c>
      <c r="L397">
        <f>IFERROR(IF(IFERROR(VLOOKUP($A397,Attendance2!$B:$H,5,FALSE),VLOOKUP($B397,Attendance2!$B:$H,5,FALSE))="","",IFERROR(VLOOKUP($A397,Attendance2!$B:$H,5,FALSE),VLOOKUP($B397,Attendance2!$B:$H,5,FALSE))),"")</f>
        <v>881</v>
      </c>
    </row>
    <row r="398" spans="1:12">
      <c r="A398" t="s">
        <v>45</v>
      </c>
      <c r="B398" t="s">
        <v>45</v>
      </c>
      <c r="C398">
        <v>199139</v>
      </c>
      <c r="D398">
        <v>16740</v>
      </c>
      <c r="E398">
        <f t="shared" si="6"/>
        <v>2016</v>
      </c>
      <c r="F398">
        <f>IFERROR(IF(VLOOKUP(C398,TotalRev2!A:C,3,FALSE)="","",VLOOKUP(C398,TotalRev2!A:C,3,FALSE)),"")</f>
        <v>788033</v>
      </c>
      <c r="G398">
        <f>IFERROR(IF(VLOOKUP(C398,TotalRev1!A:C,3,FALSE)="","",VLOOKUP(C398,TotalRev1!A:C,3,FALSE)),"")</f>
        <v>692855</v>
      </c>
      <c r="H398" s="26">
        <f>IFERROR(IFERROR(VLOOKUP($A398,Winpct2!$A:$K,9,FALSE),VLOOKUP($B398,Winpct2!$A:$K,9,FALSE)),"")</f>
        <v>0.29599999999999999</v>
      </c>
      <c r="I398">
        <f>IFERROR(IFERROR(VLOOKUP($A398,Ra2W!$A:$K,6,FALSE),VLOOKUP($B398,Ra2W!$A:$K,6,FALSE)),"")</f>
        <v>7765</v>
      </c>
      <c r="J398">
        <f>IFERROR(VLOOKUP(D398,'Pop-Metro'!A:R,E398-2005,FALSE),VLOOKUP(D398,'Pop-Micro'!A:R,E398-2005,FALSE))</f>
        <v>2493738</v>
      </c>
      <c r="K398">
        <f>IFERROR(VLOOKUP(D398,'PCI-Metro'!A:R,E398-2005,FALSE),VLOOKUP(D398,'PCI-Micro'!A:R,E398-2005,FALSE))</f>
        <v>47733</v>
      </c>
      <c r="L398">
        <f>IFERROR(IF(IFERROR(VLOOKUP($A398,Attendance2!$B:$H,5,FALSE),VLOOKUP($B398,Attendance2!$B:$H,5,FALSE))="","",IFERROR(VLOOKUP($A398,Attendance2!$B:$H,5,FALSE),VLOOKUP($B398,Attendance2!$B:$H,5,FALSE))),"")</f>
        <v>9105</v>
      </c>
    </row>
    <row r="399" spans="1:12">
      <c r="A399" t="s">
        <v>46</v>
      </c>
      <c r="B399" t="s">
        <v>46</v>
      </c>
      <c r="C399">
        <v>221740</v>
      </c>
      <c r="D399">
        <v>16860</v>
      </c>
      <c r="E399">
        <f t="shared" si="6"/>
        <v>2016</v>
      </c>
      <c r="F399">
        <f>IFERROR(IF(VLOOKUP(C399,TotalRev2!A:C,3,FALSE)="","",VLOOKUP(C399,TotalRev2!A:C,3,FALSE)),"")</f>
        <v>657507</v>
      </c>
      <c r="G399">
        <f>IFERROR(IF(VLOOKUP(C399,TotalRev1!A:C,3,FALSE)="","",VLOOKUP(C399,TotalRev1!A:C,3,FALSE)),"")</f>
        <v>716035</v>
      </c>
      <c r="H399" s="26">
        <f>IFERROR(IFERROR(VLOOKUP($A399,Winpct2!$A:$K,9,FALSE),VLOOKUP($B399,Winpct2!$A:$K,9,FALSE)),"")</f>
        <v>0.81299999999999994</v>
      </c>
      <c r="I399">
        <f>IFERROR(IFERROR(VLOOKUP($A399,Ra2W!$A:$K,6,FALSE),VLOOKUP($B399,Ra2W!$A:$K,6,FALSE)),"")</f>
        <v>4192</v>
      </c>
      <c r="J399">
        <f>IFERROR(VLOOKUP(D399,'Pop-Metro'!A:R,E399-2005,FALSE),VLOOKUP(D399,'Pop-Micro'!A:R,E399-2005,FALSE))</f>
        <v>548785</v>
      </c>
      <c r="K399">
        <f>IFERROR(VLOOKUP(D399,'PCI-Metro'!A:R,E399-2005,FALSE),VLOOKUP(D399,'PCI-Micro'!A:R,E399-2005,FALSE))</f>
        <v>42406</v>
      </c>
      <c r="L399">
        <f>IFERROR(IF(IFERROR(VLOOKUP($A399,Attendance2!$B:$H,5,FALSE),VLOOKUP($B399,Attendance2!$B:$H,5,FALSE))="","",IFERROR(VLOOKUP($A399,Attendance2!$B:$H,5,FALSE),VLOOKUP($B399,Attendance2!$B:$H,5,FALSE))),"")</f>
        <v>4177</v>
      </c>
    </row>
    <row r="400" spans="1:12">
      <c r="A400" t="s">
        <v>1268</v>
      </c>
      <c r="B400" t="s">
        <v>1268</v>
      </c>
      <c r="C400">
        <v>144005</v>
      </c>
      <c r="D400">
        <v>16980</v>
      </c>
      <c r="E400">
        <f t="shared" si="6"/>
        <v>2016</v>
      </c>
      <c r="F400">
        <f>IFERROR(IF(VLOOKUP(C400,TotalRev2!A:C,3,FALSE)="","",VLOOKUP(C400,TotalRev2!A:C,3,FALSE)),"")</f>
        <v>521869</v>
      </c>
      <c r="G400" t="str">
        <f>IFERROR(IF(VLOOKUP(C400,TotalRev1!A:C,3,FALSE)="","",VLOOKUP(C400,TotalRev1!A:C,3,FALSE)),"")</f>
        <v/>
      </c>
      <c r="H400" s="26">
        <f>IFERROR(IFERROR(VLOOKUP($A400,Winpct2!$A:$K,9,FALSE),VLOOKUP($B400,Winpct2!$A:$K,9,FALSE)),"")</f>
        <v>3.5999999999999997E-2</v>
      </c>
      <c r="I400">
        <f>IFERROR(IFERROR(VLOOKUP($A400,Ra2W!$A:$K,6,FALSE),VLOOKUP($B400,Ra2W!$A:$K,6,FALSE)),"")</f>
        <v>1026</v>
      </c>
      <c r="J400">
        <f>IFERROR(VLOOKUP(D400,'Pop-Metro'!A:R,E400-2005,FALSE),VLOOKUP(D400,'Pop-Micro'!A:R,E400-2005,FALSE))</f>
        <v>9656432</v>
      </c>
      <c r="K400">
        <f>IFERROR(VLOOKUP(D400,'PCI-Metro'!A:R,E400-2005,FALSE),VLOOKUP(D400,'PCI-Micro'!A:R,E400-2005,FALSE))</f>
        <v>55027</v>
      </c>
      <c r="L400">
        <f>IFERROR(IF(IFERROR(VLOOKUP($A400,Attendance2!$B:$H,5,FALSE),VLOOKUP($B400,Attendance2!$B:$H,5,FALSE))="","",IFERROR(VLOOKUP($A400,Attendance2!$B:$H,5,FALSE),VLOOKUP($B400,Attendance2!$B:$H,5,FALSE))),"")</f>
        <v>2500</v>
      </c>
    </row>
    <row r="401" spans="1:12">
      <c r="A401" t="s">
        <v>1269</v>
      </c>
      <c r="B401" t="s">
        <v>1269</v>
      </c>
      <c r="C401">
        <v>201885</v>
      </c>
      <c r="D401">
        <v>17140</v>
      </c>
      <c r="E401">
        <f t="shared" si="6"/>
        <v>2016</v>
      </c>
      <c r="F401">
        <f>IFERROR(IF(VLOOKUP(C401,TotalRev2!A:C,3,FALSE)="","",VLOOKUP(C401,TotalRev2!A:C,3,FALSE)),"")</f>
        <v>16512</v>
      </c>
      <c r="G401">
        <f>IFERROR(IF(VLOOKUP(C401,TotalRev1!A:C,3,FALSE)="","",VLOOKUP(C401,TotalRev1!A:C,3,FALSE)),"")</f>
        <v>12143</v>
      </c>
      <c r="H401" s="26">
        <f>IFERROR(IFERROR(VLOOKUP($A401,Winpct2!$A:$K,9,FALSE),VLOOKUP($B401,Winpct2!$A:$K,9,FALSE)),"")</f>
        <v>0.67700000000000005</v>
      </c>
      <c r="I401">
        <f>IFERROR(IFERROR(VLOOKUP($A401,Ra2W!$A:$K,6,FALSE),VLOOKUP($B401,Ra2W!$A:$K,6,FALSE)),"")</f>
        <v>7538</v>
      </c>
      <c r="J401">
        <f>IFERROR(VLOOKUP(D401,'Pop-Metro'!A:R,E401-2005,FALSE),VLOOKUP(D401,'Pop-Micro'!A:R,E401-2005,FALSE))</f>
        <v>2208942</v>
      </c>
      <c r="K401">
        <f>IFERROR(VLOOKUP(D401,'PCI-Metro'!A:R,E401-2005,FALSE),VLOOKUP(D401,'PCI-Micro'!A:R,E401-2005,FALSE))</f>
        <v>49237</v>
      </c>
      <c r="L401">
        <f>IFERROR(IF(IFERROR(VLOOKUP($A401,Attendance2!$B:$H,5,FALSE),VLOOKUP($B401,Attendance2!$B:$H,5,FALSE))="","",IFERROR(VLOOKUP($A401,Attendance2!$B:$H,5,FALSE),VLOOKUP($B401,Attendance2!$B:$H,5,FALSE))),"")</f>
        <v>13176</v>
      </c>
    </row>
    <row r="402" spans="1:12">
      <c r="A402" t="s">
        <v>47</v>
      </c>
      <c r="B402" t="s">
        <v>47</v>
      </c>
      <c r="C402">
        <v>217882</v>
      </c>
      <c r="D402">
        <v>42860</v>
      </c>
      <c r="E402">
        <f t="shared" si="6"/>
        <v>2016</v>
      </c>
      <c r="F402">
        <f>IFERROR(IF(VLOOKUP(C402,TotalRev2!A:C,3,FALSE)="","",VLOOKUP(C402,TotalRev2!A:C,3,FALSE)),"")</f>
        <v>890642</v>
      </c>
      <c r="G402">
        <f>IFERROR(IF(VLOOKUP(C402,TotalRev1!A:C,3,FALSE)="","",VLOOKUP(C402,TotalRev1!A:C,3,FALSE)),"")</f>
        <v>686221</v>
      </c>
      <c r="H402" s="26">
        <f>IFERROR(IFERROR(VLOOKUP($A402,Winpct2!$A:$K,9,FALSE),VLOOKUP($B402,Winpct2!$A:$K,9,FALSE)),"")</f>
        <v>0.188</v>
      </c>
      <c r="I402">
        <f>IFERROR(IFERROR(VLOOKUP($A402,Ra2W!$A:$K,6,FALSE),VLOOKUP($B402,Ra2W!$A:$K,6,FALSE)),"")</f>
        <v>11735</v>
      </c>
      <c r="J402">
        <f>IFERROR(VLOOKUP(D402,'Pop-Metro'!A:R,E402-2005,FALSE),VLOOKUP(D402,'Pop-Micro'!A:R,E402-2005,FALSE))</f>
        <v>75676</v>
      </c>
      <c r="K402">
        <f>IFERROR(VLOOKUP(D402,'PCI-Metro'!A:R,E402-2005,FALSE),VLOOKUP(D402,'PCI-Micro'!A:R,E402-2005,FALSE))</f>
        <v>40327</v>
      </c>
      <c r="L402">
        <f>IFERROR(IF(IFERROR(VLOOKUP($A402,Attendance2!$B:$H,5,FALSE),VLOOKUP($B402,Attendance2!$B:$H,5,FALSE))="","",IFERROR(VLOOKUP($A402,Attendance2!$B:$H,5,FALSE),VLOOKUP($B402,Attendance2!$B:$H,5,FALSE))),"")</f>
        <v>2000</v>
      </c>
    </row>
    <row r="403" spans="1:12">
      <c r="A403" t="s">
        <v>48</v>
      </c>
      <c r="B403" t="s">
        <v>48</v>
      </c>
      <c r="C403">
        <v>202134</v>
      </c>
      <c r="D403">
        <v>17460</v>
      </c>
      <c r="E403">
        <f t="shared" si="6"/>
        <v>2016</v>
      </c>
      <c r="F403">
        <f>IFERROR(IF(VLOOKUP(C403,TotalRev2!A:C,3,FALSE)="","",VLOOKUP(C403,TotalRev2!A:C,3,FALSE)),"")</f>
        <v>569633</v>
      </c>
      <c r="G403">
        <f>IFERROR(IF(VLOOKUP(C403,TotalRev1!A:C,3,FALSE)="","",VLOOKUP(C403,TotalRev1!A:C,3,FALSE)),"")</f>
        <v>522299</v>
      </c>
      <c r="H403" s="26">
        <f>IFERROR(IFERROR(VLOOKUP($A403,Winpct2!$A:$K,9,FALSE),VLOOKUP($B403,Winpct2!$A:$K,9,FALSE)),"")</f>
        <v>0.78800000000000003</v>
      </c>
      <c r="I403">
        <f>IFERROR(IFERROR(VLOOKUP($A403,Ra2W!$A:$K,6,FALSE),VLOOKUP($B403,Ra2W!$A:$K,6,FALSE)),"")</f>
        <v>3924</v>
      </c>
      <c r="J403">
        <f>IFERROR(VLOOKUP(D403,'Pop-Metro'!A:R,E403-2005,FALSE),VLOOKUP(D403,'Pop-Micro'!A:R,E403-2005,FALSE))</f>
        <v>2087456</v>
      </c>
      <c r="K403">
        <f>IFERROR(VLOOKUP(D403,'PCI-Metro'!A:R,E403-2005,FALSE),VLOOKUP(D403,'PCI-Micro'!A:R,E403-2005,FALSE))</f>
        <v>48746</v>
      </c>
      <c r="L403">
        <f>IFERROR(IF(IFERROR(VLOOKUP($A403,Attendance2!$B:$H,5,FALSE),VLOOKUP($B403,Attendance2!$B:$H,5,FALSE))="","",IFERROR(VLOOKUP($A403,Attendance2!$B:$H,5,FALSE),VLOOKUP($B403,Attendance2!$B:$H,5,FALSE))),"")</f>
        <v>3000</v>
      </c>
    </row>
    <row r="404" spans="1:12">
      <c r="A404" t="s">
        <v>49</v>
      </c>
      <c r="B404" t="s">
        <v>1241</v>
      </c>
      <c r="C404">
        <v>218724</v>
      </c>
      <c r="D404">
        <v>34820</v>
      </c>
      <c r="E404">
        <f t="shared" si="6"/>
        <v>2016</v>
      </c>
      <c r="F404">
        <f>IFERROR(IF(VLOOKUP(C404,TotalRev2!A:C,3,FALSE)="","",VLOOKUP(C404,TotalRev2!A:C,3,FALSE)),"")</f>
        <v>1010358</v>
      </c>
      <c r="G404">
        <f>IFERROR(IF(VLOOKUP(C404,TotalRev1!A:C,3,FALSE)="","",VLOOKUP(C404,TotalRev1!A:C,3,FALSE)),"")</f>
        <v>976071</v>
      </c>
      <c r="H404" s="26">
        <f>IFERROR(IFERROR(VLOOKUP($A404,Winpct2!$A:$K,9,FALSE),VLOOKUP($B404,Winpct2!$A:$K,9,FALSE)),"")</f>
        <v>0.83299999999999996</v>
      </c>
      <c r="I404">
        <f>IFERROR(IFERROR(VLOOKUP($A404,Ra2W!$A:$K,6,FALSE),VLOOKUP($B404,Ra2W!$A:$K,6,FALSE)),"")</f>
        <v>3596</v>
      </c>
      <c r="J404">
        <f>IFERROR(VLOOKUP(D404,'Pop-Metro'!A:R,E404-2005,FALSE),VLOOKUP(D404,'Pop-Micro'!A:R,E404-2005,FALSE))</f>
        <v>435666</v>
      </c>
      <c r="K404">
        <f>IFERROR(VLOOKUP(D404,'PCI-Metro'!A:R,E404-2005,FALSE),VLOOKUP(D404,'PCI-Micro'!A:R,E404-2005,FALSE))</f>
        <v>38109</v>
      </c>
      <c r="L404">
        <f>IFERROR(IF(IFERROR(VLOOKUP($A404,Attendance2!$B:$H,5,FALSE),VLOOKUP($B404,Attendance2!$B:$H,5,FALSE))="","",IFERROR(VLOOKUP($A404,Attendance2!$B:$H,5,FALSE),VLOOKUP($B404,Attendance2!$B:$H,5,FALSE))),"")</f>
        <v>3212</v>
      </c>
    </row>
    <row r="405" spans="1:12">
      <c r="A405" t="s">
        <v>50</v>
      </c>
      <c r="B405" t="s">
        <v>50</v>
      </c>
      <c r="C405">
        <v>217819</v>
      </c>
      <c r="D405">
        <v>16700</v>
      </c>
      <c r="E405">
        <f t="shared" si="6"/>
        <v>2016</v>
      </c>
      <c r="F405">
        <f>IFERROR(IF(VLOOKUP(C405,TotalRev2!A:C,3,FALSE)="","",VLOOKUP(C405,TotalRev2!A:C,3,FALSE)),"")</f>
        <v>50244</v>
      </c>
      <c r="G405">
        <f>IFERROR(IF(VLOOKUP(C405,TotalRev1!A:C,3,FALSE)="","",VLOOKUP(C405,TotalRev1!A:C,3,FALSE)),"")</f>
        <v>37158</v>
      </c>
      <c r="H405" s="26">
        <f>IFERROR(IFERROR(VLOOKUP($A405,Winpct2!$A:$K,9,FALSE),VLOOKUP($B405,Winpct2!$A:$K,9,FALSE)),"")</f>
        <v>0.60599999999999998</v>
      </c>
      <c r="I405">
        <f>IFERROR(IFERROR(VLOOKUP($A405,Ra2W!$A:$K,6,FALSE),VLOOKUP($B405,Ra2W!$A:$K,6,FALSE)),"")</f>
        <v>7263</v>
      </c>
      <c r="J405">
        <f>IFERROR(VLOOKUP(D405,'Pop-Metro'!A:R,E405-2005,FALSE),VLOOKUP(D405,'Pop-Micro'!A:R,E405-2005,FALSE))</f>
        <v>752834</v>
      </c>
      <c r="K405">
        <f>IFERROR(VLOOKUP(D405,'PCI-Metro'!A:R,E405-2005,FALSE),VLOOKUP(D405,'PCI-Micro'!A:R,E405-2005,FALSE))</f>
        <v>47186</v>
      </c>
      <c r="L405">
        <f>IFERROR(IF(IFERROR(VLOOKUP($A405,Attendance2!$B:$H,5,FALSE),VLOOKUP($B405,Attendance2!$B:$H,5,FALSE))="","",IFERROR(VLOOKUP($A405,Attendance2!$B:$H,5,FALSE),VLOOKUP($B405,Attendance2!$B:$H,5,FALSE))),"")</f>
        <v>5100</v>
      </c>
    </row>
    <row r="406" spans="1:12">
      <c r="A406" t="s">
        <v>51</v>
      </c>
      <c r="B406" t="s">
        <v>51</v>
      </c>
      <c r="C406">
        <v>190099</v>
      </c>
      <c r="D406">
        <v>45060</v>
      </c>
      <c r="E406">
        <f t="shared" si="6"/>
        <v>2016</v>
      </c>
      <c r="F406" t="str">
        <f>IFERROR(IF(VLOOKUP(C406,TotalRev2!A:C,3,FALSE)="","",VLOOKUP(C406,TotalRev2!A:C,3,FALSE)),"")</f>
        <v/>
      </c>
      <c r="G406" t="str">
        <f>IFERROR(IF(VLOOKUP(C406,TotalRev1!A:C,3,FALSE)="","",VLOOKUP(C406,TotalRev1!A:C,3,FALSE)),"")</f>
        <v/>
      </c>
      <c r="H406" s="26">
        <f>IFERROR(IFERROR(VLOOKUP($A406,Winpct2!$A:$K,9,FALSE),VLOOKUP($B406,Winpct2!$A:$K,9,FALSE)),"")</f>
        <v>0.42899999999999999</v>
      </c>
      <c r="I406">
        <f>IFERROR(IFERROR(VLOOKUP($A406,Ra2W!$A:$K,6,FALSE),VLOOKUP($B406,Ra2W!$A:$K,6,FALSE)),"")</f>
        <v>2052</v>
      </c>
      <c r="J406">
        <f>IFERROR(VLOOKUP(D406,'Pop-Metro'!A:R,E406-2005,FALSE),VLOOKUP(D406,'Pop-Micro'!A:R,E406-2005,FALSE))</f>
        <v>663914</v>
      </c>
      <c r="K406">
        <f>IFERROR(VLOOKUP(D406,'PCI-Metro'!A:R,E406-2005,FALSE),VLOOKUP(D406,'PCI-Micro'!A:R,E406-2005,FALSE))</f>
        <v>44264</v>
      </c>
      <c r="L406">
        <f>IFERROR(IF(IFERROR(VLOOKUP($A406,Attendance2!$B:$H,5,FALSE),VLOOKUP($B406,Attendance2!$B:$H,5,FALSE))="","",IFERROR(VLOOKUP($A406,Attendance2!$B:$H,5,FALSE),VLOOKUP($B406,Attendance2!$B:$H,5,FALSE))),"")</f>
        <v>3000</v>
      </c>
    </row>
    <row r="407" spans="1:12">
      <c r="A407" t="s">
        <v>1270</v>
      </c>
      <c r="B407" t="s">
        <v>1270</v>
      </c>
      <c r="C407">
        <v>126614</v>
      </c>
      <c r="D407">
        <v>14500</v>
      </c>
      <c r="E407">
        <f t="shared" si="6"/>
        <v>2016</v>
      </c>
      <c r="F407">
        <f>IFERROR(IF(VLOOKUP(C407,TotalRev2!A:C,3,FALSE)="","",VLOOKUP(C407,TotalRev2!A:C,3,FALSE)),"")</f>
        <v>555413</v>
      </c>
      <c r="G407">
        <f>IFERROR(IF(VLOOKUP(C407,TotalRev1!A:C,3,FALSE)="","",VLOOKUP(C407,TotalRev1!A:C,3,FALSE)),"")</f>
        <v>485792</v>
      </c>
      <c r="H407" s="26">
        <f>IFERROR(IFERROR(VLOOKUP($A407,Winpct2!$A:$K,9,FALSE),VLOOKUP($B407,Winpct2!$A:$K,9,FALSE)),"")</f>
        <v>0.59399999999999997</v>
      </c>
      <c r="I407">
        <f>IFERROR(IFERROR(VLOOKUP($A407,Ra2W!$A:$K,6,FALSE),VLOOKUP($B407,Ra2W!$A:$K,6,FALSE)),"")</f>
        <v>21244</v>
      </c>
      <c r="J407">
        <f>IFERROR(VLOOKUP(D407,'Pop-Metro'!A:R,E407-2005,FALSE),VLOOKUP(D407,'Pop-Micro'!A:R,E407-2005,FALSE))</f>
        <v>323865</v>
      </c>
      <c r="K407">
        <f>IFERROR(VLOOKUP(D407,'PCI-Metro'!A:R,E407-2005,FALSE),VLOOKUP(D407,'PCI-Micro'!A:R,E407-2005,FALSE))</f>
        <v>64195</v>
      </c>
      <c r="L407">
        <f>IFERROR(IF(IFERROR(VLOOKUP($A407,Attendance2!$B:$H,5,FALSE),VLOOKUP($B407,Attendance2!$B:$H,5,FALSE))="","",IFERROR(VLOOKUP($A407,Attendance2!$B:$H,5,FALSE),VLOOKUP($B407,Attendance2!$B:$H,5,FALSE))),"")</f>
        <v>11196</v>
      </c>
    </row>
    <row r="408" spans="1:12">
      <c r="A408" t="s">
        <v>52</v>
      </c>
      <c r="B408" t="s">
        <v>52</v>
      </c>
      <c r="C408">
        <v>126818</v>
      </c>
      <c r="D408">
        <v>22660</v>
      </c>
      <c r="E408">
        <f t="shared" si="6"/>
        <v>2016</v>
      </c>
      <c r="F408">
        <f>IFERROR(IF(VLOOKUP(C408,TotalRev2!A:C,3,FALSE)="","",VLOOKUP(C408,TotalRev2!A:C,3,FALSE)),"")</f>
        <v>630996</v>
      </c>
      <c r="G408">
        <f>IFERROR(IF(VLOOKUP(C408,TotalRev1!A:C,3,FALSE)="","",VLOOKUP(C408,TotalRev1!A:C,3,FALSE)),"")</f>
        <v>813329</v>
      </c>
      <c r="H408" s="26">
        <f>IFERROR(IFERROR(VLOOKUP($A408,Winpct2!$A:$K,9,FALSE),VLOOKUP($B408,Winpct2!$A:$K,9,FALSE)),"")</f>
        <v>0.86699999999999999</v>
      </c>
      <c r="I408">
        <f>IFERROR(IFERROR(VLOOKUP($A408,Ra2W!$A:$K,6,FALSE),VLOOKUP($B408,Ra2W!$A:$K,6,FALSE)),"")</f>
        <v>38584</v>
      </c>
      <c r="J408">
        <f>IFERROR(VLOOKUP(D408,'Pop-Metro'!A:R,E408-2005,FALSE),VLOOKUP(D408,'Pop-Micro'!A:R,E408-2005,FALSE))</f>
        <v>338891</v>
      </c>
      <c r="K408">
        <f>IFERROR(VLOOKUP(D408,'PCI-Metro'!A:R,E408-2005,FALSE),VLOOKUP(D408,'PCI-Micro'!A:R,E408-2005,FALSE))</f>
        <v>48079</v>
      </c>
      <c r="L408">
        <f>IFERROR(IF(IFERROR(VLOOKUP($A408,Attendance2!$B:$H,5,FALSE),VLOOKUP($B408,Attendance2!$B:$H,5,FALSE))="","",IFERROR(VLOOKUP($A408,Attendance2!$B:$H,5,FALSE),VLOOKUP($B408,Attendance2!$B:$H,5,FALSE))),"")</f>
        <v>8745</v>
      </c>
    </row>
    <row r="409" spans="1:12">
      <c r="A409" t="s">
        <v>53</v>
      </c>
      <c r="B409" t="s">
        <v>53</v>
      </c>
      <c r="C409">
        <v>190150</v>
      </c>
      <c r="D409">
        <v>35620</v>
      </c>
      <c r="E409">
        <f t="shared" si="6"/>
        <v>2016</v>
      </c>
      <c r="F409" t="str">
        <f>IFERROR(IF(VLOOKUP(C409,TotalRev2!A:C,3,FALSE)="","",VLOOKUP(C409,TotalRev2!A:C,3,FALSE)),"")</f>
        <v/>
      </c>
      <c r="G409" t="str">
        <f>IFERROR(IF(VLOOKUP(C409,TotalRev1!A:C,3,FALSE)="","",VLOOKUP(C409,TotalRev1!A:C,3,FALSE)),"")</f>
        <v/>
      </c>
      <c r="H409" s="26">
        <f>IFERROR(IFERROR(VLOOKUP($A409,Winpct2!$A:$K,9,FALSE),VLOOKUP($B409,Winpct2!$A:$K,9,FALSE)),"")</f>
        <v>0.30399999999999999</v>
      </c>
      <c r="I409">
        <f>IFERROR(IFERROR(VLOOKUP($A409,Ra2W!$A:$K,6,FALSE),VLOOKUP($B409,Ra2W!$A:$K,6,FALSE)),"")</f>
        <v>1098</v>
      </c>
      <c r="J409">
        <f>IFERROR(VLOOKUP(D409,'Pop-Metro'!A:R,E409-2005,FALSE),VLOOKUP(D409,'Pop-Micro'!A:R,E409-2005,FALSE))</f>
        <v>19943198</v>
      </c>
      <c r="K409">
        <f>IFERROR(VLOOKUP(D409,'PCI-Metro'!A:R,E409-2005,FALSE),VLOOKUP(D409,'PCI-Micro'!A:R,E409-2005,FALSE))</f>
        <v>64886</v>
      </c>
      <c r="L409">
        <f>IFERROR(IF(IFERROR(VLOOKUP($A409,Attendance2!$B:$H,5,FALSE),VLOOKUP($B409,Attendance2!$B:$H,5,FALSE))="","",IFERROR(VLOOKUP($A409,Attendance2!$B:$H,5,FALSE),VLOOKUP($B409,Attendance2!$B:$H,5,FALSE))),"")</f>
        <v>3408</v>
      </c>
    </row>
    <row r="410" spans="1:12">
      <c r="A410" t="s">
        <v>54</v>
      </c>
      <c r="B410" t="s">
        <v>54</v>
      </c>
      <c r="C410">
        <v>162283</v>
      </c>
      <c r="D410">
        <v>12580</v>
      </c>
      <c r="E410">
        <f t="shared" si="6"/>
        <v>2016</v>
      </c>
      <c r="F410">
        <f>IFERROR(IF(VLOOKUP(C410,TotalRev2!A:C,3,FALSE)="","",VLOOKUP(C410,TotalRev2!A:C,3,FALSE)),"")</f>
        <v>58928</v>
      </c>
      <c r="G410">
        <f>IFERROR(IF(VLOOKUP(C410,TotalRev1!A:C,3,FALSE)="","",VLOOKUP(C410,TotalRev1!A:C,3,FALSE)),"")</f>
        <v>51700</v>
      </c>
      <c r="H410" s="26">
        <f>IFERROR(IFERROR(VLOOKUP($A410,Winpct2!$A:$K,9,FALSE),VLOOKUP($B410,Winpct2!$A:$K,9,FALSE)),"")</f>
        <v>0.375</v>
      </c>
      <c r="I410">
        <f>IFERROR(IFERROR(VLOOKUP($A410,Ra2W!$A:$K,6,FALSE),VLOOKUP($B410,Ra2W!$A:$K,6,FALSE)),"")</f>
        <v>1336</v>
      </c>
      <c r="J410">
        <f>IFERROR(VLOOKUP(D410,'Pop-Metro'!A:R,E410-2005,FALSE),VLOOKUP(D410,'Pop-Micro'!A:R,E410-2005,FALSE))</f>
        <v>2821424</v>
      </c>
      <c r="K410">
        <f>IFERROR(VLOOKUP(D410,'PCI-Metro'!A:R,E410-2005,FALSE),VLOOKUP(D410,'PCI-Micro'!A:R,E410-2005,FALSE))</f>
        <v>55720</v>
      </c>
      <c r="L410">
        <f>IFERROR(IF(IFERROR(VLOOKUP($A410,Attendance2!$B:$H,5,FALSE),VLOOKUP($B410,Attendance2!$B:$H,5,FALSE))="","",IFERROR(VLOOKUP($A410,Attendance2!$B:$H,5,FALSE),VLOOKUP($B410,Attendance2!$B:$H,5,FALSE))),"")</f>
        <v>3000</v>
      </c>
    </row>
    <row r="411" spans="1:12">
      <c r="A411" t="s">
        <v>55</v>
      </c>
      <c r="B411" t="s">
        <v>55</v>
      </c>
      <c r="C411">
        <v>190415</v>
      </c>
      <c r="D411">
        <v>27060</v>
      </c>
      <c r="E411">
        <f t="shared" si="6"/>
        <v>2016</v>
      </c>
      <c r="F411" t="str">
        <f>IFERROR(IF(VLOOKUP(C411,TotalRev2!A:C,3,FALSE)="","",VLOOKUP(C411,TotalRev2!A:C,3,FALSE)),"")</f>
        <v/>
      </c>
      <c r="G411" t="str">
        <f>IFERROR(IF(VLOOKUP(C411,TotalRev1!A:C,3,FALSE)="","",VLOOKUP(C411,TotalRev1!A:C,3,FALSE)),"")</f>
        <v/>
      </c>
      <c r="H411" s="26">
        <f>IFERROR(IFERROR(VLOOKUP($A411,Winpct2!$A:$K,9,FALSE),VLOOKUP($B411,Winpct2!$A:$K,9,FALSE)),"")</f>
        <v>0.25</v>
      </c>
      <c r="I411">
        <f>IFERROR(IFERROR(VLOOKUP($A411,Ra2W!$A:$K,6,FALSE),VLOOKUP($B411,Ra2W!$A:$K,6,FALSE)),"")</f>
        <v>1475</v>
      </c>
      <c r="J411">
        <f>IFERROR(VLOOKUP(D411,'Pop-Metro'!A:R,E411-2005,FALSE),VLOOKUP(D411,'Pop-Micro'!A:R,E411-2005,FALSE))</f>
        <v>105780</v>
      </c>
      <c r="K411">
        <f>IFERROR(VLOOKUP(D411,'PCI-Metro'!A:R,E411-2005,FALSE),VLOOKUP(D411,'PCI-Micro'!A:R,E411-2005,FALSE))</f>
        <v>39278</v>
      </c>
      <c r="L411">
        <f>IFERROR(IF(IFERROR(VLOOKUP($A411,Attendance2!$B:$H,5,FALSE),VLOOKUP($B411,Attendance2!$B:$H,5,FALSE))="","",IFERROR(VLOOKUP($A411,Attendance2!$B:$H,5,FALSE),VLOOKUP($B411,Attendance2!$B:$H,5,FALSE))),"")</f>
        <v>4473</v>
      </c>
    </row>
    <row r="412" spans="1:12">
      <c r="A412" t="s">
        <v>56</v>
      </c>
      <c r="B412" t="s">
        <v>56</v>
      </c>
      <c r="C412">
        <v>181002</v>
      </c>
      <c r="D412">
        <v>36540</v>
      </c>
      <c r="E412">
        <f t="shared" si="6"/>
        <v>2016</v>
      </c>
      <c r="F412" t="str">
        <f>IFERROR(IF(VLOOKUP(C412,TotalRev2!A:C,3,FALSE)="","",VLOOKUP(C412,TotalRev2!A:C,3,FALSE)),"")</f>
        <v/>
      </c>
      <c r="G412" t="str">
        <f>IFERROR(IF(VLOOKUP(C412,TotalRev1!A:C,3,FALSE)="","",VLOOKUP(C412,TotalRev1!A:C,3,FALSE)),"")</f>
        <v/>
      </c>
      <c r="H412" s="26">
        <f>IFERROR(IFERROR(VLOOKUP($A412,Winpct2!$A:$K,9,FALSE),VLOOKUP($B412,Winpct2!$A:$K,9,FALSE)),"")</f>
        <v>0.75</v>
      </c>
      <c r="I412">
        <f>IFERROR(IFERROR(VLOOKUP($A412,Ra2W!$A:$K,6,FALSE),VLOOKUP($B412,Ra2W!$A:$K,6,FALSE)),"")</f>
        <v>29905</v>
      </c>
      <c r="J412">
        <f>IFERROR(VLOOKUP(D412,'Pop-Metro'!A:R,E412-2005,FALSE),VLOOKUP(D412,'Pop-Micro'!A:R,E412-2005,FALSE))</f>
        <v>932571</v>
      </c>
      <c r="K412">
        <f>IFERROR(VLOOKUP(D412,'PCI-Metro'!A:R,E412-2005,FALSE),VLOOKUP(D412,'PCI-Micro'!A:R,E412-2005,FALSE))</f>
        <v>52237</v>
      </c>
      <c r="L412">
        <f>IFERROR(IF(IFERROR(VLOOKUP($A412,Attendance2!$B:$H,5,FALSE),VLOOKUP($B412,Attendance2!$B:$H,5,FALSE))="","",IFERROR(VLOOKUP($A412,Attendance2!$B:$H,5,FALSE),VLOOKUP($B412,Attendance2!$B:$H,5,FALSE))),"")</f>
        <v>2500</v>
      </c>
    </row>
    <row r="413" spans="1:12">
      <c r="A413" t="s">
        <v>57</v>
      </c>
      <c r="B413" t="s">
        <v>57</v>
      </c>
      <c r="C413">
        <v>110486</v>
      </c>
      <c r="D413">
        <v>12540</v>
      </c>
      <c r="E413">
        <f t="shared" si="6"/>
        <v>2016</v>
      </c>
      <c r="F413">
        <f>IFERROR(IF(VLOOKUP(C413,TotalRev2!A:C,3,FALSE)="","",VLOOKUP(C413,TotalRev2!A:C,3,FALSE)),"")</f>
        <v>34396</v>
      </c>
      <c r="G413">
        <f>IFERROR(IF(VLOOKUP(C413,TotalRev1!A:C,3,FALSE)="","",VLOOKUP(C413,TotalRev1!A:C,3,FALSE)),"")</f>
        <v>35488</v>
      </c>
      <c r="H413" s="26">
        <f>IFERROR(IFERROR(VLOOKUP($A413,Winpct2!$A:$K,9,FALSE),VLOOKUP($B413,Winpct2!$A:$K,9,FALSE)),"")</f>
        <v>0.46400000000000002</v>
      </c>
      <c r="I413">
        <f>IFERROR(IFERROR(VLOOKUP($A413,Ra2W!$A:$K,6,FALSE),VLOOKUP($B413,Ra2W!$A:$K,6,FALSE)),"")</f>
        <v>3604</v>
      </c>
      <c r="J413">
        <f>IFERROR(VLOOKUP(D413,'Pop-Metro'!A:R,E413-2005,FALSE),VLOOKUP(D413,'Pop-Micro'!A:R,E413-2005,FALSE))</f>
        <v>886081</v>
      </c>
      <c r="K413">
        <f>IFERROR(VLOOKUP(D413,'PCI-Metro'!A:R,E413-2005,FALSE),VLOOKUP(D413,'PCI-Micro'!A:R,E413-2005,FALSE))</f>
        <v>36168</v>
      </c>
      <c r="L413">
        <f>IFERROR(IF(IFERROR(VLOOKUP($A413,Attendance2!$B:$H,5,FALSE),VLOOKUP($B413,Attendance2!$B:$H,5,FALSE))="","",IFERROR(VLOOKUP($A413,Attendance2!$B:$H,5,FALSE),VLOOKUP($B413,Attendance2!$B:$H,5,FALSE))),"")</f>
        <v>3880</v>
      </c>
    </row>
    <row r="414" spans="1:12">
      <c r="A414" t="s">
        <v>58</v>
      </c>
      <c r="B414" t="s">
        <v>58</v>
      </c>
      <c r="C414">
        <v>110608</v>
      </c>
      <c r="D414">
        <v>31080</v>
      </c>
      <c r="E414">
        <f t="shared" si="6"/>
        <v>2016</v>
      </c>
      <c r="F414">
        <f>IFERROR(IF(VLOOKUP(C414,TotalRev2!A:C,3,FALSE)="","",VLOOKUP(C414,TotalRev2!A:C,3,FALSE)),"")</f>
        <v>49677</v>
      </c>
      <c r="G414">
        <f>IFERROR(IF(VLOOKUP(C414,TotalRev1!A:C,3,FALSE)="","",VLOOKUP(C414,TotalRev1!A:C,3,FALSE)),"")</f>
        <v>15402</v>
      </c>
      <c r="H414" s="26">
        <f>IFERROR(IFERROR(VLOOKUP($A414,Winpct2!$A:$K,9,FALSE),VLOOKUP($B414,Winpct2!$A:$K,9,FALSE)),"")</f>
        <v>0.28599999999999998</v>
      </c>
      <c r="I414">
        <f>IFERROR(IFERROR(VLOOKUP($A414,Ra2W!$A:$K,6,FALSE),VLOOKUP($B414,Ra2W!$A:$K,6,FALSE)),"")</f>
        <v>4764</v>
      </c>
      <c r="J414">
        <f>IFERROR(VLOOKUP(D414,'Pop-Metro'!A:R,E414-2005,FALSE),VLOOKUP(D414,'Pop-Micro'!A:R,E414-2005,FALSE))</f>
        <v>13295906</v>
      </c>
      <c r="K414">
        <f>IFERROR(VLOOKUP(D414,'PCI-Metro'!A:R,E414-2005,FALSE),VLOOKUP(D414,'PCI-Micro'!A:R,E414-2005,FALSE))</f>
        <v>56287</v>
      </c>
      <c r="L414">
        <f>IFERROR(IF(IFERROR(VLOOKUP($A414,Attendance2!$B:$H,5,FALSE),VLOOKUP($B414,Attendance2!$B:$H,5,FALSE))="","",IFERROR(VLOOKUP($A414,Attendance2!$B:$H,5,FALSE),VLOOKUP($B414,Attendance2!$B:$H,5,FALSE))),"")</f>
        <v>1600</v>
      </c>
    </row>
    <row r="415" spans="1:12">
      <c r="A415" t="s">
        <v>59</v>
      </c>
      <c r="B415" t="s">
        <v>59</v>
      </c>
      <c r="C415">
        <v>182670</v>
      </c>
      <c r="D415">
        <v>30100</v>
      </c>
      <c r="E415">
        <f t="shared" si="6"/>
        <v>2016</v>
      </c>
      <c r="F415" t="str">
        <f>IFERROR(IF(VLOOKUP(C415,TotalRev2!A:C,3,FALSE)="","",VLOOKUP(C415,TotalRev2!A:C,3,FALSE)),"")</f>
        <v/>
      </c>
      <c r="G415" t="str">
        <f>IFERROR(IF(VLOOKUP(C415,TotalRev1!A:C,3,FALSE)="","",VLOOKUP(C415,TotalRev1!A:C,3,FALSE)),"")</f>
        <v/>
      </c>
      <c r="H415" s="26">
        <f>IFERROR(IFERROR(VLOOKUP($A415,Winpct2!$A:$K,9,FALSE),VLOOKUP($B415,Winpct2!$A:$K,9,FALSE)),"")</f>
        <v>0.52200000000000002</v>
      </c>
      <c r="I415">
        <f>IFERROR(IFERROR(VLOOKUP($A415,Ra2W!$A:$K,6,FALSE),VLOOKUP($B415,Ra2W!$A:$K,6,FALSE)),"")</f>
        <v>1851</v>
      </c>
      <c r="J415">
        <f>IFERROR(VLOOKUP(D415,'Pop-Metro'!A:R,E415-2005,FALSE),VLOOKUP(D415,'Pop-Micro'!A:R,E415-2005,FALSE))</f>
        <v>219734</v>
      </c>
      <c r="K415">
        <f>IFERROR(VLOOKUP(D415,'PCI-Metro'!A:R,E415-2005,FALSE),VLOOKUP(D415,'PCI-Micro'!A:R,E415-2005,FALSE))</f>
        <v>51094</v>
      </c>
      <c r="L415">
        <f>IFERROR(IF(IFERROR(VLOOKUP($A415,Attendance2!$B:$H,5,FALSE),VLOOKUP($B415,Attendance2!$B:$H,5,FALSE))="","",IFERROR(VLOOKUP($A415,Attendance2!$B:$H,5,FALSE),VLOOKUP($B415,Attendance2!$B:$H,5,FALSE))),"")</f>
        <v>2100</v>
      </c>
    </row>
    <row r="416" spans="1:12">
      <c r="A416" t="s">
        <v>1271</v>
      </c>
      <c r="B416" t="s">
        <v>1271</v>
      </c>
      <c r="C416">
        <v>198385</v>
      </c>
      <c r="D416">
        <v>16740</v>
      </c>
      <c r="E416">
        <f t="shared" si="6"/>
        <v>2016</v>
      </c>
      <c r="F416" t="str">
        <f>IFERROR(IF(VLOOKUP(C416,TotalRev2!A:C,3,FALSE)="","",VLOOKUP(C416,TotalRev2!A:C,3,FALSE)),"")</f>
        <v/>
      </c>
      <c r="G416" t="str">
        <f>IFERROR(IF(VLOOKUP(C416,TotalRev1!A:C,3,FALSE)="","",VLOOKUP(C416,TotalRev1!A:C,3,FALSE)),"")</f>
        <v/>
      </c>
      <c r="H416" s="26">
        <f>IFERROR(IFERROR(VLOOKUP($A416,Winpct2!$A:$K,9,FALSE),VLOOKUP($B416,Winpct2!$A:$K,9,FALSE)),"")</f>
        <v>0.42899999999999999</v>
      </c>
      <c r="I416">
        <f>IFERROR(IFERROR(VLOOKUP($A416,Ra2W!$A:$K,6,FALSE),VLOOKUP($B416,Ra2W!$A:$K,6,FALSE)),"")</f>
        <v>4471</v>
      </c>
      <c r="J416">
        <f>IFERROR(VLOOKUP(D416,'Pop-Metro'!A:R,E416-2005,FALSE),VLOOKUP(D416,'Pop-Micro'!A:R,E416-2005,FALSE))</f>
        <v>2493738</v>
      </c>
      <c r="K416">
        <f>IFERROR(VLOOKUP(D416,'PCI-Metro'!A:R,E416-2005,FALSE),VLOOKUP(D416,'PCI-Micro'!A:R,E416-2005,FALSE))</f>
        <v>47733</v>
      </c>
      <c r="L416">
        <f>IFERROR(IF(IFERROR(VLOOKUP($A416,Attendance2!$B:$H,5,FALSE),VLOOKUP($B416,Attendance2!$B:$H,5,FALSE))="","",IFERROR(VLOOKUP($A416,Attendance2!$B:$H,5,FALSE),VLOOKUP($B416,Attendance2!$B:$H,5,FALSE))),"")</f>
        <v>0</v>
      </c>
    </row>
    <row r="417" spans="1:12">
      <c r="A417" t="s">
        <v>60</v>
      </c>
      <c r="B417" t="s">
        <v>60</v>
      </c>
      <c r="C417">
        <v>202480</v>
      </c>
      <c r="D417">
        <v>19430</v>
      </c>
      <c r="E417">
        <f t="shared" si="6"/>
        <v>2016</v>
      </c>
      <c r="F417" t="str">
        <f>IFERROR(IF(VLOOKUP(C417,TotalRev2!A:C,3,FALSE)="","",VLOOKUP(C417,TotalRev2!A:C,3,FALSE)),"")</f>
        <v/>
      </c>
      <c r="G417" t="str">
        <f>IFERROR(IF(VLOOKUP(C417,TotalRev1!A:C,3,FALSE)="","",VLOOKUP(C417,TotalRev1!A:C,3,FALSE)),"")</f>
        <v/>
      </c>
      <c r="H417" s="26">
        <f>IFERROR(IFERROR(VLOOKUP($A417,Winpct2!$A:$K,9,FALSE),VLOOKUP($B417,Winpct2!$A:$K,9,FALSE)),"")</f>
        <v>0.81799999999999995</v>
      </c>
      <c r="I417">
        <f>IFERROR(IFERROR(VLOOKUP($A417,Ra2W!$A:$K,6,FALSE),VLOOKUP($B417,Ra2W!$A:$K,6,FALSE)),"")</f>
        <v>9104</v>
      </c>
      <c r="J417">
        <f>IFERROR(VLOOKUP(D417,'Pop-Metro'!A:R,E417-2005,FALSE),VLOOKUP(D417,'Pop-Micro'!A:R,E417-2005,FALSE))</f>
        <v>805086</v>
      </c>
      <c r="K417">
        <f>IFERROR(VLOOKUP(D417,'PCI-Metro'!A:R,E417-2005,FALSE),VLOOKUP(D417,'PCI-Micro'!A:R,E417-2005,FALSE))</f>
        <v>43451</v>
      </c>
      <c r="L417">
        <f>IFERROR(IF(IFERROR(VLOOKUP($A417,Attendance2!$B:$H,5,FALSE),VLOOKUP($B417,Attendance2!$B:$H,5,FALSE))="","",IFERROR(VLOOKUP($A417,Attendance2!$B:$H,5,FALSE),VLOOKUP($B417,Attendance2!$B:$H,5,FALSE))),"")</f>
        <v>5000</v>
      </c>
    </row>
    <row r="418" spans="1:12">
      <c r="A418" t="s">
        <v>61</v>
      </c>
      <c r="B418" t="s">
        <v>61</v>
      </c>
      <c r="C418">
        <v>130943</v>
      </c>
      <c r="D418">
        <v>37980</v>
      </c>
      <c r="E418">
        <f t="shared" si="6"/>
        <v>2016</v>
      </c>
      <c r="F418" t="str">
        <f>IFERROR(IF(VLOOKUP(C418,TotalRev2!A:C,3,FALSE)="","",VLOOKUP(C418,TotalRev2!A:C,3,FALSE)),"")</f>
        <v/>
      </c>
      <c r="G418" t="str">
        <f>IFERROR(IF(VLOOKUP(C418,TotalRev1!A:C,3,FALSE)="","",VLOOKUP(C418,TotalRev1!A:C,3,FALSE)),"")</f>
        <v/>
      </c>
      <c r="H418" s="26">
        <f>IFERROR(IFERROR(VLOOKUP($A418,Winpct2!$A:$K,9,FALSE),VLOOKUP($B418,Winpct2!$A:$K,9,FALSE)),"")</f>
        <v>0.41399999999999998</v>
      </c>
      <c r="I418">
        <f>IFERROR(IFERROR(VLOOKUP($A418,Ra2W!$A:$K,6,FALSE),VLOOKUP($B418,Ra2W!$A:$K,6,FALSE)),"")</f>
        <v>4498</v>
      </c>
      <c r="J418">
        <f>IFERROR(VLOOKUP(D418,'Pop-Metro'!A:R,E418-2005,FALSE),VLOOKUP(D418,'Pop-Micro'!A:R,E418-2005,FALSE))</f>
        <v>6153468</v>
      </c>
      <c r="K418">
        <f>IFERROR(VLOOKUP(D418,'PCI-Metro'!A:R,E418-2005,FALSE),VLOOKUP(D418,'PCI-Micro'!A:R,E418-2005,FALSE))</f>
        <v>58589</v>
      </c>
      <c r="L418">
        <f>IFERROR(IF(IFERROR(VLOOKUP($A418,Attendance2!$B:$H,5,FALSE),VLOOKUP($B418,Attendance2!$B:$H,5,FALSE))="","",IFERROR(VLOOKUP($A418,Attendance2!$B:$H,5,FALSE),VLOOKUP($B418,Attendance2!$B:$H,5,FALSE))),"")</f>
        <v>5000</v>
      </c>
    </row>
    <row r="419" spans="1:12">
      <c r="A419" t="s">
        <v>62</v>
      </c>
      <c r="B419" t="s">
        <v>62</v>
      </c>
      <c r="C419">
        <v>130934</v>
      </c>
      <c r="D419">
        <v>20100</v>
      </c>
      <c r="E419">
        <f t="shared" ref="E419:E482" si="7">E418</f>
        <v>2016</v>
      </c>
      <c r="F419" t="str">
        <f>IFERROR(IF(VLOOKUP(C419,TotalRev2!A:C,3,FALSE)="","",VLOOKUP(C419,TotalRev2!A:C,3,FALSE)),"")</f>
        <v/>
      </c>
      <c r="G419" t="str">
        <f>IFERROR(IF(VLOOKUP(C419,TotalRev1!A:C,3,FALSE)="","",VLOOKUP(C419,TotalRev1!A:C,3,FALSE)),"")</f>
        <v/>
      </c>
      <c r="H419" s="26">
        <f>IFERROR(IFERROR(VLOOKUP($A419,Winpct2!$A:$K,9,FALSE),VLOOKUP($B419,Winpct2!$A:$K,9,FALSE)),"")</f>
        <v>0.107</v>
      </c>
      <c r="I419">
        <f>IFERROR(IFERROR(VLOOKUP($A419,Ra2W!$A:$K,6,FALSE),VLOOKUP($B419,Ra2W!$A:$K,6,FALSE)),"")</f>
        <v>677</v>
      </c>
      <c r="J419">
        <f>IFERROR(VLOOKUP(D419,'Pop-Metro'!A:R,E419-2005,FALSE),VLOOKUP(D419,'Pop-Micro'!A:R,E419-2005,FALSE))</f>
        <v>173940</v>
      </c>
      <c r="K419">
        <f>IFERROR(VLOOKUP(D419,'PCI-Metro'!A:R,E419-2005,FALSE),VLOOKUP(D419,'PCI-Micro'!A:R,E419-2005,FALSE))</f>
        <v>39358</v>
      </c>
      <c r="L419">
        <f>IFERROR(IF(IFERROR(VLOOKUP($A419,Attendance2!$B:$H,5,FALSE),VLOOKUP($B419,Attendance2!$B:$H,5,FALSE))="","",IFERROR(VLOOKUP($A419,Attendance2!$B:$H,5,FALSE),VLOOKUP($B419,Attendance2!$B:$H,5,FALSE))),"")</f>
        <v>2000</v>
      </c>
    </row>
    <row r="420" spans="1:12">
      <c r="A420" t="s">
        <v>1272</v>
      </c>
      <c r="B420" t="s">
        <v>1272</v>
      </c>
      <c r="C420">
        <v>127060</v>
      </c>
      <c r="D420">
        <v>19740</v>
      </c>
      <c r="E420">
        <f t="shared" si="7"/>
        <v>2016</v>
      </c>
      <c r="F420" t="str">
        <f>IFERROR(IF(VLOOKUP(C420,TotalRev2!A:C,3,FALSE)="","",VLOOKUP(C420,TotalRev2!A:C,3,FALSE)),"")</f>
        <v/>
      </c>
      <c r="G420" t="str">
        <f>IFERROR(IF(VLOOKUP(C420,TotalRev1!A:C,3,FALSE)="","",VLOOKUP(C420,TotalRev1!A:C,3,FALSE)),"")</f>
        <v/>
      </c>
      <c r="H420" s="26">
        <f>IFERROR(IFERROR(VLOOKUP($A420,Winpct2!$A:$K,9,FALSE),VLOOKUP($B420,Winpct2!$A:$K,9,FALSE)),"")</f>
        <v>0.77100000000000002</v>
      </c>
      <c r="I420">
        <f>IFERROR(IFERROR(VLOOKUP($A420,Ra2W!$A:$K,6,FALSE),VLOOKUP($B420,Ra2W!$A:$K,6,FALSE)),"")</f>
        <v>4988</v>
      </c>
      <c r="J420">
        <f>IFERROR(VLOOKUP(D420,'Pop-Metro'!A:R,E420-2005,FALSE),VLOOKUP(D420,'Pop-Micro'!A:R,E420-2005,FALSE))</f>
        <v>2845074</v>
      </c>
      <c r="K420">
        <f>IFERROR(VLOOKUP(D420,'PCI-Metro'!A:R,E420-2005,FALSE),VLOOKUP(D420,'PCI-Micro'!A:R,E420-2005,FALSE))</f>
        <v>55105</v>
      </c>
      <c r="L420">
        <f>IFERROR(IF(IFERROR(VLOOKUP($A420,Attendance2!$B:$H,5,FALSE),VLOOKUP($B420,Attendance2!$B:$H,5,FALSE))="","",IFERROR(VLOOKUP($A420,Attendance2!$B:$H,5,FALSE),VLOOKUP($B420,Attendance2!$B:$H,5,FALSE))),"")</f>
        <v>1800</v>
      </c>
    </row>
    <row r="421" spans="1:12">
      <c r="A421" t="s">
        <v>63</v>
      </c>
      <c r="B421" t="s">
        <v>63</v>
      </c>
      <c r="C421">
        <v>144740</v>
      </c>
      <c r="D421">
        <v>16980</v>
      </c>
      <c r="E421">
        <f t="shared" si="7"/>
        <v>2016</v>
      </c>
      <c r="F421" t="str">
        <f>IFERROR(IF(VLOOKUP(C421,TotalRev2!A:C,3,FALSE)="","",VLOOKUP(C421,TotalRev2!A:C,3,FALSE)),"")</f>
        <v/>
      </c>
      <c r="G421" t="str">
        <f>IFERROR(IF(VLOOKUP(C421,TotalRev1!A:C,3,FALSE)="","",VLOOKUP(C421,TotalRev1!A:C,3,FALSE)),"")</f>
        <v/>
      </c>
      <c r="H421" s="26">
        <f>IFERROR(IFERROR(VLOOKUP($A421,Winpct2!$A:$K,9,FALSE),VLOOKUP($B421,Winpct2!$A:$K,9,FALSE)),"")</f>
        <v>0.51600000000000001</v>
      </c>
      <c r="I421">
        <f>IFERROR(IFERROR(VLOOKUP($A421,Ra2W!$A:$K,6,FALSE),VLOOKUP($B421,Ra2W!$A:$K,6,FALSE)),"")</f>
        <v>4031</v>
      </c>
      <c r="J421">
        <f>IFERROR(VLOOKUP(D421,'Pop-Metro'!A:R,E421-2005,FALSE),VLOOKUP(D421,'Pop-Micro'!A:R,E421-2005,FALSE))</f>
        <v>9656432</v>
      </c>
      <c r="K421">
        <f>IFERROR(VLOOKUP(D421,'PCI-Metro'!A:R,E421-2005,FALSE),VLOOKUP(D421,'PCI-Micro'!A:R,E421-2005,FALSE))</f>
        <v>55027</v>
      </c>
      <c r="L421">
        <f>IFERROR(IF(IFERROR(VLOOKUP($A421,Attendance2!$B:$H,5,FALSE),VLOOKUP($B421,Attendance2!$B:$H,5,FALSE))="","",IFERROR(VLOOKUP($A421,Attendance2!$B:$H,5,FALSE),VLOOKUP($B421,Attendance2!$B:$H,5,FALSE))),"")</f>
        <v>3000</v>
      </c>
    </row>
    <row r="422" spans="1:12">
      <c r="A422" t="s">
        <v>64</v>
      </c>
      <c r="B422" t="s">
        <v>64</v>
      </c>
      <c r="C422">
        <v>169716</v>
      </c>
      <c r="D422">
        <v>19820</v>
      </c>
      <c r="E422">
        <f t="shared" si="7"/>
        <v>2016</v>
      </c>
      <c r="F422" t="str">
        <f>IFERROR(IF(VLOOKUP(C422,TotalRev2!A:C,3,FALSE)="","",VLOOKUP(C422,TotalRev2!A:C,3,FALSE)),"")</f>
        <v/>
      </c>
      <c r="G422" t="str">
        <f>IFERROR(IF(VLOOKUP(C422,TotalRev1!A:C,3,FALSE)="","",VLOOKUP(C422,TotalRev1!A:C,3,FALSE)),"")</f>
        <v/>
      </c>
      <c r="H422" s="26" t="str">
        <f>IFERROR(IFERROR(VLOOKUP($A422,Winpct2!$A:$K,9,FALSE),VLOOKUP($B422,Winpct2!$A:$K,9,FALSE)),"")</f>
        <v/>
      </c>
      <c r="I422" t="str">
        <f>IFERROR(IFERROR(VLOOKUP($A422,Ra2W!$A:$K,6,FALSE),VLOOKUP($B422,Ra2W!$A:$K,6,FALSE)),"")</f>
        <v/>
      </c>
      <c r="J422">
        <f>IFERROR(VLOOKUP(D422,'Pop-Metro'!A:R,E422-2005,FALSE),VLOOKUP(D422,'Pop-Micro'!A:R,E422-2005,FALSE))</f>
        <v>4367436</v>
      </c>
      <c r="K422">
        <f>IFERROR(VLOOKUP(D422,'PCI-Metro'!A:R,E422-2005,FALSE),VLOOKUP(D422,'PCI-Micro'!A:R,E422-2005,FALSE))</f>
        <v>48092</v>
      </c>
      <c r="L422" t="str">
        <f>IFERROR(IF(IFERROR(VLOOKUP($A422,Attendance2!$B:$H,5,FALSE),VLOOKUP($B422,Attendance2!$B:$H,5,FALSE))="","",IFERROR(VLOOKUP($A422,Attendance2!$B:$H,5,FALSE),VLOOKUP($B422,Attendance2!$B:$H,5,FALSE))),"")</f>
        <v/>
      </c>
    </row>
    <row r="423" spans="1:12">
      <c r="A423" t="s">
        <v>65</v>
      </c>
      <c r="B423" t="s">
        <v>65</v>
      </c>
      <c r="C423">
        <v>153269</v>
      </c>
      <c r="D423">
        <v>19780</v>
      </c>
      <c r="E423">
        <f t="shared" si="7"/>
        <v>2016</v>
      </c>
      <c r="F423" t="str">
        <f>IFERROR(IF(VLOOKUP(C423,TotalRev2!A:C,3,FALSE)="","",VLOOKUP(C423,TotalRev2!A:C,3,FALSE)),"")</f>
        <v/>
      </c>
      <c r="G423" t="str">
        <f>IFERROR(IF(VLOOKUP(C423,TotalRev1!A:C,3,FALSE)="","",VLOOKUP(C423,TotalRev1!A:C,3,FALSE)),"")</f>
        <v/>
      </c>
      <c r="H423" s="26">
        <f>IFERROR(IFERROR(VLOOKUP($A423,Winpct2!$A:$K,9,FALSE),VLOOKUP($B423,Winpct2!$A:$K,9,FALSE)),"")</f>
        <v>0.42899999999999999</v>
      </c>
      <c r="I423">
        <f>IFERROR(IFERROR(VLOOKUP($A423,Ra2W!$A:$K,6,FALSE),VLOOKUP($B423,Ra2W!$A:$K,6,FALSE)),"")</f>
        <v>4079</v>
      </c>
      <c r="J423">
        <f>IFERROR(VLOOKUP(D423,'Pop-Metro'!A:R,E423-2005,FALSE),VLOOKUP(D423,'Pop-Micro'!A:R,E423-2005,FALSE))</f>
        <v>673194</v>
      </c>
      <c r="K423">
        <f>IFERROR(VLOOKUP(D423,'PCI-Metro'!A:R,E423-2005,FALSE),VLOOKUP(D423,'PCI-Micro'!A:R,E423-2005,FALSE))</f>
        <v>50612</v>
      </c>
      <c r="L423">
        <f>IFERROR(IF(IFERROR(VLOOKUP($A423,Attendance2!$B:$H,5,FALSE),VLOOKUP($B423,Attendance2!$B:$H,5,FALSE))="","",IFERROR(VLOOKUP($A423,Attendance2!$B:$H,5,FALSE),VLOOKUP($B423,Attendance2!$B:$H,5,FALSE))),"")</f>
        <v>7152</v>
      </c>
    </row>
    <row r="424" spans="1:12">
      <c r="A424" t="s">
        <v>66</v>
      </c>
      <c r="B424" t="s">
        <v>66</v>
      </c>
      <c r="C424">
        <v>212054</v>
      </c>
      <c r="D424">
        <v>37980</v>
      </c>
      <c r="E424">
        <f t="shared" si="7"/>
        <v>2016</v>
      </c>
      <c r="F424" t="str">
        <f>IFERROR(IF(VLOOKUP(C424,TotalRev2!A:C,3,FALSE)="","",VLOOKUP(C424,TotalRev2!A:C,3,FALSE)),"")</f>
        <v/>
      </c>
      <c r="G424" t="str">
        <f>IFERROR(IF(VLOOKUP(C424,TotalRev1!A:C,3,FALSE)="","",VLOOKUP(C424,TotalRev1!A:C,3,FALSE)),"")</f>
        <v/>
      </c>
      <c r="H424" s="26" t="str">
        <f>IFERROR(IFERROR(VLOOKUP($A424,Winpct2!$A:$K,9,FALSE),VLOOKUP($B424,Winpct2!$A:$K,9,FALSE)),"")</f>
        <v/>
      </c>
      <c r="I424" t="str">
        <f>IFERROR(IFERROR(VLOOKUP($A424,Ra2W!$A:$K,6,FALSE),VLOOKUP($B424,Ra2W!$A:$K,6,FALSE)),"")</f>
        <v/>
      </c>
      <c r="J424">
        <f>IFERROR(VLOOKUP(D424,'Pop-Metro'!A:R,E424-2005,FALSE),VLOOKUP(D424,'Pop-Micro'!A:R,E424-2005,FALSE))</f>
        <v>6153468</v>
      </c>
      <c r="K424">
        <f>IFERROR(VLOOKUP(D424,'PCI-Metro'!A:R,E424-2005,FALSE),VLOOKUP(D424,'PCI-Micro'!A:R,E424-2005,FALSE))</f>
        <v>58589</v>
      </c>
      <c r="L424" t="str">
        <f>IFERROR(IF(IFERROR(VLOOKUP($A424,Attendance2!$B:$H,5,FALSE),VLOOKUP($B424,Attendance2!$B:$H,5,FALSE))="","",IFERROR(VLOOKUP($A424,Attendance2!$B:$H,5,FALSE),VLOOKUP($B424,Attendance2!$B:$H,5,FALSE))),"")</f>
        <v/>
      </c>
    </row>
    <row r="425" spans="1:12">
      <c r="A425" t="s">
        <v>67</v>
      </c>
      <c r="B425" t="s">
        <v>67</v>
      </c>
      <c r="C425">
        <v>198419</v>
      </c>
      <c r="D425">
        <v>20500</v>
      </c>
      <c r="E425">
        <f t="shared" si="7"/>
        <v>2016</v>
      </c>
      <c r="F425" t="str">
        <f>IFERROR(IF(VLOOKUP(C425,TotalRev2!A:C,3,FALSE)="","",VLOOKUP(C425,TotalRev2!A:C,3,FALSE)),"")</f>
        <v/>
      </c>
      <c r="G425" t="str">
        <f>IFERROR(IF(VLOOKUP(C425,TotalRev1!A:C,3,FALSE)="","",VLOOKUP(C425,TotalRev1!A:C,3,FALSE)),"")</f>
        <v/>
      </c>
      <c r="H425" s="26">
        <f>IFERROR(IFERROR(VLOOKUP($A425,Winpct2!$A:$K,9,FALSE),VLOOKUP($B425,Winpct2!$A:$K,9,FALSE)),"")</f>
        <v>0.56699999999999995</v>
      </c>
      <c r="I425">
        <f>IFERROR(IFERROR(VLOOKUP($A425,Ra2W!$A:$K,6,FALSE),VLOOKUP($B425,Ra2W!$A:$K,6,FALSE)),"")</f>
        <v>18318</v>
      </c>
      <c r="J425">
        <f>IFERROR(VLOOKUP(D425,'Pop-Metro'!A:R,E425-2005,FALSE),VLOOKUP(D425,'Pop-Micro'!A:R,E425-2005,FALSE))</f>
        <v>617947</v>
      </c>
      <c r="K425">
        <f>IFERROR(VLOOKUP(D425,'PCI-Metro'!A:R,E425-2005,FALSE),VLOOKUP(D425,'PCI-Micro'!A:R,E425-2005,FALSE))</f>
        <v>48324</v>
      </c>
      <c r="L425">
        <f>IFERROR(IF(IFERROR(VLOOKUP($A425,Attendance2!$B:$H,5,FALSE),VLOOKUP($B425,Attendance2!$B:$H,5,FALSE))="","",IFERROR(VLOOKUP($A425,Attendance2!$B:$H,5,FALSE),VLOOKUP($B425,Attendance2!$B:$H,5,FALSE))),"")</f>
        <v>9314</v>
      </c>
    </row>
    <row r="426" spans="1:12">
      <c r="A426" t="s">
        <v>1273</v>
      </c>
      <c r="B426" t="s">
        <v>1273</v>
      </c>
      <c r="C426">
        <v>212106</v>
      </c>
      <c r="D426">
        <v>38300</v>
      </c>
      <c r="E426">
        <f t="shared" si="7"/>
        <v>2016</v>
      </c>
      <c r="F426" t="str">
        <f>IFERROR(IF(VLOOKUP(C426,TotalRev2!A:C,3,FALSE)="","",VLOOKUP(C426,TotalRev2!A:C,3,FALSE)),"")</f>
        <v/>
      </c>
      <c r="G426" t="str">
        <f>IFERROR(IF(VLOOKUP(C426,TotalRev1!A:C,3,FALSE)="","",VLOOKUP(C426,TotalRev1!A:C,3,FALSE)),"")</f>
        <v/>
      </c>
      <c r="H426" s="26">
        <f>IFERROR(IFERROR(VLOOKUP($A426,Winpct2!$A:$K,9,FALSE),VLOOKUP($B426,Winpct2!$A:$K,9,FALSE)),"")</f>
        <v>0.48299999999999998</v>
      </c>
      <c r="I426">
        <f>IFERROR(IFERROR(VLOOKUP($A426,Ra2W!$A:$K,6,FALSE),VLOOKUP($B426,Ra2W!$A:$K,6,FALSE)),"")</f>
        <v>1828</v>
      </c>
      <c r="J426">
        <f>IFERROR(VLOOKUP(D426,'Pop-Metro'!A:R,E426-2005,FALSE),VLOOKUP(D426,'Pop-Micro'!A:R,E426-2005,FALSE))</f>
        <v>2377835</v>
      </c>
      <c r="K426">
        <f>IFERROR(VLOOKUP(D426,'PCI-Metro'!A:R,E426-2005,FALSE),VLOOKUP(D426,'PCI-Micro'!A:R,E426-2005,FALSE))</f>
        <v>50652</v>
      </c>
      <c r="L426">
        <f>IFERROR(IF(IFERROR(VLOOKUP($A426,Attendance2!$B:$H,5,FALSE),VLOOKUP($B426,Attendance2!$B:$H,5,FALSE))="","",IFERROR(VLOOKUP($A426,Attendance2!$B:$H,5,FALSE),VLOOKUP($B426,Attendance2!$B:$H,5,FALSE))),"")</f>
        <v>4390</v>
      </c>
    </row>
    <row r="427" spans="1:12">
      <c r="A427" t="s">
        <v>68</v>
      </c>
      <c r="B427" t="s">
        <v>68</v>
      </c>
      <c r="C427">
        <v>198464</v>
      </c>
      <c r="D427">
        <v>24780</v>
      </c>
      <c r="E427">
        <f t="shared" si="7"/>
        <v>2016</v>
      </c>
      <c r="F427">
        <f>IFERROR(IF(VLOOKUP(C427,TotalRev2!A:C,3,FALSE)="","",VLOOKUP(C427,TotalRev2!A:C,3,FALSE)),"")</f>
        <v>9498</v>
      </c>
      <c r="G427">
        <f>IFERROR(IF(VLOOKUP(C427,TotalRev1!A:C,3,FALSE)="","",VLOOKUP(C427,TotalRev1!A:C,3,FALSE)),"")</f>
        <v>8980</v>
      </c>
      <c r="H427" s="26">
        <f>IFERROR(IFERROR(VLOOKUP($A427,Winpct2!$A:$K,9,FALSE),VLOOKUP($B427,Winpct2!$A:$K,9,FALSE)),"")</f>
        <v>0.38700000000000001</v>
      </c>
      <c r="I427">
        <f>IFERROR(IFERROR(VLOOKUP($A427,Ra2W!$A:$K,6,FALSE),VLOOKUP($B427,Ra2W!$A:$K,6,FALSE)),"")</f>
        <v>6987</v>
      </c>
      <c r="J427">
        <f>IFERROR(VLOOKUP(D427,'Pop-Metro'!A:R,E427-2005,FALSE),VLOOKUP(D427,'Pop-Micro'!A:R,E427-2005,FALSE))</f>
        <v>169913</v>
      </c>
      <c r="K427">
        <f>IFERROR(VLOOKUP(D427,'PCI-Metro'!A:R,E427-2005,FALSE),VLOOKUP(D427,'PCI-Micro'!A:R,E427-2005,FALSE))</f>
        <v>39457</v>
      </c>
      <c r="L427">
        <f>IFERROR(IF(IFERROR(VLOOKUP($A427,Attendance2!$B:$H,5,FALSE),VLOOKUP($B427,Attendance2!$B:$H,5,FALSE))="","",IFERROR(VLOOKUP($A427,Attendance2!$B:$H,5,FALSE),VLOOKUP($B427,Attendance2!$B:$H,5,FALSE))),"")</f>
        <v>8000</v>
      </c>
    </row>
    <row r="428" spans="1:12">
      <c r="A428" t="s">
        <v>69</v>
      </c>
      <c r="B428" t="s">
        <v>69</v>
      </c>
      <c r="C428">
        <v>144892</v>
      </c>
      <c r="D428">
        <v>16660</v>
      </c>
      <c r="E428">
        <f t="shared" si="7"/>
        <v>2016</v>
      </c>
      <c r="F428">
        <f>IFERROR(IF(VLOOKUP(C428,TotalRev2!A:C,3,FALSE)="","",VLOOKUP(C428,TotalRev2!A:C,3,FALSE)),"")</f>
        <v>241533</v>
      </c>
      <c r="G428">
        <f>IFERROR(IF(VLOOKUP(C428,TotalRev1!A:C,3,FALSE)="","",VLOOKUP(C428,TotalRev1!A:C,3,FALSE)),"")</f>
        <v>1177</v>
      </c>
      <c r="H428" s="26">
        <f>IFERROR(IFERROR(VLOOKUP($A428,Winpct2!$A:$K,9,FALSE),VLOOKUP($B428,Winpct2!$A:$K,9,FALSE)),"")</f>
        <v>0.51600000000000001</v>
      </c>
      <c r="I428">
        <f>IFERROR(IFERROR(VLOOKUP($A428,Ra2W!$A:$K,6,FALSE),VLOOKUP($B428,Ra2W!$A:$K,6,FALSE)),"")</f>
        <v>3733</v>
      </c>
      <c r="J428">
        <f>IFERROR(VLOOKUP(D428,'Pop-Metro'!A:R,E428-2005,FALSE),VLOOKUP(D428,'Pop-Micro'!A:R,E428-2005,FALSE))</f>
        <v>60259</v>
      </c>
      <c r="K428">
        <f>IFERROR(VLOOKUP(D428,'PCI-Metro'!A:R,E428-2005,FALSE),VLOOKUP(D428,'PCI-Micro'!A:R,E428-2005,FALSE))</f>
        <v>43887</v>
      </c>
      <c r="L428">
        <f>IFERROR(IF(IFERROR(VLOOKUP($A428,Attendance2!$B:$H,5,FALSE),VLOOKUP($B428,Attendance2!$B:$H,5,FALSE))="","",IFERROR(VLOOKUP($A428,Attendance2!$B:$H,5,FALSE),VLOOKUP($B428,Attendance2!$B:$H,5,FALSE))),"")</f>
        <v>4200</v>
      </c>
    </row>
    <row r="429" spans="1:12">
      <c r="A429" t="s">
        <v>70</v>
      </c>
      <c r="B429" t="s">
        <v>70</v>
      </c>
      <c r="C429">
        <v>156620</v>
      </c>
      <c r="D429">
        <v>40080</v>
      </c>
      <c r="E429">
        <f t="shared" si="7"/>
        <v>2016</v>
      </c>
      <c r="F429" t="str">
        <f>IFERROR(IF(VLOOKUP(C429,TotalRev2!A:C,3,FALSE)="","",VLOOKUP(C429,TotalRev2!A:C,3,FALSE)),"")</f>
        <v/>
      </c>
      <c r="G429" t="str">
        <f>IFERROR(IF(VLOOKUP(C429,TotalRev1!A:C,3,FALSE)="","",VLOOKUP(C429,TotalRev1!A:C,3,FALSE)),"")</f>
        <v/>
      </c>
      <c r="H429" s="26">
        <f>IFERROR(IFERROR(VLOOKUP($A429,Winpct2!$A:$K,9,FALSE),VLOOKUP($B429,Winpct2!$A:$K,9,FALSE)),"")</f>
        <v>0.30299999999999999</v>
      </c>
      <c r="I429">
        <f>IFERROR(IFERROR(VLOOKUP($A429,Ra2W!$A:$K,6,FALSE),VLOOKUP($B429,Ra2W!$A:$K,6,FALSE)),"")</f>
        <v>1179</v>
      </c>
      <c r="J429">
        <f>IFERROR(VLOOKUP(D429,'Pop-Metro'!A:R,E429-2005,FALSE),VLOOKUP(D429,'Pop-Micro'!A:R,E429-2005,FALSE))</f>
        <v>103239</v>
      </c>
      <c r="K429">
        <f>IFERROR(VLOOKUP(D429,'PCI-Metro'!A:R,E429-2005,FALSE),VLOOKUP(D429,'PCI-Micro'!A:R,E429-2005,FALSE))</f>
        <v>33551</v>
      </c>
      <c r="L429">
        <f>IFERROR(IF(IFERROR(VLOOKUP($A429,Attendance2!$B:$H,5,FALSE),VLOOKUP($B429,Attendance2!$B:$H,5,FALSE))="","",IFERROR(VLOOKUP($A429,Attendance2!$B:$H,5,FALSE),VLOOKUP($B429,Attendance2!$B:$H,5,FALSE))),"")</f>
        <v>6500</v>
      </c>
    </row>
    <row r="430" spans="1:12">
      <c r="A430" t="s">
        <v>1274</v>
      </c>
      <c r="B430" t="s">
        <v>1274</v>
      </c>
      <c r="C430">
        <v>169798</v>
      </c>
      <c r="D430">
        <v>11460</v>
      </c>
      <c r="E430">
        <f t="shared" si="7"/>
        <v>2016</v>
      </c>
      <c r="F430">
        <f>IFERROR(IF(VLOOKUP(C430,TotalRev2!A:C,3,FALSE)="","",VLOOKUP(C430,TotalRev2!A:C,3,FALSE)),"")</f>
        <v>770664</v>
      </c>
      <c r="G430">
        <f>IFERROR(IF(VLOOKUP(C430,TotalRev1!A:C,3,FALSE)="","",VLOOKUP(C430,TotalRev1!A:C,3,FALSE)),"")</f>
        <v>856585</v>
      </c>
      <c r="H430" s="26">
        <f>IFERROR(IFERROR(VLOOKUP($A430,Winpct2!$A:$K,9,FALSE),VLOOKUP($B430,Winpct2!$A:$K,9,FALSE)),"")</f>
        <v>0.46700000000000003</v>
      </c>
      <c r="I430">
        <f>IFERROR(IFERROR(VLOOKUP($A430,Ra2W!$A:$K,6,FALSE),VLOOKUP($B430,Ra2W!$A:$K,6,FALSE)),"")</f>
        <v>2191</v>
      </c>
      <c r="J430">
        <f>IFERROR(VLOOKUP(D430,'Pop-Metro'!A:R,E430-2005,FALSE),VLOOKUP(D430,'Pop-Micro'!A:R,E430-2005,FALSE))</f>
        <v>370164</v>
      </c>
      <c r="K430">
        <f>IFERROR(VLOOKUP(D430,'PCI-Metro'!A:R,E430-2005,FALSE),VLOOKUP(D430,'PCI-Micro'!A:R,E430-2005,FALSE))</f>
        <v>53259</v>
      </c>
      <c r="L430">
        <f>IFERROR(IF(IFERROR(VLOOKUP($A430,Attendance2!$B:$H,5,FALSE),VLOOKUP($B430,Attendance2!$B:$H,5,FALSE))="","",IFERROR(VLOOKUP($A430,Attendance2!$B:$H,5,FALSE),VLOOKUP($B430,Attendance2!$B:$H,5,FALSE))),"")</f>
        <v>8824</v>
      </c>
    </row>
    <row r="431" spans="1:12">
      <c r="A431" t="s">
        <v>1275</v>
      </c>
      <c r="B431" t="s">
        <v>1275</v>
      </c>
      <c r="C431">
        <v>235097</v>
      </c>
      <c r="D431">
        <v>44060</v>
      </c>
      <c r="E431">
        <f t="shared" si="7"/>
        <v>2016</v>
      </c>
      <c r="F431">
        <f>IFERROR(IF(VLOOKUP(C431,TotalRev2!A:C,3,FALSE)="","",VLOOKUP(C431,TotalRev2!A:C,3,FALSE)),"")</f>
        <v>762348</v>
      </c>
      <c r="G431">
        <f>IFERROR(IF(VLOOKUP(C431,TotalRev1!A:C,3,FALSE)="","",VLOOKUP(C431,TotalRev1!A:C,3,FALSE)),"")</f>
        <v>774442</v>
      </c>
      <c r="H431" s="26">
        <f>IFERROR(IFERROR(VLOOKUP($A431,Winpct2!$A:$K,9,FALSE),VLOOKUP($B431,Winpct2!$A:$K,9,FALSE)),"")</f>
        <v>0.5</v>
      </c>
      <c r="I431">
        <f>IFERROR(IFERROR(VLOOKUP($A431,Ra2W!$A:$K,6,FALSE),VLOOKUP($B431,Ra2W!$A:$K,6,FALSE)),"")</f>
        <v>2677</v>
      </c>
      <c r="J431">
        <f>IFERROR(VLOOKUP(D431,'Pop-Metro'!A:R,E431-2005,FALSE),VLOOKUP(D431,'Pop-Micro'!A:R,E431-2005,FALSE))</f>
        <v>548704</v>
      </c>
      <c r="K431">
        <f>IFERROR(VLOOKUP(D431,'PCI-Metro'!A:R,E431-2005,FALSE),VLOOKUP(D431,'PCI-Micro'!A:R,E431-2005,FALSE))</f>
        <v>40347</v>
      </c>
      <c r="L431">
        <f>IFERROR(IF(IFERROR(VLOOKUP($A431,Attendance2!$B:$H,5,FALSE),VLOOKUP($B431,Attendance2!$B:$H,5,FALSE))="","",IFERROR(VLOOKUP($A431,Attendance2!$B:$H,5,FALSE),VLOOKUP($B431,Attendance2!$B:$H,5,FALSE))),"")</f>
        <v>6000</v>
      </c>
    </row>
    <row r="432" spans="1:12">
      <c r="A432" t="s">
        <v>71</v>
      </c>
      <c r="B432" t="s">
        <v>71</v>
      </c>
      <c r="C432">
        <v>198516</v>
      </c>
      <c r="D432">
        <v>24660</v>
      </c>
      <c r="E432">
        <f t="shared" si="7"/>
        <v>2016</v>
      </c>
      <c r="F432" t="str">
        <f>IFERROR(IF(VLOOKUP(C432,TotalRev2!A:C,3,FALSE)="","",VLOOKUP(C432,TotalRev2!A:C,3,FALSE)),"")</f>
        <v/>
      </c>
      <c r="G432" t="str">
        <f>IFERROR(IF(VLOOKUP(C432,TotalRev1!A:C,3,FALSE)="","",VLOOKUP(C432,TotalRev1!A:C,3,FALSE)),"")</f>
        <v/>
      </c>
      <c r="H432" s="26">
        <f>IFERROR(IFERROR(VLOOKUP($A432,Winpct2!$A:$K,9,FALSE),VLOOKUP($B432,Winpct2!$A:$K,9,FALSE)),"")</f>
        <v>0.23300000000000001</v>
      </c>
      <c r="I432">
        <f>IFERROR(IFERROR(VLOOKUP($A432,Ra2W!$A:$K,6,FALSE),VLOOKUP($B432,Ra2W!$A:$K,6,FALSE)),"")</f>
        <v>2828</v>
      </c>
      <c r="J432">
        <f>IFERROR(VLOOKUP(D432,'Pop-Metro'!A:R,E432-2005,FALSE),VLOOKUP(D432,'Pop-Micro'!A:R,E432-2005,FALSE))</f>
        <v>759247</v>
      </c>
      <c r="K432">
        <f>IFERROR(VLOOKUP(D432,'PCI-Metro'!A:R,E432-2005,FALSE),VLOOKUP(D432,'PCI-Micro'!A:R,E432-2005,FALSE))</f>
        <v>39704</v>
      </c>
      <c r="L432">
        <f>IFERROR(IF(IFERROR(VLOOKUP($A432,Attendance2!$B:$H,5,FALSE),VLOOKUP($B432,Attendance2!$B:$H,5,FALSE))="","",IFERROR(VLOOKUP($A432,Attendance2!$B:$H,5,FALSE),VLOOKUP($B432,Attendance2!$B:$H,5,FALSE))),"")</f>
        <v>1544</v>
      </c>
    </row>
    <row r="433" spans="1:12">
      <c r="A433" t="s">
        <v>72</v>
      </c>
      <c r="B433" t="s">
        <v>72</v>
      </c>
      <c r="C433">
        <v>220075</v>
      </c>
      <c r="D433">
        <v>27740</v>
      </c>
      <c r="E433">
        <f t="shared" si="7"/>
        <v>2016</v>
      </c>
      <c r="F433" t="str">
        <f>IFERROR(IF(VLOOKUP(C433,TotalRev2!A:C,3,FALSE)="","",VLOOKUP(C433,TotalRev2!A:C,3,FALSE)),"")</f>
        <v/>
      </c>
      <c r="G433" t="str">
        <f>IFERROR(IF(VLOOKUP(C433,TotalRev1!A:C,3,FALSE)="","",VLOOKUP(C433,TotalRev1!A:C,3,FALSE)),"")</f>
        <v/>
      </c>
      <c r="H433" s="26">
        <f>IFERROR(IFERROR(VLOOKUP($A433,Winpct2!$A:$K,9,FALSE),VLOOKUP($B433,Winpct2!$A:$K,9,FALSE)),"")</f>
        <v>0.61299999999999999</v>
      </c>
      <c r="I433">
        <f>IFERROR(IFERROR(VLOOKUP($A433,Ra2W!$A:$K,6,FALSE),VLOOKUP($B433,Ra2W!$A:$K,6,FALSE)),"")</f>
        <v>2013</v>
      </c>
      <c r="J433">
        <f>IFERROR(VLOOKUP(D433,'Pop-Metro'!A:R,E433-2005,FALSE),VLOOKUP(D433,'Pop-Micro'!A:R,E433-2005,FALSE))</f>
        <v>203338</v>
      </c>
      <c r="K433">
        <f>IFERROR(VLOOKUP(D433,'PCI-Metro'!A:R,E433-2005,FALSE),VLOOKUP(D433,'PCI-Micro'!A:R,E433-2005,FALSE))</f>
        <v>36621</v>
      </c>
      <c r="L433">
        <f>IFERROR(IF(IFERROR(VLOOKUP($A433,Attendance2!$B:$H,5,FALSE),VLOOKUP($B433,Attendance2!$B:$H,5,FALSE))="","",IFERROR(VLOOKUP($A433,Attendance2!$B:$H,5,FALSE),VLOOKUP($B433,Attendance2!$B:$H,5,FALSE))),"")</f>
        <v>3500</v>
      </c>
    </row>
    <row r="434" spans="1:12">
      <c r="A434" t="s">
        <v>73</v>
      </c>
      <c r="B434" t="s">
        <v>73</v>
      </c>
      <c r="C434">
        <v>150534</v>
      </c>
      <c r="D434">
        <v>21780</v>
      </c>
      <c r="E434">
        <f t="shared" si="7"/>
        <v>2016</v>
      </c>
      <c r="F434" t="str">
        <f>IFERROR(IF(VLOOKUP(C434,TotalRev2!A:C,3,FALSE)="","",VLOOKUP(C434,TotalRev2!A:C,3,FALSE)),"")</f>
        <v/>
      </c>
      <c r="G434" t="str">
        <f>IFERROR(IF(VLOOKUP(C434,TotalRev1!A:C,3,FALSE)="","",VLOOKUP(C434,TotalRev1!A:C,3,FALSE)),"")</f>
        <v/>
      </c>
      <c r="H434" s="26">
        <f>IFERROR(IFERROR(VLOOKUP($A434,Winpct2!$A:$K,9,FALSE),VLOOKUP($B434,Winpct2!$A:$K,9,FALSE)),"")</f>
        <v>0.25</v>
      </c>
      <c r="I434">
        <f>IFERROR(IFERROR(VLOOKUP($A434,Ra2W!$A:$K,6,FALSE),VLOOKUP($B434,Ra2W!$A:$K,6,FALSE)),"")</f>
        <v>2300</v>
      </c>
      <c r="J434">
        <f>IFERROR(VLOOKUP(D434,'Pop-Metro'!A:R,E434-2005,FALSE),VLOOKUP(D434,'Pop-Micro'!A:R,E434-2005,FALSE))</f>
        <v>314468</v>
      </c>
      <c r="K434">
        <f>IFERROR(VLOOKUP(D434,'PCI-Metro'!A:R,E434-2005,FALSE),VLOOKUP(D434,'PCI-Micro'!A:R,E434-2005,FALSE))</f>
        <v>43387</v>
      </c>
      <c r="L434">
        <f>IFERROR(IF(IFERROR(VLOOKUP($A434,Attendance2!$B:$H,5,FALSE),VLOOKUP($B434,Attendance2!$B:$H,5,FALSE))="","",IFERROR(VLOOKUP($A434,Attendance2!$B:$H,5,FALSE),VLOOKUP($B434,Attendance2!$B:$H,5,FALSE))),"")</f>
        <v>1000</v>
      </c>
    </row>
    <row r="435" spans="1:12">
      <c r="A435" t="s">
        <v>74</v>
      </c>
      <c r="B435" t="s">
        <v>74</v>
      </c>
      <c r="C435">
        <v>129242</v>
      </c>
      <c r="D435">
        <v>35620</v>
      </c>
      <c r="E435">
        <f t="shared" si="7"/>
        <v>2016</v>
      </c>
      <c r="F435" t="str">
        <f>IFERROR(IF(VLOOKUP(C435,TotalRev2!A:C,3,FALSE)="","",VLOOKUP(C435,TotalRev2!A:C,3,FALSE)),"")</f>
        <v/>
      </c>
      <c r="G435" t="str">
        <f>IFERROR(IF(VLOOKUP(C435,TotalRev1!A:C,3,FALSE)="","",VLOOKUP(C435,TotalRev1!A:C,3,FALSE)),"")</f>
        <v/>
      </c>
      <c r="H435" s="26">
        <f>IFERROR(IFERROR(VLOOKUP($A435,Winpct2!$A:$K,9,FALSE),VLOOKUP($B435,Winpct2!$A:$K,9,FALSE)),"")</f>
        <v>0.67700000000000005</v>
      </c>
      <c r="I435">
        <f>IFERROR(IFERROR(VLOOKUP($A435,Ra2W!$A:$K,6,FALSE),VLOOKUP($B435,Ra2W!$A:$K,6,FALSE)),"")</f>
        <v>1781</v>
      </c>
      <c r="J435">
        <f>IFERROR(VLOOKUP(D435,'Pop-Metro'!A:R,E435-2005,FALSE),VLOOKUP(D435,'Pop-Micro'!A:R,E435-2005,FALSE))</f>
        <v>19943198</v>
      </c>
      <c r="K435">
        <f>IFERROR(VLOOKUP(D435,'PCI-Metro'!A:R,E435-2005,FALSE),VLOOKUP(D435,'PCI-Micro'!A:R,E435-2005,FALSE))</f>
        <v>64886</v>
      </c>
      <c r="L435">
        <f>IFERROR(IF(IFERROR(VLOOKUP($A435,Attendance2!$B:$H,5,FALSE),VLOOKUP($B435,Attendance2!$B:$H,5,FALSE))="","",IFERROR(VLOOKUP($A435,Attendance2!$B:$H,5,FALSE),VLOOKUP($B435,Attendance2!$B:$H,5,FALSE))),"")</f>
        <v>2479</v>
      </c>
    </row>
    <row r="436" spans="1:12">
      <c r="A436" t="s">
        <v>75</v>
      </c>
      <c r="B436" t="s">
        <v>1242</v>
      </c>
      <c r="C436">
        <v>184603</v>
      </c>
      <c r="D436">
        <v>35620</v>
      </c>
      <c r="E436">
        <f t="shared" si="7"/>
        <v>2016</v>
      </c>
      <c r="F436" t="str">
        <f>IFERROR(IF(VLOOKUP(C436,TotalRev2!A:C,3,FALSE)="","",VLOOKUP(C436,TotalRev2!A:C,3,FALSE)),"")</f>
        <v/>
      </c>
      <c r="G436" t="str">
        <f>IFERROR(IF(VLOOKUP(C436,TotalRev1!A:C,3,FALSE)="","",VLOOKUP(C436,TotalRev1!A:C,3,FALSE)),"")</f>
        <v/>
      </c>
      <c r="H436" s="26">
        <f>IFERROR(IFERROR(VLOOKUP($A436,Winpct2!$A:$K,9,FALSE),VLOOKUP($B436,Winpct2!$A:$K,9,FALSE)),"")</f>
        <v>0.34499999999999997</v>
      </c>
      <c r="I436">
        <f>IFERROR(IFERROR(VLOOKUP($A436,Ra2W!$A:$K,6,FALSE),VLOOKUP($B436,Ra2W!$A:$K,6,FALSE)),"")</f>
        <v>1824</v>
      </c>
      <c r="J436">
        <f>IFERROR(VLOOKUP(D436,'Pop-Metro'!A:R,E436-2005,FALSE),VLOOKUP(D436,'Pop-Micro'!A:R,E436-2005,FALSE))</f>
        <v>19943198</v>
      </c>
      <c r="K436">
        <f>IFERROR(VLOOKUP(D436,'PCI-Metro'!A:R,E436-2005,FALSE),VLOOKUP(D436,'PCI-Micro'!A:R,E436-2005,FALSE))</f>
        <v>64886</v>
      </c>
      <c r="L436">
        <f>IFERROR(IF(IFERROR(VLOOKUP($A436,Attendance2!$B:$H,5,FALSE),VLOOKUP($B436,Attendance2!$B:$H,5,FALSE))="","",IFERROR(VLOOKUP($A436,Attendance2!$B:$H,5,FALSE),VLOOKUP($B436,Attendance2!$B:$H,5,FALSE))),"")</f>
        <v>500</v>
      </c>
    </row>
    <row r="437" spans="1:12">
      <c r="A437" t="s">
        <v>76</v>
      </c>
      <c r="B437" t="s">
        <v>76</v>
      </c>
      <c r="C437">
        <v>433660</v>
      </c>
      <c r="D437">
        <v>15980</v>
      </c>
      <c r="E437">
        <f t="shared" si="7"/>
        <v>2016</v>
      </c>
      <c r="F437">
        <f>IFERROR(IF(VLOOKUP(C437,TotalRev2!A:C,3,FALSE)="","",VLOOKUP(C437,TotalRev2!A:C,3,FALSE)),"")</f>
        <v>268224</v>
      </c>
      <c r="G437">
        <f>IFERROR(IF(VLOOKUP(C437,TotalRev1!A:C,3,FALSE)="","",VLOOKUP(C437,TotalRev1!A:C,3,FALSE)),"")</f>
        <v>219598</v>
      </c>
      <c r="H437" s="26">
        <f>IFERROR(IFERROR(VLOOKUP($A437,Winpct2!$A:$K,9,FALSE),VLOOKUP($B437,Winpct2!$A:$K,9,FALSE)),"")</f>
        <v>0.65600000000000003</v>
      </c>
      <c r="I437">
        <f>IFERROR(IFERROR(VLOOKUP($A437,Ra2W!$A:$K,6,FALSE),VLOOKUP($B437,Ra2W!$A:$K,6,FALSE)),"")</f>
        <v>7650</v>
      </c>
      <c r="J437">
        <f>IFERROR(VLOOKUP(D437,'Pop-Metro'!A:R,E437-2005,FALSE),VLOOKUP(D437,'Pop-Micro'!A:R,E437-2005,FALSE))</f>
        <v>708970</v>
      </c>
      <c r="K437">
        <f>IFERROR(VLOOKUP(D437,'PCI-Metro'!A:R,E437-2005,FALSE),VLOOKUP(D437,'PCI-Micro'!A:R,E437-2005,FALSE))</f>
        <v>48594</v>
      </c>
      <c r="L437">
        <f>IFERROR(IF(IFERROR(VLOOKUP($A437,Attendance2!$B:$H,5,FALSE),VLOOKUP($B437,Attendance2!$B:$H,5,FALSE))="","",IFERROR(VLOOKUP($A437,Attendance2!$B:$H,5,FALSE),VLOOKUP($B437,Attendance2!$B:$H,5,FALSE))),"")</f>
        <v>4500</v>
      </c>
    </row>
    <row r="438" spans="1:12">
      <c r="A438" t="s">
        <v>77</v>
      </c>
      <c r="B438" t="s">
        <v>77</v>
      </c>
      <c r="C438">
        <v>133951</v>
      </c>
      <c r="D438">
        <v>33100</v>
      </c>
      <c r="E438">
        <f t="shared" si="7"/>
        <v>2016</v>
      </c>
      <c r="F438">
        <f>IFERROR(IF(VLOOKUP(C438,TotalRev2!A:C,3,FALSE)="","",VLOOKUP(C438,TotalRev2!A:C,3,FALSE)),"")</f>
        <v>732177</v>
      </c>
      <c r="G438">
        <f>IFERROR(IF(VLOOKUP(C438,TotalRev1!A:C,3,FALSE)="","",VLOOKUP(C438,TotalRev1!A:C,3,FALSE)),"")</f>
        <v>563136</v>
      </c>
      <c r="H438" s="26">
        <f>IFERROR(IFERROR(VLOOKUP($A438,Winpct2!$A:$K,9,FALSE),VLOOKUP($B438,Winpct2!$A:$K,9,FALSE)),"")</f>
        <v>0.53600000000000003</v>
      </c>
      <c r="I438">
        <f>IFERROR(IFERROR(VLOOKUP($A438,Ra2W!$A:$K,6,FALSE),VLOOKUP($B438,Ra2W!$A:$K,6,FALSE)),"")</f>
        <v>2497</v>
      </c>
      <c r="J438">
        <f>IFERROR(VLOOKUP(D438,'Pop-Metro'!A:R,E438-2005,FALSE),VLOOKUP(D438,'Pop-Micro'!A:R,E438-2005,FALSE))</f>
        <v>6028626</v>
      </c>
      <c r="K438">
        <f>IFERROR(VLOOKUP(D438,'PCI-Metro'!A:R,E438-2005,FALSE),VLOOKUP(D438,'PCI-Micro'!A:R,E438-2005,FALSE))</f>
        <v>51091</v>
      </c>
      <c r="L438">
        <f>IFERROR(IF(IFERROR(VLOOKUP($A438,Attendance2!$B:$H,5,FALSE),VLOOKUP($B438,Attendance2!$B:$H,5,FALSE))="","",IFERROR(VLOOKUP($A438,Attendance2!$B:$H,5,FALSE),VLOOKUP($B438,Attendance2!$B:$H,5,FALSE))),"")</f>
        <v>5000</v>
      </c>
    </row>
    <row r="439" spans="1:12">
      <c r="A439" t="s">
        <v>78</v>
      </c>
      <c r="B439" t="s">
        <v>78</v>
      </c>
      <c r="C439">
        <v>133669</v>
      </c>
      <c r="D439">
        <v>33100</v>
      </c>
      <c r="E439">
        <f t="shared" si="7"/>
        <v>2016</v>
      </c>
      <c r="F439">
        <f>IFERROR(IF(VLOOKUP(C439,TotalRev2!A:C,3,FALSE)="","",VLOOKUP(C439,TotalRev2!A:C,3,FALSE)),"")</f>
        <v>394163</v>
      </c>
      <c r="G439">
        <f>IFERROR(IF(VLOOKUP(C439,TotalRev1!A:C,3,FALSE)="","",VLOOKUP(C439,TotalRev1!A:C,3,FALSE)),"")</f>
        <v>499887</v>
      </c>
      <c r="H439" s="26">
        <f>IFERROR(IFERROR(VLOOKUP($A439,Winpct2!$A:$K,9,FALSE),VLOOKUP($B439,Winpct2!$A:$K,9,FALSE)),"")</f>
        <v>0.621</v>
      </c>
      <c r="I439">
        <f>IFERROR(IFERROR(VLOOKUP($A439,Ra2W!$A:$K,6,FALSE),VLOOKUP($B439,Ra2W!$A:$K,6,FALSE)),"")</f>
        <v>2899</v>
      </c>
      <c r="J439">
        <f>IFERROR(VLOOKUP(D439,'Pop-Metro'!A:R,E439-2005,FALSE),VLOOKUP(D439,'Pop-Micro'!A:R,E439-2005,FALSE))</f>
        <v>6028626</v>
      </c>
      <c r="K439">
        <f>IFERROR(VLOOKUP(D439,'PCI-Metro'!A:R,E439-2005,FALSE),VLOOKUP(D439,'PCI-Micro'!A:R,E439-2005,FALSE))</f>
        <v>51091</v>
      </c>
      <c r="L439">
        <f>IFERROR(IF(IFERROR(VLOOKUP($A439,Attendance2!$B:$H,5,FALSE),VLOOKUP($B439,Attendance2!$B:$H,5,FALSE))="","",IFERROR(VLOOKUP($A439,Attendance2!$B:$H,5,FALSE),VLOOKUP($B439,Attendance2!$B:$H,5,FALSE))),"")</f>
        <v>2980</v>
      </c>
    </row>
    <row r="440" spans="1:12">
      <c r="A440" t="s">
        <v>79</v>
      </c>
      <c r="B440" t="s">
        <v>79</v>
      </c>
      <c r="C440">
        <v>134130</v>
      </c>
      <c r="D440">
        <v>23540</v>
      </c>
      <c r="E440">
        <f t="shared" si="7"/>
        <v>2016</v>
      </c>
      <c r="F440" t="str">
        <f>IFERROR(IF(VLOOKUP(C440,TotalRev2!A:C,3,FALSE)="","",VLOOKUP(C440,TotalRev2!A:C,3,FALSE)),"")</f>
        <v/>
      </c>
      <c r="G440">
        <f>IFERROR(IF(VLOOKUP(C440,TotalRev1!A:C,3,FALSE)="","",VLOOKUP(C440,TotalRev1!A:C,3,FALSE)),"")</f>
        <v>1476057</v>
      </c>
      <c r="H440" s="26">
        <f>IFERROR(IFERROR(VLOOKUP($A440,Winpct2!$A:$K,9,FALSE),VLOOKUP($B440,Winpct2!$A:$K,9,FALSE)),"")</f>
        <v>0.78100000000000003</v>
      </c>
      <c r="I440">
        <f>IFERROR(IFERROR(VLOOKUP($A440,Ra2W!$A:$K,6,FALSE),VLOOKUP($B440,Ra2W!$A:$K,6,FALSE)),"")</f>
        <v>29267</v>
      </c>
      <c r="J440">
        <f>IFERROR(VLOOKUP(D440,'Pop-Metro'!A:R,E440-2005,FALSE),VLOOKUP(D440,'Pop-Micro'!A:R,E440-2005,FALSE))</f>
        <v>326030</v>
      </c>
      <c r="K440">
        <f>IFERROR(VLOOKUP(D440,'PCI-Metro'!A:R,E440-2005,FALSE),VLOOKUP(D440,'PCI-Micro'!A:R,E440-2005,FALSE))</f>
        <v>38071</v>
      </c>
      <c r="L440">
        <f>IFERROR(IF(IFERROR(VLOOKUP($A440,Attendance2!$B:$H,5,FALSE),VLOOKUP($B440,Attendance2!$B:$H,5,FALSE))="","",IFERROR(VLOOKUP($A440,Attendance2!$B:$H,5,FALSE),VLOOKUP($B440,Attendance2!$B:$H,5,FALSE))),"")</f>
        <v>9777</v>
      </c>
    </row>
    <row r="441" spans="1:12">
      <c r="A441" t="s">
        <v>80</v>
      </c>
      <c r="B441" t="s">
        <v>80</v>
      </c>
      <c r="C441">
        <v>133650</v>
      </c>
      <c r="D441">
        <v>45220</v>
      </c>
      <c r="E441">
        <f t="shared" si="7"/>
        <v>2016</v>
      </c>
      <c r="F441" t="str">
        <f>IFERROR(IF(VLOOKUP(C441,TotalRev2!A:C,3,FALSE)="","",VLOOKUP(C441,TotalRev2!A:C,3,FALSE)),"")</f>
        <v/>
      </c>
      <c r="G441" t="str">
        <f>IFERROR(IF(VLOOKUP(C441,TotalRev1!A:C,3,FALSE)="","",VLOOKUP(C441,TotalRev1!A:C,3,FALSE)),"")</f>
        <v/>
      </c>
      <c r="H441" s="26">
        <f>IFERROR(IFERROR(VLOOKUP($A441,Winpct2!$A:$K,9,FALSE),VLOOKUP($B441,Winpct2!$A:$K,9,FALSE)),"")</f>
        <v>0.27600000000000002</v>
      </c>
      <c r="I441">
        <f>IFERROR(IFERROR(VLOOKUP($A441,Ra2W!$A:$K,6,FALSE),VLOOKUP($B441,Ra2W!$A:$K,6,FALSE)),"")</f>
        <v>1736</v>
      </c>
      <c r="J441">
        <f>IFERROR(VLOOKUP(D441,'Pop-Metro'!A:R,E441-2005,FALSE),VLOOKUP(D441,'Pop-Micro'!A:R,E441-2005,FALSE))</f>
        <v>375951</v>
      </c>
      <c r="K441">
        <f>IFERROR(VLOOKUP(D441,'PCI-Metro'!A:R,E441-2005,FALSE),VLOOKUP(D441,'PCI-Micro'!A:R,E441-2005,FALSE))</f>
        <v>39168</v>
      </c>
      <c r="L441">
        <f>IFERROR(IF(IFERROR(VLOOKUP($A441,Attendance2!$B:$H,5,FALSE),VLOOKUP($B441,Attendance2!$B:$H,5,FALSE))="","",IFERROR(VLOOKUP($A441,Attendance2!$B:$H,5,FALSE),VLOOKUP($B441,Attendance2!$B:$H,5,FALSE))),"")</f>
        <v>8500</v>
      </c>
    </row>
    <row r="442" spans="1:12">
      <c r="A442" t="s">
        <v>81</v>
      </c>
      <c r="B442" t="s">
        <v>81</v>
      </c>
      <c r="C442">
        <v>134097</v>
      </c>
      <c r="D442">
        <v>45220</v>
      </c>
      <c r="E442">
        <f t="shared" si="7"/>
        <v>2016</v>
      </c>
      <c r="F442">
        <f>IFERROR(IF(VLOOKUP(C442,TotalRev2!A:C,3,FALSE)="","",VLOOKUP(C442,TotalRev2!A:C,3,FALSE)),"")</f>
        <v>1048495</v>
      </c>
      <c r="G442">
        <f>IFERROR(IF(VLOOKUP(C442,TotalRev1!A:C,3,FALSE)="","",VLOOKUP(C442,TotalRev1!A:C,3,FALSE)),"")</f>
        <v>912544</v>
      </c>
      <c r="H442" s="26">
        <f>IFERROR(IFERROR(VLOOKUP($A442,Winpct2!$A:$K,9,FALSE),VLOOKUP($B442,Winpct2!$A:$K,9,FALSE)),"")</f>
        <v>0.75800000000000001</v>
      </c>
      <c r="I442">
        <f>IFERROR(IFERROR(VLOOKUP($A442,Ra2W!$A:$K,6,FALSE),VLOOKUP($B442,Ra2W!$A:$K,6,FALSE)),"")</f>
        <v>13076</v>
      </c>
      <c r="J442">
        <f>IFERROR(VLOOKUP(D442,'Pop-Metro'!A:R,E442-2005,FALSE),VLOOKUP(D442,'Pop-Micro'!A:R,E442-2005,FALSE))</f>
        <v>375951</v>
      </c>
      <c r="K442">
        <f>IFERROR(VLOOKUP(D442,'PCI-Metro'!A:R,E442-2005,FALSE),VLOOKUP(D442,'PCI-Micro'!A:R,E442-2005,FALSE))</f>
        <v>39168</v>
      </c>
      <c r="L442">
        <f>IFERROR(IF(IFERROR(VLOOKUP($A442,Attendance2!$B:$H,5,FALSE),VLOOKUP($B442,Attendance2!$B:$H,5,FALSE))="","",IFERROR(VLOOKUP($A442,Attendance2!$B:$H,5,FALSE),VLOOKUP($B442,Attendance2!$B:$H,5,FALSE))),"")</f>
        <v>1250</v>
      </c>
    </row>
    <row r="443" spans="1:12">
      <c r="A443" t="s">
        <v>82</v>
      </c>
      <c r="B443" t="s">
        <v>82</v>
      </c>
      <c r="C443">
        <v>191241</v>
      </c>
      <c r="D443">
        <v>35620</v>
      </c>
      <c r="E443">
        <f t="shared" si="7"/>
        <v>2016</v>
      </c>
      <c r="F443" t="str">
        <f>IFERROR(IF(VLOOKUP(C443,TotalRev2!A:C,3,FALSE)="","",VLOOKUP(C443,TotalRev2!A:C,3,FALSE)),"")</f>
        <v/>
      </c>
      <c r="G443" t="str">
        <f>IFERROR(IF(VLOOKUP(C443,TotalRev1!A:C,3,FALSE)="","",VLOOKUP(C443,TotalRev1!A:C,3,FALSE)),"")</f>
        <v/>
      </c>
      <c r="H443" s="26">
        <f>IFERROR(IFERROR(VLOOKUP($A443,Winpct2!$A:$K,9,FALSE),VLOOKUP($B443,Winpct2!$A:$K,9,FALSE)),"")</f>
        <v>0.25800000000000001</v>
      </c>
      <c r="I443">
        <f>IFERROR(IFERROR(VLOOKUP($A443,Ra2W!$A:$K,6,FALSE),VLOOKUP($B443,Ra2W!$A:$K,6,FALSE)),"")</f>
        <v>1888</v>
      </c>
      <c r="J443">
        <f>IFERROR(VLOOKUP(D443,'Pop-Metro'!A:R,E443-2005,FALSE),VLOOKUP(D443,'Pop-Micro'!A:R,E443-2005,FALSE))</f>
        <v>19943198</v>
      </c>
      <c r="K443">
        <f>IFERROR(VLOOKUP(D443,'PCI-Metro'!A:R,E443-2005,FALSE),VLOOKUP(D443,'PCI-Micro'!A:R,E443-2005,FALSE))</f>
        <v>64886</v>
      </c>
      <c r="L443">
        <f>IFERROR(IF(IFERROR(VLOOKUP($A443,Attendance2!$B:$H,5,FALSE),VLOOKUP($B443,Attendance2!$B:$H,5,FALSE))="","",IFERROR(VLOOKUP($A443,Attendance2!$B:$H,5,FALSE),VLOOKUP($B443,Attendance2!$B:$H,5,FALSE))),"")</f>
        <v>3200</v>
      </c>
    </row>
    <row r="444" spans="1:12">
      <c r="A444" t="s">
        <v>83</v>
      </c>
      <c r="B444" t="s">
        <v>83</v>
      </c>
      <c r="C444">
        <v>110556</v>
      </c>
      <c r="D444">
        <v>23420</v>
      </c>
      <c r="E444">
        <f t="shared" si="7"/>
        <v>2016</v>
      </c>
      <c r="F444">
        <f>IFERROR(IF(VLOOKUP(C444,TotalRev2!A:C,3,FALSE)="","",VLOOKUP(C444,TotalRev2!A:C,3,FALSE)),"")</f>
        <v>440254</v>
      </c>
      <c r="G444">
        <f>IFERROR(IF(VLOOKUP(C444,TotalRev1!A:C,3,FALSE)="","",VLOOKUP(C444,TotalRev1!A:C,3,FALSE)),"")</f>
        <v>725503</v>
      </c>
      <c r="H444" s="26">
        <f>IFERROR(IFERROR(VLOOKUP($A444,Winpct2!$A:$K,9,FALSE),VLOOKUP($B444,Winpct2!$A:$K,9,FALSE)),"")</f>
        <v>0.438</v>
      </c>
      <c r="I444">
        <f>IFERROR(IFERROR(VLOOKUP($A444,Ra2W!$A:$K,6,FALSE),VLOOKUP($B444,Ra2W!$A:$K,6,FALSE)),"")</f>
        <v>10574</v>
      </c>
      <c r="J444">
        <f>IFERROR(VLOOKUP(D444,'Pop-Metro'!A:R,E444-2005,FALSE),VLOOKUP(D444,'Pop-Micro'!A:R,E444-2005,FALSE))</f>
        <v>980843</v>
      </c>
      <c r="K444">
        <f>IFERROR(VLOOKUP(D444,'PCI-Metro'!A:R,E444-2005,FALSE),VLOOKUP(D444,'PCI-Micro'!A:R,E444-2005,FALSE))</f>
        <v>39072</v>
      </c>
      <c r="L444">
        <f>IFERROR(IF(IFERROR(VLOOKUP($A444,Attendance2!$B:$H,5,FALSE),VLOOKUP($B444,Attendance2!$B:$H,5,FALSE))="","",IFERROR(VLOOKUP($A444,Attendance2!$B:$H,5,FALSE),VLOOKUP($B444,Attendance2!$B:$H,5,FALSE))),"")</f>
        <v>2024</v>
      </c>
    </row>
    <row r="445" spans="1:12">
      <c r="A445" t="s">
        <v>84</v>
      </c>
      <c r="B445" t="s">
        <v>84</v>
      </c>
      <c r="C445">
        <v>218070</v>
      </c>
      <c r="D445">
        <v>24860</v>
      </c>
      <c r="E445">
        <f t="shared" si="7"/>
        <v>2016</v>
      </c>
      <c r="F445" t="str">
        <f>IFERROR(IF(VLOOKUP(C445,TotalRev2!A:C,3,FALSE)="","",VLOOKUP(C445,TotalRev2!A:C,3,FALSE)),"")</f>
        <v/>
      </c>
      <c r="G445" t="str">
        <f>IFERROR(IF(VLOOKUP(C445,TotalRev1!A:C,3,FALSE)="","",VLOOKUP(C445,TotalRev1!A:C,3,FALSE)),"")</f>
        <v/>
      </c>
      <c r="H445" s="26">
        <f>IFERROR(IFERROR(VLOOKUP($A445,Winpct2!$A:$K,9,FALSE),VLOOKUP($B445,Winpct2!$A:$K,9,FALSE)),"")</f>
        <v>0.7</v>
      </c>
      <c r="I445">
        <f>IFERROR(IFERROR(VLOOKUP($A445,Ra2W!$A:$K,6,FALSE),VLOOKUP($B445,Ra2W!$A:$K,6,FALSE)),"")</f>
        <v>4077</v>
      </c>
      <c r="J445">
        <f>IFERROR(VLOOKUP(D445,'Pop-Metro'!A:R,E445-2005,FALSE),VLOOKUP(D445,'Pop-Micro'!A:R,E445-2005,FALSE))</f>
        <v>883360</v>
      </c>
      <c r="K445">
        <f>IFERROR(VLOOKUP(D445,'PCI-Metro'!A:R,E445-2005,FALSE),VLOOKUP(D445,'PCI-Micro'!A:R,E445-2005,FALSE))</f>
        <v>40698</v>
      </c>
      <c r="L445">
        <f>IFERROR(IF(IFERROR(VLOOKUP($A445,Attendance2!$B:$H,5,FALSE),VLOOKUP($B445,Attendance2!$B:$H,5,FALSE))="","",IFERROR(VLOOKUP($A445,Attendance2!$B:$H,5,FALSE),VLOOKUP($B445,Attendance2!$B:$H,5,FALSE))),"")</f>
        <v>1000</v>
      </c>
    </row>
    <row r="446" spans="1:12">
      <c r="A446" t="s">
        <v>85</v>
      </c>
      <c r="B446" t="s">
        <v>85</v>
      </c>
      <c r="C446">
        <v>139931</v>
      </c>
      <c r="D446">
        <v>44340</v>
      </c>
      <c r="E446">
        <f t="shared" si="7"/>
        <v>2016</v>
      </c>
      <c r="F446">
        <f>IFERROR(IF(VLOOKUP(C446,TotalRev2!A:C,3,FALSE)="","",VLOOKUP(C446,TotalRev2!A:C,3,FALSE)),"")</f>
        <v>63673</v>
      </c>
      <c r="G446">
        <f>IFERROR(IF(VLOOKUP(C446,TotalRev1!A:C,3,FALSE)="","",VLOOKUP(C446,TotalRev1!A:C,3,FALSE)),"")</f>
        <v>2007</v>
      </c>
      <c r="H446" s="26">
        <f>IFERROR(IFERROR(VLOOKUP($A446,Winpct2!$A:$K,9,FALSE),VLOOKUP($B446,Winpct2!$A:$K,9,FALSE)),"")</f>
        <v>0.34499999999999997</v>
      </c>
      <c r="I446">
        <f>IFERROR(IFERROR(VLOOKUP($A446,Ra2W!$A:$K,6,FALSE),VLOOKUP($B446,Ra2W!$A:$K,6,FALSE)),"")</f>
        <v>3261</v>
      </c>
      <c r="J446">
        <f>IFERROR(VLOOKUP(D446,'Pop-Metro'!A:R,E446-2005,FALSE),VLOOKUP(D446,'Pop-Micro'!A:R,E446-2005,FALSE))</f>
        <v>74970</v>
      </c>
      <c r="K446">
        <f>IFERROR(VLOOKUP(D446,'PCI-Metro'!A:R,E446-2005,FALSE),VLOOKUP(D446,'PCI-Micro'!A:R,E446-2005,FALSE))</f>
        <v>30206</v>
      </c>
      <c r="L446">
        <f>IFERROR(IF(IFERROR(VLOOKUP($A446,Attendance2!$B:$H,5,FALSE),VLOOKUP($B446,Attendance2!$B:$H,5,FALSE))="","",IFERROR(VLOOKUP($A446,Attendance2!$B:$H,5,FALSE),VLOOKUP($B446,Attendance2!$B:$H,5,FALSE))),"")</f>
        <v>4358</v>
      </c>
    </row>
    <row r="447" spans="1:12">
      <c r="A447" t="s">
        <v>86</v>
      </c>
      <c r="B447" t="s">
        <v>86</v>
      </c>
      <c r="C447">
        <v>198561</v>
      </c>
      <c r="D447">
        <v>23500</v>
      </c>
      <c r="E447">
        <f t="shared" si="7"/>
        <v>2016</v>
      </c>
      <c r="F447" t="str">
        <f>IFERROR(IF(VLOOKUP(C447,TotalRev2!A:C,3,FALSE)="","",VLOOKUP(C447,TotalRev2!A:C,3,FALSE)),"")</f>
        <v/>
      </c>
      <c r="G447" t="str">
        <f>IFERROR(IF(VLOOKUP(C447,TotalRev1!A:C,3,FALSE)="","",VLOOKUP(C447,TotalRev1!A:C,3,FALSE)),"")</f>
        <v/>
      </c>
      <c r="H447" s="26">
        <f>IFERROR(IFERROR(VLOOKUP($A447,Winpct2!$A:$K,9,FALSE),VLOOKUP($B447,Winpct2!$A:$K,9,FALSE)),"")</f>
        <v>0.28999999999999998</v>
      </c>
      <c r="I447">
        <f>IFERROR(IFERROR(VLOOKUP($A447,Ra2W!$A:$K,6,FALSE),VLOOKUP($B447,Ra2W!$A:$K,6,FALSE)),"")</f>
        <v>6825</v>
      </c>
      <c r="J447">
        <f>IFERROR(VLOOKUP(D447,'Pop-Metro'!A:R,E447-2005,FALSE),VLOOKUP(D447,'Pop-Micro'!A:R,E447-2005,FALSE))</f>
        <v>56022</v>
      </c>
      <c r="K447">
        <f>IFERROR(VLOOKUP(D447,'PCI-Metro'!A:R,E447-2005,FALSE),VLOOKUP(D447,'PCI-Micro'!A:R,E447-2005,FALSE))</f>
        <v>30888</v>
      </c>
      <c r="L447">
        <f>IFERROR(IF(IFERROR(VLOOKUP($A447,Attendance2!$B:$H,5,FALSE),VLOOKUP($B447,Attendance2!$B:$H,5,FALSE))="","",IFERROR(VLOOKUP($A447,Attendance2!$B:$H,5,FALSE),VLOOKUP($B447,Attendance2!$B:$H,5,FALSE))),"")</f>
        <v>3500</v>
      </c>
    </row>
    <row r="448" spans="1:12">
      <c r="A448" t="s">
        <v>87</v>
      </c>
      <c r="B448" t="s">
        <v>87</v>
      </c>
      <c r="C448">
        <v>232186</v>
      </c>
      <c r="D448">
        <v>47900</v>
      </c>
      <c r="E448">
        <f t="shared" si="7"/>
        <v>2016</v>
      </c>
      <c r="F448" t="str">
        <f>IFERROR(IF(VLOOKUP(C448,TotalRev2!A:C,3,FALSE)="","",VLOOKUP(C448,TotalRev2!A:C,3,FALSE)),"")</f>
        <v/>
      </c>
      <c r="G448" t="str">
        <f>IFERROR(IF(VLOOKUP(C448,TotalRev1!A:C,3,FALSE)="","",VLOOKUP(C448,TotalRev1!A:C,3,FALSE)),"")</f>
        <v/>
      </c>
      <c r="H448" s="26">
        <f>IFERROR(IFERROR(VLOOKUP($A448,Winpct2!$A:$K,9,FALSE),VLOOKUP($B448,Winpct2!$A:$K,9,FALSE)),"")</f>
        <v>0.34499999999999997</v>
      </c>
      <c r="I448">
        <f>IFERROR(IFERROR(VLOOKUP($A448,Ra2W!$A:$K,6,FALSE),VLOOKUP($B448,Ra2W!$A:$K,6,FALSE)),"")</f>
        <v>2558</v>
      </c>
      <c r="J448">
        <f>IFERROR(VLOOKUP(D448,'Pop-Metro'!A:R,E448-2005,FALSE),VLOOKUP(D448,'Pop-Micro'!A:R,E448-2005,FALSE))</f>
        <v>6193671</v>
      </c>
      <c r="K448">
        <f>IFERROR(VLOOKUP(D448,'PCI-Metro'!A:R,E448-2005,FALSE),VLOOKUP(D448,'PCI-Micro'!A:R,E448-2005,FALSE))</f>
        <v>66189</v>
      </c>
      <c r="L448">
        <f>IFERROR(IF(IFERROR(VLOOKUP($A448,Attendance2!$B:$H,5,FALSE),VLOOKUP($B448,Attendance2!$B:$H,5,FALSE))="","",IFERROR(VLOOKUP($A448,Attendance2!$B:$H,5,FALSE),VLOOKUP($B448,Attendance2!$B:$H,5,FALSE))),"")</f>
        <v>1500</v>
      </c>
    </row>
    <row r="449" spans="1:12">
      <c r="A449" t="s">
        <v>88</v>
      </c>
      <c r="B449" t="s">
        <v>88</v>
      </c>
      <c r="C449">
        <v>131469</v>
      </c>
      <c r="D449">
        <v>47900</v>
      </c>
      <c r="E449">
        <f t="shared" si="7"/>
        <v>2016</v>
      </c>
      <c r="F449" t="str">
        <f>IFERROR(IF(VLOOKUP(C449,TotalRev2!A:C,3,FALSE)="","",VLOOKUP(C449,TotalRev2!A:C,3,FALSE)),"")</f>
        <v/>
      </c>
      <c r="G449" t="str">
        <f>IFERROR(IF(VLOOKUP(C449,TotalRev1!A:C,3,FALSE)="","",VLOOKUP(C449,TotalRev1!A:C,3,FALSE)),"")</f>
        <v/>
      </c>
      <c r="H449" s="26">
        <f>IFERROR(IFERROR(VLOOKUP($A449,Winpct2!$A:$K,9,FALSE),VLOOKUP($B449,Winpct2!$A:$K,9,FALSE)),"")</f>
        <v>0.65600000000000003</v>
      </c>
      <c r="I449">
        <f>IFERROR(IFERROR(VLOOKUP($A449,Ra2W!$A:$K,6,FALSE),VLOOKUP($B449,Ra2W!$A:$K,6,FALSE)),"")</f>
        <v>6104</v>
      </c>
      <c r="J449">
        <f>IFERROR(VLOOKUP(D449,'Pop-Metro'!A:R,E449-2005,FALSE),VLOOKUP(D449,'Pop-Micro'!A:R,E449-2005,FALSE))</f>
        <v>6193671</v>
      </c>
      <c r="K449">
        <f>IFERROR(VLOOKUP(D449,'PCI-Metro'!A:R,E449-2005,FALSE),VLOOKUP(D449,'PCI-Micro'!A:R,E449-2005,FALSE))</f>
        <v>66189</v>
      </c>
      <c r="L449">
        <f>IFERROR(IF(IFERROR(VLOOKUP($A449,Attendance2!$B:$H,5,FALSE),VLOOKUP($B449,Attendance2!$B:$H,5,FALSE))="","",IFERROR(VLOOKUP($A449,Attendance2!$B:$H,5,FALSE),VLOOKUP($B449,Attendance2!$B:$H,5,FALSE))),"")</f>
        <v>4338</v>
      </c>
    </row>
    <row r="450" spans="1:12">
      <c r="A450" t="s">
        <v>89</v>
      </c>
      <c r="B450" t="s">
        <v>89</v>
      </c>
      <c r="C450">
        <v>131496</v>
      </c>
      <c r="D450">
        <v>47900</v>
      </c>
      <c r="E450">
        <f t="shared" si="7"/>
        <v>2016</v>
      </c>
      <c r="F450" t="str">
        <f>IFERROR(IF(VLOOKUP(C450,TotalRev2!A:C,3,FALSE)="","",VLOOKUP(C450,TotalRev2!A:C,3,FALSE)),"")</f>
        <v/>
      </c>
      <c r="G450" t="str">
        <f>IFERROR(IF(VLOOKUP(C450,TotalRev1!A:C,3,FALSE)="","",VLOOKUP(C450,TotalRev1!A:C,3,FALSE)),"")</f>
        <v/>
      </c>
      <c r="H450" s="26">
        <f>IFERROR(IFERROR(VLOOKUP($A450,Winpct2!$A:$K,9,FALSE),VLOOKUP($B450,Winpct2!$A:$K,9,FALSE)),"")</f>
        <v>0.32300000000000001</v>
      </c>
      <c r="I450">
        <f>IFERROR(IFERROR(VLOOKUP($A450,Ra2W!$A:$K,6,FALSE),VLOOKUP($B450,Ra2W!$A:$K,6,FALSE)),"")</f>
        <v>1943</v>
      </c>
      <c r="J450">
        <f>IFERROR(VLOOKUP(D450,'Pop-Metro'!A:R,E450-2005,FALSE),VLOOKUP(D450,'Pop-Micro'!A:R,E450-2005,FALSE))</f>
        <v>6193671</v>
      </c>
      <c r="K450">
        <f>IFERROR(VLOOKUP(D450,'PCI-Metro'!A:R,E450-2005,FALSE),VLOOKUP(D450,'PCI-Micro'!A:R,E450-2005,FALSE))</f>
        <v>66189</v>
      </c>
      <c r="L450">
        <f>IFERROR(IF(IFERROR(VLOOKUP($A450,Attendance2!$B:$H,5,FALSE),VLOOKUP($B450,Attendance2!$B:$H,5,FALSE))="","",IFERROR(VLOOKUP($A450,Attendance2!$B:$H,5,FALSE),VLOOKUP($B450,Attendance2!$B:$H,5,FALSE))),"")</f>
        <v>2400</v>
      </c>
    </row>
    <row r="451" spans="1:12">
      <c r="A451" t="s">
        <v>90</v>
      </c>
      <c r="B451" t="s">
        <v>90</v>
      </c>
      <c r="C451">
        <v>139959</v>
      </c>
      <c r="D451">
        <v>12020</v>
      </c>
      <c r="E451">
        <f t="shared" si="7"/>
        <v>2016</v>
      </c>
      <c r="F451">
        <f>IFERROR(IF(VLOOKUP(C451,TotalRev2!A:C,3,FALSE)="","",VLOOKUP(C451,TotalRev2!A:C,3,FALSE)),"")</f>
        <v>209075</v>
      </c>
      <c r="G451">
        <f>IFERROR(IF(VLOOKUP(C451,TotalRev1!A:C,3,FALSE)="","",VLOOKUP(C451,TotalRev1!A:C,3,FALSE)),"")</f>
        <v>214103</v>
      </c>
      <c r="H451" s="26">
        <f>IFERROR(IFERROR(VLOOKUP($A451,Winpct2!$A:$K,9,FALSE),VLOOKUP($B451,Winpct2!$A:$K,9,FALSE)),"")</f>
        <v>0.16700000000000001</v>
      </c>
      <c r="I451">
        <f>IFERROR(IFERROR(VLOOKUP($A451,Ra2W!$A:$K,6,FALSE),VLOOKUP($B451,Ra2W!$A:$K,6,FALSE)),"")</f>
        <v>15472</v>
      </c>
      <c r="J451">
        <f>IFERROR(VLOOKUP(D451,'Pop-Metro'!A:R,E451-2005,FALSE),VLOOKUP(D451,'Pop-Micro'!A:R,E451-2005,FALSE))</f>
        <v>205850</v>
      </c>
      <c r="K451">
        <f>IFERROR(VLOOKUP(D451,'PCI-Metro'!A:R,E451-2005,FALSE),VLOOKUP(D451,'PCI-Micro'!A:R,E451-2005,FALSE))</f>
        <v>36824</v>
      </c>
      <c r="L451">
        <f>IFERROR(IF(IFERROR(VLOOKUP($A451,Attendance2!$B:$H,5,FALSE),VLOOKUP($B451,Attendance2!$B:$H,5,FALSE))="","",IFERROR(VLOOKUP($A451,Attendance2!$B:$H,5,FALSE),VLOOKUP($B451,Attendance2!$B:$H,5,FALSE))),"")</f>
        <v>1925</v>
      </c>
    </row>
    <row r="452" spans="1:12">
      <c r="A452" t="s">
        <v>91</v>
      </c>
      <c r="B452" t="s">
        <v>91</v>
      </c>
      <c r="C452">
        <v>139940</v>
      </c>
      <c r="D452">
        <v>12060</v>
      </c>
      <c r="E452">
        <f t="shared" si="7"/>
        <v>2016</v>
      </c>
      <c r="F452">
        <f>IFERROR(IF(VLOOKUP(C452,TotalRev2!A:C,3,FALSE)="","",VLOOKUP(C452,TotalRev2!A:C,3,FALSE)),"")</f>
        <v>216489</v>
      </c>
      <c r="G452">
        <f>IFERROR(IF(VLOOKUP(C452,TotalRev1!A:C,3,FALSE)="","",VLOOKUP(C452,TotalRev1!A:C,3,FALSE)),"")</f>
        <v>230987</v>
      </c>
      <c r="H452" s="26">
        <f>IFERROR(IFERROR(VLOOKUP($A452,Winpct2!$A:$K,9,FALSE),VLOOKUP($B452,Winpct2!$A:$K,9,FALSE)),"")</f>
        <v>0.26900000000000002</v>
      </c>
      <c r="I452">
        <f>IFERROR(IFERROR(VLOOKUP($A452,Ra2W!$A:$K,6,FALSE),VLOOKUP($B452,Ra2W!$A:$K,6,FALSE)),"")</f>
        <v>3396</v>
      </c>
      <c r="J452">
        <f>IFERROR(VLOOKUP(D452,'Pop-Metro'!A:R,E452-2005,FALSE),VLOOKUP(D452,'Pop-Micro'!A:R,E452-2005,FALSE))</f>
        <v>5800316</v>
      </c>
      <c r="K452">
        <f>IFERROR(VLOOKUP(D452,'PCI-Metro'!A:R,E452-2005,FALSE),VLOOKUP(D452,'PCI-Micro'!A:R,E452-2005,FALSE))</f>
        <v>48350</v>
      </c>
      <c r="L452">
        <f>IFERROR(IF(IFERROR(VLOOKUP($A452,Attendance2!$B:$H,5,FALSE),VLOOKUP($B452,Attendance2!$B:$H,5,FALSE))="","",IFERROR(VLOOKUP($A452,Attendance2!$B:$H,5,FALSE),VLOOKUP($B452,Attendance2!$B:$H,5,FALSE))),"")</f>
        <v>3800</v>
      </c>
    </row>
    <row r="453" spans="1:12">
      <c r="A453" t="s">
        <v>92</v>
      </c>
      <c r="B453" t="s">
        <v>92</v>
      </c>
      <c r="C453">
        <v>139755</v>
      </c>
      <c r="D453">
        <v>12060</v>
      </c>
      <c r="E453">
        <f t="shared" si="7"/>
        <v>2016</v>
      </c>
      <c r="F453">
        <f>IFERROR(IF(VLOOKUP(C453,TotalRev2!A:C,3,FALSE)="","",VLOOKUP(C453,TotalRev2!A:C,3,FALSE)),"")</f>
        <v>247615</v>
      </c>
      <c r="G453">
        <f>IFERROR(IF(VLOOKUP(C453,TotalRev1!A:C,3,FALSE)="","",VLOOKUP(C453,TotalRev1!A:C,3,FALSE)),"")</f>
        <v>200624</v>
      </c>
      <c r="H453" s="26">
        <f>IFERROR(IFERROR(VLOOKUP($A453,Winpct2!$A:$K,9,FALSE),VLOOKUP($B453,Winpct2!$A:$K,9,FALSE)),"")</f>
        <v>0.56299999999999994</v>
      </c>
      <c r="I453">
        <f>IFERROR(IFERROR(VLOOKUP($A453,Ra2W!$A:$K,6,FALSE),VLOOKUP($B453,Ra2W!$A:$K,6,FALSE)),"")</f>
        <v>12095</v>
      </c>
      <c r="J453">
        <f>IFERROR(VLOOKUP(D453,'Pop-Metro'!A:R,E453-2005,FALSE),VLOOKUP(D453,'Pop-Micro'!A:R,E453-2005,FALSE))</f>
        <v>5800316</v>
      </c>
      <c r="K453">
        <f>IFERROR(VLOOKUP(D453,'PCI-Metro'!A:R,E453-2005,FALSE),VLOOKUP(D453,'PCI-Micro'!A:R,E453-2005,FALSE))</f>
        <v>48350</v>
      </c>
      <c r="L453">
        <f>IFERROR(IF(IFERROR(VLOOKUP($A453,Attendance2!$B:$H,5,FALSE),VLOOKUP($B453,Attendance2!$B:$H,5,FALSE))="","",IFERROR(VLOOKUP($A453,Attendance2!$B:$H,5,FALSE),VLOOKUP($B453,Attendance2!$B:$H,5,FALSE))),"")</f>
        <v>2000</v>
      </c>
    </row>
    <row r="454" spans="1:12">
      <c r="A454" t="s">
        <v>1276</v>
      </c>
      <c r="B454" t="s">
        <v>1276</v>
      </c>
      <c r="C454">
        <v>235316</v>
      </c>
      <c r="D454">
        <v>44060</v>
      </c>
      <c r="E454">
        <f t="shared" si="7"/>
        <v>2016</v>
      </c>
      <c r="F454" t="str">
        <f>IFERROR(IF(VLOOKUP(C454,TotalRev2!A:C,3,FALSE)="","",VLOOKUP(C454,TotalRev2!A:C,3,FALSE)),"")</f>
        <v/>
      </c>
      <c r="G454" t="str">
        <f>IFERROR(IF(VLOOKUP(C454,TotalRev1!A:C,3,FALSE)="","",VLOOKUP(C454,TotalRev1!A:C,3,FALSE)),"")</f>
        <v/>
      </c>
      <c r="H454" s="26">
        <f>IFERROR(IFERROR(VLOOKUP($A454,Winpct2!$A:$K,9,FALSE),VLOOKUP($B454,Winpct2!$A:$K,9,FALSE)),"")</f>
        <v>0.51600000000000001</v>
      </c>
      <c r="I454">
        <f>IFERROR(IFERROR(VLOOKUP($A454,Ra2W!$A:$K,6,FALSE),VLOOKUP($B454,Ra2W!$A:$K,6,FALSE)),"")</f>
        <v>8695</v>
      </c>
      <c r="J454">
        <f>IFERROR(VLOOKUP(D454,'Pop-Metro'!A:R,E454-2005,FALSE),VLOOKUP(D454,'Pop-Micro'!A:R,E454-2005,FALSE))</f>
        <v>548704</v>
      </c>
      <c r="K454">
        <f>IFERROR(VLOOKUP(D454,'PCI-Metro'!A:R,E454-2005,FALSE),VLOOKUP(D454,'PCI-Micro'!A:R,E454-2005,FALSE))</f>
        <v>40347</v>
      </c>
      <c r="L454">
        <f>IFERROR(IF(IFERROR(VLOOKUP($A454,Attendance2!$B:$H,5,FALSE),VLOOKUP($B454,Attendance2!$B:$H,5,FALSE))="","",IFERROR(VLOOKUP($A454,Attendance2!$B:$H,5,FALSE),VLOOKUP($B454,Attendance2!$B:$H,5,FALSE))),"")</f>
        <v>2000</v>
      </c>
    </row>
    <row r="455" spans="1:12">
      <c r="A455" t="s">
        <v>93</v>
      </c>
      <c r="B455" t="s">
        <v>93</v>
      </c>
      <c r="C455">
        <v>159009</v>
      </c>
      <c r="D455">
        <v>33740</v>
      </c>
      <c r="E455">
        <f t="shared" si="7"/>
        <v>2016</v>
      </c>
      <c r="F455">
        <f>IFERROR(IF(VLOOKUP(C455,TotalRev2!A:C,3,FALSE)="","",VLOOKUP(C455,TotalRev2!A:C,3,FALSE)),"")</f>
        <v>73111</v>
      </c>
      <c r="G455" t="str">
        <f>IFERROR(IF(VLOOKUP(C455,TotalRev1!A:C,3,FALSE)="","",VLOOKUP(C455,TotalRev1!A:C,3,FALSE)),"")</f>
        <v/>
      </c>
      <c r="H455" s="26">
        <f>IFERROR(IFERROR(VLOOKUP($A455,Winpct2!$A:$K,9,FALSE),VLOOKUP($B455,Winpct2!$A:$K,9,FALSE)),"")</f>
        <v>0.26500000000000001</v>
      </c>
      <c r="I455">
        <f>IFERROR(IFERROR(VLOOKUP($A455,Ra2W!$A:$K,6,FALSE),VLOOKUP($B455,Ra2W!$A:$K,6,FALSE)),"")</f>
        <v>1853</v>
      </c>
      <c r="J455">
        <f>IFERROR(VLOOKUP(D455,'Pop-Metro'!A:R,E455-2005,FALSE),VLOOKUP(D455,'Pop-Micro'!A:R,E455-2005,FALSE))</f>
        <v>210240</v>
      </c>
      <c r="K455">
        <f>IFERROR(VLOOKUP(D455,'PCI-Metro'!A:R,E455-2005,FALSE),VLOOKUP(D455,'PCI-Micro'!A:R,E455-2005,FALSE))</f>
        <v>36468</v>
      </c>
      <c r="L455">
        <f>IFERROR(IF(IFERROR(VLOOKUP($A455,Attendance2!$B:$H,5,FALSE),VLOOKUP($B455,Attendance2!$B:$H,5,FALSE))="","",IFERROR(VLOOKUP($A455,Attendance2!$B:$H,5,FALSE),VLOOKUP($B455,Attendance2!$B:$H,5,FALSE))),"")</f>
        <v>4500</v>
      </c>
    </row>
    <row r="456" spans="1:12">
      <c r="A456" t="s">
        <v>94</v>
      </c>
      <c r="B456" t="s">
        <v>94</v>
      </c>
      <c r="C456">
        <v>104717</v>
      </c>
      <c r="D456">
        <v>38060</v>
      </c>
      <c r="E456">
        <f t="shared" si="7"/>
        <v>2016</v>
      </c>
      <c r="F456" t="str">
        <f>IFERROR(IF(VLOOKUP(C456,TotalRev2!A:C,3,FALSE)="","",VLOOKUP(C456,TotalRev2!A:C,3,FALSE)),"")</f>
        <v/>
      </c>
      <c r="G456" t="str">
        <f>IFERROR(IF(VLOOKUP(C456,TotalRev1!A:C,3,FALSE)="","",VLOOKUP(C456,TotalRev1!A:C,3,FALSE)),"")</f>
        <v/>
      </c>
      <c r="H456" s="26" t="str">
        <f>IFERROR(IFERROR(VLOOKUP($A456,Winpct2!$A:$K,9,FALSE),VLOOKUP($B456,Winpct2!$A:$K,9,FALSE)),"")</f>
        <v/>
      </c>
      <c r="I456">
        <f>IFERROR(IFERROR(VLOOKUP($A456,Ra2W!$A:$K,6,FALSE),VLOOKUP($B456,Ra2W!$A:$K,6,FALSE)),"")</f>
        <v>7814</v>
      </c>
      <c r="J456">
        <f>IFERROR(VLOOKUP(D456,'Pop-Metro'!A:R,E456-2005,FALSE),VLOOKUP(D456,'Pop-Micro'!A:R,E456-2005,FALSE))</f>
        <v>4564173</v>
      </c>
      <c r="K456">
        <f>IFERROR(VLOOKUP(D456,'PCI-Metro'!A:R,E456-2005,FALSE),VLOOKUP(D456,'PCI-Micro'!A:R,E456-2005,FALSE))</f>
        <v>43196</v>
      </c>
      <c r="L456">
        <f>IFERROR(IF(IFERROR(VLOOKUP($A456,Attendance2!$B:$H,5,FALSE),VLOOKUP($B456,Attendance2!$B:$H,5,FALSE))="","",IFERROR(VLOOKUP($A456,Attendance2!$B:$H,5,FALSE),VLOOKUP($B456,Attendance2!$B:$H,5,FALSE))),"")</f>
        <v>7000</v>
      </c>
    </row>
    <row r="457" spans="1:12">
      <c r="A457" t="s">
        <v>95</v>
      </c>
      <c r="B457" t="s">
        <v>95</v>
      </c>
      <c r="C457">
        <v>240277</v>
      </c>
      <c r="D457">
        <v>24580</v>
      </c>
      <c r="E457">
        <f t="shared" si="7"/>
        <v>2016</v>
      </c>
      <c r="F457">
        <f>IFERROR(IF(VLOOKUP(C457,TotalRev2!A:C,3,FALSE)="","",VLOOKUP(C457,TotalRev2!A:C,3,FALSE)),"")</f>
        <v>245865</v>
      </c>
      <c r="G457">
        <f>IFERROR(IF(VLOOKUP(C457,TotalRev1!A:C,3,FALSE)="","",VLOOKUP(C457,TotalRev1!A:C,3,FALSE)),"")</f>
        <v>140007</v>
      </c>
      <c r="H457" s="26">
        <f>IFERROR(IFERROR(VLOOKUP($A457,Winpct2!$A:$K,9,FALSE),VLOOKUP($B457,Winpct2!$A:$K,9,FALSE)),"")</f>
        <v>0.56699999999999995</v>
      </c>
      <c r="I457">
        <f>IFERROR(IFERROR(VLOOKUP($A457,Ra2W!$A:$K,6,FALSE),VLOOKUP($B457,Ra2W!$A:$K,6,FALSE)),"")</f>
        <v>3447</v>
      </c>
      <c r="J457">
        <f>IFERROR(VLOOKUP(D457,'Pop-Metro'!A:R,E457-2005,FALSE),VLOOKUP(D457,'Pop-Micro'!A:R,E457-2005,FALSE))</f>
        <v>320483</v>
      </c>
      <c r="K457">
        <f>IFERROR(VLOOKUP(D457,'PCI-Metro'!A:R,E457-2005,FALSE),VLOOKUP(D457,'PCI-Micro'!A:R,E457-2005,FALSE))</f>
        <v>46221</v>
      </c>
      <c r="L457">
        <f>IFERROR(IF(IFERROR(VLOOKUP($A457,Attendance2!$B:$H,5,FALSE),VLOOKUP($B457,Attendance2!$B:$H,5,FALSE))="","",IFERROR(VLOOKUP($A457,Attendance2!$B:$H,5,FALSE),VLOOKUP($B457,Attendance2!$B:$H,5,FALSE))),"")</f>
        <v>4018</v>
      </c>
    </row>
    <row r="458" spans="1:12">
      <c r="A458" t="s">
        <v>96</v>
      </c>
      <c r="B458" t="s">
        <v>96</v>
      </c>
      <c r="C458">
        <v>232265</v>
      </c>
      <c r="D458">
        <v>47260</v>
      </c>
      <c r="E458">
        <f t="shared" si="7"/>
        <v>2016</v>
      </c>
      <c r="F458" t="str">
        <f>IFERROR(IF(VLOOKUP(C458,TotalRev2!A:C,3,FALSE)="","",VLOOKUP(C458,TotalRev2!A:C,3,FALSE)),"")</f>
        <v/>
      </c>
      <c r="G458" t="str">
        <f>IFERROR(IF(VLOOKUP(C458,TotalRev1!A:C,3,FALSE)="","",VLOOKUP(C458,TotalRev1!A:C,3,FALSE)),"")</f>
        <v/>
      </c>
      <c r="H458" s="26">
        <f>IFERROR(IFERROR(VLOOKUP($A458,Winpct2!$A:$K,9,FALSE),VLOOKUP($B458,Winpct2!$A:$K,9,FALSE)),"")</f>
        <v>0.12</v>
      </c>
      <c r="I458">
        <f>IFERROR(IFERROR(VLOOKUP($A458,Ra2W!$A:$K,6,FALSE),VLOOKUP($B458,Ra2W!$A:$K,6,FALSE)),"")</f>
        <v>1400</v>
      </c>
      <c r="J458">
        <f>IFERROR(VLOOKUP(D458,'Pop-Metro'!A:R,E458-2005,FALSE),VLOOKUP(D458,'Pop-Micro'!A:R,E458-2005,FALSE))</f>
        <v>1773651</v>
      </c>
      <c r="K458">
        <f>IFERROR(VLOOKUP(D458,'PCI-Metro'!A:R,E458-2005,FALSE),VLOOKUP(D458,'PCI-Micro'!A:R,E458-2005,FALSE))</f>
        <v>46137</v>
      </c>
      <c r="L458">
        <f>IFERROR(IF(IFERROR(VLOOKUP($A458,Attendance2!$B:$H,5,FALSE),VLOOKUP($B458,Attendance2!$B:$H,5,FALSE))="","",IFERROR(VLOOKUP($A458,Attendance2!$B:$H,5,FALSE),VLOOKUP($B458,Attendance2!$B:$H,5,FALSE))),"")</f>
        <v>2870</v>
      </c>
    </row>
    <row r="459" spans="1:12">
      <c r="A459" t="s">
        <v>1277</v>
      </c>
      <c r="B459" t="s">
        <v>1277</v>
      </c>
      <c r="C459">
        <v>129525</v>
      </c>
      <c r="D459">
        <v>25540</v>
      </c>
      <c r="E459">
        <f t="shared" si="7"/>
        <v>2016</v>
      </c>
      <c r="F459" t="str">
        <f>IFERROR(IF(VLOOKUP(C459,TotalRev2!A:C,3,FALSE)="","",VLOOKUP(C459,TotalRev2!A:C,3,FALSE)),"")</f>
        <v/>
      </c>
      <c r="G459" t="str">
        <f>IFERROR(IF(VLOOKUP(C459,TotalRev1!A:C,3,FALSE)="","",VLOOKUP(C459,TotalRev1!A:C,3,FALSE)),"")</f>
        <v/>
      </c>
      <c r="H459" s="26">
        <f>IFERROR(IFERROR(VLOOKUP($A459,Winpct2!$A:$K,9,FALSE),VLOOKUP($B459,Winpct2!$A:$K,9,FALSE)),"")</f>
        <v>6.9000000000000006E-2</v>
      </c>
      <c r="I459">
        <f>IFERROR(IFERROR(VLOOKUP($A459,Ra2W!$A:$K,6,FALSE),VLOOKUP($B459,Ra2W!$A:$K,6,FALSE)),"")</f>
        <v>3023</v>
      </c>
      <c r="J459">
        <f>IFERROR(VLOOKUP(D459,'Pop-Metro'!A:R,E459-2005,FALSE),VLOOKUP(D459,'Pop-Micro'!A:R,E459-2005,FALSE))</f>
        <v>1215505</v>
      </c>
      <c r="K459">
        <f>IFERROR(VLOOKUP(D459,'PCI-Metro'!A:R,E459-2005,FALSE),VLOOKUP(D459,'PCI-Micro'!A:R,E459-2005,FALSE))</f>
        <v>58296</v>
      </c>
      <c r="L459">
        <f>IFERROR(IF(IFERROR(VLOOKUP($A459,Attendance2!$B:$H,5,FALSE),VLOOKUP($B459,Attendance2!$B:$H,5,FALSE))="","",IFERROR(VLOOKUP($A459,Attendance2!$B:$H,5,FALSE),VLOOKUP($B459,Attendance2!$B:$H,5,FALSE))),"")</f>
        <v>1000</v>
      </c>
    </row>
    <row r="460" spans="1:12">
      <c r="A460" t="s">
        <v>97</v>
      </c>
      <c r="B460" t="s">
        <v>97</v>
      </c>
      <c r="C460">
        <v>166027</v>
      </c>
      <c r="D460">
        <v>14460</v>
      </c>
      <c r="E460">
        <f t="shared" si="7"/>
        <v>2016</v>
      </c>
      <c r="F460" t="str">
        <f>IFERROR(IF(VLOOKUP(C460,TotalRev2!A:C,3,FALSE)="","",VLOOKUP(C460,TotalRev2!A:C,3,FALSE)),"")</f>
        <v/>
      </c>
      <c r="G460" t="str">
        <f>IFERROR(IF(VLOOKUP(C460,TotalRev1!A:C,3,FALSE)="","",VLOOKUP(C460,TotalRev1!A:C,3,FALSE)),"")</f>
        <v/>
      </c>
      <c r="H460" s="26">
        <f>IFERROR(IFERROR(VLOOKUP($A460,Winpct2!$A:$K,9,FALSE),VLOOKUP($B460,Winpct2!$A:$K,9,FALSE)),"")</f>
        <v>0.57699999999999996</v>
      </c>
      <c r="I460">
        <f>IFERROR(IFERROR(VLOOKUP($A460,Ra2W!$A:$K,6,FALSE),VLOOKUP($B460,Ra2W!$A:$K,6,FALSE)),"")</f>
        <v>4011</v>
      </c>
      <c r="J460">
        <f>IFERROR(VLOOKUP(D460,'Pop-Metro'!A:R,E460-2005,FALSE),VLOOKUP(D460,'Pop-Micro'!A:R,E460-2005,FALSE))</f>
        <v>4849741</v>
      </c>
      <c r="K460">
        <f>IFERROR(VLOOKUP(D460,'PCI-Metro'!A:R,E460-2005,FALSE),VLOOKUP(D460,'PCI-Micro'!A:R,E460-2005,FALSE))</f>
        <v>69736</v>
      </c>
      <c r="L460">
        <f>IFERROR(IF(IFERROR(VLOOKUP($A460,Attendance2!$B:$H,5,FALSE),VLOOKUP($B460,Attendance2!$B:$H,5,FALSE))="","",IFERROR(VLOOKUP($A460,Attendance2!$B:$H,5,FALSE),VLOOKUP($B460,Attendance2!$B:$H,5,FALSE))),"")</f>
        <v>1000</v>
      </c>
    </row>
    <row r="461" spans="1:12">
      <c r="A461" t="s">
        <v>98</v>
      </c>
      <c r="B461" t="s">
        <v>98</v>
      </c>
      <c r="C461">
        <v>141574</v>
      </c>
      <c r="D461">
        <v>46520</v>
      </c>
      <c r="E461">
        <f t="shared" si="7"/>
        <v>2016</v>
      </c>
      <c r="F461">
        <f>IFERROR(IF(VLOOKUP(C461,TotalRev2!A:C,3,FALSE)="","",VLOOKUP(C461,TotalRev2!A:C,3,FALSE)),"")</f>
        <v>1572495</v>
      </c>
      <c r="G461">
        <f>IFERROR(IF(VLOOKUP(C461,TotalRev1!A:C,3,FALSE)="","",VLOOKUP(C461,TotalRev1!A:C,3,FALSE)),"")</f>
        <v>1471393</v>
      </c>
      <c r="H461" s="26">
        <f>IFERROR(IFERROR(VLOOKUP($A461,Winpct2!$A:$K,9,FALSE),VLOOKUP($B461,Winpct2!$A:$K,9,FALSE)),"")</f>
        <v>0.93500000000000005</v>
      </c>
      <c r="I461">
        <f>IFERROR(IFERROR(VLOOKUP($A461,Ra2W!$A:$K,6,FALSE),VLOOKUP($B461,Ra2W!$A:$K,6,FALSE)),"")</f>
        <v>131187</v>
      </c>
      <c r="J461">
        <f>IFERROR(VLOOKUP(D461,'Pop-Metro'!A:R,E461-2005,FALSE),VLOOKUP(D461,'Pop-Micro'!A:R,E461-2005,FALSE))</f>
        <v>1023837</v>
      </c>
      <c r="K461">
        <f>IFERROR(VLOOKUP(D461,'PCI-Metro'!A:R,E461-2005,FALSE),VLOOKUP(D461,'PCI-Micro'!A:R,E461-2005,FALSE))</f>
        <v>51805</v>
      </c>
      <c r="L461">
        <f>IFERROR(IF(IFERROR(VLOOKUP($A461,Attendance2!$B:$H,5,FALSE),VLOOKUP($B461,Attendance2!$B:$H,5,FALSE))="","",IFERROR(VLOOKUP($A461,Attendance2!$B:$H,5,FALSE),VLOOKUP($B461,Attendance2!$B:$H,5,FALSE))),"")</f>
        <v>10300</v>
      </c>
    </row>
    <row r="462" spans="1:12">
      <c r="A462" t="s">
        <v>1278</v>
      </c>
      <c r="B462" t="s">
        <v>1278</v>
      </c>
      <c r="C462">
        <v>198695</v>
      </c>
      <c r="D462">
        <v>24660</v>
      </c>
      <c r="E462">
        <f t="shared" si="7"/>
        <v>2016</v>
      </c>
      <c r="F462" t="str">
        <f>IFERROR(IF(VLOOKUP(C462,TotalRev2!A:C,3,FALSE)="","",VLOOKUP(C462,TotalRev2!A:C,3,FALSE)),"")</f>
        <v/>
      </c>
      <c r="G462" t="str">
        <f>IFERROR(IF(VLOOKUP(C462,TotalRev1!A:C,3,FALSE)="","",VLOOKUP(C462,TotalRev1!A:C,3,FALSE)),"")</f>
        <v/>
      </c>
      <c r="H462" s="26">
        <f>IFERROR(IFERROR(VLOOKUP($A462,Winpct2!$A:$K,9,FALSE),VLOOKUP($B462,Winpct2!$A:$K,9,FALSE)),"")</f>
        <v>0.67700000000000005</v>
      </c>
      <c r="I462">
        <f>IFERROR(IFERROR(VLOOKUP($A462,Ra2W!$A:$K,6,FALSE),VLOOKUP($B462,Ra2W!$A:$K,6,FALSE)),"")</f>
        <v>6769</v>
      </c>
      <c r="J462">
        <f>IFERROR(VLOOKUP(D462,'Pop-Metro'!A:R,E462-2005,FALSE),VLOOKUP(D462,'Pop-Micro'!A:R,E462-2005,FALSE))</f>
        <v>759247</v>
      </c>
      <c r="K462">
        <f>IFERROR(VLOOKUP(D462,'PCI-Metro'!A:R,E462-2005,FALSE),VLOOKUP(D462,'PCI-Micro'!A:R,E462-2005,FALSE))</f>
        <v>39704</v>
      </c>
      <c r="L462">
        <f>IFERROR(IF(IFERROR(VLOOKUP($A462,Attendance2!$B:$H,5,FALSE),VLOOKUP($B462,Attendance2!$B:$H,5,FALSE))="","",IFERROR(VLOOKUP($A462,Attendance2!$B:$H,5,FALSE),VLOOKUP($B462,Attendance2!$B:$H,5,FALSE))),"")</f>
        <v>1750</v>
      </c>
    </row>
    <row r="463" spans="1:12">
      <c r="A463" t="s">
        <v>99</v>
      </c>
      <c r="B463" t="s">
        <v>99</v>
      </c>
      <c r="C463">
        <v>191649</v>
      </c>
      <c r="D463">
        <v>35620</v>
      </c>
      <c r="E463">
        <f t="shared" si="7"/>
        <v>2016</v>
      </c>
      <c r="F463" t="str">
        <f>IFERROR(IF(VLOOKUP(C463,TotalRev2!A:C,3,FALSE)="","",VLOOKUP(C463,TotalRev2!A:C,3,FALSE)),"")</f>
        <v/>
      </c>
      <c r="G463" t="str">
        <f>IFERROR(IF(VLOOKUP(C463,TotalRev1!A:C,3,FALSE)="","",VLOOKUP(C463,TotalRev1!A:C,3,FALSE)),"")</f>
        <v/>
      </c>
      <c r="H463" s="26">
        <f>IFERROR(IFERROR(VLOOKUP($A463,Winpct2!$A:$K,9,FALSE),VLOOKUP($B463,Winpct2!$A:$K,9,FALSE)),"")</f>
        <v>0.65600000000000003</v>
      </c>
      <c r="I463">
        <f>IFERROR(IFERROR(VLOOKUP($A463,Ra2W!$A:$K,6,FALSE),VLOOKUP($B463,Ra2W!$A:$K,6,FALSE)),"")</f>
        <v>2123</v>
      </c>
      <c r="J463">
        <f>IFERROR(VLOOKUP(D463,'Pop-Metro'!A:R,E463-2005,FALSE),VLOOKUP(D463,'Pop-Micro'!A:R,E463-2005,FALSE))</f>
        <v>19943198</v>
      </c>
      <c r="K463">
        <f>IFERROR(VLOOKUP(D463,'PCI-Metro'!A:R,E463-2005,FALSE),VLOOKUP(D463,'PCI-Micro'!A:R,E463-2005,FALSE))</f>
        <v>64886</v>
      </c>
      <c r="L463">
        <f>IFERROR(IF(IFERROR(VLOOKUP($A463,Attendance2!$B:$H,5,FALSE),VLOOKUP($B463,Attendance2!$B:$H,5,FALSE))="","",IFERROR(VLOOKUP($A463,Attendance2!$B:$H,5,FALSE),VLOOKUP($B463,Attendance2!$B:$H,5,FALSE))),"")</f>
        <v>1200</v>
      </c>
    </row>
    <row r="464" spans="1:12">
      <c r="A464" t="s">
        <v>100</v>
      </c>
      <c r="B464" t="s">
        <v>100</v>
      </c>
      <c r="C464">
        <v>166124</v>
      </c>
      <c r="D464">
        <v>49340</v>
      </c>
      <c r="E464">
        <f t="shared" si="7"/>
        <v>2016</v>
      </c>
      <c r="F464" t="str">
        <f>IFERROR(IF(VLOOKUP(C464,TotalRev2!A:C,3,FALSE)="","",VLOOKUP(C464,TotalRev2!A:C,3,FALSE)),"")</f>
        <v/>
      </c>
      <c r="G464" t="str">
        <f>IFERROR(IF(VLOOKUP(C464,TotalRev1!A:C,3,FALSE)="","",VLOOKUP(C464,TotalRev1!A:C,3,FALSE)),"")</f>
        <v/>
      </c>
      <c r="H464" s="26">
        <f>IFERROR(IFERROR(VLOOKUP($A464,Winpct2!$A:$K,9,FALSE),VLOOKUP($B464,Winpct2!$A:$K,9,FALSE)),"")</f>
        <v>0.24099999999999999</v>
      </c>
      <c r="I464">
        <f>IFERROR(IFERROR(VLOOKUP($A464,Ra2W!$A:$K,6,FALSE),VLOOKUP($B464,Ra2W!$A:$K,6,FALSE)),"")</f>
        <v>962</v>
      </c>
      <c r="J464">
        <f>IFERROR(VLOOKUP(D464,'Pop-Metro'!A:R,E464-2005,FALSE),VLOOKUP(D464,'Pop-Micro'!A:R,E464-2005,FALSE))</f>
        <v>956319</v>
      </c>
      <c r="K464">
        <f>IFERROR(VLOOKUP(D464,'PCI-Metro'!A:R,E464-2005,FALSE),VLOOKUP(D464,'PCI-Micro'!A:R,E464-2005,FALSE))</f>
        <v>49957</v>
      </c>
      <c r="L464">
        <f>IFERROR(IF(IFERROR(VLOOKUP($A464,Attendance2!$B:$H,5,FALSE),VLOOKUP($B464,Attendance2!$B:$H,5,FALSE))="","",IFERROR(VLOOKUP($A464,Attendance2!$B:$H,5,FALSE),VLOOKUP($B464,Attendance2!$B:$H,5,FALSE))),"")</f>
        <v>600</v>
      </c>
    </row>
    <row r="465" spans="1:12">
      <c r="A465" t="s">
        <v>101</v>
      </c>
      <c r="B465" t="s">
        <v>101</v>
      </c>
      <c r="C465">
        <v>225511</v>
      </c>
      <c r="D465">
        <v>26420</v>
      </c>
      <c r="E465">
        <f t="shared" si="7"/>
        <v>2016</v>
      </c>
      <c r="F465">
        <f>IFERROR(IF(VLOOKUP(C465,TotalRev2!A:C,3,FALSE)="","",VLOOKUP(C465,TotalRev2!A:C,3,FALSE)),"")</f>
        <v>30927</v>
      </c>
      <c r="G465">
        <f>IFERROR(IF(VLOOKUP(C465,TotalRev1!A:C,3,FALSE)="","",VLOOKUP(C465,TotalRev1!A:C,3,FALSE)),"")</f>
        <v>14935</v>
      </c>
      <c r="H465" s="26">
        <f>IFERROR(IFERROR(VLOOKUP($A465,Winpct2!$A:$K,9,FALSE),VLOOKUP($B465,Winpct2!$A:$K,9,FALSE)),"")</f>
        <v>0.59399999999999997</v>
      </c>
      <c r="I465">
        <f>IFERROR(IFERROR(VLOOKUP($A465,Ra2W!$A:$K,6,FALSE),VLOOKUP($B465,Ra2W!$A:$K,6,FALSE)),"")</f>
        <v>4591</v>
      </c>
      <c r="J465">
        <f>IFERROR(VLOOKUP(D465,'Pop-Metro'!A:R,E465-2005,FALSE),VLOOKUP(D465,'Pop-Micro'!A:R,E465-2005,FALSE))</f>
        <v>6797324</v>
      </c>
      <c r="K465">
        <f>IFERROR(VLOOKUP(D465,'PCI-Metro'!A:R,E465-2005,FALSE),VLOOKUP(D465,'PCI-Micro'!A:R,E465-2005,FALSE))</f>
        <v>50841</v>
      </c>
      <c r="L465">
        <f>IFERROR(IF(IFERROR(VLOOKUP($A465,Attendance2!$B:$H,5,FALSE),VLOOKUP($B465,Attendance2!$B:$H,5,FALSE))="","",IFERROR(VLOOKUP($A465,Attendance2!$B:$H,5,FALSE),VLOOKUP($B465,Attendance2!$B:$H,5,FALSE))),"")</f>
        <v>1000</v>
      </c>
    </row>
    <row r="466" spans="1:12">
      <c r="A466" t="s">
        <v>102</v>
      </c>
      <c r="B466" t="s">
        <v>1243</v>
      </c>
      <c r="C466">
        <v>225399</v>
      </c>
      <c r="D466">
        <v>26420</v>
      </c>
      <c r="E466">
        <f t="shared" si="7"/>
        <v>2016</v>
      </c>
      <c r="F466" t="str">
        <f>IFERROR(IF(VLOOKUP(C466,TotalRev2!A:C,3,FALSE)="","",VLOOKUP(C466,TotalRev2!A:C,3,FALSE)),"")</f>
        <v/>
      </c>
      <c r="G466" t="str">
        <f>IFERROR(IF(VLOOKUP(C466,TotalRev1!A:C,3,FALSE)="","",VLOOKUP(C466,TotalRev1!A:C,3,FALSE)),"")</f>
        <v/>
      </c>
      <c r="H466" s="26">
        <f>IFERROR(IFERROR(VLOOKUP($A466,Winpct2!$A:$K,9,FALSE),VLOOKUP($B466,Winpct2!$A:$K,9,FALSE)),"")</f>
        <v>0.5</v>
      </c>
      <c r="I466">
        <f>IFERROR(IFERROR(VLOOKUP($A466,Ra2W!$A:$K,6,FALSE),VLOOKUP($B466,Ra2W!$A:$K,6,FALSE)),"")</f>
        <v>6686</v>
      </c>
      <c r="J466">
        <f>IFERROR(VLOOKUP(D466,'Pop-Metro'!A:R,E466-2005,FALSE),VLOOKUP(D466,'Pop-Micro'!A:R,E466-2005,FALSE))</f>
        <v>6797324</v>
      </c>
      <c r="K466">
        <f>IFERROR(VLOOKUP(D466,'PCI-Metro'!A:R,E466-2005,FALSE),VLOOKUP(D466,'PCI-Micro'!A:R,E466-2005,FALSE))</f>
        <v>50841</v>
      </c>
      <c r="L466">
        <f>IFERROR(IF(IFERROR(VLOOKUP($A466,Attendance2!$B:$H,5,FALSE),VLOOKUP($B466,Attendance2!$B:$H,5,FALSE))="","",IFERROR(VLOOKUP($A466,Attendance2!$B:$H,5,FALSE),VLOOKUP($B466,Attendance2!$B:$H,5,FALSE))),"")</f>
        <v>1000</v>
      </c>
    </row>
    <row r="467" spans="1:12">
      <c r="A467" t="s">
        <v>103</v>
      </c>
      <c r="B467" t="s">
        <v>103</v>
      </c>
      <c r="C467">
        <v>131520</v>
      </c>
      <c r="D467">
        <v>47900</v>
      </c>
      <c r="E467">
        <f t="shared" si="7"/>
        <v>2016</v>
      </c>
      <c r="F467" t="str">
        <f>IFERROR(IF(VLOOKUP(C467,TotalRev2!A:C,3,FALSE)="","",VLOOKUP(C467,TotalRev2!A:C,3,FALSE)),"")</f>
        <v/>
      </c>
      <c r="G467" t="str">
        <f>IFERROR(IF(VLOOKUP(C467,TotalRev1!A:C,3,FALSE)="","",VLOOKUP(C467,TotalRev1!A:C,3,FALSE)),"")</f>
        <v/>
      </c>
      <c r="H467" s="26">
        <f>IFERROR(IFERROR(VLOOKUP($A467,Winpct2!$A:$K,9,FALSE),VLOOKUP($B467,Winpct2!$A:$K,9,FALSE)),"")</f>
        <v>0.56299999999999994</v>
      </c>
      <c r="I467">
        <f>IFERROR(IFERROR(VLOOKUP($A467,Ra2W!$A:$K,6,FALSE),VLOOKUP($B467,Ra2W!$A:$K,6,FALSE)),"")</f>
        <v>1222</v>
      </c>
      <c r="J467">
        <f>IFERROR(VLOOKUP(D467,'Pop-Metro'!A:R,E467-2005,FALSE),VLOOKUP(D467,'Pop-Micro'!A:R,E467-2005,FALSE))</f>
        <v>6193671</v>
      </c>
      <c r="K467">
        <f>IFERROR(VLOOKUP(D467,'PCI-Metro'!A:R,E467-2005,FALSE),VLOOKUP(D467,'PCI-Micro'!A:R,E467-2005,FALSE))</f>
        <v>66189</v>
      </c>
      <c r="L467">
        <f>IFERROR(IF(IFERROR(VLOOKUP($A467,Attendance2!$B:$H,5,FALSE),VLOOKUP($B467,Attendance2!$B:$H,5,FALSE))="","",IFERROR(VLOOKUP($A467,Attendance2!$B:$H,5,FALSE),VLOOKUP($B467,Attendance2!$B:$H,5,FALSE))),"")</f>
        <v>2700</v>
      </c>
    </row>
    <row r="468" spans="1:12">
      <c r="A468" t="s">
        <v>1279</v>
      </c>
      <c r="B468" t="s">
        <v>1279</v>
      </c>
      <c r="C468">
        <v>142285</v>
      </c>
      <c r="D468">
        <v>34140</v>
      </c>
      <c r="E468">
        <f t="shared" si="7"/>
        <v>2016</v>
      </c>
      <c r="F468">
        <f>IFERROR(IF(VLOOKUP(C468,TotalRev2!A:C,3,FALSE)="","",VLOOKUP(C468,TotalRev2!A:C,3,FALSE)),"")</f>
        <v>740214</v>
      </c>
      <c r="G468">
        <f>IFERROR(IF(VLOOKUP(C468,TotalRev1!A:C,3,FALSE)="","",VLOOKUP(C468,TotalRev1!A:C,3,FALSE)),"")</f>
        <v>801555</v>
      </c>
      <c r="H468" s="26">
        <f>IFERROR(IFERROR(VLOOKUP($A468,Winpct2!$A:$K,9,FALSE),VLOOKUP($B468,Winpct2!$A:$K,9,FALSE)),"")</f>
        <v>0.46700000000000003</v>
      </c>
      <c r="I468">
        <f>IFERROR(IFERROR(VLOOKUP($A468,Ra2W!$A:$K,6,FALSE),VLOOKUP($B468,Ra2W!$A:$K,6,FALSE)),"")</f>
        <v>4938</v>
      </c>
      <c r="J468">
        <f>IFERROR(VLOOKUP(D468,'Pop-Metro'!A:R,E468-2005,FALSE),VLOOKUP(D468,'Pop-Micro'!A:R,E468-2005,FALSE))</f>
        <v>38448</v>
      </c>
      <c r="K468">
        <f>IFERROR(VLOOKUP(D468,'PCI-Metro'!A:R,E468-2005,FALSE),VLOOKUP(D468,'PCI-Micro'!A:R,E468-2005,FALSE))</f>
        <v>38148</v>
      </c>
      <c r="L468">
        <f>IFERROR(IF(IFERROR(VLOOKUP($A468,Attendance2!$B:$H,5,FALSE),VLOOKUP($B468,Attendance2!$B:$H,5,FALSE))="","",IFERROR(VLOOKUP($A468,Attendance2!$B:$H,5,FALSE),VLOOKUP($B468,Attendance2!$B:$H,5,FALSE))),"")</f>
        <v>1500</v>
      </c>
    </row>
    <row r="469" spans="1:12">
      <c r="A469" t="s">
        <v>104</v>
      </c>
      <c r="B469" t="s">
        <v>104</v>
      </c>
      <c r="C469">
        <v>142276</v>
      </c>
      <c r="D469">
        <v>38540</v>
      </c>
      <c r="E469">
        <f t="shared" si="7"/>
        <v>2016</v>
      </c>
      <c r="F469">
        <f>IFERROR(IF(VLOOKUP(C469,TotalRev2!A:C,3,FALSE)="","",VLOOKUP(C469,TotalRev2!A:C,3,FALSE)),"")</f>
        <v>363335</v>
      </c>
      <c r="G469">
        <f>IFERROR(IF(VLOOKUP(C469,TotalRev1!A:C,3,FALSE)="","",VLOOKUP(C469,TotalRev1!A:C,3,FALSE)),"")</f>
        <v>343710</v>
      </c>
      <c r="H469" s="26">
        <f>IFERROR(IFERROR(VLOOKUP($A469,Winpct2!$A:$K,9,FALSE),VLOOKUP($B469,Winpct2!$A:$K,9,FALSE)),"")</f>
        <v>0.69699999999999995</v>
      </c>
      <c r="I469">
        <f>IFERROR(IFERROR(VLOOKUP($A469,Ra2W!$A:$K,6,FALSE),VLOOKUP($B469,Ra2W!$A:$K,6,FALSE)),"")</f>
        <v>6392</v>
      </c>
      <c r="J469">
        <f>IFERROR(VLOOKUP(D469,'Pop-Metro'!A:R,E469-2005,FALSE),VLOOKUP(D469,'Pop-Micro'!A:R,E469-2005,FALSE))</f>
        <v>91632</v>
      </c>
      <c r="K469">
        <f>IFERROR(VLOOKUP(D469,'PCI-Metro'!A:R,E469-2005,FALSE),VLOOKUP(D469,'PCI-Micro'!A:R,E469-2005,FALSE))</f>
        <v>34807</v>
      </c>
      <c r="L469">
        <f>IFERROR(IF(IFERROR(VLOOKUP($A469,Attendance2!$B:$H,5,FALSE),VLOOKUP($B469,Attendance2!$B:$H,5,FALSE))="","",IFERROR(VLOOKUP($A469,Attendance2!$B:$H,5,FALSE),VLOOKUP($B469,Attendance2!$B:$H,5,FALSE))),"")</f>
        <v>0</v>
      </c>
    </row>
    <row r="470" spans="1:12">
      <c r="A470" t="s">
        <v>105</v>
      </c>
      <c r="B470" t="s">
        <v>105</v>
      </c>
      <c r="C470">
        <v>145637</v>
      </c>
      <c r="D470">
        <v>16580</v>
      </c>
      <c r="E470">
        <f t="shared" si="7"/>
        <v>2016</v>
      </c>
      <c r="F470">
        <f>IFERROR(IF(VLOOKUP(C470,TotalRev2!A:C,3,FALSE)="","",VLOOKUP(C470,TotalRev2!A:C,3,FALSE)),"")</f>
        <v>696012</v>
      </c>
      <c r="G470">
        <f>IFERROR(IF(VLOOKUP(C470,TotalRev1!A:C,3,FALSE)="","",VLOOKUP(C470,TotalRev1!A:C,3,FALSE)),"")</f>
        <v>809829</v>
      </c>
      <c r="H470" s="26">
        <f>IFERROR(IFERROR(VLOOKUP($A470,Winpct2!$A:$K,9,FALSE),VLOOKUP($B470,Winpct2!$A:$K,9,FALSE)),"")</f>
        <v>0.61799999999999999</v>
      </c>
      <c r="I470">
        <f>IFERROR(IFERROR(VLOOKUP($A470,Ra2W!$A:$K,6,FALSE),VLOOKUP($B470,Ra2W!$A:$K,6,FALSE)),"")</f>
        <v>39260</v>
      </c>
      <c r="J470">
        <f>IFERROR(VLOOKUP(D470,'Pop-Metro'!A:R,E470-2005,FALSE),VLOOKUP(D470,'Pop-Micro'!A:R,E470-2005,FALSE))</f>
        <v>224840</v>
      </c>
      <c r="K470">
        <f>IFERROR(VLOOKUP(D470,'PCI-Metro'!A:R,E470-2005,FALSE),VLOOKUP(D470,'PCI-Micro'!A:R,E470-2005,FALSE))</f>
        <v>43371</v>
      </c>
      <c r="L470">
        <f>IFERROR(IF(IFERROR(VLOOKUP($A470,Attendance2!$B:$H,5,FALSE),VLOOKUP($B470,Attendance2!$B:$H,5,FALSE))="","",IFERROR(VLOOKUP($A470,Attendance2!$B:$H,5,FALSE),VLOOKUP($B470,Attendance2!$B:$H,5,FALSE))),"")</f>
        <v>4536</v>
      </c>
    </row>
    <row r="471" spans="1:12">
      <c r="A471" t="s">
        <v>106</v>
      </c>
      <c r="B471" t="s">
        <v>106</v>
      </c>
      <c r="C471">
        <v>145813</v>
      </c>
      <c r="D471">
        <v>14010</v>
      </c>
      <c r="E471">
        <f t="shared" si="7"/>
        <v>2016</v>
      </c>
      <c r="F471">
        <f>IFERROR(IF(VLOOKUP(C471,TotalRev2!A:C,3,FALSE)="","",VLOOKUP(C471,TotalRev2!A:C,3,FALSE)),"")</f>
        <v>290497</v>
      </c>
      <c r="G471">
        <f>IFERROR(IF(VLOOKUP(C471,TotalRev1!A:C,3,FALSE)="","",VLOOKUP(C471,TotalRev1!A:C,3,FALSE)),"")</f>
        <v>323431</v>
      </c>
      <c r="H471" s="26">
        <f>IFERROR(IFERROR(VLOOKUP($A471,Winpct2!$A:$K,9,FALSE),VLOOKUP($B471,Winpct2!$A:$K,9,FALSE)),"")</f>
        <v>0.68799999999999994</v>
      </c>
      <c r="I471">
        <f>IFERROR(IFERROR(VLOOKUP($A471,Ra2W!$A:$K,6,FALSE),VLOOKUP($B471,Ra2W!$A:$K,6,FALSE)),"")</f>
        <v>11674</v>
      </c>
      <c r="J471">
        <f>IFERROR(VLOOKUP(D471,'Pop-Metro'!A:R,E471-2005,FALSE),VLOOKUP(D471,'Pop-Micro'!A:R,E471-2005,FALSE))</f>
        <v>172957</v>
      </c>
      <c r="K471">
        <f>IFERROR(VLOOKUP(D471,'PCI-Metro'!A:R,E471-2005,FALSE),VLOOKUP(D471,'PCI-Micro'!A:R,E471-2005,FALSE))</f>
        <v>46278</v>
      </c>
      <c r="L471">
        <f>IFERROR(IF(IFERROR(VLOOKUP($A471,Attendance2!$B:$H,5,FALSE),VLOOKUP($B471,Attendance2!$B:$H,5,FALSE))="","",IFERROR(VLOOKUP($A471,Attendance2!$B:$H,5,FALSE),VLOOKUP($B471,Attendance2!$B:$H,5,FALSE))),"")</f>
        <v>10200</v>
      </c>
    </row>
    <row r="472" spans="1:12">
      <c r="A472" t="s">
        <v>108</v>
      </c>
      <c r="B472" t="s">
        <v>108</v>
      </c>
      <c r="C472">
        <v>151351</v>
      </c>
      <c r="D472">
        <v>14020</v>
      </c>
      <c r="E472">
        <f t="shared" si="7"/>
        <v>2016</v>
      </c>
      <c r="F472">
        <f>IFERROR(IF(VLOOKUP(C472,TotalRev2!A:C,3,FALSE)="","",VLOOKUP(C472,TotalRev2!A:C,3,FALSE)),"")</f>
        <v>59468</v>
      </c>
      <c r="G472">
        <f>IFERROR(IF(VLOOKUP(C472,TotalRev1!A:C,3,FALSE)="","",VLOOKUP(C472,TotalRev1!A:C,3,FALSE)),"")</f>
        <v>55558</v>
      </c>
      <c r="H472" s="26">
        <f>IFERROR(IFERROR(VLOOKUP($A472,Winpct2!$A:$K,9,FALSE),VLOOKUP($B472,Winpct2!$A:$K,9,FALSE)),"")</f>
        <v>0.5</v>
      </c>
      <c r="I472">
        <f>IFERROR(IFERROR(VLOOKUP($A472,Ra2W!$A:$K,6,FALSE),VLOOKUP($B472,Ra2W!$A:$K,6,FALSE)),"")</f>
        <v>11687</v>
      </c>
      <c r="J472">
        <f>IFERROR(VLOOKUP(D472,'Pop-Metro'!A:R,E472-2005,FALSE),VLOOKUP(D472,'Pop-Micro'!A:R,E472-2005,FALSE))</f>
        <v>161893</v>
      </c>
      <c r="K472">
        <f>IFERROR(VLOOKUP(D472,'PCI-Metro'!A:R,E472-2005,FALSE),VLOOKUP(D472,'PCI-Micro'!A:R,E472-2005,FALSE))</f>
        <v>39045</v>
      </c>
      <c r="L472">
        <f>IFERROR(IF(IFERROR(VLOOKUP($A472,Attendance2!$B:$H,5,FALSE),VLOOKUP($B472,Attendance2!$B:$H,5,FALSE))="","",IFERROR(VLOOKUP($A472,Attendance2!$B:$H,5,FALSE),VLOOKUP($B472,Attendance2!$B:$H,5,FALSE))),"")</f>
        <v>2000</v>
      </c>
    </row>
    <row r="473" spans="1:12">
      <c r="A473" t="s">
        <v>109</v>
      </c>
      <c r="B473" t="s">
        <v>109</v>
      </c>
      <c r="C473">
        <v>151324</v>
      </c>
      <c r="D473">
        <v>45460</v>
      </c>
      <c r="E473">
        <f t="shared" si="7"/>
        <v>2016</v>
      </c>
      <c r="F473">
        <f>IFERROR(IF(VLOOKUP(C473,TotalRev2!A:C,3,FALSE)="","",VLOOKUP(C473,TotalRev2!A:C,3,FALSE)),"")</f>
        <v>483853</v>
      </c>
      <c r="G473">
        <f>IFERROR(IF(VLOOKUP(C473,TotalRev1!A:C,3,FALSE)="","",VLOOKUP(C473,TotalRev1!A:C,3,FALSE)),"")</f>
        <v>416021</v>
      </c>
      <c r="H473" s="26">
        <f>IFERROR(IFERROR(VLOOKUP($A473,Winpct2!$A:$K,9,FALSE),VLOOKUP($B473,Winpct2!$A:$K,9,FALSE)),"")</f>
        <v>0.51500000000000001</v>
      </c>
      <c r="I473">
        <f>IFERROR(IFERROR(VLOOKUP($A473,Ra2W!$A:$K,6,FALSE),VLOOKUP($B473,Ra2W!$A:$K,6,FALSE)),"")</f>
        <v>5510</v>
      </c>
      <c r="J473">
        <f>IFERROR(VLOOKUP(D473,'Pop-Metro'!A:R,E473-2005,FALSE),VLOOKUP(D473,'Pop-Micro'!A:R,E473-2005,FALSE))</f>
        <v>186855</v>
      </c>
      <c r="K473">
        <f>IFERROR(VLOOKUP(D473,'PCI-Metro'!A:R,E473-2005,FALSE),VLOOKUP(D473,'PCI-Micro'!A:R,E473-2005,FALSE))</f>
        <v>34854</v>
      </c>
      <c r="L473">
        <f>IFERROR(IF(IFERROR(VLOOKUP($A473,Attendance2!$B:$H,5,FALSE),VLOOKUP($B473,Attendance2!$B:$H,5,FALSE))="","",IFERROR(VLOOKUP($A473,Attendance2!$B:$H,5,FALSE),VLOOKUP($B473,Attendance2!$B:$H,5,FALSE))),"")</f>
        <v>500</v>
      </c>
    </row>
    <row r="474" spans="1:12">
      <c r="A474" t="s">
        <v>110</v>
      </c>
      <c r="B474" t="s">
        <v>110</v>
      </c>
      <c r="C474">
        <v>191931</v>
      </c>
      <c r="D474">
        <v>35620</v>
      </c>
      <c r="E474">
        <f t="shared" si="7"/>
        <v>2016</v>
      </c>
      <c r="F474" t="str">
        <f>IFERROR(IF(VLOOKUP(C474,TotalRev2!A:C,3,FALSE)="","",VLOOKUP(C474,TotalRev2!A:C,3,FALSE)),"")</f>
        <v/>
      </c>
      <c r="G474" t="str">
        <f>IFERROR(IF(VLOOKUP(C474,TotalRev1!A:C,3,FALSE)="","",VLOOKUP(C474,TotalRev1!A:C,3,FALSE)),"")</f>
        <v/>
      </c>
      <c r="H474" s="26">
        <f>IFERROR(IFERROR(VLOOKUP($A474,Winpct2!$A:$K,9,FALSE),VLOOKUP($B474,Winpct2!$A:$K,9,FALSE)),"")</f>
        <v>0.33300000000000002</v>
      </c>
      <c r="I474">
        <f>IFERROR(IFERROR(VLOOKUP($A474,Ra2W!$A:$K,6,FALSE),VLOOKUP($B474,Ra2W!$A:$K,6,FALSE)),"")</f>
        <v>1673</v>
      </c>
      <c r="J474">
        <f>IFERROR(VLOOKUP(D474,'Pop-Metro'!A:R,E474-2005,FALSE),VLOOKUP(D474,'Pop-Micro'!A:R,E474-2005,FALSE))</f>
        <v>19943198</v>
      </c>
      <c r="K474">
        <f>IFERROR(VLOOKUP(D474,'PCI-Metro'!A:R,E474-2005,FALSE),VLOOKUP(D474,'PCI-Micro'!A:R,E474-2005,FALSE))</f>
        <v>64886</v>
      </c>
      <c r="L474">
        <f>IFERROR(IF(IFERROR(VLOOKUP($A474,Attendance2!$B:$H,5,FALSE),VLOOKUP($B474,Attendance2!$B:$H,5,FALSE))="","",IFERROR(VLOOKUP($A474,Attendance2!$B:$H,5,FALSE),VLOOKUP($B474,Attendance2!$B:$H,5,FALSE))),"")</f>
        <v>2611</v>
      </c>
    </row>
    <row r="475" spans="1:12">
      <c r="A475" t="s">
        <v>111</v>
      </c>
      <c r="B475" t="s">
        <v>111</v>
      </c>
      <c r="C475">
        <v>153658</v>
      </c>
      <c r="D475">
        <v>26980</v>
      </c>
      <c r="E475">
        <f t="shared" si="7"/>
        <v>2016</v>
      </c>
      <c r="F475">
        <f>IFERROR(IF(VLOOKUP(C475,TotalRev2!A:C,3,FALSE)="","",VLOOKUP(C475,TotalRev2!A:C,3,FALSE)),"")</f>
        <v>294491</v>
      </c>
      <c r="G475">
        <f>IFERROR(IF(VLOOKUP(C475,TotalRev1!A:C,3,FALSE)="","",VLOOKUP(C475,TotalRev1!A:C,3,FALSE)),"")</f>
        <v>262021</v>
      </c>
      <c r="H475" s="26">
        <f>IFERROR(IFERROR(VLOOKUP($A475,Winpct2!$A:$K,9,FALSE),VLOOKUP($B475,Winpct2!$A:$K,9,FALSE)),"")</f>
        <v>0.36399999999999999</v>
      </c>
      <c r="I475">
        <f>IFERROR(IFERROR(VLOOKUP($A475,Ra2W!$A:$K,6,FALSE),VLOOKUP($B475,Ra2W!$A:$K,6,FALSE)),"")</f>
        <v>22754</v>
      </c>
      <c r="J475">
        <f>IFERROR(VLOOKUP(D475,'Pop-Metro'!A:R,E475-2005,FALSE),VLOOKUP(D475,'Pop-Micro'!A:R,E475-2005,FALSE))</f>
        <v>169251</v>
      </c>
      <c r="K475">
        <f>IFERROR(VLOOKUP(D475,'PCI-Metro'!A:R,E475-2005,FALSE),VLOOKUP(D475,'PCI-Micro'!A:R,E475-2005,FALSE))</f>
        <v>48967</v>
      </c>
      <c r="L475">
        <f>IFERROR(IF(IFERROR(VLOOKUP($A475,Attendance2!$B:$H,5,FALSE),VLOOKUP($B475,Attendance2!$B:$H,5,FALSE))="","",IFERROR(VLOOKUP($A475,Attendance2!$B:$H,5,FALSE),VLOOKUP($B475,Attendance2!$B:$H,5,FALSE))),"")</f>
        <v>8715</v>
      </c>
    </row>
    <row r="476" spans="1:12">
      <c r="A476" t="s">
        <v>112</v>
      </c>
      <c r="B476" t="s">
        <v>112</v>
      </c>
      <c r="C476">
        <v>153603</v>
      </c>
      <c r="D476">
        <v>11180</v>
      </c>
      <c r="E476">
        <f t="shared" si="7"/>
        <v>2016</v>
      </c>
      <c r="F476">
        <f>IFERROR(IF(VLOOKUP(C476,TotalRev2!A:C,3,FALSE)="","",VLOOKUP(C476,TotalRev2!A:C,3,FALSE)),"")</f>
        <v>251465</v>
      </c>
      <c r="G476">
        <f>IFERROR(IF(VLOOKUP(C476,TotalRev1!A:C,3,FALSE)="","",VLOOKUP(C476,TotalRev1!A:C,3,FALSE)),"")</f>
        <v>236645</v>
      </c>
      <c r="H476" s="26">
        <f>IFERROR(IFERROR(VLOOKUP($A476,Winpct2!$A:$K,9,FALSE),VLOOKUP($B476,Winpct2!$A:$K,9,FALSE)),"")</f>
        <v>0.63300000000000001</v>
      </c>
      <c r="I476">
        <f>IFERROR(IFERROR(VLOOKUP($A476,Ra2W!$A:$K,6,FALSE),VLOOKUP($B476,Ra2W!$A:$K,6,FALSE)),"")</f>
        <v>34113</v>
      </c>
      <c r="J476">
        <f>IFERROR(VLOOKUP(D476,'Pop-Metro'!A:R,E476-2005,FALSE),VLOOKUP(D476,'Pop-Micro'!A:R,E476-2005,FALSE))</f>
        <v>123972</v>
      </c>
      <c r="K476">
        <f>IFERROR(VLOOKUP(D476,'PCI-Metro'!A:R,E476-2005,FALSE),VLOOKUP(D476,'PCI-Micro'!A:R,E476-2005,FALSE))</f>
        <v>39977</v>
      </c>
      <c r="L476">
        <f>IFERROR(IF(IFERROR(VLOOKUP($A476,Attendance2!$B:$H,5,FALSE),VLOOKUP($B476,Attendance2!$B:$H,5,FALSE))="","",IFERROR(VLOOKUP($A476,Attendance2!$B:$H,5,FALSE),VLOOKUP($B476,Attendance2!$B:$H,5,FALSE))),"")</f>
        <v>14020</v>
      </c>
    </row>
    <row r="477" spans="1:12">
      <c r="A477" t="s">
        <v>113</v>
      </c>
      <c r="B477" t="s">
        <v>113</v>
      </c>
      <c r="C477">
        <v>151111</v>
      </c>
      <c r="D477">
        <v>26900</v>
      </c>
      <c r="E477">
        <f t="shared" si="7"/>
        <v>2016</v>
      </c>
      <c r="F477">
        <f>IFERROR(IF(VLOOKUP(C477,TotalRev2!A:C,3,FALSE)="","",VLOOKUP(C477,TotalRev2!A:C,3,FALSE)),"")</f>
        <v>3149</v>
      </c>
      <c r="G477">
        <f>IFERROR(IF(VLOOKUP(C477,TotalRev1!A:C,3,FALSE)="","",VLOOKUP(C477,TotalRev1!A:C,3,FALSE)),"")</f>
        <v>3540</v>
      </c>
      <c r="H477" s="26" t="str">
        <f>IFERROR(IFERROR(VLOOKUP($A477,Winpct2!$A:$K,9,FALSE),VLOOKUP($B477,Winpct2!$A:$K,9,FALSE)),"")</f>
        <v/>
      </c>
      <c r="I477" t="str">
        <f>IFERROR(IFERROR(VLOOKUP($A477,Ra2W!$A:$K,6,FALSE),VLOOKUP($B477,Ra2W!$A:$K,6,FALSE)),"")</f>
        <v/>
      </c>
      <c r="J477">
        <f>IFERROR(VLOOKUP(D477,'Pop-Metro'!A:R,E477-2005,FALSE),VLOOKUP(D477,'Pop-Micro'!A:R,E477-2005,FALSE))</f>
        <v>2021771</v>
      </c>
      <c r="K477">
        <f>IFERROR(VLOOKUP(D477,'PCI-Metro'!A:R,E477-2005,FALSE),VLOOKUP(D477,'PCI-Micro'!A:R,E477-2005,FALSE))</f>
        <v>50039</v>
      </c>
      <c r="L477" t="str">
        <f>IFERROR(IF(IFERROR(VLOOKUP($A477,Attendance2!$B:$H,5,FALSE),VLOOKUP($B477,Attendance2!$B:$H,5,FALSE))="","",IFERROR(VLOOKUP($A477,Attendance2!$B:$H,5,FALSE),VLOOKUP($B477,Attendance2!$B:$H,5,FALSE))),"")</f>
        <v/>
      </c>
    </row>
    <row r="478" spans="1:12">
      <c r="A478" t="s">
        <v>114</v>
      </c>
      <c r="B478" t="s">
        <v>114</v>
      </c>
      <c r="C478">
        <v>175856</v>
      </c>
      <c r="D478">
        <v>27140</v>
      </c>
      <c r="E478">
        <f t="shared" si="7"/>
        <v>2016</v>
      </c>
      <c r="F478" t="str">
        <f>IFERROR(IF(VLOOKUP(C478,TotalRev2!A:C,3,FALSE)="","",VLOOKUP(C478,TotalRev2!A:C,3,FALSE)),"")</f>
        <v/>
      </c>
      <c r="G478" t="str">
        <f>IFERROR(IF(VLOOKUP(C478,TotalRev1!A:C,3,FALSE)="","",VLOOKUP(C478,TotalRev1!A:C,3,FALSE)),"")</f>
        <v/>
      </c>
      <c r="H478" s="26">
        <f>IFERROR(IFERROR(VLOOKUP($A478,Winpct2!$A:$K,9,FALSE),VLOOKUP($B478,Winpct2!$A:$K,9,FALSE)),"")</f>
        <v>0.40500000000000003</v>
      </c>
      <c r="I478">
        <f>IFERROR(IFERROR(VLOOKUP($A478,Ra2W!$A:$K,6,FALSE),VLOOKUP($B478,Ra2W!$A:$K,6,FALSE)),"")</f>
        <v>3086</v>
      </c>
      <c r="J478">
        <f>IFERROR(VLOOKUP(D478,'Pop-Metro'!A:R,E478-2005,FALSE),VLOOKUP(D478,'Pop-Micro'!A:R,E478-2005,FALSE))</f>
        <v>600752</v>
      </c>
      <c r="K478">
        <f>IFERROR(VLOOKUP(D478,'PCI-Metro'!A:R,E478-2005,FALSE),VLOOKUP(D478,'PCI-Micro'!A:R,E478-2005,FALSE))</f>
        <v>41489</v>
      </c>
      <c r="L478">
        <f>IFERROR(IF(IFERROR(VLOOKUP($A478,Attendance2!$B:$H,5,FALSE),VLOOKUP($B478,Attendance2!$B:$H,5,FALSE))="","",IFERROR(VLOOKUP($A478,Attendance2!$B:$H,5,FALSE),VLOOKUP($B478,Attendance2!$B:$H,5,FALSE))),"")</f>
        <v>500</v>
      </c>
    </row>
    <row r="479" spans="1:12">
      <c r="A479" t="s">
        <v>115</v>
      </c>
      <c r="B479" t="s">
        <v>115</v>
      </c>
      <c r="C479">
        <v>134945</v>
      </c>
      <c r="D479">
        <v>27260</v>
      </c>
      <c r="E479">
        <f t="shared" si="7"/>
        <v>2016</v>
      </c>
      <c r="F479" t="str">
        <f>IFERROR(IF(VLOOKUP(C479,TotalRev2!A:C,3,FALSE)="","",VLOOKUP(C479,TotalRev2!A:C,3,FALSE)),"")</f>
        <v/>
      </c>
      <c r="G479" t="str">
        <f>IFERROR(IF(VLOOKUP(C479,TotalRev1!A:C,3,FALSE)="","",VLOOKUP(C479,TotalRev1!A:C,3,FALSE)),"")</f>
        <v/>
      </c>
      <c r="H479" s="26">
        <f>IFERROR(IFERROR(VLOOKUP($A479,Winpct2!$A:$K,9,FALSE),VLOOKUP($B479,Winpct2!$A:$K,9,FALSE)),"")</f>
        <v>0.42899999999999999</v>
      </c>
      <c r="I479">
        <f>IFERROR(IFERROR(VLOOKUP($A479,Ra2W!$A:$K,6,FALSE),VLOOKUP($B479,Ra2W!$A:$K,6,FALSE)),"")</f>
        <v>2288</v>
      </c>
      <c r="J479">
        <f>IFERROR(VLOOKUP(D479,'Pop-Metro'!A:R,E479-2005,FALSE),VLOOKUP(D479,'Pop-Micro'!A:R,E479-2005,FALSE))</f>
        <v>1491834</v>
      </c>
      <c r="K479">
        <f>IFERROR(VLOOKUP(D479,'PCI-Metro'!A:R,E479-2005,FALSE),VLOOKUP(D479,'PCI-Micro'!A:R,E479-2005,FALSE))</f>
        <v>45174</v>
      </c>
      <c r="L479">
        <f>IFERROR(IF(IFERROR(VLOOKUP($A479,Attendance2!$B:$H,5,FALSE),VLOOKUP($B479,Attendance2!$B:$H,5,FALSE))="","",IFERROR(VLOOKUP($A479,Attendance2!$B:$H,5,FALSE),VLOOKUP($B479,Attendance2!$B:$H,5,FALSE))),"")</f>
        <v>0</v>
      </c>
    </row>
    <row r="480" spans="1:12">
      <c r="A480" t="s">
        <v>116</v>
      </c>
      <c r="B480" t="s">
        <v>116</v>
      </c>
      <c r="C480">
        <v>101480</v>
      </c>
      <c r="D480">
        <v>11500</v>
      </c>
      <c r="E480">
        <f t="shared" si="7"/>
        <v>2016</v>
      </c>
      <c r="F480" t="str">
        <f>IFERROR(IF(VLOOKUP(C480,TotalRev2!A:C,3,FALSE)="","",VLOOKUP(C480,TotalRev2!A:C,3,FALSE)),"")</f>
        <v/>
      </c>
      <c r="G480" t="str">
        <f>IFERROR(IF(VLOOKUP(C480,TotalRev1!A:C,3,FALSE)="","",VLOOKUP(C480,TotalRev1!A:C,3,FALSE)),"")</f>
        <v/>
      </c>
      <c r="H480" s="26">
        <f>IFERROR(IFERROR(VLOOKUP($A480,Winpct2!$A:$K,9,FALSE),VLOOKUP($B480,Winpct2!$A:$K,9,FALSE)),"")</f>
        <v>0.41199999999999998</v>
      </c>
      <c r="I480">
        <f>IFERROR(IFERROR(VLOOKUP($A480,Ra2W!$A:$K,6,FALSE),VLOOKUP($B480,Ra2W!$A:$K,6,FALSE)),"")</f>
        <v>3731</v>
      </c>
      <c r="J480">
        <f>IFERROR(VLOOKUP(D480,'Pop-Metro'!A:R,E480-2005,FALSE),VLOOKUP(D480,'Pop-Micro'!A:R,E480-2005,FALSE))</f>
        <v>116810</v>
      </c>
      <c r="K480">
        <f>IFERROR(VLOOKUP(D480,'PCI-Metro'!A:R,E480-2005,FALSE),VLOOKUP(D480,'PCI-Micro'!A:R,E480-2005,FALSE))</f>
        <v>33994</v>
      </c>
      <c r="L480">
        <f>IFERROR(IF(IFERROR(VLOOKUP($A480,Attendance2!$B:$H,5,FALSE),VLOOKUP($B480,Attendance2!$B:$H,5,FALSE))="","",IFERROR(VLOOKUP($A480,Attendance2!$B:$H,5,FALSE),VLOOKUP($B480,Attendance2!$B:$H,5,FALSE))),"")</f>
        <v>5500</v>
      </c>
    </row>
    <row r="481" spans="1:12">
      <c r="A481" t="s">
        <v>117</v>
      </c>
      <c r="B481" t="s">
        <v>117</v>
      </c>
      <c r="C481">
        <v>232423</v>
      </c>
      <c r="D481">
        <v>25500</v>
      </c>
      <c r="E481">
        <f t="shared" si="7"/>
        <v>2016</v>
      </c>
      <c r="F481">
        <f>IFERROR(IF(VLOOKUP(C481,TotalRev2!A:C,3,FALSE)="","",VLOOKUP(C481,TotalRev2!A:C,3,FALSE)),"")</f>
        <v>42571</v>
      </c>
      <c r="G481">
        <f>IFERROR(IF(VLOOKUP(C481,TotalRev1!A:C,3,FALSE)="","",VLOOKUP(C481,TotalRev1!A:C,3,FALSE)),"")</f>
        <v>37736</v>
      </c>
      <c r="H481" s="26">
        <f>IFERROR(IFERROR(VLOOKUP($A481,Winpct2!$A:$K,9,FALSE),VLOOKUP($B481,Winpct2!$A:$K,9,FALSE)),"")</f>
        <v>0.73299999999999998</v>
      </c>
      <c r="I481">
        <f>IFERROR(IFERROR(VLOOKUP($A481,Ra2W!$A:$K,6,FALSE),VLOOKUP($B481,Ra2W!$A:$K,6,FALSE)),"")</f>
        <v>3694</v>
      </c>
      <c r="J481">
        <f>IFERROR(VLOOKUP(D481,'Pop-Metro'!A:R,E481-2005,FALSE),VLOOKUP(D481,'Pop-Micro'!A:R,E481-2005,FALSE))</f>
        <v>133007</v>
      </c>
      <c r="K481">
        <f>IFERROR(VLOOKUP(D481,'PCI-Metro'!A:R,E481-2005,FALSE),VLOOKUP(D481,'PCI-Micro'!A:R,E481-2005,FALSE))</f>
        <v>35729</v>
      </c>
      <c r="L481">
        <f>IFERROR(IF(IFERROR(VLOOKUP($A481,Attendance2!$B:$H,5,FALSE),VLOOKUP($B481,Attendance2!$B:$H,5,FALSE))="","",IFERROR(VLOOKUP($A481,Attendance2!$B:$H,5,FALSE),VLOOKUP($B481,Attendance2!$B:$H,5,FALSE))),"")</f>
        <v>5000</v>
      </c>
    </row>
    <row r="482" spans="1:12">
      <c r="A482" t="s">
        <v>118</v>
      </c>
      <c r="B482" t="s">
        <v>118</v>
      </c>
      <c r="C482">
        <v>155317</v>
      </c>
      <c r="D482">
        <v>29940</v>
      </c>
      <c r="E482">
        <f t="shared" si="7"/>
        <v>2016</v>
      </c>
      <c r="F482">
        <f>IFERROR(IF(VLOOKUP(C482,TotalRev2!A:C,3,FALSE)="","",VLOOKUP(C482,TotalRev2!A:C,3,FALSE)),"")</f>
        <v>111745</v>
      </c>
      <c r="G482">
        <f>IFERROR(IF(VLOOKUP(C482,TotalRev1!A:C,3,FALSE)="","",VLOOKUP(C482,TotalRev1!A:C,3,FALSE)),"")</f>
        <v>78088</v>
      </c>
      <c r="H482" s="26">
        <f>IFERROR(IFERROR(VLOOKUP($A482,Winpct2!$A:$K,9,FALSE),VLOOKUP($B482,Winpct2!$A:$K,9,FALSE)),"")</f>
        <v>0.90900000000000003</v>
      </c>
      <c r="I482">
        <f>IFERROR(IFERROR(VLOOKUP($A482,Ra2W!$A:$K,6,FALSE),VLOOKUP($B482,Ra2W!$A:$K,6,FALSE)),"")</f>
        <v>22324</v>
      </c>
      <c r="J482">
        <f>IFERROR(VLOOKUP(D482,'Pop-Metro'!A:R,E482-2005,FALSE),VLOOKUP(D482,'Pop-Micro'!A:R,E482-2005,FALSE))</f>
        <v>117670</v>
      </c>
      <c r="K482">
        <f>IFERROR(VLOOKUP(D482,'PCI-Metro'!A:R,E482-2005,FALSE),VLOOKUP(D482,'PCI-Micro'!A:R,E482-2005,FALSE))</f>
        <v>40376</v>
      </c>
      <c r="L482">
        <f>IFERROR(IF(IFERROR(VLOOKUP($A482,Attendance2!$B:$H,5,FALSE),VLOOKUP($B482,Attendance2!$B:$H,5,FALSE))="","",IFERROR(VLOOKUP($A482,Attendance2!$B:$H,5,FALSE),VLOOKUP($B482,Attendance2!$B:$H,5,FALSE))),"")</f>
        <v>1300</v>
      </c>
    </row>
    <row r="483" spans="1:12">
      <c r="A483" t="s">
        <v>267</v>
      </c>
      <c r="B483" t="s">
        <v>1250</v>
      </c>
      <c r="C483">
        <v>178402</v>
      </c>
      <c r="D483">
        <v>28140</v>
      </c>
      <c r="E483">
        <f t="shared" ref="E483:E546" si="8">E482</f>
        <v>2016</v>
      </c>
      <c r="F483">
        <f>IFERROR(IF(VLOOKUP(C483,TotalRev2!A:C,3,FALSE)="","",VLOOKUP(C483,TotalRev2!A:C,3,FALSE)),"")</f>
        <v>728208</v>
      </c>
      <c r="G483">
        <f>IFERROR(IF(VLOOKUP(C483,TotalRev1!A:C,3,FALSE)="","",VLOOKUP(C483,TotalRev1!A:C,3,FALSE)),"")</f>
        <v>701783</v>
      </c>
      <c r="H483" s="26">
        <f>IFERROR(IFERROR(VLOOKUP($A483,Winpct2!$A:$K,9,FALSE),VLOOKUP($B483,Winpct2!$A:$K,9,FALSE)),"")</f>
        <v>0.53600000000000003</v>
      </c>
      <c r="I483">
        <f>IFERROR(IFERROR(VLOOKUP($A483,Ra2W!$A:$K,6,FALSE),VLOOKUP($B483,Ra2W!$A:$K,6,FALSE)),"")</f>
        <v>2893</v>
      </c>
      <c r="J483">
        <f>IFERROR(VLOOKUP(D483,'Pop-Metro'!A:R,E483-2005,FALSE),VLOOKUP(D483,'Pop-Micro'!A:R,E483-2005,FALSE))</f>
        <v>2121223</v>
      </c>
      <c r="K483">
        <f>IFERROR(VLOOKUP(D483,'PCI-Metro'!A:R,E483-2005,FALSE),VLOOKUP(D483,'PCI-Micro'!A:R,E483-2005,FALSE))</f>
        <v>49597</v>
      </c>
      <c r="L483">
        <f>IFERROR(IF(IFERROR(VLOOKUP($A483,Attendance2!$B:$H,5,FALSE),VLOOKUP($B483,Attendance2!$B:$H,5,FALSE))="","",IFERROR(VLOOKUP($A483,Attendance2!$B:$H,5,FALSE),VLOOKUP($B483,Attendance2!$B:$H,5,FALSE))),"")</f>
        <v>1504</v>
      </c>
    </row>
    <row r="484" spans="1:12">
      <c r="A484" t="s">
        <v>1280</v>
      </c>
      <c r="B484" t="s">
        <v>1280</v>
      </c>
      <c r="C484">
        <v>155399</v>
      </c>
      <c r="D484">
        <v>31740</v>
      </c>
      <c r="E484">
        <f t="shared" si="8"/>
        <v>2016</v>
      </c>
      <c r="F484">
        <f>IFERROR(IF(VLOOKUP(C484,TotalRev2!A:C,3,FALSE)="","",VLOOKUP(C484,TotalRev2!A:C,3,FALSE)),"")</f>
        <v>52116</v>
      </c>
      <c r="G484">
        <f>IFERROR(IF(VLOOKUP(C484,TotalRev1!A:C,3,FALSE)="","",VLOOKUP(C484,TotalRev1!A:C,3,FALSE)),"")</f>
        <v>57412</v>
      </c>
      <c r="H484" s="26">
        <f>IFERROR(IFERROR(VLOOKUP($A484,Winpct2!$A:$K,9,FALSE),VLOOKUP($B484,Winpct2!$A:$K,9,FALSE)),"")</f>
        <v>0.58599999999999997</v>
      </c>
      <c r="I484">
        <f>IFERROR(IFERROR(VLOOKUP($A484,Ra2W!$A:$K,6,FALSE),VLOOKUP($B484,Ra2W!$A:$K,6,FALSE)),"")</f>
        <v>22362</v>
      </c>
      <c r="J484">
        <f>IFERROR(VLOOKUP(D484,'Pop-Metro'!A:R,E484-2005,FALSE),VLOOKUP(D484,'Pop-Micro'!A:R,E484-2005,FALSE))</f>
        <v>137034</v>
      </c>
      <c r="K484">
        <f>IFERROR(VLOOKUP(D484,'PCI-Metro'!A:R,E484-2005,FALSE),VLOOKUP(D484,'PCI-Micro'!A:R,E484-2005,FALSE))</f>
        <v>42155</v>
      </c>
      <c r="L484">
        <f>IFERROR(IF(IFERROR(VLOOKUP($A484,Attendance2!$B:$H,5,FALSE),VLOOKUP($B484,Attendance2!$B:$H,5,FALSE))="","",IFERROR(VLOOKUP($A484,Attendance2!$B:$H,5,FALSE),VLOOKUP($B484,Attendance2!$B:$H,5,FALSE))),"")</f>
        <v>5000</v>
      </c>
    </row>
    <row r="485" spans="1:12">
      <c r="A485" t="s">
        <v>119</v>
      </c>
      <c r="B485" t="s">
        <v>119</v>
      </c>
      <c r="C485">
        <v>486840</v>
      </c>
      <c r="D485">
        <v>12060</v>
      </c>
      <c r="E485">
        <f t="shared" si="8"/>
        <v>2016</v>
      </c>
      <c r="F485">
        <f>IFERROR(IF(VLOOKUP(C485,TotalRev2!A:C,3,FALSE)="","",VLOOKUP(C485,TotalRev2!A:C,3,FALSE)),"")</f>
        <v>134744</v>
      </c>
      <c r="G485">
        <f>IFERROR(IF(VLOOKUP(C485,TotalRev1!A:C,3,FALSE)="","",VLOOKUP(C485,TotalRev1!A:C,3,FALSE)),"")</f>
        <v>133899</v>
      </c>
      <c r="H485" s="26">
        <f>IFERROR(IFERROR(VLOOKUP($A485,Winpct2!$A:$K,9,FALSE),VLOOKUP($B485,Winpct2!$A:$K,9,FALSE)),"")</f>
        <v>0.67900000000000005</v>
      </c>
      <c r="I485">
        <f>IFERROR(IFERROR(VLOOKUP($A485,Ra2W!$A:$K,6,FALSE),VLOOKUP($B485,Ra2W!$A:$K,6,FALSE)),"")</f>
        <v>7023</v>
      </c>
      <c r="J485">
        <f>IFERROR(VLOOKUP(D485,'Pop-Metro'!A:R,E485-2005,FALSE),VLOOKUP(D485,'Pop-Micro'!A:R,E485-2005,FALSE))</f>
        <v>5800316</v>
      </c>
      <c r="K485">
        <f>IFERROR(VLOOKUP(D485,'PCI-Metro'!A:R,E485-2005,FALSE),VLOOKUP(D485,'PCI-Micro'!A:R,E485-2005,FALSE))</f>
        <v>48350</v>
      </c>
      <c r="L485">
        <f>IFERROR(IF(IFERROR(VLOOKUP($A485,Attendance2!$B:$H,5,FALSE),VLOOKUP($B485,Attendance2!$B:$H,5,FALSE))="","",IFERROR(VLOOKUP($A485,Attendance2!$B:$H,5,FALSE),VLOOKUP($B485,Attendance2!$B:$H,5,FALSE))),"")</f>
        <v>0</v>
      </c>
    </row>
    <row r="486" spans="1:12">
      <c r="A486" t="s">
        <v>120</v>
      </c>
      <c r="B486" t="s">
        <v>120</v>
      </c>
      <c r="C486">
        <v>203517</v>
      </c>
      <c r="D486">
        <v>10420</v>
      </c>
      <c r="E486">
        <f t="shared" si="8"/>
        <v>2016</v>
      </c>
      <c r="F486">
        <f>IFERROR(IF(VLOOKUP(C486,TotalRev2!A:C,3,FALSE)="","",VLOOKUP(C486,TotalRev2!A:C,3,FALSE)),"")</f>
        <v>88430</v>
      </c>
      <c r="G486">
        <f>IFERROR(IF(VLOOKUP(C486,TotalRev1!A:C,3,FALSE)="","",VLOOKUP(C486,TotalRev1!A:C,3,FALSE)),"")</f>
        <v>63055</v>
      </c>
      <c r="H486" s="26">
        <f>IFERROR(IFERROR(VLOOKUP($A486,Winpct2!$A:$K,9,FALSE),VLOOKUP($B486,Winpct2!$A:$K,9,FALSE)),"")</f>
        <v>0.66700000000000004</v>
      </c>
      <c r="I486">
        <f>IFERROR(IFERROR(VLOOKUP($A486,Ra2W!$A:$K,6,FALSE),VLOOKUP($B486,Ra2W!$A:$K,6,FALSE)),"")</f>
        <v>4849</v>
      </c>
      <c r="J486">
        <f>IFERROR(VLOOKUP(D486,'Pop-Metro'!A:R,E486-2005,FALSE),VLOOKUP(D486,'Pop-Micro'!A:R,E486-2005,FALSE))</f>
        <v>703862</v>
      </c>
      <c r="K486">
        <f>IFERROR(VLOOKUP(D486,'PCI-Metro'!A:R,E486-2005,FALSE),VLOOKUP(D486,'PCI-Micro'!A:R,E486-2005,FALSE))</f>
        <v>45463</v>
      </c>
      <c r="L486">
        <f>IFERROR(IF(IFERROR(VLOOKUP($A486,Attendance2!$B:$H,5,FALSE),VLOOKUP($B486,Attendance2!$B:$H,5,FALSE))="","",IFERROR(VLOOKUP($A486,Attendance2!$B:$H,5,FALSE),VLOOKUP($B486,Attendance2!$B:$H,5,FALSE))),"")</f>
        <v>6327</v>
      </c>
    </row>
    <row r="487" spans="1:12">
      <c r="A487" t="s">
        <v>121</v>
      </c>
      <c r="B487" t="s">
        <v>121</v>
      </c>
      <c r="C487">
        <v>157085</v>
      </c>
      <c r="D487">
        <v>30460</v>
      </c>
      <c r="E487">
        <f t="shared" si="8"/>
        <v>2016</v>
      </c>
      <c r="F487">
        <f>IFERROR(IF(VLOOKUP(C487,TotalRev2!A:C,3,FALSE)="","",VLOOKUP(C487,TotalRev2!A:C,3,FALSE)),"")</f>
        <v>329896</v>
      </c>
      <c r="G487">
        <f>IFERROR(IF(VLOOKUP(C487,TotalRev1!A:C,3,FALSE)="","",VLOOKUP(C487,TotalRev1!A:C,3,FALSE)),"")</f>
        <v>266836</v>
      </c>
      <c r="H487" s="26">
        <f>IFERROR(IFERROR(VLOOKUP($A487,Winpct2!$A:$K,9,FALSE),VLOOKUP($B487,Winpct2!$A:$K,9,FALSE)),"")</f>
        <v>0.67700000000000005</v>
      </c>
      <c r="I487">
        <f>IFERROR(IFERROR(VLOOKUP($A487,Ra2W!$A:$K,6,FALSE),VLOOKUP($B487,Ra2W!$A:$K,6,FALSE)),"")</f>
        <v>24334</v>
      </c>
      <c r="J487">
        <f>IFERROR(VLOOKUP(D487,'Pop-Metro'!A:R,E487-2005,FALSE),VLOOKUP(D487,'Pop-Micro'!A:R,E487-2005,FALSE))</f>
        <v>504186</v>
      </c>
      <c r="K487">
        <f>IFERROR(VLOOKUP(D487,'PCI-Metro'!A:R,E487-2005,FALSE),VLOOKUP(D487,'PCI-Micro'!A:R,E487-2005,FALSE))</f>
        <v>44849</v>
      </c>
      <c r="L487">
        <f>IFERROR(IF(IFERROR(VLOOKUP($A487,Attendance2!$B:$H,5,FALSE),VLOOKUP($B487,Attendance2!$B:$H,5,FALSE))="","",IFERROR(VLOOKUP($A487,Attendance2!$B:$H,5,FALSE),VLOOKUP($B487,Attendance2!$B:$H,5,FALSE))),"")</f>
        <v>8500</v>
      </c>
    </row>
    <row r="488" spans="1:12">
      <c r="A488" t="s">
        <v>1281</v>
      </c>
      <c r="B488" t="s">
        <v>1281</v>
      </c>
      <c r="C488">
        <v>213367</v>
      </c>
      <c r="D488">
        <v>37980</v>
      </c>
      <c r="E488">
        <f t="shared" si="8"/>
        <v>2016</v>
      </c>
      <c r="F488" t="str">
        <f>IFERROR(IF(VLOOKUP(C488,TotalRev2!A:C,3,FALSE)="","",VLOOKUP(C488,TotalRev2!A:C,3,FALSE)),"")</f>
        <v/>
      </c>
      <c r="G488" t="str">
        <f>IFERROR(IF(VLOOKUP(C488,TotalRev1!A:C,3,FALSE)="","",VLOOKUP(C488,TotalRev1!A:C,3,FALSE)),"")</f>
        <v/>
      </c>
      <c r="H488" s="26">
        <f>IFERROR(IFERROR(VLOOKUP($A488,Winpct2!$A:$K,9,FALSE),VLOOKUP($B488,Winpct2!$A:$K,9,FALSE)),"")</f>
        <v>0.19400000000000001</v>
      </c>
      <c r="I488">
        <f>IFERROR(IFERROR(VLOOKUP($A488,Ra2W!$A:$K,6,FALSE),VLOOKUP($B488,Ra2W!$A:$K,6,FALSE)),"")</f>
        <v>1026</v>
      </c>
      <c r="J488">
        <f>IFERROR(VLOOKUP(D488,'Pop-Metro'!A:R,E488-2005,FALSE),VLOOKUP(D488,'Pop-Micro'!A:R,E488-2005,FALSE))</f>
        <v>6153468</v>
      </c>
      <c r="K488">
        <f>IFERROR(VLOOKUP(D488,'PCI-Metro'!A:R,E488-2005,FALSE),VLOOKUP(D488,'PCI-Micro'!A:R,E488-2005,FALSE))</f>
        <v>58589</v>
      </c>
      <c r="L488">
        <f>IFERROR(IF(IFERROR(VLOOKUP($A488,Attendance2!$B:$H,5,FALSE),VLOOKUP($B488,Attendance2!$B:$H,5,FALSE))="","",IFERROR(VLOOKUP($A488,Attendance2!$B:$H,5,FALSE),VLOOKUP($B488,Attendance2!$B:$H,5,FALSE))),"")</f>
        <v>1000</v>
      </c>
    </row>
    <row r="489" spans="1:12">
      <c r="A489" t="s">
        <v>123</v>
      </c>
      <c r="B489" t="s">
        <v>123</v>
      </c>
      <c r="C489">
        <v>213385</v>
      </c>
      <c r="D489">
        <v>10900</v>
      </c>
      <c r="E489">
        <f t="shared" si="8"/>
        <v>2016</v>
      </c>
      <c r="F489" t="str">
        <f>IFERROR(IF(VLOOKUP(C489,TotalRev2!A:C,3,FALSE)="","",VLOOKUP(C489,TotalRev2!A:C,3,FALSE)),"")</f>
        <v/>
      </c>
      <c r="G489" t="str">
        <f>IFERROR(IF(VLOOKUP(C489,TotalRev1!A:C,3,FALSE)="","",VLOOKUP(C489,TotalRev1!A:C,3,FALSE)),"")</f>
        <v/>
      </c>
      <c r="H489" s="26">
        <f>IFERROR(IFERROR(VLOOKUP($A489,Winpct2!$A:$K,9,FALSE),VLOOKUP($B489,Winpct2!$A:$K,9,FALSE)),"")</f>
        <v>0.40699999999999997</v>
      </c>
      <c r="I489">
        <f>IFERROR(IFERROR(VLOOKUP($A489,Ra2W!$A:$K,6,FALSE),VLOOKUP($B489,Ra2W!$A:$K,6,FALSE)),"")</f>
        <v>1851</v>
      </c>
      <c r="J489">
        <f>IFERROR(VLOOKUP(D489,'Pop-Metro'!A:R,E489-2005,FALSE),VLOOKUP(D489,'Pop-Micro'!A:R,E489-2005,FALSE))</f>
        <v>843181</v>
      </c>
      <c r="K489">
        <f>IFERROR(VLOOKUP(D489,'PCI-Metro'!A:R,E489-2005,FALSE),VLOOKUP(D489,'PCI-Micro'!A:R,E489-2005,FALSE))</f>
        <v>48896</v>
      </c>
      <c r="L489">
        <f>IFERROR(IF(IFERROR(VLOOKUP($A489,Attendance2!$B:$H,5,FALSE),VLOOKUP($B489,Attendance2!$B:$H,5,FALSE))="","",IFERROR(VLOOKUP($A489,Attendance2!$B:$H,5,FALSE),VLOOKUP($B489,Attendance2!$B:$H,5,FALSE))),"")</f>
        <v>3500</v>
      </c>
    </row>
    <row r="490" spans="1:12">
      <c r="A490" t="s">
        <v>124</v>
      </c>
      <c r="B490" t="s">
        <v>124</v>
      </c>
      <c r="C490">
        <v>226091</v>
      </c>
      <c r="D490">
        <v>13140</v>
      </c>
      <c r="E490">
        <f t="shared" si="8"/>
        <v>2016</v>
      </c>
      <c r="F490">
        <f>IFERROR(IF(VLOOKUP(C490,TotalRev2!A:C,3,FALSE)="","",VLOOKUP(C490,TotalRev2!A:C,3,FALSE)),"")</f>
        <v>547824</v>
      </c>
      <c r="G490">
        <f>IFERROR(IF(VLOOKUP(C490,TotalRev1!A:C,3,FALSE)="","",VLOOKUP(C490,TotalRev1!A:C,3,FALSE)),"")</f>
        <v>504433</v>
      </c>
      <c r="H490" s="26">
        <f>IFERROR(IFERROR(VLOOKUP($A490,Winpct2!$A:$K,9,FALSE),VLOOKUP($B490,Winpct2!$A:$K,9,FALSE)),"")</f>
        <v>0.46700000000000003</v>
      </c>
      <c r="I490">
        <f>IFERROR(IFERROR(VLOOKUP($A490,Ra2W!$A:$K,6,FALSE),VLOOKUP($B490,Ra2W!$A:$K,6,FALSE)),"")</f>
        <v>3380</v>
      </c>
      <c r="J490">
        <f>IFERROR(VLOOKUP(D490,'Pop-Metro'!A:R,E490-2005,FALSE),VLOOKUP(D490,'Pop-Micro'!A:R,E490-2005,FALSE))</f>
        <v>400237</v>
      </c>
      <c r="K490">
        <f>IFERROR(VLOOKUP(D490,'PCI-Metro'!A:R,E490-2005,FALSE),VLOOKUP(D490,'PCI-Micro'!A:R,E490-2005,FALSE))</f>
        <v>41042</v>
      </c>
      <c r="L490">
        <f>IFERROR(IF(IFERROR(VLOOKUP($A490,Attendance2!$B:$H,5,FALSE),VLOOKUP($B490,Attendance2!$B:$H,5,FALSE))="","",IFERROR(VLOOKUP($A490,Attendance2!$B:$H,5,FALSE),VLOOKUP($B490,Attendance2!$B:$H,5,FALSE))),"")</f>
        <v>500</v>
      </c>
    </row>
    <row r="491" spans="1:12">
      <c r="A491" t="s">
        <v>125</v>
      </c>
      <c r="B491" t="s">
        <v>125</v>
      </c>
      <c r="C491">
        <v>213543</v>
      </c>
      <c r="D491">
        <v>10900</v>
      </c>
      <c r="E491">
        <f t="shared" si="8"/>
        <v>2016</v>
      </c>
      <c r="F491" t="str">
        <f>IFERROR(IF(VLOOKUP(C491,TotalRev2!A:C,3,FALSE)="","",VLOOKUP(C491,TotalRev2!A:C,3,FALSE)),"")</f>
        <v/>
      </c>
      <c r="G491" t="str">
        <f>IFERROR(IF(VLOOKUP(C491,TotalRev1!A:C,3,FALSE)="","",VLOOKUP(C491,TotalRev1!A:C,3,FALSE)),"")</f>
        <v/>
      </c>
      <c r="H491" s="26">
        <f>IFERROR(IFERROR(VLOOKUP($A491,Winpct2!$A:$K,9,FALSE),VLOOKUP($B491,Winpct2!$A:$K,9,FALSE)),"")</f>
        <v>0.59399999999999997</v>
      </c>
      <c r="I491">
        <f>IFERROR(IFERROR(VLOOKUP($A491,Ra2W!$A:$K,6,FALSE),VLOOKUP($B491,Ra2W!$A:$K,6,FALSE)),"")</f>
        <v>2561</v>
      </c>
      <c r="J491">
        <f>IFERROR(VLOOKUP(D491,'Pop-Metro'!A:R,E491-2005,FALSE),VLOOKUP(D491,'Pop-Micro'!A:R,E491-2005,FALSE))</f>
        <v>843181</v>
      </c>
      <c r="K491">
        <f>IFERROR(VLOOKUP(D491,'PCI-Metro'!A:R,E491-2005,FALSE),VLOOKUP(D491,'PCI-Micro'!A:R,E491-2005,FALSE))</f>
        <v>48896</v>
      </c>
      <c r="L491">
        <f>IFERROR(IF(IFERROR(VLOOKUP($A491,Attendance2!$B:$H,5,FALSE),VLOOKUP($B491,Attendance2!$B:$H,5,FALSE))="","",IFERROR(VLOOKUP($A491,Attendance2!$B:$H,5,FALSE),VLOOKUP($B491,Attendance2!$B:$H,5,FALSE))),"")</f>
        <v>0</v>
      </c>
    </row>
    <row r="492" spans="1:12">
      <c r="A492" t="s">
        <v>126</v>
      </c>
      <c r="B492" t="s">
        <v>126</v>
      </c>
      <c r="C492">
        <v>232557</v>
      </c>
      <c r="D492">
        <v>31340</v>
      </c>
      <c r="E492">
        <f t="shared" si="8"/>
        <v>2016</v>
      </c>
      <c r="F492" t="str">
        <f>IFERROR(IF(VLOOKUP(C492,TotalRev2!A:C,3,FALSE)="","",VLOOKUP(C492,TotalRev2!A:C,3,FALSE)),"")</f>
        <v/>
      </c>
      <c r="G492" t="str">
        <f>IFERROR(IF(VLOOKUP(C492,TotalRev1!A:C,3,FALSE)="","",VLOOKUP(C492,TotalRev1!A:C,3,FALSE)),"")</f>
        <v/>
      </c>
      <c r="H492" s="26">
        <f>IFERROR(IFERROR(VLOOKUP($A492,Winpct2!$A:$K,9,FALSE),VLOOKUP($B492,Winpct2!$A:$K,9,FALSE)),"")</f>
        <v>0.5</v>
      </c>
      <c r="I492">
        <f>IFERROR(IFERROR(VLOOKUP($A492,Ra2W!$A:$K,6,FALSE),VLOOKUP($B492,Ra2W!$A:$K,6,FALSE)),"")</f>
        <v>6625</v>
      </c>
      <c r="J492">
        <f>IFERROR(VLOOKUP(D492,'Pop-Metro'!A:R,E492-2005,FALSE),VLOOKUP(D492,'Pop-Micro'!A:R,E492-2005,FALSE))</f>
        <v>259012</v>
      </c>
      <c r="K492">
        <f>IFERROR(VLOOKUP(D492,'PCI-Metro'!A:R,E492-2005,FALSE),VLOOKUP(D492,'PCI-Micro'!A:R,E492-2005,FALSE))</f>
        <v>37098</v>
      </c>
      <c r="L492">
        <f>IFERROR(IF(IFERROR(VLOOKUP($A492,Attendance2!$B:$H,5,FALSE),VLOOKUP($B492,Attendance2!$B:$H,5,FALSE))="","",IFERROR(VLOOKUP($A492,Attendance2!$B:$H,5,FALSE),VLOOKUP($B492,Attendance2!$B:$H,5,FALSE))),"")</f>
        <v>9443</v>
      </c>
    </row>
    <row r="493" spans="1:12">
      <c r="A493" t="s">
        <v>127</v>
      </c>
      <c r="B493" t="s">
        <v>127</v>
      </c>
      <c r="C493">
        <v>219976</v>
      </c>
      <c r="D493">
        <v>34980</v>
      </c>
      <c r="E493">
        <f t="shared" si="8"/>
        <v>2016</v>
      </c>
      <c r="F493" t="str">
        <f>IFERROR(IF(VLOOKUP(C493,TotalRev2!A:C,3,FALSE)="","",VLOOKUP(C493,TotalRev2!A:C,3,FALSE)),"")</f>
        <v/>
      </c>
      <c r="G493" t="str">
        <f>IFERROR(IF(VLOOKUP(C493,TotalRev1!A:C,3,FALSE)="","",VLOOKUP(C493,TotalRev1!A:C,3,FALSE)),"")</f>
        <v/>
      </c>
      <c r="H493" s="26">
        <f>IFERROR(IFERROR(VLOOKUP($A493,Winpct2!$A:$K,9,FALSE),VLOOKUP($B493,Winpct2!$A:$K,9,FALSE)),"")</f>
        <v>0.71899999999999997</v>
      </c>
      <c r="I493">
        <f>IFERROR(IFERROR(VLOOKUP($A493,Ra2W!$A:$K,6,FALSE),VLOOKUP($B493,Ra2W!$A:$K,6,FALSE)),"")</f>
        <v>3000</v>
      </c>
      <c r="J493">
        <f>IFERROR(VLOOKUP(D493,'Pop-Metro'!A:R,E493-2005,FALSE),VLOOKUP(D493,'Pop-Micro'!A:R,E493-2005,FALSE))</f>
        <v>1863407</v>
      </c>
      <c r="K493">
        <f>IFERROR(VLOOKUP(D493,'PCI-Metro'!A:R,E493-2005,FALSE),VLOOKUP(D493,'PCI-Micro'!A:R,E493-2005,FALSE))</f>
        <v>52406</v>
      </c>
      <c r="L493">
        <f>IFERROR(IF(IFERROR(VLOOKUP($A493,Attendance2!$B:$H,5,FALSE),VLOOKUP($B493,Attendance2!$B:$H,5,FALSE))="","",IFERROR(VLOOKUP($A493,Attendance2!$B:$H,5,FALSE),VLOOKUP($B493,Attendance2!$B:$H,5,FALSE))),"")</f>
        <v>5028</v>
      </c>
    </row>
    <row r="494" spans="1:12">
      <c r="A494" t="s">
        <v>1282</v>
      </c>
      <c r="B494" t="s">
        <v>1282</v>
      </c>
      <c r="C494">
        <v>106245</v>
      </c>
      <c r="D494">
        <v>30780</v>
      </c>
      <c r="E494">
        <f t="shared" si="8"/>
        <v>2016</v>
      </c>
      <c r="F494">
        <f>IFERROR(IF(VLOOKUP(C494,TotalRev2!A:C,3,FALSE)="","",VLOOKUP(C494,TotalRev2!A:C,3,FALSE)),"")</f>
        <v>125794</v>
      </c>
      <c r="G494">
        <f>IFERROR(IF(VLOOKUP(C494,TotalRev1!A:C,3,FALSE)="","",VLOOKUP(C494,TotalRev1!A:C,3,FALSE)),"")</f>
        <v>107642</v>
      </c>
      <c r="H494" s="26">
        <f>IFERROR(IFERROR(VLOOKUP($A494,Winpct2!$A:$K,9,FALSE),VLOOKUP($B494,Winpct2!$A:$K,9,FALSE)),"")</f>
        <v>0.5</v>
      </c>
      <c r="I494">
        <f>IFERROR(IFERROR(VLOOKUP($A494,Ra2W!$A:$K,6,FALSE),VLOOKUP($B494,Ra2W!$A:$K,6,FALSE)),"")</f>
        <v>3806</v>
      </c>
      <c r="J494">
        <f>IFERROR(VLOOKUP(D494,'Pop-Metro'!A:R,E494-2005,FALSE),VLOOKUP(D494,'Pop-Micro'!A:R,E494-2005,FALSE))</f>
        <v>735662</v>
      </c>
      <c r="K494">
        <f>IFERROR(VLOOKUP(D494,'PCI-Metro'!A:R,E494-2005,FALSE),VLOOKUP(D494,'PCI-Micro'!A:R,E494-2005,FALSE))</f>
        <v>43156</v>
      </c>
      <c r="L494">
        <f>IFERROR(IF(IFERROR(VLOOKUP($A494,Attendance2!$B:$H,5,FALSE),VLOOKUP($B494,Attendance2!$B:$H,5,FALSE))="","",IFERROR(VLOOKUP($A494,Attendance2!$B:$H,5,FALSE),VLOOKUP($B494,Attendance2!$B:$H,5,FALSE))),"")</f>
        <v>5600</v>
      </c>
    </row>
    <row r="495" spans="1:12">
      <c r="A495" t="s">
        <v>128</v>
      </c>
      <c r="B495" t="s">
        <v>1246</v>
      </c>
      <c r="C495">
        <v>192448</v>
      </c>
      <c r="D495">
        <v>35620</v>
      </c>
      <c r="E495">
        <f t="shared" si="8"/>
        <v>2016</v>
      </c>
      <c r="F495" t="str">
        <f>IFERROR(IF(VLOOKUP(C495,TotalRev2!A:C,3,FALSE)="","",VLOOKUP(C495,TotalRev2!A:C,3,FALSE)),"")</f>
        <v/>
      </c>
      <c r="G495" t="str">
        <f>IFERROR(IF(VLOOKUP(C495,TotalRev1!A:C,3,FALSE)="","",VLOOKUP(C495,TotalRev1!A:C,3,FALSE)),"")</f>
        <v/>
      </c>
      <c r="H495" s="26">
        <f>IFERROR(IFERROR(VLOOKUP($A495,Winpct2!$A:$K,9,FALSE),VLOOKUP($B495,Winpct2!$A:$K,9,FALSE)),"")</f>
        <v>0.5</v>
      </c>
      <c r="I495">
        <f>IFERROR(IFERROR(VLOOKUP($A495,Ra2W!$A:$K,6,FALSE),VLOOKUP($B495,Ra2W!$A:$K,6,FALSE)),"")</f>
        <v>2766</v>
      </c>
      <c r="J495">
        <f>IFERROR(VLOOKUP(D495,'Pop-Metro'!A:R,E495-2005,FALSE),VLOOKUP(D495,'Pop-Micro'!A:R,E495-2005,FALSE))</f>
        <v>19943198</v>
      </c>
      <c r="K495">
        <f>IFERROR(VLOOKUP(D495,'PCI-Metro'!A:R,E495-2005,FALSE),VLOOKUP(D495,'PCI-Micro'!A:R,E495-2005,FALSE))</f>
        <v>64886</v>
      </c>
      <c r="L495">
        <f>IFERROR(IF(IFERROR(VLOOKUP($A495,Attendance2!$B:$H,5,FALSE),VLOOKUP($B495,Attendance2!$B:$H,5,FALSE))="","",IFERROR(VLOOKUP($A495,Attendance2!$B:$H,5,FALSE),VLOOKUP($B495,Attendance2!$B:$H,5,FALSE))),"")</f>
        <v>2000</v>
      </c>
    </row>
    <row r="496" spans="1:12">
      <c r="A496" t="s">
        <v>129</v>
      </c>
      <c r="B496" t="s">
        <v>1259</v>
      </c>
      <c r="C496">
        <v>117946</v>
      </c>
      <c r="D496">
        <v>31080</v>
      </c>
      <c r="E496">
        <f t="shared" si="8"/>
        <v>2016</v>
      </c>
      <c r="F496" t="str">
        <f>IFERROR(IF(VLOOKUP(C496,TotalRev2!A:C,3,FALSE)="","",VLOOKUP(C496,TotalRev2!A:C,3,FALSE)),"")</f>
        <v/>
      </c>
      <c r="G496" t="str">
        <f>IFERROR(IF(VLOOKUP(C496,TotalRev1!A:C,3,FALSE)="","",VLOOKUP(C496,TotalRev1!A:C,3,FALSE)),"")</f>
        <v/>
      </c>
      <c r="H496" s="26">
        <f>IFERROR(IFERROR(VLOOKUP($A496,Winpct2!$A:$K,9,FALSE),VLOOKUP($B496,Winpct2!$A:$K,9,FALSE)),"")</f>
        <v>0.72699999999999998</v>
      </c>
      <c r="I496">
        <f>IFERROR(IFERROR(VLOOKUP($A496,Ra2W!$A:$K,6,FALSE),VLOOKUP($B496,Ra2W!$A:$K,6,FALSE)),"")</f>
        <v>5435</v>
      </c>
      <c r="J496">
        <f>IFERROR(VLOOKUP(D496,'Pop-Metro'!A:R,E496-2005,FALSE),VLOOKUP(D496,'Pop-Micro'!A:R,E496-2005,FALSE))</f>
        <v>13295906</v>
      </c>
      <c r="K496">
        <f>IFERROR(VLOOKUP(D496,'PCI-Metro'!A:R,E496-2005,FALSE),VLOOKUP(D496,'PCI-Micro'!A:R,E496-2005,FALSE))</f>
        <v>56287</v>
      </c>
      <c r="L496">
        <f>IFERROR(IF(IFERROR(VLOOKUP($A496,Attendance2!$B:$H,5,FALSE),VLOOKUP($B496,Attendance2!$B:$H,5,FALSE))="","",IFERROR(VLOOKUP($A496,Attendance2!$B:$H,5,FALSE),VLOOKUP($B496,Attendance2!$B:$H,5,FALSE))),"")</f>
        <v>4156</v>
      </c>
    </row>
    <row r="497" spans="1:12">
      <c r="A497" t="s">
        <v>130</v>
      </c>
      <c r="B497" t="s">
        <v>130</v>
      </c>
      <c r="C497">
        <v>110583</v>
      </c>
      <c r="D497">
        <v>31080</v>
      </c>
      <c r="E497">
        <f t="shared" si="8"/>
        <v>2016</v>
      </c>
      <c r="F497">
        <f>IFERROR(IF(VLOOKUP(C497,TotalRev2!A:C,3,FALSE)="","",VLOOKUP(C497,TotalRev2!A:C,3,FALSE)),"")</f>
        <v>806948</v>
      </c>
      <c r="G497">
        <f>IFERROR(IF(VLOOKUP(C497,TotalRev1!A:C,3,FALSE)="","",VLOOKUP(C497,TotalRev1!A:C,3,FALSE)),"")</f>
        <v>488529</v>
      </c>
      <c r="H497" s="26">
        <f>IFERROR(IFERROR(VLOOKUP($A497,Winpct2!$A:$K,9,FALSE),VLOOKUP($B497,Winpct2!$A:$K,9,FALSE)),"")</f>
        <v>0.80600000000000005</v>
      </c>
      <c r="I497">
        <f>IFERROR(IFERROR(VLOOKUP($A497,Ra2W!$A:$K,6,FALSE),VLOOKUP($B497,Ra2W!$A:$K,6,FALSE)),"")</f>
        <v>17291</v>
      </c>
      <c r="J497">
        <f>IFERROR(VLOOKUP(D497,'Pop-Metro'!A:R,E497-2005,FALSE),VLOOKUP(D497,'Pop-Micro'!A:R,E497-2005,FALSE))</f>
        <v>13295906</v>
      </c>
      <c r="K497">
        <f>IFERROR(VLOOKUP(D497,'PCI-Metro'!A:R,E497-2005,FALSE),VLOOKUP(D497,'PCI-Micro'!A:R,E497-2005,FALSE))</f>
        <v>56287</v>
      </c>
      <c r="L497">
        <f>IFERROR(IF(IFERROR(VLOOKUP($A497,Attendance2!$B:$H,5,FALSE),VLOOKUP($B497,Attendance2!$B:$H,5,FALSE))="","",IFERROR(VLOOKUP($A497,Attendance2!$B:$H,5,FALSE),VLOOKUP($B497,Attendance2!$B:$H,5,FALSE))),"")</f>
        <v>4200</v>
      </c>
    </row>
    <row r="498" spans="1:12">
      <c r="A498" t="s">
        <v>131</v>
      </c>
      <c r="B498" t="s">
        <v>131</v>
      </c>
      <c r="C498">
        <v>232566</v>
      </c>
      <c r="D498">
        <v>40060</v>
      </c>
      <c r="E498">
        <f t="shared" si="8"/>
        <v>2016</v>
      </c>
      <c r="F498" t="str">
        <f>IFERROR(IF(VLOOKUP(C498,TotalRev2!A:C,3,FALSE)="","",VLOOKUP(C498,TotalRev2!A:C,3,FALSE)),"")</f>
        <v/>
      </c>
      <c r="G498" t="str">
        <f>IFERROR(IF(VLOOKUP(C498,TotalRev1!A:C,3,FALSE)="","",VLOOKUP(C498,TotalRev1!A:C,3,FALSE)),"")</f>
        <v/>
      </c>
      <c r="H498" s="26" t="str">
        <f>IFERROR(IFERROR(VLOOKUP($A498,Winpct2!$A:$K,9,FALSE),VLOOKUP($B498,Winpct2!$A:$K,9,FALSE)),"")</f>
        <v/>
      </c>
      <c r="I498" t="str">
        <f>IFERROR(IFERROR(VLOOKUP($A498,Ra2W!$A:$K,6,FALSE),VLOOKUP($B498,Ra2W!$A:$K,6,FALSE)),"")</f>
        <v/>
      </c>
      <c r="J498">
        <f>IFERROR(VLOOKUP(D498,'Pop-Metro'!A:R,E498-2005,FALSE),VLOOKUP(D498,'Pop-Micro'!A:R,E498-2005,FALSE))</f>
        <v>1267111</v>
      </c>
      <c r="K498">
        <f>IFERROR(VLOOKUP(D498,'PCI-Metro'!A:R,E498-2005,FALSE),VLOOKUP(D498,'PCI-Micro'!A:R,E498-2005,FALSE))</f>
        <v>51617</v>
      </c>
      <c r="L498" t="str">
        <f>IFERROR(IF(IFERROR(VLOOKUP($A498,Attendance2!$B:$H,5,FALSE),VLOOKUP($B498,Attendance2!$B:$H,5,FALSE))="","",IFERROR(VLOOKUP($A498,Attendance2!$B:$H,5,FALSE),VLOOKUP($B498,Attendance2!$B:$H,5,FALSE))),"")</f>
        <v/>
      </c>
    </row>
    <row r="499" spans="1:12">
      <c r="A499" t="s">
        <v>132</v>
      </c>
      <c r="B499" t="s">
        <v>132</v>
      </c>
      <c r="C499">
        <v>160658</v>
      </c>
      <c r="D499">
        <v>29180</v>
      </c>
      <c r="E499">
        <f t="shared" si="8"/>
        <v>2016</v>
      </c>
      <c r="F499">
        <f>IFERROR(IF(VLOOKUP(C499,TotalRev2!A:C,3,FALSE)="","",VLOOKUP(C499,TotalRev2!A:C,3,FALSE)),"")</f>
        <v>652023</v>
      </c>
      <c r="G499">
        <f>IFERROR(IF(VLOOKUP(C499,TotalRev1!A:C,3,FALSE)="","",VLOOKUP(C499,TotalRev1!A:C,3,FALSE)),"")</f>
        <v>583450</v>
      </c>
      <c r="H499" s="26">
        <f>IFERROR(IFERROR(VLOOKUP($A499,Winpct2!$A:$K,9,FALSE),VLOOKUP($B499,Winpct2!$A:$K,9,FALSE)),"")</f>
        <v>0.20699999999999999</v>
      </c>
      <c r="I499">
        <f>IFERROR(IFERROR(VLOOKUP($A499,Ra2W!$A:$K,6,FALSE),VLOOKUP($B499,Ra2W!$A:$K,6,FALSE)),"")</f>
        <v>3785</v>
      </c>
      <c r="J499">
        <f>IFERROR(VLOOKUP(D499,'Pop-Metro'!A:R,E499-2005,FALSE),VLOOKUP(D499,'Pop-Micro'!A:R,E499-2005,FALSE))</f>
        <v>484056</v>
      </c>
      <c r="K499">
        <f>IFERROR(VLOOKUP(D499,'PCI-Metro'!A:R,E499-2005,FALSE),VLOOKUP(D499,'PCI-Micro'!A:R,E499-2005,FALSE))</f>
        <v>40788</v>
      </c>
      <c r="L499">
        <f>IFERROR(IF(IFERROR(VLOOKUP($A499,Attendance2!$B:$H,5,FALSE),VLOOKUP($B499,Attendance2!$B:$H,5,FALSE))="","",IFERROR(VLOOKUP($A499,Attendance2!$B:$H,5,FALSE),VLOOKUP($B499,Attendance2!$B:$H,5,FALSE))),"")</f>
        <v>1121</v>
      </c>
    </row>
    <row r="500" spans="1:12">
      <c r="A500" t="s">
        <v>133</v>
      </c>
      <c r="B500" t="s">
        <v>133</v>
      </c>
      <c r="C500">
        <v>159647</v>
      </c>
      <c r="D500">
        <v>40820</v>
      </c>
      <c r="E500">
        <f t="shared" si="8"/>
        <v>2016</v>
      </c>
      <c r="F500">
        <f>IFERROR(IF(VLOOKUP(C500,TotalRev2!A:C,3,FALSE)="","",VLOOKUP(C500,TotalRev2!A:C,3,FALSE)),"")</f>
        <v>669262</v>
      </c>
      <c r="G500">
        <f>IFERROR(IF(VLOOKUP(C500,TotalRev1!A:C,3,FALSE)="","",VLOOKUP(C500,TotalRev1!A:C,3,FALSE)),"")</f>
        <v>713069</v>
      </c>
      <c r="H500" s="26">
        <f>IFERROR(IFERROR(VLOOKUP($A500,Winpct2!$A:$K,9,FALSE),VLOOKUP($B500,Winpct2!$A:$K,9,FALSE)),"")</f>
        <v>0.33300000000000002</v>
      </c>
      <c r="I500">
        <f>IFERROR(IFERROR(VLOOKUP($A500,Ra2W!$A:$K,6,FALSE),VLOOKUP($B500,Ra2W!$A:$K,6,FALSE)),"")</f>
        <v>2747</v>
      </c>
      <c r="J500">
        <f>IFERROR(VLOOKUP(D500,'Pop-Metro'!A:R,E500-2005,FALSE),VLOOKUP(D500,'Pop-Micro'!A:R,E500-2005,FALSE))</f>
        <v>48584</v>
      </c>
      <c r="K500">
        <f>IFERROR(VLOOKUP(D500,'PCI-Metro'!A:R,E500-2005,FALSE),VLOOKUP(D500,'PCI-Micro'!A:R,E500-2005,FALSE))</f>
        <v>35545</v>
      </c>
      <c r="L500">
        <f>IFERROR(IF(IFERROR(VLOOKUP($A500,Attendance2!$B:$H,5,FALSE),VLOOKUP($B500,Attendance2!$B:$H,5,FALSE))="","",IFERROR(VLOOKUP($A500,Attendance2!$B:$H,5,FALSE),VLOOKUP($B500,Attendance2!$B:$H,5,FALSE))),"")</f>
        <v>8000</v>
      </c>
    </row>
    <row r="501" spans="1:12">
      <c r="A501" t="s">
        <v>134</v>
      </c>
      <c r="B501" t="s">
        <v>134</v>
      </c>
      <c r="C501">
        <v>157289</v>
      </c>
      <c r="D501">
        <v>31140</v>
      </c>
      <c r="E501">
        <f t="shared" si="8"/>
        <v>2016</v>
      </c>
      <c r="F501">
        <f>IFERROR(IF(VLOOKUP(C501,TotalRev2!A:C,3,FALSE)="","",VLOOKUP(C501,TotalRev2!A:C,3,FALSE)),"")</f>
        <v>194116</v>
      </c>
      <c r="G501">
        <f>IFERROR(IF(VLOOKUP(C501,TotalRev1!A:C,3,FALSE)="","",VLOOKUP(C501,TotalRev1!A:C,3,FALSE)),"")</f>
        <v>106416</v>
      </c>
      <c r="H501" s="26">
        <f>IFERROR(IFERROR(VLOOKUP($A501,Winpct2!$A:$K,9,FALSE),VLOOKUP($B501,Winpct2!$A:$K,9,FALSE)),"")</f>
        <v>0.78100000000000003</v>
      </c>
      <c r="I501">
        <f>IFERROR(IFERROR(VLOOKUP($A501,Ra2W!$A:$K,6,FALSE),VLOOKUP($B501,Ra2W!$A:$K,6,FALSE)),"")</f>
        <v>34334</v>
      </c>
      <c r="J501">
        <f>IFERROR(VLOOKUP(D501,'Pop-Metro'!A:R,E501-2005,FALSE),VLOOKUP(D501,'Pop-Micro'!A:R,E501-2005,FALSE))</f>
        <v>1263150</v>
      </c>
      <c r="K501">
        <f>IFERROR(VLOOKUP(D501,'PCI-Metro'!A:R,E501-2005,FALSE),VLOOKUP(D501,'PCI-Micro'!A:R,E501-2005,FALSE))</f>
        <v>45876</v>
      </c>
      <c r="L501">
        <f>IFERROR(IF(IFERROR(VLOOKUP($A501,Attendance2!$B:$H,5,FALSE),VLOOKUP($B501,Attendance2!$B:$H,5,FALSE))="","",IFERROR(VLOOKUP($A501,Attendance2!$B:$H,5,FALSE),VLOOKUP($B501,Attendance2!$B:$H,5,FALSE))),"")</f>
        <v>950</v>
      </c>
    </row>
    <row r="502" spans="1:12">
      <c r="A502" t="s">
        <v>135</v>
      </c>
      <c r="B502" t="s">
        <v>135</v>
      </c>
      <c r="C502">
        <v>146719</v>
      </c>
      <c r="D502">
        <v>16980</v>
      </c>
      <c r="E502">
        <f t="shared" si="8"/>
        <v>2016</v>
      </c>
      <c r="F502" t="str">
        <f>IFERROR(IF(VLOOKUP(C502,TotalRev2!A:C,3,FALSE)="","",VLOOKUP(C502,TotalRev2!A:C,3,FALSE)),"")</f>
        <v/>
      </c>
      <c r="G502" t="str">
        <f>IFERROR(IF(VLOOKUP(C502,TotalRev1!A:C,3,FALSE)="","",VLOOKUP(C502,TotalRev1!A:C,3,FALSE)),"")</f>
        <v/>
      </c>
      <c r="H502" s="26">
        <f>IFERROR(IFERROR(VLOOKUP($A502,Winpct2!$A:$K,9,FALSE),VLOOKUP($B502,Winpct2!$A:$K,9,FALSE)),"")</f>
        <v>0.625</v>
      </c>
      <c r="I502">
        <f>IFERROR(IFERROR(VLOOKUP($A502,Ra2W!$A:$K,6,FALSE),VLOOKUP($B502,Ra2W!$A:$K,6,FALSE)),"")</f>
        <v>4144</v>
      </c>
      <c r="J502">
        <f>IFERROR(VLOOKUP(D502,'Pop-Metro'!A:R,E502-2005,FALSE),VLOOKUP(D502,'Pop-Micro'!A:R,E502-2005,FALSE))</f>
        <v>9656432</v>
      </c>
      <c r="K502">
        <f>IFERROR(VLOOKUP(D502,'PCI-Metro'!A:R,E502-2005,FALSE),VLOOKUP(D502,'PCI-Micro'!A:R,E502-2005,FALSE))</f>
        <v>55027</v>
      </c>
      <c r="L502">
        <f>IFERROR(IF(IFERROR(VLOOKUP($A502,Attendance2!$B:$H,5,FALSE),VLOOKUP($B502,Attendance2!$B:$H,5,FALSE))="","",IFERROR(VLOOKUP($A502,Attendance2!$B:$H,5,FALSE),VLOOKUP($B502,Attendance2!$B:$H,5,FALSE))),"")</f>
        <v>4486</v>
      </c>
    </row>
    <row r="503" spans="1:12">
      <c r="A503" t="s">
        <v>1283</v>
      </c>
      <c r="B503" t="s">
        <v>1283</v>
      </c>
      <c r="C503">
        <v>163046</v>
      </c>
      <c r="D503">
        <v>12580</v>
      </c>
      <c r="E503">
        <f t="shared" si="8"/>
        <v>2016</v>
      </c>
      <c r="F503" t="str">
        <f>IFERROR(IF(VLOOKUP(C503,TotalRev2!A:C,3,FALSE)="","",VLOOKUP(C503,TotalRev2!A:C,3,FALSE)),"")</f>
        <v/>
      </c>
      <c r="G503" t="str">
        <f>IFERROR(IF(VLOOKUP(C503,TotalRev1!A:C,3,FALSE)="","",VLOOKUP(C503,TotalRev1!A:C,3,FALSE)),"")</f>
        <v/>
      </c>
      <c r="H503" s="26">
        <f>IFERROR(IFERROR(VLOOKUP($A503,Winpct2!$A:$K,9,FALSE),VLOOKUP($B503,Winpct2!$A:$K,9,FALSE)),"")</f>
        <v>0.19400000000000001</v>
      </c>
      <c r="I503">
        <f>IFERROR(IFERROR(VLOOKUP($A503,Ra2W!$A:$K,6,FALSE),VLOOKUP($B503,Ra2W!$A:$K,6,FALSE)),"")</f>
        <v>1894</v>
      </c>
      <c r="J503">
        <f>IFERROR(VLOOKUP(D503,'Pop-Metro'!A:R,E503-2005,FALSE),VLOOKUP(D503,'Pop-Micro'!A:R,E503-2005,FALSE))</f>
        <v>2821424</v>
      </c>
      <c r="K503">
        <f>IFERROR(VLOOKUP(D503,'PCI-Metro'!A:R,E503-2005,FALSE),VLOOKUP(D503,'PCI-Micro'!A:R,E503-2005,FALSE))</f>
        <v>55720</v>
      </c>
      <c r="L503">
        <f>IFERROR(IF(IFERROR(VLOOKUP($A503,Attendance2!$B:$H,5,FALSE),VLOOKUP($B503,Attendance2!$B:$H,5,FALSE))="","",IFERROR(VLOOKUP($A503,Attendance2!$B:$H,5,FALSE),VLOOKUP($B503,Attendance2!$B:$H,5,FALSE))),"")</f>
        <v>2100</v>
      </c>
    </row>
    <row r="504" spans="1:12">
      <c r="A504" t="s">
        <v>136</v>
      </c>
      <c r="B504" t="s">
        <v>136</v>
      </c>
      <c r="C504">
        <v>159391</v>
      </c>
      <c r="D504">
        <v>12940</v>
      </c>
      <c r="E504">
        <f t="shared" si="8"/>
        <v>2016</v>
      </c>
      <c r="F504">
        <f>IFERROR(IF(VLOOKUP(C504,TotalRev2!A:C,3,FALSE)="","",VLOOKUP(C504,TotalRev2!A:C,3,FALSE)),"")</f>
        <v>56523</v>
      </c>
      <c r="G504">
        <f>IFERROR(IF(VLOOKUP(C504,TotalRev1!A:C,3,FALSE)="","",VLOOKUP(C504,TotalRev1!A:C,3,FALSE)),"")</f>
        <v>68208</v>
      </c>
      <c r="H504" s="26">
        <f>IFERROR(IFERROR(VLOOKUP($A504,Winpct2!$A:$K,9,FALSE),VLOOKUP($B504,Winpct2!$A:$K,9,FALSE)),"")</f>
        <v>0.31</v>
      </c>
      <c r="I504">
        <f>IFERROR(IFERROR(VLOOKUP($A504,Ra2W!$A:$K,6,FALSE),VLOOKUP($B504,Ra2W!$A:$K,6,FALSE)),"")</f>
        <v>12673</v>
      </c>
      <c r="J504">
        <f>IFERROR(VLOOKUP(D504,'Pop-Metro'!A:R,E504-2005,FALSE),VLOOKUP(D504,'Pop-Micro'!A:R,E504-2005,FALSE))</f>
        <v>864743</v>
      </c>
      <c r="K504">
        <f>IFERROR(VLOOKUP(D504,'PCI-Metro'!A:R,E504-2005,FALSE),VLOOKUP(D504,'PCI-Micro'!A:R,E504-2005,FALSE))</f>
        <v>44066</v>
      </c>
      <c r="L504">
        <f>IFERROR(IF(IFERROR(VLOOKUP($A504,Attendance2!$B:$H,5,FALSE),VLOOKUP($B504,Attendance2!$B:$H,5,FALSE))="","",IFERROR(VLOOKUP($A504,Attendance2!$B:$H,5,FALSE),VLOOKUP($B504,Attendance2!$B:$H,5,FALSE))),"")</f>
        <v>13215</v>
      </c>
    </row>
    <row r="505" spans="1:12">
      <c r="A505" t="s">
        <v>137</v>
      </c>
      <c r="B505" t="s">
        <v>137</v>
      </c>
      <c r="C505">
        <v>161253</v>
      </c>
      <c r="D505">
        <v>12620</v>
      </c>
      <c r="E505">
        <f t="shared" si="8"/>
        <v>2016</v>
      </c>
      <c r="F505" t="str">
        <f>IFERROR(IF(VLOOKUP(C505,TotalRev2!A:C,3,FALSE)="","",VLOOKUP(C505,TotalRev2!A:C,3,FALSE)),"")</f>
        <v/>
      </c>
      <c r="G505" t="str">
        <f>IFERROR(IF(VLOOKUP(C505,TotalRev1!A:C,3,FALSE)="","",VLOOKUP(C505,TotalRev1!A:C,3,FALSE)),"")</f>
        <v/>
      </c>
      <c r="H505" s="26" t="str">
        <f>IFERROR(IFERROR(VLOOKUP($A505,Winpct2!$A:$K,9,FALSE),VLOOKUP($B505,Winpct2!$A:$K,9,FALSE)),"")</f>
        <v/>
      </c>
      <c r="I505" t="str">
        <f>IFERROR(IFERROR(VLOOKUP($A505,Ra2W!$A:$K,6,FALSE),VLOOKUP($B505,Ra2W!$A:$K,6,FALSE)),"")</f>
        <v/>
      </c>
      <c r="J505">
        <f>IFERROR(VLOOKUP(D505,'Pop-Metro'!A:R,E505-2005,FALSE),VLOOKUP(D505,'Pop-Micro'!A:R,E505-2005,FALSE))</f>
        <v>151703</v>
      </c>
      <c r="K505">
        <f>IFERROR(VLOOKUP(D505,'PCI-Metro'!A:R,E505-2005,FALSE),VLOOKUP(D505,'PCI-Micro'!A:R,E505-2005,FALSE))</f>
        <v>38378</v>
      </c>
      <c r="L505" t="str">
        <f>IFERROR(IF(IFERROR(VLOOKUP($A505,Attendance2!$B:$H,5,FALSE),VLOOKUP($B505,Attendance2!$B:$H,5,FALSE))="","",IFERROR(VLOOKUP($A505,Attendance2!$B:$H,5,FALSE),VLOOKUP($B505,Attendance2!$B:$H,5,FALSE))),"")</f>
        <v/>
      </c>
    </row>
    <row r="506" spans="1:12">
      <c r="A506" t="s">
        <v>138</v>
      </c>
      <c r="B506" t="s">
        <v>138</v>
      </c>
      <c r="C506">
        <v>192703</v>
      </c>
      <c r="D506">
        <v>35620</v>
      </c>
      <c r="E506">
        <f t="shared" si="8"/>
        <v>2016</v>
      </c>
      <c r="F506" t="str">
        <f>IFERROR(IF(VLOOKUP(C506,TotalRev2!A:C,3,FALSE)="","",VLOOKUP(C506,TotalRev2!A:C,3,FALSE)),"")</f>
        <v/>
      </c>
      <c r="G506" t="str">
        <f>IFERROR(IF(VLOOKUP(C506,TotalRev1!A:C,3,FALSE)="","",VLOOKUP(C506,TotalRev1!A:C,3,FALSE)),"")</f>
        <v/>
      </c>
      <c r="H506" s="26">
        <f>IFERROR(IFERROR(VLOOKUP($A506,Winpct2!$A:$K,9,FALSE),VLOOKUP($B506,Winpct2!$A:$K,9,FALSE)),"")</f>
        <v>0.58799999999999997</v>
      </c>
      <c r="I506">
        <f>IFERROR(IFERROR(VLOOKUP($A506,Ra2W!$A:$K,6,FALSE),VLOOKUP($B506,Ra2W!$A:$K,6,FALSE)),"")</f>
        <v>2310</v>
      </c>
      <c r="J506">
        <f>IFERROR(VLOOKUP(D506,'Pop-Metro'!A:R,E506-2005,FALSE),VLOOKUP(D506,'Pop-Micro'!A:R,E506-2005,FALSE))</f>
        <v>19943198</v>
      </c>
      <c r="K506">
        <f>IFERROR(VLOOKUP(D506,'PCI-Metro'!A:R,E506-2005,FALSE),VLOOKUP(D506,'PCI-Micro'!A:R,E506-2005,FALSE))</f>
        <v>64886</v>
      </c>
      <c r="L506">
        <f>IFERROR(IF(IFERROR(VLOOKUP($A506,Attendance2!$B:$H,5,FALSE),VLOOKUP($B506,Attendance2!$B:$H,5,FALSE))="","",IFERROR(VLOOKUP($A506,Attendance2!$B:$H,5,FALSE),VLOOKUP($B506,Attendance2!$B:$H,5,FALSE))),"")</f>
        <v>2500</v>
      </c>
    </row>
    <row r="507" spans="1:12">
      <c r="A507" t="s">
        <v>139</v>
      </c>
      <c r="B507" t="s">
        <v>139</v>
      </c>
      <c r="C507">
        <v>192819</v>
      </c>
      <c r="D507">
        <v>39100</v>
      </c>
      <c r="E507">
        <f t="shared" si="8"/>
        <v>2016</v>
      </c>
      <c r="F507" t="str">
        <f>IFERROR(IF(VLOOKUP(C507,TotalRev2!A:C,3,FALSE)="","",VLOOKUP(C507,TotalRev2!A:C,3,FALSE)),"")</f>
        <v/>
      </c>
      <c r="G507" t="str">
        <f>IFERROR(IF(VLOOKUP(C507,TotalRev1!A:C,3,FALSE)="","",VLOOKUP(C507,TotalRev1!A:C,3,FALSE)),"")</f>
        <v/>
      </c>
      <c r="H507" s="26">
        <f>IFERROR(IFERROR(VLOOKUP($A507,Winpct2!$A:$K,9,FALSE),VLOOKUP($B507,Winpct2!$A:$K,9,FALSE)),"")</f>
        <v>0.67700000000000005</v>
      </c>
      <c r="I507">
        <f>IFERROR(IFERROR(VLOOKUP($A507,Ra2W!$A:$K,6,FALSE),VLOOKUP($B507,Ra2W!$A:$K,6,FALSE)),"")</f>
        <v>2343</v>
      </c>
      <c r="J507">
        <f>IFERROR(VLOOKUP(D507,'Pop-Metro'!A:R,E507-2005,FALSE),VLOOKUP(D507,'Pop-Micro'!A:R,E507-2005,FALSE))</f>
        <v>682370</v>
      </c>
      <c r="K507">
        <f>IFERROR(VLOOKUP(D507,'PCI-Metro'!A:R,E507-2005,FALSE),VLOOKUP(D507,'PCI-Micro'!A:R,E507-2005,FALSE))</f>
        <v>48436</v>
      </c>
      <c r="L507">
        <f>IFERROR(IF(IFERROR(VLOOKUP($A507,Attendance2!$B:$H,5,FALSE),VLOOKUP($B507,Attendance2!$B:$H,5,FALSE))="","",IFERROR(VLOOKUP($A507,Attendance2!$B:$H,5,FALSE),VLOOKUP($B507,Attendance2!$B:$H,5,FALSE))),"")</f>
        <v>3200</v>
      </c>
    </row>
    <row r="508" spans="1:12">
      <c r="A508" t="s">
        <v>1284</v>
      </c>
      <c r="B508" t="s">
        <v>1284</v>
      </c>
      <c r="C508">
        <v>239105</v>
      </c>
      <c r="D508">
        <v>33340</v>
      </c>
      <c r="E508">
        <f t="shared" si="8"/>
        <v>2016</v>
      </c>
      <c r="F508" t="str">
        <f>IFERROR(IF(VLOOKUP(C508,TotalRev2!A:C,3,FALSE)="","",VLOOKUP(C508,TotalRev2!A:C,3,FALSE)),"")</f>
        <v/>
      </c>
      <c r="G508" t="str">
        <f>IFERROR(IF(VLOOKUP(C508,TotalRev1!A:C,3,FALSE)="","",VLOOKUP(C508,TotalRev1!A:C,3,FALSE)),"")</f>
        <v/>
      </c>
      <c r="H508" s="26">
        <f>IFERROR(IFERROR(VLOOKUP($A508,Winpct2!$A:$K,9,FALSE),VLOOKUP($B508,Winpct2!$A:$K,9,FALSE)),"")</f>
        <v>0.64700000000000002</v>
      </c>
      <c r="I508">
        <f>IFERROR(IFERROR(VLOOKUP($A508,Ra2W!$A:$K,6,FALSE),VLOOKUP($B508,Ra2W!$A:$K,6,FALSE)),"")</f>
        <v>7579</v>
      </c>
      <c r="J508">
        <f>IFERROR(VLOOKUP(D508,'Pop-Metro'!A:R,E508-2005,FALSE),VLOOKUP(D508,'Pop-Micro'!A:R,E508-2005,FALSE))</f>
        <v>1574396</v>
      </c>
      <c r="K508">
        <f>IFERROR(VLOOKUP(D508,'PCI-Metro'!A:R,E508-2005,FALSE),VLOOKUP(D508,'PCI-Micro'!A:R,E508-2005,FALSE))</f>
        <v>51560</v>
      </c>
      <c r="L508">
        <f>IFERROR(IF(IFERROR(VLOOKUP($A508,Attendance2!$B:$H,5,FALSE),VLOOKUP($B508,Attendance2!$B:$H,5,FALSE))="","",IFERROR(VLOOKUP($A508,Attendance2!$B:$H,5,FALSE),VLOOKUP($B508,Attendance2!$B:$H,5,FALSE))),"")</f>
        <v>4000</v>
      </c>
    </row>
    <row r="509" spans="1:12">
      <c r="A509" t="s">
        <v>140</v>
      </c>
      <c r="B509" t="s">
        <v>140</v>
      </c>
      <c r="C509">
        <v>237525</v>
      </c>
      <c r="D509">
        <v>26580</v>
      </c>
      <c r="E509">
        <f t="shared" si="8"/>
        <v>2016</v>
      </c>
      <c r="F509">
        <f>IFERROR(IF(VLOOKUP(C509,TotalRev2!A:C,3,FALSE)="","",VLOOKUP(C509,TotalRev2!A:C,3,FALSE)),"")</f>
        <v>538672</v>
      </c>
      <c r="G509">
        <f>IFERROR(IF(VLOOKUP(C509,TotalRev1!A:C,3,FALSE)="","",VLOOKUP(C509,TotalRev1!A:C,3,FALSE)),"")</f>
        <v>514421</v>
      </c>
      <c r="H509" s="26">
        <f>IFERROR(IFERROR(VLOOKUP($A509,Winpct2!$A:$K,9,FALSE),VLOOKUP($B509,Winpct2!$A:$K,9,FALSE)),"")</f>
        <v>0.53300000000000003</v>
      </c>
      <c r="I509">
        <f>IFERROR(IFERROR(VLOOKUP($A509,Ra2W!$A:$K,6,FALSE),VLOOKUP($B509,Ra2W!$A:$K,6,FALSE)),"")</f>
        <v>4204</v>
      </c>
      <c r="J509">
        <f>IFERROR(VLOOKUP(D509,'Pop-Metro'!A:R,E509-2005,FALSE),VLOOKUP(D509,'Pop-Micro'!A:R,E509-2005,FALSE))</f>
        <v>368557</v>
      </c>
      <c r="K509">
        <f>IFERROR(VLOOKUP(D509,'PCI-Metro'!A:R,E509-2005,FALSE),VLOOKUP(D509,'PCI-Micro'!A:R,E509-2005,FALSE))</f>
        <v>36124</v>
      </c>
      <c r="L509">
        <f>IFERROR(IF(IFERROR(VLOOKUP($A509,Attendance2!$B:$H,5,FALSE),VLOOKUP($B509,Attendance2!$B:$H,5,FALSE))="","",IFERROR(VLOOKUP($A509,Attendance2!$B:$H,5,FALSE),VLOOKUP($B509,Attendance2!$B:$H,5,FALSE))),"")</f>
        <v>9043</v>
      </c>
    </row>
    <row r="510" spans="1:12">
      <c r="A510" t="s">
        <v>141</v>
      </c>
      <c r="B510" t="s">
        <v>141</v>
      </c>
      <c r="C510">
        <v>163286</v>
      </c>
      <c r="D510">
        <v>47900</v>
      </c>
      <c r="E510">
        <f t="shared" si="8"/>
        <v>2016</v>
      </c>
      <c r="F510">
        <f>IFERROR(IF(VLOOKUP(C510,TotalRev2!A:C,3,FALSE)="","",VLOOKUP(C510,TotalRev2!A:C,3,FALSE)),"")</f>
        <v>641097</v>
      </c>
      <c r="G510">
        <f>IFERROR(IF(VLOOKUP(C510,TotalRev1!A:C,3,FALSE)="","",VLOOKUP(C510,TotalRev1!A:C,3,FALSE)),"")</f>
        <v>474270</v>
      </c>
      <c r="H510" s="26">
        <f>IFERROR(IFERROR(VLOOKUP($A510,Winpct2!$A:$K,9,FALSE),VLOOKUP($B510,Winpct2!$A:$K,9,FALSE)),"")</f>
        <v>0.441</v>
      </c>
      <c r="I510">
        <f>IFERROR(IFERROR(VLOOKUP($A510,Ra2W!$A:$K,6,FALSE),VLOOKUP($B510,Ra2W!$A:$K,6,FALSE)),"")</f>
        <v>20027</v>
      </c>
      <c r="J510">
        <f>IFERROR(VLOOKUP(D510,'Pop-Metro'!A:R,E510-2005,FALSE),VLOOKUP(D510,'Pop-Micro'!A:R,E510-2005,FALSE))</f>
        <v>6193671</v>
      </c>
      <c r="K510">
        <f>IFERROR(VLOOKUP(D510,'PCI-Metro'!A:R,E510-2005,FALSE),VLOOKUP(D510,'PCI-Micro'!A:R,E510-2005,FALSE))</f>
        <v>66189</v>
      </c>
      <c r="L510">
        <f>IFERROR(IF(IFERROR(VLOOKUP($A510,Attendance2!$B:$H,5,FALSE),VLOOKUP($B510,Attendance2!$B:$H,5,FALSE))="","",IFERROR(VLOOKUP($A510,Attendance2!$B:$H,5,FALSE),VLOOKUP($B510,Attendance2!$B:$H,5,FALSE))),"")</f>
        <v>1500</v>
      </c>
    </row>
    <row r="511" spans="1:12">
      <c r="A511" t="s">
        <v>142</v>
      </c>
      <c r="B511" t="s">
        <v>142</v>
      </c>
      <c r="C511">
        <v>166629</v>
      </c>
      <c r="D511">
        <v>44140</v>
      </c>
      <c r="E511">
        <f t="shared" si="8"/>
        <v>2016</v>
      </c>
      <c r="F511" t="str">
        <f>IFERROR(IF(VLOOKUP(C511,TotalRev2!A:C,3,FALSE)="","",VLOOKUP(C511,TotalRev2!A:C,3,FALSE)),"")</f>
        <v/>
      </c>
      <c r="G511" t="str">
        <f>IFERROR(IF(VLOOKUP(C511,TotalRev1!A:C,3,FALSE)="","",VLOOKUP(C511,TotalRev1!A:C,3,FALSE)),"")</f>
        <v/>
      </c>
      <c r="H511" s="26" t="str">
        <f>IFERROR(IFERROR(VLOOKUP($A511,Winpct2!$A:$K,9,FALSE),VLOOKUP($B511,Winpct2!$A:$K,9,FALSE)),"")</f>
        <v/>
      </c>
      <c r="I511" t="str">
        <f>IFERROR(IFERROR(VLOOKUP($A511,Ra2W!$A:$K,6,FALSE),VLOOKUP($B511,Ra2W!$A:$K,6,FALSE)),"")</f>
        <v/>
      </c>
      <c r="J511">
        <f>IFERROR(VLOOKUP(D511,'Pop-Metro'!A:R,E511-2005,FALSE),VLOOKUP(D511,'Pop-Micro'!A:R,E511-2005,FALSE))</f>
        <v>702030</v>
      </c>
      <c r="K511">
        <f>IFERROR(VLOOKUP(D511,'PCI-Metro'!A:R,E511-2005,FALSE),VLOOKUP(D511,'PCI-Micro'!A:R,E511-2005,FALSE))</f>
        <v>47942</v>
      </c>
      <c r="L511" t="str">
        <f>IFERROR(IF(IFERROR(VLOOKUP($A511,Attendance2!$B:$H,5,FALSE),VLOOKUP($B511,Attendance2!$B:$H,5,FALSE))="","",IFERROR(VLOOKUP($A511,Attendance2!$B:$H,5,FALSE),VLOOKUP($B511,Attendance2!$B:$H,5,FALSE))),"")</f>
        <v/>
      </c>
    </row>
    <row r="512" spans="1:12">
      <c r="A512" t="s">
        <v>143</v>
      </c>
      <c r="B512" t="s">
        <v>143</v>
      </c>
      <c r="C512">
        <v>159717</v>
      </c>
      <c r="D512">
        <v>29340</v>
      </c>
      <c r="E512">
        <f t="shared" si="8"/>
        <v>2016</v>
      </c>
      <c r="F512">
        <f>IFERROR(IF(VLOOKUP(C512,TotalRev2!A:C,3,FALSE)="","",VLOOKUP(C512,TotalRev2!A:C,3,FALSE)),"")</f>
        <v>422400</v>
      </c>
      <c r="G512">
        <f>IFERROR(IF(VLOOKUP(C512,TotalRev1!A:C,3,FALSE)="","",VLOOKUP(C512,TotalRev1!A:C,3,FALSE)),"")</f>
        <v>418372</v>
      </c>
      <c r="H512" s="26">
        <f>IFERROR(IFERROR(VLOOKUP($A512,Winpct2!$A:$K,9,FALSE),VLOOKUP($B512,Winpct2!$A:$K,9,FALSE)),"")</f>
        <v>0.45500000000000002</v>
      </c>
      <c r="I512">
        <f>IFERROR(IFERROR(VLOOKUP($A512,Ra2W!$A:$K,6,FALSE),VLOOKUP($B512,Ra2W!$A:$K,6,FALSE)),"")</f>
        <v>3224</v>
      </c>
      <c r="J512">
        <f>IFERROR(VLOOKUP(D512,'Pop-Metro'!A:R,E512-2005,FALSE),VLOOKUP(D512,'Pop-Micro'!A:R,E512-2005,FALSE))</f>
        <v>214640</v>
      </c>
      <c r="K512">
        <f>IFERROR(VLOOKUP(D512,'PCI-Metro'!A:R,E512-2005,FALSE),VLOOKUP(D512,'PCI-Micro'!A:R,E512-2005,FALSE))</f>
        <v>42537</v>
      </c>
      <c r="L512">
        <f>IFERROR(IF(IFERROR(VLOOKUP($A512,Attendance2!$B:$H,5,FALSE),VLOOKUP($B512,Attendance2!$B:$H,5,FALSE))="","",IFERROR(VLOOKUP($A512,Attendance2!$B:$H,5,FALSE),VLOOKUP($B512,Attendance2!$B:$H,5,FALSE))),"")</f>
        <v>315</v>
      </c>
    </row>
    <row r="513" spans="1:12">
      <c r="A513" t="s">
        <v>144</v>
      </c>
      <c r="B513" t="s">
        <v>144</v>
      </c>
      <c r="C513">
        <v>220862</v>
      </c>
      <c r="D513">
        <v>32820</v>
      </c>
      <c r="E513">
        <f t="shared" si="8"/>
        <v>2016</v>
      </c>
      <c r="F513" t="str">
        <f>IFERROR(IF(VLOOKUP(C513,TotalRev2!A:C,3,FALSE)="","",VLOOKUP(C513,TotalRev2!A:C,3,FALSE)),"")</f>
        <v/>
      </c>
      <c r="G513" t="str">
        <f>IFERROR(IF(VLOOKUP(C513,TotalRev1!A:C,3,FALSE)="","",VLOOKUP(C513,TotalRev1!A:C,3,FALSE)),"")</f>
        <v/>
      </c>
      <c r="H513" s="26">
        <f>IFERROR(IFERROR(VLOOKUP($A513,Winpct2!$A:$K,9,FALSE),VLOOKUP($B513,Winpct2!$A:$K,9,FALSE)),"")</f>
        <v>0.57599999999999996</v>
      </c>
      <c r="I513">
        <f>IFERROR(IFERROR(VLOOKUP($A513,Ra2W!$A:$K,6,FALSE),VLOOKUP($B513,Ra2W!$A:$K,6,FALSE)),"")</f>
        <v>8964</v>
      </c>
      <c r="J513">
        <f>IFERROR(VLOOKUP(D513,'Pop-Metro'!A:R,E513-2005,FALSE),VLOOKUP(D513,'Pop-Micro'!A:R,E513-2005,FALSE))</f>
        <v>1330625</v>
      </c>
      <c r="K513">
        <f>IFERROR(VLOOKUP(D513,'PCI-Metro'!A:R,E513-2005,FALSE),VLOOKUP(D513,'PCI-Micro'!A:R,E513-2005,FALSE))</f>
        <v>43143</v>
      </c>
      <c r="L513">
        <f>IFERROR(IF(IFERROR(VLOOKUP($A513,Attendance2!$B:$H,5,FALSE),VLOOKUP($B513,Attendance2!$B:$H,5,FALSE))="","",IFERROR(VLOOKUP($A513,Attendance2!$B:$H,5,FALSE),VLOOKUP($B513,Attendance2!$B:$H,5,FALSE))),"")</f>
        <v>2565</v>
      </c>
    </row>
    <row r="514" spans="1:12">
      <c r="A514" t="s">
        <v>145</v>
      </c>
      <c r="B514" t="s">
        <v>145</v>
      </c>
      <c r="C514">
        <v>140447</v>
      </c>
      <c r="D514">
        <v>31420</v>
      </c>
      <c r="E514">
        <f t="shared" si="8"/>
        <v>2016</v>
      </c>
      <c r="F514" t="str">
        <f>IFERROR(IF(VLOOKUP(C514,TotalRev2!A:C,3,FALSE)="","",VLOOKUP(C514,TotalRev2!A:C,3,FALSE)),"")</f>
        <v/>
      </c>
      <c r="G514" t="str">
        <f>IFERROR(IF(VLOOKUP(C514,TotalRev1!A:C,3,FALSE)="","",VLOOKUP(C514,TotalRev1!A:C,3,FALSE)),"")</f>
        <v/>
      </c>
      <c r="H514" s="26">
        <f>IFERROR(IFERROR(VLOOKUP($A514,Winpct2!$A:$K,9,FALSE),VLOOKUP($B514,Winpct2!$A:$K,9,FALSE)),"")</f>
        <v>0.34499999999999997</v>
      </c>
      <c r="I514">
        <f>IFERROR(IFERROR(VLOOKUP($A514,Ra2W!$A:$K,6,FALSE),VLOOKUP($B514,Ra2W!$A:$K,6,FALSE)),"")</f>
        <v>2658</v>
      </c>
      <c r="J514">
        <f>IFERROR(VLOOKUP(D514,'Pop-Metro'!A:R,E514-2005,FALSE),VLOOKUP(D514,'Pop-Micro'!A:R,E514-2005,FALSE))</f>
        <v>231443</v>
      </c>
      <c r="K514">
        <f>IFERROR(VLOOKUP(D514,'PCI-Metro'!A:R,E514-2005,FALSE),VLOOKUP(D514,'PCI-Micro'!A:R,E514-2005,FALSE))</f>
        <v>37037</v>
      </c>
      <c r="L514">
        <f>IFERROR(IF(IFERROR(VLOOKUP($A514,Attendance2!$B:$H,5,FALSE),VLOOKUP($B514,Attendance2!$B:$H,5,FALSE))="","",IFERROR(VLOOKUP($A514,Attendance2!$B:$H,5,FALSE),VLOOKUP($B514,Attendance2!$B:$H,5,FALSE))),"")</f>
        <v>3100</v>
      </c>
    </row>
    <row r="515" spans="1:12">
      <c r="A515" t="s">
        <v>1285</v>
      </c>
      <c r="B515" t="s">
        <v>1286</v>
      </c>
      <c r="C515">
        <v>135726</v>
      </c>
      <c r="D515">
        <v>33100</v>
      </c>
      <c r="E515">
        <f t="shared" si="8"/>
        <v>2016</v>
      </c>
      <c r="F515" t="str">
        <f>IFERROR(IF(VLOOKUP(C515,TotalRev2!A:C,3,FALSE)="","",VLOOKUP(C515,TotalRev2!A:C,3,FALSE)),"")</f>
        <v/>
      </c>
      <c r="G515" t="str">
        <f>IFERROR(IF(VLOOKUP(C515,TotalRev1!A:C,3,FALSE)="","",VLOOKUP(C515,TotalRev1!A:C,3,FALSE)),"")</f>
        <v/>
      </c>
      <c r="H515" s="26">
        <f>IFERROR(IFERROR(VLOOKUP($A515,Winpct2!$A:$K,9,FALSE),VLOOKUP($B515,Winpct2!$A:$K,9,FALSE)),"")</f>
        <v>0.67700000000000005</v>
      </c>
      <c r="I515">
        <f>IFERROR(IFERROR(VLOOKUP($A515,Ra2W!$A:$K,6,FALSE),VLOOKUP($B515,Ra2W!$A:$K,6,FALSE)),"")</f>
        <v>7544</v>
      </c>
      <c r="J515">
        <f>IFERROR(VLOOKUP(D515,'Pop-Metro'!A:R,E515-2005,FALSE),VLOOKUP(D515,'Pop-Micro'!A:R,E515-2005,FALSE))</f>
        <v>6028626</v>
      </c>
      <c r="K515">
        <f>IFERROR(VLOOKUP(D515,'PCI-Metro'!A:R,E515-2005,FALSE),VLOOKUP(D515,'PCI-Micro'!A:R,E515-2005,FALSE))</f>
        <v>51091</v>
      </c>
      <c r="L515">
        <f>IFERROR(IF(IFERROR(VLOOKUP($A515,Attendance2!$B:$H,5,FALSE),VLOOKUP($B515,Attendance2!$B:$H,5,FALSE))="","",IFERROR(VLOOKUP($A515,Attendance2!$B:$H,5,FALSE),VLOOKUP($B515,Attendance2!$B:$H,5,FALSE))),"")</f>
        <v>1200</v>
      </c>
    </row>
    <row r="516" spans="1:12">
      <c r="A516" t="s">
        <v>146</v>
      </c>
      <c r="B516" t="s">
        <v>1260</v>
      </c>
      <c r="C516">
        <v>204024</v>
      </c>
      <c r="D516">
        <v>17140</v>
      </c>
      <c r="E516">
        <f t="shared" si="8"/>
        <v>2016</v>
      </c>
      <c r="F516">
        <f>IFERROR(IF(VLOOKUP(C516,TotalRev2!A:C,3,FALSE)="","",VLOOKUP(C516,TotalRev2!A:C,3,FALSE)),"")</f>
        <v>983545</v>
      </c>
      <c r="G516">
        <f>IFERROR(IF(VLOOKUP(C516,TotalRev1!A:C,3,FALSE)="","",VLOOKUP(C516,TotalRev1!A:C,3,FALSE)),"")</f>
        <v>856821</v>
      </c>
      <c r="H516" s="26">
        <f>IFERROR(IFERROR(VLOOKUP($A516,Winpct2!$A:$K,9,FALSE),VLOOKUP($B516,Winpct2!$A:$K,9,FALSE)),"")</f>
        <v>0.67700000000000005</v>
      </c>
      <c r="I516">
        <f>IFERROR(IFERROR(VLOOKUP($A516,Ra2W!$A:$K,6,FALSE),VLOOKUP($B516,Ra2W!$A:$K,6,FALSE)),"")</f>
        <v>3637</v>
      </c>
      <c r="J516">
        <f>IFERROR(VLOOKUP(D516,'Pop-Metro'!A:R,E516-2005,FALSE),VLOOKUP(D516,'Pop-Micro'!A:R,E516-2005,FALSE))</f>
        <v>2208942</v>
      </c>
      <c r="K516">
        <f>IFERROR(VLOOKUP(D516,'PCI-Metro'!A:R,E516-2005,FALSE),VLOOKUP(D516,'PCI-Micro'!A:R,E516-2005,FALSE))</f>
        <v>49237</v>
      </c>
      <c r="L516">
        <f>IFERROR(IF(IFERROR(VLOOKUP($A516,Attendance2!$B:$H,5,FALSE),VLOOKUP($B516,Attendance2!$B:$H,5,FALSE))="","",IFERROR(VLOOKUP($A516,Attendance2!$B:$H,5,FALSE),VLOOKUP($B516,Attendance2!$B:$H,5,FALSE))),"")</f>
        <v>6400</v>
      </c>
    </row>
    <row r="517" spans="1:12">
      <c r="A517" t="s">
        <v>147</v>
      </c>
      <c r="B517" t="s">
        <v>147</v>
      </c>
      <c r="C517">
        <v>170976</v>
      </c>
      <c r="D517">
        <v>11460</v>
      </c>
      <c r="E517">
        <f t="shared" si="8"/>
        <v>2016</v>
      </c>
      <c r="F517">
        <f>IFERROR(IF(VLOOKUP(C517,TotalRev2!A:C,3,FALSE)="","",VLOOKUP(C517,TotalRev2!A:C,3,FALSE)),"")</f>
        <v>160712</v>
      </c>
      <c r="G517">
        <f>IFERROR(IF(VLOOKUP(C517,TotalRev1!A:C,3,FALSE)="","",VLOOKUP(C517,TotalRev1!A:C,3,FALSE)),"")</f>
        <v>159459</v>
      </c>
      <c r="H517" s="26">
        <f>IFERROR(IFERROR(VLOOKUP($A517,Winpct2!$A:$K,9,FALSE),VLOOKUP($B517,Winpct2!$A:$K,9,FALSE)),"")</f>
        <v>0.60599999999999998</v>
      </c>
      <c r="I517">
        <f>IFERROR(IFERROR(VLOOKUP($A517,Ra2W!$A:$K,6,FALSE),VLOOKUP($B517,Ra2W!$A:$K,6,FALSE)),"")</f>
        <v>23021</v>
      </c>
      <c r="J517">
        <f>IFERROR(VLOOKUP(D517,'Pop-Metro'!A:R,E517-2005,FALSE),VLOOKUP(D517,'Pop-Micro'!A:R,E517-2005,FALSE))</f>
        <v>370164</v>
      </c>
      <c r="K517">
        <f>IFERROR(VLOOKUP(D517,'PCI-Metro'!A:R,E517-2005,FALSE),VLOOKUP(D517,'PCI-Micro'!A:R,E517-2005,FALSE))</f>
        <v>53259</v>
      </c>
      <c r="L517">
        <f>IFERROR(IF(IFERROR(VLOOKUP($A517,Attendance2!$B:$H,5,FALSE),VLOOKUP($B517,Attendance2!$B:$H,5,FALSE))="","",IFERROR(VLOOKUP($A517,Attendance2!$B:$H,5,FALSE),VLOOKUP($B517,Attendance2!$B:$H,5,FALSE))),"")</f>
        <v>1850</v>
      </c>
    </row>
    <row r="518" spans="1:12">
      <c r="A518" t="s">
        <v>148</v>
      </c>
      <c r="B518" t="s">
        <v>148</v>
      </c>
      <c r="C518">
        <v>171100</v>
      </c>
      <c r="D518">
        <v>29620</v>
      </c>
      <c r="E518">
        <f t="shared" si="8"/>
        <v>2016</v>
      </c>
      <c r="F518">
        <f>IFERROR(IF(VLOOKUP(C518,TotalRev2!A:C,3,FALSE)="","",VLOOKUP(C518,TotalRev2!A:C,3,FALSE)),"")</f>
        <v>564467</v>
      </c>
      <c r="G518">
        <f>IFERROR(IF(VLOOKUP(C518,TotalRev1!A:C,3,FALSE)="","",VLOOKUP(C518,TotalRev1!A:C,3,FALSE)),"")</f>
        <v>487306</v>
      </c>
      <c r="H518" s="26">
        <f>IFERROR(IFERROR(VLOOKUP($A518,Winpct2!$A:$K,9,FALSE),VLOOKUP($B518,Winpct2!$A:$K,9,FALSE)),"")</f>
        <v>0.57599999999999996</v>
      </c>
      <c r="I518">
        <f>IFERROR(IFERROR(VLOOKUP($A518,Ra2W!$A:$K,6,FALSE),VLOOKUP($B518,Ra2W!$A:$K,6,FALSE)),"")</f>
        <v>37333</v>
      </c>
      <c r="J518">
        <f>IFERROR(VLOOKUP(D518,'Pop-Metro'!A:R,E518-2005,FALSE),VLOOKUP(D518,'Pop-Micro'!A:R,E518-2005,FALSE))</f>
        <v>540583</v>
      </c>
      <c r="K518">
        <f>IFERROR(VLOOKUP(D518,'PCI-Metro'!A:R,E518-2005,FALSE),VLOOKUP(D518,'PCI-Micro'!A:R,E518-2005,FALSE))</f>
        <v>38709</v>
      </c>
      <c r="L518">
        <f>IFERROR(IF(IFERROR(VLOOKUP($A518,Attendance2!$B:$H,5,FALSE),VLOOKUP($B518,Attendance2!$B:$H,5,FALSE))="","",IFERROR(VLOOKUP($A518,Attendance2!$B:$H,5,FALSE),VLOOKUP($B518,Attendance2!$B:$H,5,FALSE))),"")</f>
        <v>5017</v>
      </c>
    </row>
    <row r="519" spans="1:12">
      <c r="A519" t="s">
        <v>149</v>
      </c>
      <c r="B519" t="s">
        <v>149</v>
      </c>
      <c r="C519">
        <v>220978</v>
      </c>
      <c r="D519">
        <v>34980</v>
      </c>
      <c r="E519">
        <f t="shared" si="8"/>
        <v>2016</v>
      </c>
      <c r="F519">
        <f>IFERROR(IF(VLOOKUP(C519,TotalRev2!A:C,3,FALSE)="","",VLOOKUP(C519,TotalRev2!A:C,3,FALSE)),"")</f>
        <v>1114689</v>
      </c>
      <c r="G519">
        <f>IFERROR(IF(VLOOKUP(C519,TotalRev1!A:C,3,FALSE)="","",VLOOKUP(C519,TotalRev1!A:C,3,FALSE)),"")</f>
        <v>1087439</v>
      </c>
      <c r="H519" s="26">
        <f>IFERROR(IFERROR(VLOOKUP($A519,Winpct2!$A:$K,9,FALSE),VLOOKUP($B519,Winpct2!$A:$K,9,FALSE)),"")</f>
        <v>0.26700000000000002</v>
      </c>
      <c r="I519">
        <f>IFERROR(IFERROR(VLOOKUP($A519,Ra2W!$A:$K,6,FALSE),VLOOKUP($B519,Ra2W!$A:$K,6,FALSE)),"")</f>
        <v>4400</v>
      </c>
      <c r="J519">
        <f>IFERROR(VLOOKUP(D519,'Pop-Metro'!A:R,E519-2005,FALSE),VLOOKUP(D519,'Pop-Micro'!A:R,E519-2005,FALSE))</f>
        <v>1863407</v>
      </c>
      <c r="K519">
        <f>IFERROR(VLOOKUP(D519,'PCI-Metro'!A:R,E519-2005,FALSE),VLOOKUP(D519,'PCI-Micro'!A:R,E519-2005,FALSE))</f>
        <v>52406</v>
      </c>
      <c r="L519">
        <f>IFERROR(IF(IFERROR(VLOOKUP($A519,Attendance2!$B:$H,5,FALSE),VLOOKUP($B519,Attendance2!$B:$H,5,FALSE))="","",IFERROR(VLOOKUP($A519,Attendance2!$B:$H,5,FALSE),VLOOKUP($B519,Attendance2!$B:$H,5,FALSE))),"")</f>
        <v>2000</v>
      </c>
    </row>
    <row r="520" spans="1:12">
      <c r="A520" t="s">
        <v>1287</v>
      </c>
      <c r="B520" t="s">
        <v>1287</v>
      </c>
      <c r="C520">
        <v>240453</v>
      </c>
      <c r="D520">
        <v>33340</v>
      </c>
      <c r="E520">
        <f t="shared" si="8"/>
        <v>2016</v>
      </c>
      <c r="F520">
        <f>IFERROR(IF(VLOOKUP(C520,TotalRev2!A:C,3,FALSE)="","",VLOOKUP(C520,TotalRev2!A:C,3,FALSE)),"")</f>
        <v>295278</v>
      </c>
      <c r="G520">
        <f>IFERROR(IF(VLOOKUP(C520,TotalRev1!A:C,3,FALSE)="","",VLOOKUP(C520,TotalRev1!A:C,3,FALSE)),"")</f>
        <v>397935</v>
      </c>
      <c r="H520" s="26">
        <f>IFERROR(IFERROR(VLOOKUP($A520,Winpct2!$A:$K,9,FALSE),VLOOKUP($B520,Winpct2!$A:$K,9,FALSE)),"")</f>
        <v>0.3</v>
      </c>
      <c r="I520">
        <f>IFERROR(IFERROR(VLOOKUP($A520,Ra2W!$A:$K,6,FALSE),VLOOKUP($B520,Ra2W!$A:$K,6,FALSE)),"")</f>
        <v>4626</v>
      </c>
      <c r="J520">
        <f>IFERROR(VLOOKUP(D520,'Pop-Metro'!A:R,E520-2005,FALSE),VLOOKUP(D520,'Pop-Micro'!A:R,E520-2005,FALSE))</f>
        <v>1574396</v>
      </c>
      <c r="K520">
        <f>IFERROR(VLOOKUP(D520,'PCI-Metro'!A:R,E520-2005,FALSE),VLOOKUP(D520,'PCI-Micro'!A:R,E520-2005,FALSE))</f>
        <v>51560</v>
      </c>
      <c r="L520">
        <f>IFERROR(IF(IFERROR(VLOOKUP($A520,Attendance2!$B:$H,5,FALSE),VLOOKUP($B520,Attendance2!$B:$H,5,FALSE))="","",IFERROR(VLOOKUP($A520,Attendance2!$B:$H,5,FALSE),VLOOKUP($B520,Attendance2!$B:$H,5,FALSE))),"")</f>
        <v>2500</v>
      </c>
    </row>
    <row r="521" spans="1:12">
      <c r="A521" t="s">
        <v>150</v>
      </c>
      <c r="B521" t="s">
        <v>150</v>
      </c>
      <c r="C521">
        <v>174066</v>
      </c>
      <c r="D521">
        <v>33460</v>
      </c>
      <c r="E521">
        <f t="shared" si="8"/>
        <v>2016</v>
      </c>
      <c r="F521">
        <f>IFERROR(IF(VLOOKUP(C521,TotalRev2!A:C,3,FALSE)="","",VLOOKUP(C521,TotalRev2!A:C,3,FALSE)),"")</f>
        <v>326937</v>
      </c>
      <c r="G521">
        <f>IFERROR(IF(VLOOKUP(C521,TotalRev1!A:C,3,FALSE)="","",VLOOKUP(C521,TotalRev1!A:C,3,FALSE)),"")</f>
        <v>410740</v>
      </c>
      <c r="H521" s="26">
        <f>IFERROR(IFERROR(VLOOKUP($A521,Winpct2!$A:$K,9,FALSE),VLOOKUP($B521,Winpct2!$A:$K,9,FALSE)),"")</f>
        <v>0.85699999999999998</v>
      </c>
      <c r="I521">
        <f>IFERROR(IFERROR(VLOOKUP($A521,Ra2W!$A:$K,6,FALSE),VLOOKUP($B521,Ra2W!$A:$K,6,FALSE)),"")</f>
        <v>62574</v>
      </c>
      <c r="J521">
        <f>IFERROR(VLOOKUP(D521,'Pop-Metro'!A:R,E521-2005,FALSE),VLOOKUP(D521,'Pop-Micro'!A:R,E521-2005,FALSE))</f>
        <v>3561786</v>
      </c>
      <c r="K521">
        <f>IFERROR(VLOOKUP(D521,'PCI-Metro'!A:R,E521-2005,FALSE),VLOOKUP(D521,'PCI-Micro'!A:R,E521-2005,FALSE))</f>
        <v>57172</v>
      </c>
      <c r="L521">
        <f>IFERROR(IF(IFERROR(VLOOKUP($A521,Attendance2!$B:$H,5,FALSE),VLOOKUP($B521,Attendance2!$B:$H,5,FALSE))="","",IFERROR(VLOOKUP($A521,Attendance2!$B:$H,5,FALSE),VLOOKUP($B521,Attendance2!$B:$H,5,FALSE))),"")</f>
        <v>5840</v>
      </c>
    </row>
    <row r="522" spans="1:12">
      <c r="A522" t="s">
        <v>151</v>
      </c>
      <c r="B522" t="s">
        <v>151</v>
      </c>
      <c r="C522">
        <v>176080</v>
      </c>
      <c r="D522">
        <v>44260</v>
      </c>
      <c r="E522">
        <f t="shared" si="8"/>
        <v>2016</v>
      </c>
      <c r="F522">
        <f>IFERROR(IF(VLOOKUP(C522,TotalRev2!A:C,3,FALSE)="","",VLOOKUP(C522,TotalRev2!A:C,3,FALSE)),"")</f>
        <v>97924</v>
      </c>
      <c r="G522">
        <f>IFERROR(IF(VLOOKUP(C522,TotalRev1!A:C,3,FALSE)="","",VLOOKUP(C522,TotalRev1!A:C,3,FALSE)),"")</f>
        <v>105759</v>
      </c>
      <c r="H522" s="26">
        <f>IFERROR(IFERROR(VLOOKUP($A522,Winpct2!$A:$K,9,FALSE),VLOOKUP($B522,Winpct2!$A:$K,9,FALSE)),"")</f>
        <v>0.53100000000000003</v>
      </c>
      <c r="I522">
        <f>IFERROR(IFERROR(VLOOKUP($A522,Ra2W!$A:$K,6,FALSE),VLOOKUP($B522,Ra2W!$A:$K,6,FALSE)),"")</f>
        <v>9161</v>
      </c>
      <c r="J522">
        <f>IFERROR(VLOOKUP(D522,'Pop-Metro'!A:R,E522-2005,FALSE),VLOOKUP(D522,'Pop-Micro'!A:R,E522-2005,FALSE))</f>
        <v>60687</v>
      </c>
      <c r="K522">
        <f>IFERROR(VLOOKUP(D522,'PCI-Metro'!A:R,E522-2005,FALSE),VLOOKUP(D522,'PCI-Micro'!A:R,E522-2005,FALSE))</f>
        <v>32136</v>
      </c>
      <c r="L522">
        <f>IFERROR(IF(IFERROR(VLOOKUP($A522,Attendance2!$B:$H,5,FALSE),VLOOKUP($B522,Attendance2!$B:$H,5,FALSE))="","",IFERROR(VLOOKUP($A522,Attendance2!$B:$H,5,FALSE),VLOOKUP($B522,Attendance2!$B:$H,5,FALSE))),"")</f>
        <v>2000</v>
      </c>
    </row>
    <row r="523" spans="1:12">
      <c r="A523" t="s">
        <v>152</v>
      </c>
      <c r="B523" t="s">
        <v>152</v>
      </c>
      <c r="C523">
        <v>176044</v>
      </c>
      <c r="D523">
        <v>24900</v>
      </c>
      <c r="E523">
        <f t="shared" si="8"/>
        <v>2016</v>
      </c>
      <c r="F523" t="str">
        <f>IFERROR(IF(VLOOKUP(C523,TotalRev2!A:C,3,FALSE)="","",VLOOKUP(C523,TotalRev2!A:C,3,FALSE)),"")</f>
        <v/>
      </c>
      <c r="G523" t="str">
        <f>IFERROR(IF(VLOOKUP(C523,TotalRev1!A:C,3,FALSE)="","",VLOOKUP(C523,TotalRev1!A:C,3,FALSE)),"")</f>
        <v/>
      </c>
      <c r="H523" s="26">
        <f>IFERROR(IFERROR(VLOOKUP($A523,Winpct2!$A:$K,9,FALSE),VLOOKUP($B523,Winpct2!$A:$K,9,FALSE)),"")</f>
        <v>9.0999999999999998E-2</v>
      </c>
      <c r="I523">
        <f>IFERROR(IFERROR(VLOOKUP($A523,Ra2W!$A:$K,6,FALSE),VLOOKUP($B523,Ra2W!$A:$K,6,FALSE)),"")</f>
        <v>1507</v>
      </c>
      <c r="J523">
        <f>IFERROR(VLOOKUP(D523,'Pop-Metro'!A:R,E523-2005,FALSE),VLOOKUP(D523,'Pop-Micro'!A:R,E523-2005,FALSE))</f>
        <v>40351</v>
      </c>
      <c r="K523">
        <f>IFERROR(VLOOKUP(D523,'PCI-Metro'!A:R,E523-2005,FALSE),VLOOKUP(D523,'PCI-Micro'!A:R,E523-2005,FALSE))</f>
        <v>34073</v>
      </c>
      <c r="L523">
        <f>IFERROR(IF(IFERROR(VLOOKUP($A523,Attendance2!$B:$H,5,FALSE),VLOOKUP($B523,Attendance2!$B:$H,5,FALSE))="","",IFERROR(VLOOKUP($A523,Attendance2!$B:$H,5,FALSE),VLOOKUP($B523,Attendance2!$B:$H,5,FALSE))),"")</f>
        <v>6000</v>
      </c>
    </row>
    <row r="524" spans="1:12">
      <c r="A524" t="s">
        <v>153</v>
      </c>
      <c r="B524" t="s">
        <v>153</v>
      </c>
      <c r="C524">
        <v>178396</v>
      </c>
      <c r="D524">
        <v>17860</v>
      </c>
      <c r="E524">
        <f t="shared" si="8"/>
        <v>2016</v>
      </c>
      <c r="F524">
        <f>IFERROR(IF(VLOOKUP(C524,TotalRev2!A:C,3,FALSE)="","",VLOOKUP(C524,TotalRev2!A:C,3,FALSE)),"")</f>
        <v>313183</v>
      </c>
      <c r="G524">
        <f>IFERROR(IF(VLOOKUP(C524,TotalRev1!A:C,3,FALSE)="","",VLOOKUP(C524,TotalRev1!A:C,3,FALSE)),"")</f>
        <v>320405</v>
      </c>
      <c r="H524" s="26">
        <f>IFERROR(IFERROR(VLOOKUP($A524,Winpct2!$A:$K,9,FALSE),VLOOKUP($B524,Winpct2!$A:$K,9,FALSE)),"")</f>
        <v>0.81799999999999995</v>
      </c>
      <c r="I524">
        <f>IFERROR(IFERROR(VLOOKUP($A524,Ra2W!$A:$K,6,FALSE),VLOOKUP($B524,Ra2W!$A:$K,6,FALSE)),"")</f>
        <v>32477</v>
      </c>
      <c r="J524">
        <f>IFERROR(VLOOKUP(D524,'Pop-Metro'!A:R,E524-2005,FALSE),VLOOKUP(D524,'Pop-Micro'!A:R,E524-2005,FALSE))</f>
        <v>204946</v>
      </c>
      <c r="K524">
        <f>IFERROR(VLOOKUP(D524,'PCI-Metro'!A:R,E524-2005,FALSE),VLOOKUP(D524,'PCI-Micro'!A:R,E524-2005,FALSE))</f>
        <v>42812</v>
      </c>
      <c r="L524">
        <f>IFERROR(IF(IFERROR(VLOOKUP($A524,Attendance2!$B:$H,5,FALSE),VLOOKUP($B524,Attendance2!$B:$H,5,FALSE))="","",IFERROR(VLOOKUP($A524,Attendance2!$B:$H,5,FALSE),VLOOKUP($B524,Attendance2!$B:$H,5,FALSE))),"")</f>
        <v>13343</v>
      </c>
    </row>
    <row r="525" spans="1:12">
      <c r="A525" t="s">
        <v>154</v>
      </c>
      <c r="B525" t="s">
        <v>154</v>
      </c>
      <c r="C525">
        <v>179566</v>
      </c>
      <c r="D525">
        <v>44180</v>
      </c>
      <c r="E525">
        <f t="shared" si="8"/>
        <v>2016</v>
      </c>
      <c r="F525">
        <f>IFERROR(IF(VLOOKUP(C525,TotalRev2!A:C,3,FALSE)="","",VLOOKUP(C525,TotalRev2!A:C,3,FALSE)),"")</f>
        <v>759879</v>
      </c>
      <c r="G525">
        <f>IFERROR(IF(VLOOKUP(C525,TotalRev1!A:C,3,FALSE)="","",VLOOKUP(C525,TotalRev1!A:C,3,FALSE)),"")</f>
        <v>675767</v>
      </c>
      <c r="H525" s="26">
        <f>IFERROR(IFERROR(VLOOKUP($A525,Winpct2!$A:$K,9,FALSE),VLOOKUP($B525,Winpct2!$A:$K,9,FALSE)),"")</f>
        <v>0.68600000000000005</v>
      </c>
      <c r="I525">
        <f>IFERROR(IFERROR(VLOOKUP($A525,Ra2W!$A:$K,6,FALSE),VLOOKUP($B525,Ra2W!$A:$K,6,FALSE)),"")</f>
        <v>9214</v>
      </c>
      <c r="J525">
        <f>IFERROR(VLOOKUP(D525,'Pop-Metro'!A:R,E525-2005,FALSE),VLOOKUP(D525,'Pop-Micro'!A:R,E525-2005,FALSE))</f>
        <v>459020</v>
      </c>
      <c r="K525">
        <f>IFERROR(VLOOKUP(D525,'PCI-Metro'!A:R,E525-2005,FALSE),VLOOKUP(D525,'PCI-Micro'!A:R,E525-2005,FALSE))</f>
        <v>37915</v>
      </c>
      <c r="L525">
        <f>IFERROR(IF(IFERROR(VLOOKUP($A525,Attendance2!$B:$H,5,FALSE),VLOOKUP($B525,Attendance2!$B:$H,5,FALSE))="","",IFERROR(VLOOKUP($A525,Attendance2!$B:$H,5,FALSE),VLOOKUP($B525,Attendance2!$B:$H,5,FALSE))),"")</f>
        <v>8846</v>
      </c>
    </row>
    <row r="526" spans="1:12">
      <c r="A526" t="s">
        <v>155</v>
      </c>
      <c r="B526" t="s">
        <v>155</v>
      </c>
      <c r="C526">
        <v>185572</v>
      </c>
      <c r="D526">
        <v>35620</v>
      </c>
      <c r="E526">
        <f t="shared" si="8"/>
        <v>2016</v>
      </c>
      <c r="F526" t="str">
        <f>IFERROR(IF(VLOOKUP(C526,TotalRev2!A:C,3,FALSE)="","",VLOOKUP(C526,TotalRev2!A:C,3,FALSE)),"")</f>
        <v/>
      </c>
      <c r="G526" t="str">
        <f>IFERROR(IF(VLOOKUP(C526,TotalRev1!A:C,3,FALSE)="","",VLOOKUP(C526,TotalRev1!A:C,3,FALSE)),"")</f>
        <v/>
      </c>
      <c r="H526" s="26" t="str">
        <f>IFERROR(IFERROR(VLOOKUP($A526,Winpct2!$A:$K,9,FALSE),VLOOKUP($B526,Winpct2!$A:$K,9,FALSE)),"")</f>
        <v/>
      </c>
      <c r="I526" t="str">
        <f>IFERROR(IFERROR(VLOOKUP($A526,Ra2W!$A:$K,6,FALSE),VLOOKUP($B526,Ra2W!$A:$K,6,FALSE)),"")</f>
        <v/>
      </c>
      <c r="J526">
        <f>IFERROR(VLOOKUP(D526,'Pop-Metro'!A:R,E526-2005,FALSE),VLOOKUP(D526,'Pop-Micro'!A:R,E526-2005,FALSE))</f>
        <v>19943198</v>
      </c>
      <c r="K526">
        <f>IFERROR(VLOOKUP(D526,'PCI-Metro'!A:R,E526-2005,FALSE),VLOOKUP(D526,'PCI-Micro'!A:R,E526-2005,FALSE))</f>
        <v>64886</v>
      </c>
      <c r="L526" t="str">
        <f>IFERROR(IF(IFERROR(VLOOKUP($A526,Attendance2!$B:$H,5,FALSE),VLOOKUP($B526,Attendance2!$B:$H,5,FALSE))="","",IFERROR(VLOOKUP($A526,Attendance2!$B:$H,5,FALSE),VLOOKUP($B526,Attendance2!$B:$H,5,FALSE))),"")</f>
        <v/>
      </c>
    </row>
    <row r="527" spans="1:12">
      <c r="A527" t="s">
        <v>156</v>
      </c>
      <c r="B527" t="s">
        <v>156</v>
      </c>
      <c r="C527">
        <v>180489</v>
      </c>
      <c r="D527">
        <v>33540</v>
      </c>
      <c r="E527">
        <f t="shared" si="8"/>
        <v>2016</v>
      </c>
      <c r="F527">
        <f>IFERROR(IF(VLOOKUP(C527,TotalRev2!A:C,3,FALSE)="","",VLOOKUP(C527,TotalRev2!A:C,3,FALSE)),"")</f>
        <v>308432</v>
      </c>
      <c r="G527">
        <f>IFERROR(IF(VLOOKUP(C527,TotalRev1!A:C,3,FALSE)="","",VLOOKUP(C527,TotalRev1!A:C,3,FALSE)),"")</f>
        <v>397826</v>
      </c>
      <c r="H527" s="26">
        <f>IFERROR(IFERROR(VLOOKUP($A527,Winpct2!$A:$K,9,FALSE),VLOOKUP($B527,Winpct2!$A:$K,9,FALSE)),"")</f>
        <v>0.28599999999999998</v>
      </c>
      <c r="I527">
        <f>IFERROR(IFERROR(VLOOKUP($A527,Ra2W!$A:$K,6,FALSE),VLOOKUP($B527,Ra2W!$A:$K,6,FALSE)),"")</f>
        <v>3898</v>
      </c>
      <c r="J527">
        <f>IFERROR(VLOOKUP(D527,'Pop-Metro'!A:R,E527-2005,FALSE),VLOOKUP(D527,'Pop-Micro'!A:R,E527-2005,FALSE))</f>
        <v>114608</v>
      </c>
      <c r="K527">
        <f>IFERROR(VLOOKUP(D527,'PCI-Metro'!A:R,E527-2005,FALSE),VLOOKUP(D527,'PCI-Micro'!A:R,E527-2005,FALSE))</f>
        <v>45217</v>
      </c>
      <c r="L527">
        <f>IFERROR(IF(IFERROR(VLOOKUP($A527,Attendance2!$B:$H,5,FALSE),VLOOKUP($B527,Attendance2!$B:$H,5,FALSE))="","",IFERROR(VLOOKUP($A527,Attendance2!$B:$H,5,FALSE),VLOOKUP($B527,Attendance2!$B:$H,5,FALSE))),"")</f>
        <v>1200</v>
      </c>
    </row>
    <row r="528" spans="1:12">
      <c r="A528" t="s">
        <v>1288</v>
      </c>
      <c r="B528" t="s">
        <v>1288</v>
      </c>
      <c r="C528">
        <v>180461</v>
      </c>
      <c r="D528">
        <v>14580</v>
      </c>
      <c r="E528">
        <f t="shared" si="8"/>
        <v>2016</v>
      </c>
      <c r="F528">
        <f>IFERROR(IF(VLOOKUP(C528,TotalRev2!A:C,3,FALSE)="","",VLOOKUP(C528,TotalRev2!A:C,3,FALSE)),"")</f>
        <v>701372</v>
      </c>
      <c r="G528">
        <f>IFERROR(IF(VLOOKUP(C528,TotalRev1!A:C,3,FALSE)="","",VLOOKUP(C528,TotalRev1!A:C,3,FALSE)),"")</f>
        <v>833167</v>
      </c>
      <c r="H528" s="26">
        <f>IFERROR(IFERROR(VLOOKUP($A528,Winpct2!$A:$K,9,FALSE),VLOOKUP($B528,Winpct2!$A:$K,9,FALSE)),"")</f>
        <v>0.125</v>
      </c>
      <c r="I528">
        <f>IFERROR(IFERROR(VLOOKUP($A528,Ra2W!$A:$K,6,FALSE),VLOOKUP($B528,Ra2W!$A:$K,6,FALSE)),"")</f>
        <v>7044</v>
      </c>
      <c r="J528">
        <f>IFERROR(VLOOKUP(D528,'Pop-Metro'!A:R,E528-2005,FALSE),VLOOKUP(D528,'Pop-Micro'!A:R,E528-2005,FALSE))</f>
        <v>106484</v>
      </c>
      <c r="K528">
        <f>IFERROR(VLOOKUP(D528,'PCI-Metro'!A:R,E528-2005,FALSE),VLOOKUP(D528,'PCI-Micro'!A:R,E528-2005,FALSE))</f>
        <v>49292</v>
      </c>
      <c r="L528">
        <f>IFERROR(IF(IFERROR(VLOOKUP($A528,Attendance2!$B:$H,5,FALSE),VLOOKUP($B528,Attendance2!$B:$H,5,FALSE))="","",IFERROR(VLOOKUP($A528,Attendance2!$B:$H,5,FALSE),VLOOKUP($B528,Attendance2!$B:$H,5,FALSE))),"")</f>
        <v>2000</v>
      </c>
    </row>
    <row r="529" spans="1:12">
      <c r="A529" t="s">
        <v>157</v>
      </c>
      <c r="B529" t="s">
        <v>157</v>
      </c>
      <c r="C529">
        <v>157386</v>
      </c>
      <c r="D529">
        <v>30460</v>
      </c>
      <c r="E529">
        <f t="shared" si="8"/>
        <v>2016</v>
      </c>
      <c r="F529">
        <f>IFERROR(IF(VLOOKUP(C529,TotalRev2!A:C,3,FALSE)="","",VLOOKUP(C529,TotalRev2!A:C,3,FALSE)),"")</f>
        <v>822148</v>
      </c>
      <c r="G529">
        <f>IFERROR(IF(VLOOKUP(C529,TotalRev1!A:C,3,FALSE)="","",VLOOKUP(C529,TotalRev1!A:C,3,FALSE)),"")</f>
        <v>686717</v>
      </c>
      <c r="H529" s="26">
        <f>IFERROR(IFERROR(VLOOKUP($A529,Winpct2!$A:$K,9,FALSE),VLOOKUP($B529,Winpct2!$A:$K,9,FALSE)),"")</f>
        <v>0.32300000000000001</v>
      </c>
      <c r="I529">
        <f>IFERROR(IFERROR(VLOOKUP($A529,Ra2W!$A:$K,6,FALSE),VLOOKUP($B529,Ra2W!$A:$K,6,FALSE)),"")</f>
        <v>6393</v>
      </c>
      <c r="J529">
        <f>IFERROR(VLOOKUP(D529,'Pop-Metro'!A:R,E529-2005,FALSE),VLOOKUP(D529,'Pop-Micro'!A:R,E529-2005,FALSE))</f>
        <v>504186</v>
      </c>
      <c r="K529">
        <f>IFERROR(VLOOKUP(D529,'PCI-Metro'!A:R,E529-2005,FALSE),VLOOKUP(D529,'PCI-Micro'!A:R,E529-2005,FALSE))</f>
        <v>44849</v>
      </c>
      <c r="L529">
        <f>IFERROR(IF(IFERROR(VLOOKUP($A529,Attendance2!$B:$H,5,FALSE),VLOOKUP($B529,Attendance2!$B:$H,5,FALSE))="","",IFERROR(VLOOKUP($A529,Attendance2!$B:$H,5,FALSE),VLOOKUP($B529,Attendance2!$B:$H,5,FALSE))),"")</f>
        <v>3500</v>
      </c>
    </row>
    <row r="530" spans="1:12">
      <c r="A530" t="s">
        <v>158</v>
      </c>
      <c r="B530" t="s">
        <v>158</v>
      </c>
      <c r="C530">
        <v>163453</v>
      </c>
      <c r="D530">
        <v>12580</v>
      </c>
      <c r="E530">
        <f t="shared" si="8"/>
        <v>2016</v>
      </c>
      <c r="F530">
        <f>IFERROR(IF(VLOOKUP(C530,TotalRev2!A:C,3,FALSE)="","",VLOOKUP(C530,TotalRev2!A:C,3,FALSE)),"")</f>
        <v>8100</v>
      </c>
      <c r="G530">
        <f>IFERROR(IF(VLOOKUP(C530,TotalRev1!A:C,3,FALSE)="","",VLOOKUP(C530,TotalRev1!A:C,3,FALSE)),"")</f>
        <v>900</v>
      </c>
      <c r="H530" s="26">
        <f>IFERROR(IFERROR(VLOOKUP($A530,Winpct2!$A:$K,9,FALSE),VLOOKUP($B530,Winpct2!$A:$K,9,FALSE)),"")</f>
        <v>0.46400000000000002</v>
      </c>
      <c r="I530">
        <f>IFERROR(IFERROR(VLOOKUP($A530,Ra2W!$A:$K,6,FALSE),VLOOKUP($B530,Ra2W!$A:$K,6,FALSE)),"")</f>
        <v>1861</v>
      </c>
      <c r="J530">
        <f>IFERROR(VLOOKUP(D530,'Pop-Metro'!A:R,E530-2005,FALSE),VLOOKUP(D530,'Pop-Micro'!A:R,E530-2005,FALSE))</f>
        <v>2821424</v>
      </c>
      <c r="K530">
        <f>IFERROR(VLOOKUP(D530,'PCI-Metro'!A:R,E530-2005,FALSE),VLOOKUP(D530,'PCI-Micro'!A:R,E530-2005,FALSE))</f>
        <v>55720</v>
      </c>
      <c r="L530">
        <f>IFERROR(IF(IFERROR(VLOOKUP($A530,Attendance2!$B:$H,5,FALSE),VLOOKUP($B530,Attendance2!$B:$H,5,FALSE))="","",IFERROR(VLOOKUP($A530,Attendance2!$B:$H,5,FALSE),VLOOKUP($B530,Attendance2!$B:$H,5,FALSE))),"")</f>
        <v>4250</v>
      </c>
    </row>
    <row r="531" spans="1:12">
      <c r="A531" t="s">
        <v>159</v>
      </c>
      <c r="B531" t="s">
        <v>159</v>
      </c>
      <c r="C531">
        <v>163462</v>
      </c>
      <c r="D531">
        <v>23900</v>
      </c>
      <c r="E531">
        <f t="shared" si="8"/>
        <v>2016</v>
      </c>
      <c r="F531" t="str">
        <f>IFERROR(IF(VLOOKUP(C531,TotalRev2!A:C,3,FALSE)="","",VLOOKUP(C531,TotalRev2!A:C,3,FALSE)),"")</f>
        <v/>
      </c>
      <c r="G531" t="str">
        <f>IFERROR(IF(VLOOKUP(C531,TotalRev1!A:C,3,FALSE)="","",VLOOKUP(C531,TotalRev1!A:C,3,FALSE)),"")</f>
        <v/>
      </c>
      <c r="H531" s="26" t="str">
        <f>IFERROR(IFERROR(VLOOKUP($A531,Winpct2!$A:$K,9,FALSE),VLOOKUP($B531,Winpct2!$A:$K,9,FALSE)),"")</f>
        <v/>
      </c>
      <c r="I531" t="str">
        <f>IFERROR(IFERROR(VLOOKUP($A531,Ra2W!$A:$K,6,FALSE),VLOOKUP($B531,Ra2W!$A:$K,6,FALSE)),"")</f>
        <v/>
      </c>
      <c r="J531">
        <f>IFERROR(VLOOKUP(D531,'Pop-Metro'!A:R,E531-2005,FALSE),VLOOKUP(D531,'Pop-Micro'!A:R,E531-2005,FALSE))</f>
        <v>102625</v>
      </c>
      <c r="K531">
        <f>IFERROR(VLOOKUP(D531,'PCI-Metro'!A:R,E531-2005,FALSE),VLOOKUP(D531,'PCI-Micro'!A:R,E531-2005,FALSE))</f>
        <v>44732</v>
      </c>
      <c r="L531" t="str">
        <f>IFERROR(IF(IFERROR(VLOOKUP($A531,Attendance2!$B:$H,5,FALSE),VLOOKUP($B531,Attendance2!$B:$H,5,FALSE))="","",IFERROR(VLOOKUP($A531,Attendance2!$B:$H,5,FALSE),VLOOKUP($B531,Attendance2!$B:$H,5,FALSE))),"")</f>
        <v/>
      </c>
    </row>
    <row r="532" spans="1:12">
      <c r="A532" t="s">
        <v>160</v>
      </c>
      <c r="B532" t="s">
        <v>160</v>
      </c>
      <c r="C532">
        <v>157401</v>
      </c>
      <c r="D532">
        <v>34660</v>
      </c>
      <c r="E532">
        <f t="shared" si="8"/>
        <v>2016</v>
      </c>
      <c r="F532">
        <f>IFERROR(IF(VLOOKUP(C532,TotalRev2!A:C,3,FALSE)="","",VLOOKUP(C532,TotalRev2!A:C,3,FALSE)),"")</f>
        <v>15887</v>
      </c>
      <c r="G532">
        <f>IFERROR(IF(VLOOKUP(C532,TotalRev1!A:C,3,FALSE)="","",VLOOKUP(C532,TotalRev1!A:C,3,FALSE)),"")</f>
        <v>18009</v>
      </c>
      <c r="H532" s="26">
        <f>IFERROR(IFERROR(VLOOKUP($A532,Winpct2!$A:$K,9,FALSE),VLOOKUP($B532,Winpct2!$A:$K,9,FALSE)),"")</f>
        <v>0.9</v>
      </c>
      <c r="I532">
        <f>IFERROR(IFERROR(VLOOKUP($A532,Ra2W!$A:$K,6,FALSE),VLOOKUP($B532,Ra2W!$A:$K,6,FALSE)),"")</f>
        <v>5207</v>
      </c>
      <c r="J532">
        <f>IFERROR(VLOOKUP(D532,'Pop-Metro'!A:R,E532-2005,FALSE),VLOOKUP(D532,'Pop-Micro'!A:R,E532-2005,FALSE))</f>
        <v>37459</v>
      </c>
      <c r="K532">
        <f>IFERROR(VLOOKUP(D532,'PCI-Metro'!A:R,E532-2005,FALSE),VLOOKUP(D532,'PCI-Micro'!A:R,E532-2005,FALSE))</f>
        <v>34139</v>
      </c>
      <c r="L532">
        <f>IFERROR(IF(IFERROR(VLOOKUP($A532,Attendance2!$B:$H,5,FALSE),VLOOKUP($B532,Attendance2!$B:$H,5,FALSE))="","",IFERROR(VLOOKUP($A532,Attendance2!$B:$H,5,FALSE),VLOOKUP($B532,Attendance2!$B:$H,5,FALSE))),"")</f>
        <v>5550</v>
      </c>
    </row>
    <row r="533" spans="1:12">
      <c r="A533" t="s">
        <v>161</v>
      </c>
      <c r="B533" t="s">
        <v>161</v>
      </c>
      <c r="C533">
        <v>199102</v>
      </c>
      <c r="D533">
        <v>24660</v>
      </c>
      <c r="E533">
        <f t="shared" si="8"/>
        <v>2016</v>
      </c>
      <c r="F533">
        <f>IFERROR(IF(VLOOKUP(C533,TotalRev2!A:C,3,FALSE)="","",VLOOKUP(C533,TotalRev2!A:C,3,FALSE)),"")</f>
        <v>371074</v>
      </c>
      <c r="G533">
        <f>IFERROR(IF(VLOOKUP(C533,TotalRev1!A:C,3,FALSE)="","",VLOOKUP(C533,TotalRev1!A:C,3,FALSE)),"")</f>
        <v>381087</v>
      </c>
      <c r="H533" s="26">
        <f>IFERROR(IFERROR(VLOOKUP($A533,Winpct2!$A:$K,9,FALSE),VLOOKUP($B533,Winpct2!$A:$K,9,FALSE)),"")</f>
        <v>0.33300000000000002</v>
      </c>
      <c r="I533">
        <f>IFERROR(IFERROR(VLOOKUP($A533,Ra2W!$A:$K,6,FALSE),VLOOKUP($B533,Ra2W!$A:$K,6,FALSE)),"")</f>
        <v>1453</v>
      </c>
      <c r="J533">
        <f>IFERROR(VLOOKUP(D533,'Pop-Metro'!A:R,E533-2005,FALSE),VLOOKUP(D533,'Pop-Micro'!A:R,E533-2005,FALSE))</f>
        <v>759247</v>
      </c>
      <c r="K533">
        <f>IFERROR(VLOOKUP(D533,'PCI-Metro'!A:R,E533-2005,FALSE),VLOOKUP(D533,'PCI-Micro'!A:R,E533-2005,FALSE))</f>
        <v>39704</v>
      </c>
      <c r="L533">
        <f>IFERROR(IF(IFERROR(VLOOKUP($A533,Attendance2!$B:$H,5,FALSE),VLOOKUP($B533,Attendance2!$B:$H,5,FALSE))="","",IFERROR(VLOOKUP($A533,Attendance2!$B:$H,5,FALSE),VLOOKUP($B533,Attendance2!$B:$H,5,FALSE))),"")</f>
        <v>1200</v>
      </c>
    </row>
    <row r="534" spans="1:12">
      <c r="A534" t="s">
        <v>162</v>
      </c>
      <c r="B534" t="s">
        <v>162</v>
      </c>
      <c r="C534">
        <v>199157</v>
      </c>
      <c r="D534">
        <v>20500</v>
      </c>
      <c r="E534">
        <f t="shared" si="8"/>
        <v>2016</v>
      </c>
      <c r="F534">
        <f>IFERROR(IF(VLOOKUP(C534,TotalRev2!A:C,3,FALSE)="","",VLOOKUP(C534,TotalRev2!A:C,3,FALSE)),"")</f>
        <v>499</v>
      </c>
      <c r="G534">
        <f>IFERROR(IF(VLOOKUP(C534,TotalRev1!A:C,3,FALSE)="","",VLOOKUP(C534,TotalRev1!A:C,3,FALSE)),"")</f>
        <v>3335</v>
      </c>
      <c r="H534" s="26">
        <f>IFERROR(IFERROR(VLOOKUP($A534,Winpct2!$A:$K,9,FALSE),VLOOKUP($B534,Winpct2!$A:$K,9,FALSE)),"")</f>
        <v>0.17199999999999999</v>
      </c>
      <c r="I534">
        <f>IFERROR(IFERROR(VLOOKUP($A534,Ra2W!$A:$K,6,FALSE),VLOOKUP($B534,Ra2W!$A:$K,6,FALSE)),"")</f>
        <v>2847</v>
      </c>
      <c r="J534">
        <f>IFERROR(VLOOKUP(D534,'Pop-Metro'!A:R,E534-2005,FALSE),VLOOKUP(D534,'Pop-Micro'!A:R,E534-2005,FALSE))</f>
        <v>617947</v>
      </c>
      <c r="K534">
        <f>IFERROR(VLOOKUP(D534,'PCI-Metro'!A:R,E534-2005,FALSE),VLOOKUP(D534,'PCI-Micro'!A:R,E534-2005,FALSE))</f>
        <v>48324</v>
      </c>
      <c r="L534">
        <f>IFERROR(IF(IFERROR(VLOOKUP($A534,Attendance2!$B:$H,5,FALSE),VLOOKUP($B534,Attendance2!$B:$H,5,FALSE))="","",IFERROR(VLOOKUP($A534,Attendance2!$B:$H,5,FALSE),VLOOKUP($B534,Attendance2!$B:$H,5,FALSE))),"")</f>
        <v>3056</v>
      </c>
    </row>
    <row r="535" spans="1:12">
      <c r="A535" t="s">
        <v>1289</v>
      </c>
      <c r="B535" t="s">
        <v>1289</v>
      </c>
      <c r="C535">
        <v>500000</v>
      </c>
      <c r="D535">
        <v>47900</v>
      </c>
      <c r="E535">
        <f t="shared" si="8"/>
        <v>2016</v>
      </c>
      <c r="F535">
        <f>IFERROR(IF(VLOOKUP(C535,TotalRev2!A:C,3,FALSE)="","",VLOOKUP(C535,TotalRev2!A:C,3,FALSE)),"")</f>
        <v>274360</v>
      </c>
      <c r="G535">
        <f>IFERROR(IF(VLOOKUP(C535,TotalRev1!A:C,3,FALSE)="","",VLOOKUP(C535,TotalRev1!A:C,3,FALSE)),"")</f>
        <v>314038</v>
      </c>
      <c r="H535" s="26">
        <f>IFERROR(IFERROR(VLOOKUP($A535,Winpct2!$A:$K,9,FALSE),VLOOKUP($B535,Winpct2!$A:$K,9,FALSE)),"")</f>
        <v>0.31</v>
      </c>
      <c r="I535">
        <f>IFERROR(IFERROR(VLOOKUP($A535,Ra2W!$A:$K,6,FALSE),VLOOKUP($B535,Ra2W!$A:$K,6,FALSE)),"")</f>
        <v>4906</v>
      </c>
      <c r="J535">
        <f>IFERROR(VLOOKUP(D535,'Pop-Metro'!A:R,E535-2005,FALSE),VLOOKUP(D535,'Pop-Micro'!A:R,E535-2005,FALSE))</f>
        <v>6193671</v>
      </c>
      <c r="K535">
        <f>IFERROR(VLOOKUP(D535,'PCI-Metro'!A:R,E535-2005,FALSE),VLOOKUP(D535,'PCI-Micro'!A:R,E535-2005,FALSE))</f>
        <v>66189</v>
      </c>
      <c r="L535">
        <f>IFERROR(IF(IFERROR(VLOOKUP($A535,Attendance2!$B:$H,5,FALSE),VLOOKUP($B535,Attendance2!$B:$H,5,FALSE))="","",IFERROR(VLOOKUP($A535,Attendance2!$B:$H,5,FALSE),VLOOKUP($B535,Attendance2!$B:$H,5,FALSE))),"")</f>
        <v>750</v>
      </c>
    </row>
    <row r="536" spans="1:12">
      <c r="A536" t="s">
        <v>163</v>
      </c>
      <c r="B536" t="s">
        <v>163</v>
      </c>
      <c r="C536">
        <v>199193</v>
      </c>
      <c r="D536">
        <v>39580</v>
      </c>
      <c r="E536">
        <f t="shared" si="8"/>
        <v>2016</v>
      </c>
      <c r="F536">
        <f>IFERROR(IF(VLOOKUP(C536,TotalRev2!A:C,3,FALSE)="","",VLOOKUP(C536,TotalRev2!A:C,3,FALSE)),"")</f>
        <v>661431</v>
      </c>
      <c r="G536">
        <f>IFERROR(IF(VLOOKUP(C536,TotalRev1!A:C,3,FALSE)="","",VLOOKUP(C536,TotalRev1!A:C,3,FALSE)),"")</f>
        <v>611428</v>
      </c>
      <c r="H536" s="26">
        <f>IFERROR(IFERROR(VLOOKUP($A536,Winpct2!$A:$K,9,FALSE),VLOOKUP($B536,Winpct2!$A:$K,9,FALSE)),"")</f>
        <v>0.5</v>
      </c>
      <c r="I536">
        <f>IFERROR(IFERROR(VLOOKUP($A536,Ra2W!$A:$K,6,FALSE),VLOOKUP($B536,Ra2W!$A:$K,6,FALSE)),"")</f>
        <v>8712</v>
      </c>
      <c r="J536">
        <f>IFERROR(VLOOKUP(D536,'Pop-Metro'!A:R,E536-2005,FALSE),VLOOKUP(D536,'Pop-Micro'!A:R,E536-2005,FALSE))</f>
        <v>1304639</v>
      </c>
      <c r="K536">
        <f>IFERROR(VLOOKUP(D536,'PCI-Metro'!A:R,E536-2005,FALSE),VLOOKUP(D536,'PCI-Micro'!A:R,E536-2005,FALSE))</f>
        <v>50824</v>
      </c>
      <c r="L536">
        <f>IFERROR(IF(IFERROR(VLOOKUP($A536,Attendance2!$B:$H,5,FALSE),VLOOKUP($B536,Attendance2!$B:$H,5,FALSE))="","",IFERROR(VLOOKUP($A536,Attendance2!$B:$H,5,FALSE),VLOOKUP($B536,Attendance2!$B:$H,5,FALSE))),"")</f>
        <v>12400</v>
      </c>
    </row>
    <row r="537" spans="1:12">
      <c r="A537" t="s">
        <v>164</v>
      </c>
      <c r="B537" t="s">
        <v>164</v>
      </c>
      <c r="C537">
        <v>181464</v>
      </c>
      <c r="D537">
        <v>30700</v>
      </c>
      <c r="E537">
        <f t="shared" si="8"/>
        <v>2016</v>
      </c>
      <c r="F537">
        <f>IFERROR(IF(VLOOKUP(C537,TotalRev2!A:C,3,FALSE)="","",VLOOKUP(C537,TotalRev2!A:C,3,FALSE)),"")</f>
        <v>4073412</v>
      </c>
      <c r="G537">
        <f>IFERROR(IF(VLOOKUP(C537,TotalRev1!A:C,3,FALSE)="","",VLOOKUP(C537,TotalRev1!A:C,3,FALSE)),"")</f>
        <v>2971382</v>
      </c>
      <c r="H537" s="26">
        <f>IFERROR(IFERROR(VLOOKUP($A537,Winpct2!$A:$K,9,FALSE),VLOOKUP($B537,Winpct2!$A:$K,9,FALSE)),"")</f>
        <v>0.88900000000000001</v>
      </c>
      <c r="I537">
        <f>IFERROR(IFERROR(VLOOKUP($A537,Ra2W!$A:$K,6,FALSE),VLOOKUP($B537,Ra2W!$A:$K,6,FALSE)),"")</f>
        <v>147714</v>
      </c>
      <c r="J537">
        <f>IFERROR(VLOOKUP(D537,'Pop-Metro'!A:R,E537-2005,FALSE),VLOOKUP(D537,'Pop-Micro'!A:R,E537-2005,FALSE))</f>
        <v>329359</v>
      </c>
      <c r="K537">
        <f>IFERROR(VLOOKUP(D537,'PCI-Metro'!A:R,E537-2005,FALSE),VLOOKUP(D537,'PCI-Micro'!A:R,E537-2005,FALSE))</f>
        <v>44808</v>
      </c>
      <c r="L537">
        <f>IFERROR(IF(IFERROR(VLOOKUP($A537,Attendance2!$B:$H,5,FALSE),VLOOKUP($B537,Attendance2!$B:$H,5,FALSE))="","",IFERROR(VLOOKUP($A537,Attendance2!$B:$H,5,FALSE),VLOOKUP($B537,Attendance2!$B:$H,5,FALSE))),"")</f>
        <v>7907</v>
      </c>
    </row>
    <row r="538" spans="1:12">
      <c r="A538" t="s">
        <v>165</v>
      </c>
      <c r="B538" t="s">
        <v>165</v>
      </c>
      <c r="C538">
        <v>182290</v>
      </c>
      <c r="D538">
        <v>39900</v>
      </c>
      <c r="E538">
        <f t="shared" si="8"/>
        <v>2016</v>
      </c>
      <c r="F538">
        <f>IFERROR(IF(VLOOKUP(C538,TotalRev2!A:C,3,FALSE)="","",VLOOKUP(C538,TotalRev2!A:C,3,FALSE)),"")</f>
        <v>107320</v>
      </c>
      <c r="G538">
        <f>IFERROR(IF(VLOOKUP(C538,TotalRev1!A:C,3,FALSE)="","",VLOOKUP(C538,TotalRev1!A:C,3,FALSE)),"")</f>
        <v>112633</v>
      </c>
      <c r="H538" s="26">
        <f>IFERROR(IFERROR(VLOOKUP($A538,Winpct2!$A:$K,9,FALSE),VLOOKUP($B538,Winpct2!$A:$K,9,FALSE)),"")</f>
        <v>0.4</v>
      </c>
      <c r="I538">
        <f>IFERROR(IFERROR(VLOOKUP($A538,Ra2W!$A:$K,6,FALSE),VLOOKUP($B538,Ra2W!$A:$K,6,FALSE)),"")</f>
        <v>4268</v>
      </c>
      <c r="J538">
        <f>IFERROR(VLOOKUP(D538,'Pop-Metro'!A:R,E538-2005,FALSE),VLOOKUP(D538,'Pop-Micro'!A:R,E538-2005,FALSE))</f>
        <v>459795</v>
      </c>
      <c r="K538">
        <f>IFERROR(VLOOKUP(D538,'PCI-Metro'!A:R,E538-2005,FALSE),VLOOKUP(D538,'PCI-Micro'!A:R,E538-2005,FALSE))</f>
        <v>50947</v>
      </c>
      <c r="L538">
        <f>IFERROR(IF(IFERROR(VLOOKUP($A538,Attendance2!$B:$H,5,FALSE),VLOOKUP($B538,Attendance2!$B:$H,5,FALSE))="","",IFERROR(VLOOKUP($A538,Attendance2!$B:$H,5,FALSE),VLOOKUP($B538,Attendance2!$B:$H,5,FALSE))),"")</f>
        <v>1800</v>
      </c>
    </row>
    <row r="539" spans="1:12">
      <c r="A539" t="s">
        <v>1290</v>
      </c>
      <c r="B539" t="s">
        <v>1290</v>
      </c>
      <c r="C539">
        <v>183044</v>
      </c>
      <c r="D539">
        <v>18180</v>
      </c>
      <c r="E539">
        <f t="shared" si="8"/>
        <v>2016</v>
      </c>
      <c r="F539">
        <f>IFERROR(IF(VLOOKUP(C539,TotalRev2!A:C,3,FALSE)="","",VLOOKUP(C539,TotalRev2!A:C,3,FALSE)),"")</f>
        <v>221898</v>
      </c>
      <c r="G539">
        <f>IFERROR(IF(VLOOKUP(C539,TotalRev1!A:C,3,FALSE)="","",VLOOKUP(C539,TotalRev1!A:C,3,FALSE)),"")</f>
        <v>330082</v>
      </c>
      <c r="H539" s="26">
        <f>IFERROR(IFERROR(VLOOKUP($A539,Winpct2!$A:$K,9,FALSE),VLOOKUP($B539,Winpct2!$A:$K,9,FALSE)),"")</f>
        <v>0.7</v>
      </c>
      <c r="I539">
        <f>IFERROR(IFERROR(VLOOKUP($A539,Ra2W!$A:$K,6,FALSE),VLOOKUP($B539,Ra2W!$A:$K,6,FALSE)),"")</f>
        <v>6282</v>
      </c>
      <c r="J539">
        <f>IFERROR(VLOOKUP(D539,'Pop-Metro'!A:R,E539-2005,FALSE),VLOOKUP(D539,'Pop-Micro'!A:R,E539-2005,FALSE))</f>
        <v>150071</v>
      </c>
      <c r="K539">
        <f>IFERROR(VLOOKUP(D539,'PCI-Metro'!A:R,E539-2005,FALSE),VLOOKUP(D539,'PCI-Micro'!A:R,E539-2005,FALSE))</f>
        <v>53275</v>
      </c>
      <c r="L539">
        <f>IFERROR(IF(IFERROR(VLOOKUP($A539,Attendance2!$B:$H,5,FALSE),VLOOKUP($B539,Attendance2!$B:$H,5,FALSE))="","",IFERROR(VLOOKUP($A539,Attendance2!$B:$H,5,FALSE),VLOOKUP($B539,Attendance2!$B:$H,5,FALSE))),"")</f>
        <v>3500</v>
      </c>
    </row>
    <row r="540" spans="1:12">
      <c r="A540" t="s">
        <v>166</v>
      </c>
      <c r="B540" t="s">
        <v>166</v>
      </c>
      <c r="C540">
        <v>187985</v>
      </c>
      <c r="D540">
        <v>10740</v>
      </c>
      <c r="E540">
        <f t="shared" si="8"/>
        <v>2016</v>
      </c>
      <c r="F540">
        <f>IFERROR(IF(VLOOKUP(C540,TotalRev2!A:C,3,FALSE)="","",VLOOKUP(C540,TotalRev2!A:C,3,FALSE)),"")</f>
        <v>138238</v>
      </c>
      <c r="G540">
        <f>IFERROR(IF(VLOOKUP(C540,TotalRev1!A:C,3,FALSE)="","",VLOOKUP(C540,TotalRev1!A:C,3,FALSE)),"")</f>
        <v>147696</v>
      </c>
      <c r="H540" s="26">
        <f>IFERROR(IFERROR(VLOOKUP($A540,Winpct2!$A:$K,9,FALSE),VLOOKUP($B540,Winpct2!$A:$K,9,FALSE)),"")</f>
        <v>0.54800000000000004</v>
      </c>
      <c r="I540">
        <f>IFERROR(IFERROR(VLOOKUP($A540,Ra2W!$A:$K,6,FALSE),VLOOKUP($B540,Ra2W!$A:$K,6,FALSE)),"")</f>
        <v>16494</v>
      </c>
      <c r="J540">
        <f>IFERROR(VLOOKUP(D540,'Pop-Metro'!A:R,E540-2005,FALSE),VLOOKUP(D540,'Pop-Micro'!A:R,E540-2005,FALSE))</f>
        <v>905774</v>
      </c>
      <c r="K540">
        <f>IFERROR(VLOOKUP(D540,'PCI-Metro'!A:R,E540-2005,FALSE),VLOOKUP(D540,'PCI-Micro'!A:R,E540-2005,FALSE))</f>
        <v>40050</v>
      </c>
      <c r="L540">
        <f>IFERROR(IF(IFERROR(VLOOKUP($A540,Attendance2!$B:$H,5,FALSE),VLOOKUP($B540,Attendance2!$B:$H,5,FALSE))="","",IFERROR(VLOOKUP($A540,Attendance2!$B:$H,5,FALSE),VLOOKUP($B540,Attendance2!$B:$H,5,FALSE))),"")</f>
        <v>0</v>
      </c>
    </row>
    <row r="541" spans="1:12">
      <c r="A541" t="s">
        <v>167</v>
      </c>
      <c r="B541" t="s">
        <v>167</v>
      </c>
      <c r="C541">
        <v>188030</v>
      </c>
      <c r="D541">
        <v>29740</v>
      </c>
      <c r="E541">
        <f t="shared" si="8"/>
        <v>2016</v>
      </c>
      <c r="F541">
        <f>IFERROR(IF(VLOOKUP(C541,TotalRev2!A:C,3,FALSE)="","",VLOOKUP(C541,TotalRev2!A:C,3,FALSE)),"")</f>
        <v>303978</v>
      </c>
      <c r="G541">
        <f>IFERROR(IF(VLOOKUP(C541,TotalRev1!A:C,3,FALSE)="","",VLOOKUP(C541,TotalRev1!A:C,3,FALSE)),"")</f>
        <v>300255</v>
      </c>
      <c r="H541" s="26">
        <f>IFERROR(IFERROR(VLOOKUP($A541,Winpct2!$A:$K,9,FALSE),VLOOKUP($B541,Winpct2!$A:$K,9,FALSE)),"")</f>
        <v>0.82399999999999995</v>
      </c>
      <c r="I541">
        <f>IFERROR(IFERROR(VLOOKUP($A541,Ra2W!$A:$K,6,FALSE),VLOOKUP($B541,Ra2W!$A:$K,6,FALSE)),"")</f>
        <v>15299</v>
      </c>
      <c r="J541">
        <f>IFERROR(VLOOKUP(D541,'Pop-Metro'!A:R,E541-2005,FALSE),VLOOKUP(D541,'Pop-Micro'!A:R,E541-2005,FALSE))</f>
        <v>213885</v>
      </c>
      <c r="K541">
        <f>IFERROR(VLOOKUP(D541,'PCI-Metro'!A:R,E541-2005,FALSE),VLOOKUP(D541,'PCI-Micro'!A:R,E541-2005,FALSE))</f>
        <v>34235</v>
      </c>
      <c r="L541">
        <f>IFERROR(IF(IFERROR(VLOOKUP($A541,Attendance2!$B:$H,5,FALSE),VLOOKUP($B541,Attendance2!$B:$H,5,FALSE))="","",IFERROR(VLOOKUP($A541,Attendance2!$B:$H,5,FALSE),VLOOKUP($B541,Attendance2!$B:$H,5,FALSE))),"")</f>
        <v>13007</v>
      </c>
    </row>
    <row r="542" spans="1:12">
      <c r="A542" t="s">
        <v>1291</v>
      </c>
      <c r="B542" t="s">
        <v>1291</v>
      </c>
      <c r="C542">
        <v>159939</v>
      </c>
      <c r="D542">
        <v>35380</v>
      </c>
      <c r="E542">
        <f t="shared" si="8"/>
        <v>2016</v>
      </c>
      <c r="F542">
        <f>IFERROR(IF(VLOOKUP(C542,TotalRev2!A:C,3,FALSE)="","",VLOOKUP(C542,TotalRev2!A:C,3,FALSE)),"")</f>
        <v>10300</v>
      </c>
      <c r="G542">
        <f>IFERROR(IF(VLOOKUP(C542,TotalRev1!A:C,3,FALSE)="","",VLOOKUP(C542,TotalRev1!A:C,3,FALSE)),"")</f>
        <v>5650</v>
      </c>
      <c r="H542" s="26">
        <f>IFERROR(IFERROR(VLOOKUP($A542,Winpct2!$A:$K,9,FALSE),VLOOKUP($B542,Winpct2!$A:$K,9,FALSE)),"")</f>
        <v>0.54300000000000004</v>
      </c>
      <c r="I542">
        <f>IFERROR(IFERROR(VLOOKUP($A542,Ra2W!$A:$K,6,FALSE),VLOOKUP($B542,Ra2W!$A:$K,6,FALSE)),"")</f>
        <v>4992</v>
      </c>
      <c r="J542">
        <f>IFERROR(VLOOKUP(D542,'Pop-Metro'!A:R,E542-2005,FALSE),VLOOKUP(D542,'Pop-Micro'!A:R,E542-2005,FALSE))</f>
        <v>1267717</v>
      </c>
      <c r="K542">
        <f>IFERROR(VLOOKUP(D542,'PCI-Metro'!A:R,E542-2005,FALSE),VLOOKUP(D542,'PCI-Micro'!A:R,E542-2005,FALSE))</f>
        <v>47719</v>
      </c>
      <c r="L542">
        <f>IFERROR(IF(IFERROR(VLOOKUP($A542,Attendance2!$B:$H,5,FALSE),VLOOKUP($B542,Attendance2!$B:$H,5,FALSE))="","",IFERROR(VLOOKUP($A542,Attendance2!$B:$H,5,FALSE),VLOOKUP($B542,Attendance2!$B:$H,5,FALSE))),"")</f>
        <v>10000</v>
      </c>
    </row>
    <row r="543" spans="1:12">
      <c r="A543" t="s">
        <v>168</v>
      </c>
      <c r="B543" t="s">
        <v>168</v>
      </c>
      <c r="C543">
        <v>193973</v>
      </c>
      <c r="D543">
        <v>15380</v>
      </c>
      <c r="E543">
        <f t="shared" si="8"/>
        <v>2016</v>
      </c>
      <c r="F543" t="str">
        <f>IFERROR(IF(VLOOKUP(C543,TotalRev2!A:C,3,FALSE)="","",VLOOKUP(C543,TotalRev2!A:C,3,FALSE)),"")</f>
        <v/>
      </c>
      <c r="G543" t="str">
        <f>IFERROR(IF(VLOOKUP(C543,TotalRev1!A:C,3,FALSE)="","",VLOOKUP(C543,TotalRev1!A:C,3,FALSE)),"")</f>
        <v/>
      </c>
      <c r="H543" s="26">
        <f>IFERROR(IFERROR(VLOOKUP($A543,Winpct2!$A:$K,9,FALSE),VLOOKUP($B543,Winpct2!$A:$K,9,FALSE)),"")</f>
        <v>0.433</v>
      </c>
      <c r="I543">
        <f>IFERROR(IFERROR(VLOOKUP($A543,Ra2W!$A:$K,6,FALSE),VLOOKUP($B543,Ra2W!$A:$K,6,FALSE)),"")</f>
        <v>1115</v>
      </c>
      <c r="J543">
        <f>IFERROR(VLOOKUP(D543,'Pop-Metro'!A:R,E543-2005,FALSE),VLOOKUP(D543,'Pop-Micro'!A:R,E543-2005,FALSE))</f>
        <v>1155397</v>
      </c>
      <c r="K543">
        <f>IFERROR(VLOOKUP(D543,'PCI-Metro'!A:R,E543-2005,FALSE),VLOOKUP(D543,'PCI-Micro'!A:R,E543-2005,FALSE))</f>
        <v>44390</v>
      </c>
      <c r="L543">
        <f>IFERROR(IF(IFERROR(VLOOKUP($A543,Attendance2!$B:$H,5,FALSE),VLOOKUP($B543,Attendance2!$B:$H,5,FALSE))="","",IFERROR(VLOOKUP($A543,Attendance2!$B:$H,5,FALSE),VLOOKUP($B543,Attendance2!$B:$H,5,FALSE))),"")</f>
        <v>2400</v>
      </c>
    </row>
    <row r="544" spans="1:12">
      <c r="A544" t="s">
        <v>169</v>
      </c>
      <c r="B544" t="s">
        <v>1247</v>
      </c>
      <c r="C544">
        <v>159966</v>
      </c>
      <c r="D544">
        <v>26380</v>
      </c>
      <c r="E544">
        <f t="shared" si="8"/>
        <v>2016</v>
      </c>
      <c r="F544">
        <f>IFERROR(IF(VLOOKUP(C544,TotalRev2!A:C,3,FALSE)="","",VLOOKUP(C544,TotalRev2!A:C,3,FALSE)),"")</f>
        <v>455776</v>
      </c>
      <c r="G544">
        <f>IFERROR(IF(VLOOKUP(C544,TotalRev1!A:C,3,FALSE)="","",VLOOKUP(C544,TotalRev1!A:C,3,FALSE)),"")</f>
        <v>418736</v>
      </c>
      <c r="H544" s="26">
        <f>IFERROR(IFERROR(VLOOKUP($A544,Winpct2!$A:$K,9,FALSE),VLOOKUP($B544,Winpct2!$A:$K,9,FALSE)),"")</f>
        <v>0.32100000000000001</v>
      </c>
      <c r="I544">
        <f>IFERROR(IFERROR(VLOOKUP($A544,Ra2W!$A:$K,6,FALSE),VLOOKUP($B544,Ra2W!$A:$K,6,FALSE)),"")</f>
        <v>3691</v>
      </c>
      <c r="J544">
        <f>IFERROR(VLOOKUP(D544,'Pop-Metro'!A:R,E544-2005,FALSE),VLOOKUP(D544,'Pop-Micro'!A:R,E544-2005,FALSE))</f>
        <v>211203</v>
      </c>
      <c r="K544">
        <f>IFERROR(VLOOKUP(D544,'PCI-Metro'!A:R,E544-2005,FALSE),VLOOKUP(D544,'PCI-Micro'!A:R,E544-2005,FALSE))</f>
        <v>40272</v>
      </c>
      <c r="L544">
        <f>IFERROR(IF(IFERROR(VLOOKUP($A544,Attendance2!$B:$H,5,FALSE),VLOOKUP($B544,Attendance2!$B:$H,5,FALSE))="","",IFERROR(VLOOKUP($A544,Attendance2!$B:$H,5,FALSE),VLOOKUP($B544,Attendance2!$B:$H,5,FALSE))),"")</f>
        <v>3800</v>
      </c>
    </row>
    <row r="545" spans="1:12">
      <c r="A545" t="s">
        <v>177</v>
      </c>
      <c r="B545" t="s">
        <v>1248</v>
      </c>
      <c r="C545">
        <v>147703</v>
      </c>
      <c r="D545">
        <v>16980</v>
      </c>
      <c r="E545">
        <f t="shared" si="8"/>
        <v>2016</v>
      </c>
      <c r="F545">
        <f>IFERROR(IF(VLOOKUP(C545,TotalRev2!A:C,3,FALSE)="","",VLOOKUP(C545,TotalRev2!A:C,3,FALSE)),"")</f>
        <v>148410</v>
      </c>
      <c r="G545">
        <f>IFERROR(IF(VLOOKUP(C545,TotalRev1!A:C,3,FALSE)="","",VLOOKUP(C545,TotalRev1!A:C,3,FALSE)),"")</f>
        <v>298287</v>
      </c>
      <c r="H545" s="26">
        <f>IFERROR(IFERROR(VLOOKUP($A545,Winpct2!$A:$K,9,FALSE),VLOOKUP($B545,Winpct2!$A:$K,9,FALSE)),"")</f>
        <v>0.63300000000000001</v>
      </c>
      <c r="I545">
        <f>IFERROR(IFERROR(VLOOKUP($A545,Ra2W!$A:$K,6,FALSE),VLOOKUP($B545,Ra2W!$A:$K,6,FALSE)),"")</f>
        <v>6704</v>
      </c>
      <c r="J545">
        <f>IFERROR(VLOOKUP(D545,'Pop-Metro'!A:R,E545-2005,FALSE),VLOOKUP(D545,'Pop-Micro'!A:R,E545-2005,FALSE))</f>
        <v>9656432</v>
      </c>
      <c r="K545">
        <f>IFERROR(VLOOKUP(D545,'PCI-Metro'!A:R,E545-2005,FALSE),VLOOKUP(D545,'PCI-Micro'!A:R,E545-2005,FALSE))</f>
        <v>55027</v>
      </c>
      <c r="L545">
        <f>IFERROR(IF(IFERROR(VLOOKUP($A545,Attendance2!$B:$H,5,FALSE),VLOOKUP($B545,Attendance2!$B:$H,5,FALSE))="","",IFERROR(VLOOKUP($A545,Attendance2!$B:$H,5,FALSE),VLOOKUP($B545,Attendance2!$B:$H,5,FALSE))),"")</f>
        <v>800</v>
      </c>
    </row>
    <row r="546" spans="1:12">
      <c r="A546" t="s">
        <v>1292</v>
      </c>
      <c r="B546" t="s">
        <v>1292</v>
      </c>
      <c r="C546">
        <v>185828</v>
      </c>
      <c r="D546">
        <v>35620</v>
      </c>
      <c r="E546">
        <f t="shared" si="8"/>
        <v>2016</v>
      </c>
      <c r="F546" t="str">
        <f>IFERROR(IF(VLOOKUP(C546,TotalRev2!A:C,3,FALSE)="","",VLOOKUP(C546,TotalRev2!A:C,3,FALSE)),"")</f>
        <v/>
      </c>
      <c r="G546">
        <f>IFERROR(IF(VLOOKUP(C546,TotalRev1!A:C,3,FALSE)="","",VLOOKUP(C546,TotalRev1!A:C,3,FALSE)),"")</f>
        <v>618039</v>
      </c>
      <c r="H546" s="26">
        <f>IFERROR(IFERROR(VLOOKUP($A546,Winpct2!$A:$K,9,FALSE),VLOOKUP($B546,Winpct2!$A:$K,9,FALSE)),"")</f>
        <v>0.19400000000000001</v>
      </c>
      <c r="I546">
        <f>IFERROR(IFERROR(VLOOKUP($A546,Ra2W!$A:$K,6,FALSE),VLOOKUP($B546,Ra2W!$A:$K,6,FALSE)),"")</f>
        <v>2097</v>
      </c>
      <c r="J546">
        <f>IFERROR(VLOOKUP(D546,'Pop-Metro'!A:R,E546-2005,FALSE),VLOOKUP(D546,'Pop-Micro'!A:R,E546-2005,FALSE))</f>
        <v>19943198</v>
      </c>
      <c r="K546">
        <f>IFERROR(VLOOKUP(D546,'PCI-Metro'!A:R,E546-2005,FALSE),VLOOKUP(D546,'PCI-Micro'!A:R,E546-2005,FALSE))</f>
        <v>64886</v>
      </c>
      <c r="L546">
        <f>IFERROR(IF(IFERROR(VLOOKUP($A546,Attendance2!$B:$H,5,FALSE),VLOOKUP($B546,Attendance2!$B:$H,5,FALSE))="","",IFERROR(VLOOKUP($A546,Attendance2!$B:$H,5,FALSE),VLOOKUP($B546,Attendance2!$B:$H,5,FALSE))),"")</f>
        <v>1500</v>
      </c>
    </row>
    <row r="547" spans="1:12">
      <c r="A547" t="s">
        <v>170</v>
      </c>
      <c r="B547" t="s">
        <v>170</v>
      </c>
      <c r="C547">
        <v>232937</v>
      </c>
      <c r="D547">
        <v>47260</v>
      </c>
      <c r="E547">
        <f t="shared" ref="E547:E610" si="9">E546</f>
        <v>2016</v>
      </c>
      <c r="F547" t="str">
        <f>IFERROR(IF(VLOOKUP(C547,TotalRev2!A:C,3,FALSE)="","",VLOOKUP(C547,TotalRev2!A:C,3,FALSE)),"")</f>
        <v/>
      </c>
      <c r="G547" t="str">
        <f>IFERROR(IF(VLOOKUP(C547,TotalRev1!A:C,3,FALSE)="","",VLOOKUP(C547,TotalRev1!A:C,3,FALSE)),"")</f>
        <v/>
      </c>
      <c r="H547" s="26">
        <f>IFERROR(IFERROR(VLOOKUP($A547,Winpct2!$A:$K,9,FALSE),VLOOKUP($B547,Winpct2!$A:$K,9,FALSE)),"")</f>
        <v>0.16</v>
      </c>
      <c r="I547">
        <f>IFERROR(IFERROR(VLOOKUP($A547,Ra2W!$A:$K,6,FALSE),VLOOKUP($B547,Ra2W!$A:$K,6,FALSE)),"")</f>
        <v>921</v>
      </c>
      <c r="J547">
        <f>IFERROR(VLOOKUP(D547,'Pop-Metro'!A:R,E547-2005,FALSE),VLOOKUP(D547,'Pop-Micro'!A:R,E547-2005,FALSE))</f>
        <v>1773651</v>
      </c>
      <c r="K547">
        <f>IFERROR(VLOOKUP(D547,'PCI-Metro'!A:R,E547-2005,FALSE),VLOOKUP(D547,'PCI-Micro'!A:R,E547-2005,FALSE))</f>
        <v>46137</v>
      </c>
      <c r="L547">
        <f>IFERROR(IF(IFERROR(VLOOKUP($A547,Attendance2!$B:$H,5,FALSE),VLOOKUP($B547,Attendance2!$B:$H,5,FALSE))="","",IFERROR(VLOOKUP($A547,Attendance2!$B:$H,5,FALSE),VLOOKUP($B547,Attendance2!$B:$H,5,FALSE))),"")</f>
        <v>4500</v>
      </c>
    </row>
    <row r="548" spans="1:12">
      <c r="A548" t="s">
        <v>1257</v>
      </c>
      <c r="B548" t="s">
        <v>1256</v>
      </c>
      <c r="C548">
        <v>101879</v>
      </c>
      <c r="D548">
        <v>26620</v>
      </c>
      <c r="E548">
        <f t="shared" si="9"/>
        <v>2016</v>
      </c>
      <c r="F548" t="str">
        <f>IFERROR(IF(VLOOKUP(C548,TotalRev2!A:C,3,FALSE)="","",VLOOKUP(C548,TotalRev2!A:C,3,FALSE)),"")</f>
        <v/>
      </c>
      <c r="G548" t="str">
        <f>IFERROR(IF(VLOOKUP(C548,TotalRev1!A:C,3,FALSE)="","",VLOOKUP(C548,TotalRev1!A:C,3,FALSE)),"")</f>
        <v/>
      </c>
      <c r="H548" s="26" t="str">
        <f>IFERROR(IFERROR(VLOOKUP($A548,Winpct2!$A:$K,9,FALSE),VLOOKUP($B548,Winpct2!$A:$K,9,FALSE)),"")</f>
        <v/>
      </c>
      <c r="I548" t="str">
        <f>IFERROR(IFERROR(VLOOKUP($A548,Ra2W!$A:$K,6,FALSE),VLOOKUP($B548,Ra2W!$A:$K,6,FALSE)),"")</f>
        <v/>
      </c>
      <c r="J548">
        <f>IFERROR(VLOOKUP(D548,'Pop-Metro'!A:R,E548-2005,FALSE),VLOOKUP(D548,'Pop-Micro'!A:R,E548-2005,FALSE))</f>
        <v>457090</v>
      </c>
      <c r="K548">
        <f>IFERROR(VLOOKUP(D548,'PCI-Metro'!A:R,E548-2005,FALSE),VLOOKUP(D548,'PCI-Micro'!A:R,E548-2005,FALSE))</f>
        <v>45464</v>
      </c>
      <c r="L548" t="str">
        <f>IFERROR(IF(IFERROR(VLOOKUP($A548,Attendance2!$B:$H,5,FALSE),VLOOKUP($B548,Attendance2!$B:$H,5,FALSE))="","",IFERROR(VLOOKUP($A548,Attendance2!$B:$H,5,FALSE),VLOOKUP($B548,Attendance2!$B:$H,5,FALSE))),"")</f>
        <v/>
      </c>
    </row>
    <row r="549" spans="1:12">
      <c r="A549" t="s">
        <v>171</v>
      </c>
      <c r="B549" t="s">
        <v>171</v>
      </c>
      <c r="C549">
        <v>199120</v>
      </c>
      <c r="D549">
        <v>20500</v>
      </c>
      <c r="E549">
        <f t="shared" si="9"/>
        <v>2016</v>
      </c>
      <c r="F549">
        <f>IFERROR(IF(VLOOKUP(C549,TotalRev2!A:C,3,FALSE)="","",VLOOKUP(C549,TotalRev2!A:C,3,FALSE)),"")</f>
        <v>683750</v>
      </c>
      <c r="G549">
        <f>IFERROR(IF(VLOOKUP(C549,TotalRev1!A:C,3,FALSE)="","",VLOOKUP(C549,TotalRev1!A:C,3,FALSE)),"")</f>
        <v>585659</v>
      </c>
      <c r="H549" s="26">
        <f>IFERROR(IFERROR(VLOOKUP($A549,Winpct2!$A:$K,9,FALSE),VLOOKUP($B549,Winpct2!$A:$K,9,FALSE)),"")</f>
        <v>0.67700000000000005</v>
      </c>
      <c r="I549">
        <f>IFERROR(IFERROR(VLOOKUP($A549,Ra2W!$A:$K,6,FALSE),VLOOKUP($B549,Ra2W!$A:$K,6,FALSE)),"")</f>
        <v>23629</v>
      </c>
      <c r="J549">
        <f>IFERROR(VLOOKUP(D549,'Pop-Metro'!A:R,E549-2005,FALSE),VLOOKUP(D549,'Pop-Micro'!A:R,E549-2005,FALSE))</f>
        <v>617947</v>
      </c>
      <c r="K549">
        <f>IFERROR(VLOOKUP(D549,'PCI-Metro'!A:R,E549-2005,FALSE),VLOOKUP(D549,'PCI-Micro'!A:R,E549-2005,FALSE))</f>
        <v>48324</v>
      </c>
      <c r="L549">
        <f>IFERROR(IF(IFERROR(VLOOKUP($A549,Attendance2!$B:$H,5,FALSE),VLOOKUP($B549,Attendance2!$B:$H,5,FALSE))="","",IFERROR(VLOOKUP($A549,Attendance2!$B:$H,5,FALSE),VLOOKUP($B549,Attendance2!$B:$H,5,FALSE))),"")</f>
        <v>6822</v>
      </c>
    </row>
    <row r="550" spans="1:12">
      <c r="A550" t="s">
        <v>172</v>
      </c>
      <c r="B550" t="s">
        <v>172</v>
      </c>
      <c r="C550">
        <v>200280</v>
      </c>
      <c r="D550">
        <v>24220</v>
      </c>
      <c r="E550">
        <f t="shared" si="9"/>
        <v>2016</v>
      </c>
      <c r="F550">
        <f>IFERROR(IF(VLOOKUP(C550,TotalRev2!A:C,3,FALSE)="","",VLOOKUP(C550,TotalRev2!A:C,3,FALSE)),"")</f>
        <v>165967</v>
      </c>
      <c r="G550">
        <f>IFERROR(IF(VLOOKUP(C550,TotalRev1!A:C,3,FALSE)="","",VLOOKUP(C550,TotalRev1!A:C,3,FALSE)),"")</f>
        <v>88628</v>
      </c>
      <c r="H550" s="26">
        <f>IFERROR(IFERROR(VLOOKUP($A550,Winpct2!$A:$K,9,FALSE),VLOOKUP($B550,Winpct2!$A:$K,9,FALSE)),"")</f>
        <v>0.61799999999999999</v>
      </c>
      <c r="I550">
        <f>IFERROR(IFERROR(VLOOKUP($A550,Ra2W!$A:$K,6,FALSE),VLOOKUP($B550,Ra2W!$A:$K,6,FALSE)),"")</f>
        <v>13562</v>
      </c>
      <c r="J550">
        <f>IFERROR(VLOOKUP(D550,'Pop-Metro'!A:R,E550-2005,FALSE),VLOOKUP(D550,'Pop-Micro'!A:R,E550-2005,FALSE))</f>
        <v>104705</v>
      </c>
      <c r="K550">
        <f>IFERROR(VLOOKUP(D550,'PCI-Metro'!A:R,E550-2005,FALSE),VLOOKUP(D550,'PCI-Micro'!A:R,E550-2005,FALSE))</f>
        <v>45096</v>
      </c>
      <c r="L550">
        <f>IFERROR(IF(IFERROR(VLOOKUP($A550,Attendance2!$B:$H,5,FALSE),VLOOKUP($B550,Attendance2!$B:$H,5,FALSE))="","",IFERROR(VLOOKUP($A550,Attendance2!$B:$H,5,FALSE),VLOOKUP($B550,Attendance2!$B:$H,5,FALSE))),"")</f>
        <v>3800</v>
      </c>
    </row>
    <row r="551" spans="1:12">
      <c r="A551" t="s">
        <v>173</v>
      </c>
      <c r="B551" t="s">
        <v>173</v>
      </c>
      <c r="C551">
        <v>200332</v>
      </c>
      <c r="D551">
        <v>22020</v>
      </c>
      <c r="E551">
        <f t="shared" si="9"/>
        <v>2016</v>
      </c>
      <c r="F551">
        <f>IFERROR(IF(VLOOKUP(C551,TotalRev2!A:C,3,FALSE)="","",VLOOKUP(C551,TotalRev2!A:C,3,FALSE)),"")</f>
        <v>370919</v>
      </c>
      <c r="G551">
        <f>IFERROR(IF(VLOOKUP(C551,TotalRev1!A:C,3,FALSE)="","",VLOOKUP(C551,TotalRev1!A:C,3,FALSE)),"")</f>
        <v>384270</v>
      </c>
      <c r="H551" s="26">
        <f>IFERROR(IFERROR(VLOOKUP($A551,Winpct2!$A:$K,9,FALSE),VLOOKUP($B551,Winpct2!$A:$K,9,FALSE)),"")</f>
        <v>0.61299999999999999</v>
      </c>
      <c r="I551">
        <f>IFERROR(IFERROR(VLOOKUP($A551,Ra2W!$A:$K,6,FALSE),VLOOKUP($B551,Ra2W!$A:$K,6,FALSE)),"")</f>
        <v>7905</v>
      </c>
      <c r="J551">
        <f>IFERROR(VLOOKUP(D551,'Pop-Metro'!A:R,E551-2005,FALSE),VLOOKUP(D551,'Pop-Micro'!A:R,E551-2005,FALSE))</f>
        <v>238729</v>
      </c>
      <c r="K551">
        <f>IFERROR(VLOOKUP(D551,'PCI-Metro'!A:R,E551-2005,FALSE),VLOOKUP(D551,'PCI-Micro'!A:R,E551-2005,FALSE))</f>
        <v>49325</v>
      </c>
      <c r="L551">
        <f>IFERROR(IF(IFERROR(VLOOKUP($A551,Attendance2!$B:$H,5,FALSE),VLOOKUP($B551,Attendance2!$B:$H,5,FALSE))="","",IFERROR(VLOOKUP($A551,Attendance2!$B:$H,5,FALSE),VLOOKUP($B551,Attendance2!$B:$H,5,FALSE))),"")</f>
        <v>1206</v>
      </c>
    </row>
    <row r="552" spans="1:12">
      <c r="A552" t="s">
        <v>174</v>
      </c>
      <c r="B552" t="s">
        <v>174</v>
      </c>
      <c r="C552">
        <v>136172</v>
      </c>
      <c r="D552">
        <v>27260</v>
      </c>
      <c r="E552">
        <f t="shared" si="9"/>
        <v>2016</v>
      </c>
      <c r="F552">
        <f>IFERROR(IF(VLOOKUP(C552,TotalRev2!A:C,3,FALSE)="","",VLOOKUP(C552,TotalRev2!A:C,3,FALSE)),"")</f>
        <v>88129</v>
      </c>
      <c r="G552">
        <f>IFERROR(IF(VLOOKUP(C552,TotalRev1!A:C,3,FALSE)="","",VLOOKUP(C552,TotalRev1!A:C,3,FALSE)),"")</f>
        <v>89304</v>
      </c>
      <c r="H552" s="26">
        <f>IFERROR(IFERROR(VLOOKUP($A552,Winpct2!$A:$K,9,FALSE),VLOOKUP($B552,Winpct2!$A:$K,9,FALSE)),"")</f>
        <v>0.65600000000000003</v>
      </c>
      <c r="I552">
        <f>IFERROR(IFERROR(VLOOKUP($A552,Ra2W!$A:$K,6,FALSE),VLOOKUP($B552,Ra2W!$A:$K,6,FALSE)),"")</f>
        <v>4517</v>
      </c>
      <c r="J552">
        <f>IFERROR(VLOOKUP(D552,'Pop-Metro'!A:R,E552-2005,FALSE),VLOOKUP(D552,'Pop-Micro'!A:R,E552-2005,FALSE))</f>
        <v>1491834</v>
      </c>
      <c r="K552">
        <f>IFERROR(VLOOKUP(D552,'PCI-Metro'!A:R,E552-2005,FALSE),VLOOKUP(D552,'PCI-Micro'!A:R,E552-2005,FALSE))</f>
        <v>45174</v>
      </c>
      <c r="L552">
        <f>IFERROR(IF(IFERROR(VLOOKUP($A552,Attendance2!$B:$H,5,FALSE),VLOOKUP($B552,Attendance2!$B:$H,5,FALSE))="","",IFERROR(VLOOKUP($A552,Attendance2!$B:$H,5,FALSE),VLOOKUP($B552,Attendance2!$B:$H,5,FALSE))),"")</f>
        <v>0</v>
      </c>
    </row>
    <row r="553" spans="1:12">
      <c r="A553" t="s">
        <v>175</v>
      </c>
      <c r="B553" t="s">
        <v>175</v>
      </c>
      <c r="C553">
        <v>227216</v>
      </c>
      <c r="D553">
        <v>19100</v>
      </c>
      <c r="E553">
        <f t="shared" si="9"/>
        <v>2016</v>
      </c>
      <c r="F553">
        <f>IFERROR(IF(VLOOKUP(C553,TotalRev2!A:C,3,FALSE)="","",VLOOKUP(C553,TotalRev2!A:C,3,FALSE)),"")</f>
        <v>412525</v>
      </c>
      <c r="G553">
        <f>IFERROR(IF(VLOOKUP(C553,TotalRev1!A:C,3,FALSE)="","",VLOOKUP(C553,TotalRev1!A:C,3,FALSE)),"")</f>
        <v>552544</v>
      </c>
      <c r="H553" s="26">
        <f>IFERROR(IFERROR(VLOOKUP($A553,Winpct2!$A:$K,9,FALSE),VLOOKUP($B553,Winpct2!$A:$K,9,FALSE)),"")</f>
        <v>0.60599999999999998</v>
      </c>
      <c r="I553">
        <f>IFERROR(IFERROR(VLOOKUP($A553,Ra2W!$A:$K,6,FALSE),VLOOKUP($B553,Ra2W!$A:$K,6,FALSE)),"")</f>
        <v>4039</v>
      </c>
      <c r="J553">
        <f>IFERROR(VLOOKUP(D553,'Pop-Metro'!A:R,E553-2005,FALSE),VLOOKUP(D553,'Pop-Micro'!A:R,E553-2005,FALSE))</f>
        <v>7176620</v>
      </c>
      <c r="K553">
        <f>IFERROR(VLOOKUP(D553,'PCI-Metro'!A:R,E553-2005,FALSE),VLOOKUP(D553,'PCI-Micro'!A:R,E553-2005,FALSE))</f>
        <v>51451</v>
      </c>
      <c r="L553">
        <f>IFERROR(IF(IFERROR(VLOOKUP($A553,Attendance2!$B:$H,5,FALSE),VLOOKUP($B553,Attendance2!$B:$H,5,FALSE))="","",IFERROR(VLOOKUP($A553,Attendance2!$B:$H,5,FALSE),VLOOKUP($B553,Attendance2!$B:$H,5,FALSE))),"")</f>
        <v>600</v>
      </c>
    </row>
    <row r="554" spans="1:12">
      <c r="A554" t="s">
        <v>1293</v>
      </c>
      <c r="B554" t="s">
        <v>1293</v>
      </c>
      <c r="C554">
        <v>167358</v>
      </c>
      <c r="D554">
        <v>14460</v>
      </c>
      <c r="E554">
        <f t="shared" si="9"/>
        <v>2016</v>
      </c>
      <c r="F554" t="str">
        <f>IFERROR(IF(VLOOKUP(C554,TotalRev2!A:C,3,FALSE)="","",VLOOKUP(C554,TotalRev2!A:C,3,FALSE)),"")</f>
        <v/>
      </c>
      <c r="G554" t="str">
        <f>IFERROR(IF(VLOOKUP(C554,TotalRev1!A:C,3,FALSE)="","",VLOOKUP(C554,TotalRev1!A:C,3,FALSE)),"")</f>
        <v/>
      </c>
      <c r="H554" s="26">
        <f>IFERROR(IFERROR(VLOOKUP($A554,Winpct2!$A:$K,9,FALSE),VLOOKUP($B554,Winpct2!$A:$K,9,FALSE)),"")</f>
        <v>0.19400000000000001</v>
      </c>
      <c r="I554">
        <f>IFERROR(IFERROR(VLOOKUP($A554,Ra2W!$A:$K,6,FALSE),VLOOKUP($B554,Ra2W!$A:$K,6,FALSE)),"")</f>
        <v>2134</v>
      </c>
      <c r="J554">
        <f>IFERROR(VLOOKUP(D554,'Pop-Metro'!A:R,E554-2005,FALSE),VLOOKUP(D554,'Pop-Micro'!A:R,E554-2005,FALSE))</f>
        <v>4849741</v>
      </c>
      <c r="K554">
        <f>IFERROR(VLOOKUP(D554,'PCI-Metro'!A:R,E554-2005,FALSE),VLOOKUP(D554,'PCI-Micro'!A:R,E554-2005,FALSE))</f>
        <v>69736</v>
      </c>
      <c r="L554">
        <f>IFERROR(IF(IFERROR(VLOOKUP($A554,Attendance2!$B:$H,5,FALSE),VLOOKUP($B554,Attendance2!$B:$H,5,FALSE))="","",IFERROR(VLOOKUP($A554,Attendance2!$B:$H,5,FALSE),VLOOKUP($B554,Attendance2!$B:$H,5,FALSE))),"")</f>
        <v>2500</v>
      </c>
    </row>
    <row r="555" spans="1:12">
      <c r="A555" t="s">
        <v>1294</v>
      </c>
      <c r="B555" t="s">
        <v>1294</v>
      </c>
      <c r="C555">
        <v>105330</v>
      </c>
      <c r="D555">
        <v>22380</v>
      </c>
      <c r="E555">
        <f t="shared" si="9"/>
        <v>2016</v>
      </c>
      <c r="F555">
        <f>IFERROR(IF(VLOOKUP(C555,TotalRev2!A:C,3,FALSE)="","",VLOOKUP(C555,TotalRev2!A:C,3,FALSE)),"")</f>
        <v>901547</v>
      </c>
      <c r="G555">
        <f>IFERROR(IF(VLOOKUP(C555,TotalRev1!A:C,3,FALSE)="","",VLOOKUP(C555,TotalRev1!A:C,3,FALSE)),"")</f>
        <v>910007</v>
      </c>
      <c r="H555" s="26">
        <f>IFERROR(IFERROR(VLOOKUP($A555,Winpct2!$A:$K,9,FALSE),VLOOKUP($B555,Winpct2!$A:$K,9,FALSE)),"")</f>
        <v>0.84799999999999998</v>
      </c>
      <c r="I555">
        <f>IFERROR(IFERROR(VLOOKUP($A555,Ra2W!$A:$K,6,FALSE),VLOOKUP($B555,Ra2W!$A:$K,6,FALSE)),"")</f>
        <v>9190</v>
      </c>
      <c r="J555">
        <f>IFERROR(VLOOKUP(D555,'Pop-Metro'!A:R,E555-2005,FALSE),VLOOKUP(D555,'Pop-Micro'!A:R,E555-2005,FALSE))</f>
        <v>142091</v>
      </c>
      <c r="K555">
        <f>IFERROR(VLOOKUP(D555,'PCI-Metro'!A:R,E555-2005,FALSE),VLOOKUP(D555,'PCI-Micro'!A:R,E555-2005,FALSE))</f>
        <v>43197</v>
      </c>
      <c r="L555">
        <f>IFERROR(IF(IFERROR(VLOOKUP($A555,Attendance2!$B:$H,5,FALSE),VLOOKUP($B555,Attendance2!$B:$H,5,FALSE))="","",IFERROR(VLOOKUP($A555,Attendance2!$B:$H,5,FALSE),VLOOKUP($B555,Attendance2!$B:$H,5,FALSE))),"")</f>
        <v>1210</v>
      </c>
    </row>
    <row r="556" spans="1:12">
      <c r="A556" t="s">
        <v>176</v>
      </c>
      <c r="B556" t="s">
        <v>176</v>
      </c>
      <c r="C556">
        <v>127741</v>
      </c>
      <c r="D556">
        <v>24540</v>
      </c>
      <c r="E556">
        <f t="shared" si="9"/>
        <v>2016</v>
      </c>
      <c r="F556">
        <f>IFERROR(IF(VLOOKUP(C556,TotalRev2!A:C,3,FALSE)="","",VLOOKUP(C556,TotalRev2!A:C,3,FALSE)),"")</f>
        <v>912739</v>
      </c>
      <c r="G556">
        <f>IFERROR(IF(VLOOKUP(C556,TotalRev1!A:C,3,FALSE)="","",VLOOKUP(C556,TotalRev1!A:C,3,FALSE)),"")</f>
        <v>830190</v>
      </c>
      <c r="H556" s="26">
        <f>IFERROR(IFERROR(VLOOKUP($A556,Winpct2!$A:$K,9,FALSE),VLOOKUP($B556,Winpct2!$A:$K,9,FALSE)),"")</f>
        <v>0.46700000000000003</v>
      </c>
      <c r="I556">
        <f>IFERROR(IFERROR(VLOOKUP($A556,Ra2W!$A:$K,6,FALSE),VLOOKUP($B556,Ra2W!$A:$K,6,FALSE)),"")</f>
        <v>12288</v>
      </c>
      <c r="J556">
        <f>IFERROR(VLOOKUP(D556,'Pop-Metro'!A:R,E556-2005,FALSE),VLOOKUP(D556,'Pop-Micro'!A:R,E556-2005,FALSE))</f>
        <v>294841</v>
      </c>
      <c r="K556">
        <f>IFERROR(VLOOKUP(D556,'PCI-Metro'!A:R,E556-2005,FALSE),VLOOKUP(D556,'PCI-Micro'!A:R,E556-2005,FALSE))</f>
        <v>43882</v>
      </c>
      <c r="L556">
        <f>IFERROR(IF(IFERROR(VLOOKUP($A556,Attendance2!$B:$H,5,FALSE),VLOOKUP($B556,Attendance2!$B:$H,5,FALSE))="","",IFERROR(VLOOKUP($A556,Attendance2!$B:$H,5,FALSE),VLOOKUP($B556,Attendance2!$B:$H,5,FALSE))),"")</f>
        <v>2500</v>
      </c>
    </row>
    <row r="557" spans="1:12">
      <c r="A557" t="s">
        <v>178</v>
      </c>
      <c r="B557" t="s">
        <v>178</v>
      </c>
      <c r="C557">
        <v>157447</v>
      </c>
      <c r="D557">
        <v>17140</v>
      </c>
      <c r="E557">
        <f t="shared" si="9"/>
        <v>2016</v>
      </c>
      <c r="F557" t="str">
        <f>IFERROR(IF(VLOOKUP(C557,TotalRev2!A:C,3,FALSE)="","",VLOOKUP(C557,TotalRev2!A:C,3,FALSE)),"")</f>
        <v/>
      </c>
      <c r="G557" t="str">
        <f>IFERROR(IF(VLOOKUP(C557,TotalRev1!A:C,3,FALSE)="","",VLOOKUP(C557,TotalRev1!A:C,3,FALSE)),"")</f>
        <v/>
      </c>
      <c r="H557" s="26" t="str">
        <f>IFERROR(IFERROR(VLOOKUP($A557,Winpct2!$A:$K,9,FALSE),VLOOKUP($B557,Winpct2!$A:$K,9,FALSE)),"")</f>
        <v/>
      </c>
      <c r="I557">
        <f>IFERROR(IFERROR(VLOOKUP($A557,Ra2W!$A:$K,6,FALSE),VLOOKUP($B557,Ra2W!$A:$K,6,FALSE)),"")</f>
        <v>1787</v>
      </c>
      <c r="J557">
        <f>IFERROR(VLOOKUP(D557,'Pop-Metro'!A:R,E557-2005,FALSE),VLOOKUP(D557,'Pop-Micro'!A:R,E557-2005,FALSE))</f>
        <v>2208942</v>
      </c>
      <c r="K557">
        <f>IFERROR(VLOOKUP(D557,'PCI-Metro'!A:R,E557-2005,FALSE),VLOOKUP(D557,'PCI-Micro'!A:R,E557-2005,FALSE))</f>
        <v>49237</v>
      </c>
      <c r="L557">
        <f>IFERROR(IF(IFERROR(VLOOKUP($A557,Attendance2!$B:$H,5,FALSE),VLOOKUP($B557,Attendance2!$B:$H,5,FALSE))="","",IFERROR(VLOOKUP($A557,Attendance2!$B:$H,5,FALSE),VLOOKUP($B557,Attendance2!$B:$H,5,FALSE))),"")</f>
        <v>1685</v>
      </c>
    </row>
    <row r="558" spans="1:12">
      <c r="A558" t="s">
        <v>179</v>
      </c>
      <c r="B558" t="s">
        <v>179</v>
      </c>
      <c r="C558">
        <v>147767</v>
      </c>
      <c r="D558">
        <v>16980</v>
      </c>
      <c r="E558">
        <f t="shared" si="9"/>
        <v>2016</v>
      </c>
      <c r="F558" t="str">
        <f>IFERROR(IF(VLOOKUP(C558,TotalRev2!A:C,3,FALSE)="","",VLOOKUP(C558,TotalRev2!A:C,3,FALSE)),"")</f>
        <v/>
      </c>
      <c r="G558" t="str">
        <f>IFERROR(IF(VLOOKUP(C558,TotalRev1!A:C,3,FALSE)="","",VLOOKUP(C558,TotalRev1!A:C,3,FALSE)),"")</f>
        <v/>
      </c>
      <c r="H558" s="26">
        <f>IFERROR(IFERROR(VLOOKUP($A558,Winpct2!$A:$K,9,FALSE),VLOOKUP($B558,Winpct2!$A:$K,9,FALSE)),"")</f>
        <v>0.45200000000000001</v>
      </c>
      <c r="I558">
        <f>IFERROR(IFERROR(VLOOKUP($A558,Ra2W!$A:$K,6,FALSE),VLOOKUP($B558,Ra2W!$A:$K,6,FALSE)),"")</f>
        <v>9716</v>
      </c>
      <c r="J558">
        <f>IFERROR(VLOOKUP(D558,'Pop-Metro'!A:R,E558-2005,FALSE),VLOOKUP(D558,'Pop-Micro'!A:R,E558-2005,FALSE))</f>
        <v>9656432</v>
      </c>
      <c r="K558">
        <f>IFERROR(VLOOKUP(D558,'PCI-Metro'!A:R,E558-2005,FALSE),VLOOKUP(D558,'PCI-Micro'!A:R,E558-2005,FALSE))</f>
        <v>55027</v>
      </c>
      <c r="L558">
        <f>IFERROR(IF(IFERROR(VLOOKUP($A558,Attendance2!$B:$H,5,FALSE),VLOOKUP($B558,Attendance2!$B:$H,5,FALSE))="","",IFERROR(VLOOKUP($A558,Attendance2!$B:$H,5,FALSE),VLOOKUP($B558,Attendance2!$B:$H,5,FALSE))),"")</f>
        <v>8117</v>
      </c>
    </row>
    <row r="559" spans="1:12">
      <c r="A559" t="s">
        <v>180</v>
      </c>
      <c r="B559" t="s">
        <v>180</v>
      </c>
      <c r="C559">
        <v>160038</v>
      </c>
      <c r="D559">
        <v>35060</v>
      </c>
      <c r="E559">
        <f t="shared" si="9"/>
        <v>2016</v>
      </c>
      <c r="F559">
        <f>IFERROR(IF(VLOOKUP(C559,TotalRev2!A:C,3,FALSE)="","",VLOOKUP(C559,TotalRev2!A:C,3,FALSE)),"")</f>
        <v>415830</v>
      </c>
      <c r="G559">
        <f>IFERROR(IF(VLOOKUP(C559,TotalRev1!A:C,3,FALSE)="","",VLOOKUP(C559,TotalRev1!A:C,3,FALSE)),"")</f>
        <v>352653</v>
      </c>
      <c r="H559" s="26">
        <f>IFERROR(IFERROR(VLOOKUP($A559,Winpct2!$A:$K,9,FALSE),VLOOKUP($B559,Winpct2!$A:$K,9,FALSE)),"")</f>
        <v>0.24099999999999999</v>
      </c>
      <c r="I559">
        <f>IFERROR(IFERROR(VLOOKUP($A559,Ra2W!$A:$K,6,FALSE),VLOOKUP($B559,Ra2W!$A:$K,6,FALSE)),"")</f>
        <v>2902</v>
      </c>
      <c r="J559">
        <f>IFERROR(VLOOKUP(D559,'Pop-Metro'!A:R,E559-2005,FALSE),VLOOKUP(D559,'Pop-Micro'!A:R,E559-2005,FALSE))</f>
        <v>38829</v>
      </c>
      <c r="K559">
        <f>IFERROR(VLOOKUP(D559,'PCI-Metro'!A:R,E559-2005,FALSE),VLOOKUP(D559,'PCI-Micro'!A:R,E559-2005,FALSE))</f>
        <v>35755</v>
      </c>
      <c r="L559">
        <f>IFERROR(IF(IFERROR(VLOOKUP($A559,Attendance2!$B:$H,5,FALSE),VLOOKUP($B559,Attendance2!$B:$H,5,FALSE))="","",IFERROR(VLOOKUP($A559,Attendance2!$B:$H,5,FALSE),VLOOKUP($B559,Attendance2!$B:$H,5,FALSE))),"")</f>
        <v>3900</v>
      </c>
    </row>
    <row r="560" spans="1:12">
      <c r="A560" t="s">
        <v>181</v>
      </c>
      <c r="B560" t="s">
        <v>181</v>
      </c>
      <c r="C560">
        <v>152080</v>
      </c>
      <c r="D560">
        <v>43780</v>
      </c>
      <c r="E560">
        <f t="shared" si="9"/>
        <v>2016</v>
      </c>
      <c r="F560" t="str">
        <f>IFERROR(IF(VLOOKUP(C560,TotalRev2!A:C,3,FALSE)="","",VLOOKUP(C560,TotalRev2!A:C,3,FALSE)),"")</f>
        <v/>
      </c>
      <c r="G560" t="str">
        <f>IFERROR(IF(VLOOKUP(C560,TotalRev1!A:C,3,FALSE)="","",VLOOKUP(C560,TotalRev1!A:C,3,FALSE)),"")</f>
        <v/>
      </c>
      <c r="H560" s="26">
        <f>IFERROR(IFERROR(VLOOKUP($A560,Winpct2!$A:$K,9,FALSE),VLOOKUP($B560,Winpct2!$A:$K,9,FALSE)),"")</f>
        <v>0.219</v>
      </c>
      <c r="I560">
        <f>IFERROR(IFERROR(VLOOKUP($A560,Ra2W!$A:$K,6,FALSE),VLOOKUP($B560,Ra2W!$A:$K,6,FALSE)),"")</f>
        <v>14002</v>
      </c>
      <c r="J560">
        <f>IFERROR(VLOOKUP(D560,'Pop-Metro'!A:R,E560-2005,FALSE),VLOOKUP(D560,'Pop-Micro'!A:R,E560-2005,FALSE))</f>
        <v>322111</v>
      </c>
      <c r="K560">
        <f>IFERROR(VLOOKUP(D560,'PCI-Metro'!A:R,E560-2005,FALSE),VLOOKUP(D560,'PCI-Micro'!A:R,E560-2005,FALSE))</f>
        <v>42712</v>
      </c>
      <c r="L560">
        <f>IFERROR(IF(IFERROR(VLOOKUP($A560,Attendance2!$B:$H,5,FALSE),VLOOKUP($B560,Attendance2!$B:$H,5,FALSE))="","",IFERROR(VLOOKUP($A560,Attendance2!$B:$H,5,FALSE),VLOOKUP($B560,Attendance2!$B:$H,5,FALSE))),"")</f>
        <v>9149</v>
      </c>
    </row>
    <row r="561" spans="1:12">
      <c r="A561" t="s">
        <v>182</v>
      </c>
      <c r="B561" t="s">
        <v>182</v>
      </c>
      <c r="C561">
        <v>171571</v>
      </c>
      <c r="D561">
        <v>19820</v>
      </c>
      <c r="E561">
        <f t="shared" si="9"/>
        <v>2016</v>
      </c>
      <c r="F561">
        <f>IFERROR(IF(VLOOKUP(C561,TotalRev2!A:C,3,FALSE)="","",VLOOKUP(C561,TotalRev2!A:C,3,FALSE)),"")</f>
        <v>550557</v>
      </c>
      <c r="G561">
        <f>IFERROR(IF(VLOOKUP(C561,TotalRev1!A:C,3,FALSE)="","",VLOOKUP(C561,TotalRev1!A:C,3,FALSE)),"")</f>
        <v>467504</v>
      </c>
      <c r="H561" s="26">
        <f>IFERROR(IFERROR(VLOOKUP($A561,Winpct2!$A:$K,9,FALSE),VLOOKUP($B561,Winpct2!$A:$K,9,FALSE)),"")</f>
        <v>0.58099999999999996</v>
      </c>
      <c r="I561">
        <f>IFERROR(IFERROR(VLOOKUP($A561,Ra2W!$A:$K,6,FALSE),VLOOKUP($B561,Ra2W!$A:$K,6,FALSE)),"")</f>
        <v>3796</v>
      </c>
      <c r="J561">
        <f>IFERROR(VLOOKUP(D561,'Pop-Metro'!A:R,E561-2005,FALSE),VLOOKUP(D561,'Pop-Micro'!A:R,E561-2005,FALSE))</f>
        <v>4367436</v>
      </c>
      <c r="K561">
        <f>IFERROR(VLOOKUP(D561,'PCI-Metro'!A:R,E561-2005,FALSE),VLOOKUP(D561,'PCI-Micro'!A:R,E561-2005,FALSE))</f>
        <v>48092</v>
      </c>
      <c r="L561">
        <f>IFERROR(IF(IFERROR(VLOOKUP($A561,Attendance2!$B:$H,5,FALSE),VLOOKUP($B561,Attendance2!$B:$H,5,FALSE))="","",IFERROR(VLOOKUP($A561,Attendance2!$B:$H,5,FALSE),VLOOKUP($B561,Attendance2!$B:$H,5,FALSE))),"")</f>
        <v>3000</v>
      </c>
    </row>
    <row r="562" spans="1:12">
      <c r="A562" t="s">
        <v>183</v>
      </c>
      <c r="B562" t="s">
        <v>183</v>
      </c>
      <c r="C562">
        <v>204857</v>
      </c>
      <c r="D562">
        <v>11900</v>
      </c>
      <c r="E562">
        <f t="shared" si="9"/>
        <v>2016</v>
      </c>
      <c r="F562">
        <f>IFERROR(IF(VLOOKUP(C562,TotalRev2!A:C,3,FALSE)="","",VLOOKUP(C562,TotalRev2!A:C,3,FALSE)),"")</f>
        <v>1142209</v>
      </c>
      <c r="G562">
        <f>IFERROR(IF(VLOOKUP(C562,TotalRev1!A:C,3,FALSE)="","",VLOOKUP(C562,TotalRev1!A:C,3,FALSE)),"")</f>
        <v>1055112</v>
      </c>
      <c r="H562" s="26">
        <f>IFERROR(IFERROR(VLOOKUP($A562,Winpct2!$A:$K,9,FALSE),VLOOKUP($B562,Winpct2!$A:$K,9,FALSE)),"")</f>
        <v>0.75800000000000001</v>
      </c>
      <c r="I562">
        <f>IFERROR(IFERROR(VLOOKUP($A562,Ra2W!$A:$K,6,FALSE),VLOOKUP($B562,Ra2W!$A:$K,6,FALSE)),"")</f>
        <v>30906</v>
      </c>
      <c r="J562">
        <f>IFERROR(VLOOKUP(D562,'Pop-Metro'!A:R,E562-2005,FALSE),VLOOKUP(D562,'Pop-Micro'!A:R,E562-2005,FALSE))</f>
        <v>64461</v>
      </c>
      <c r="K562">
        <f>IFERROR(VLOOKUP(D562,'PCI-Metro'!A:R,E562-2005,FALSE),VLOOKUP(D562,'PCI-Micro'!A:R,E562-2005,FALSE))</f>
        <v>32128</v>
      </c>
      <c r="L562">
        <f>IFERROR(IF(IFERROR(VLOOKUP($A562,Attendance2!$B:$H,5,FALSE),VLOOKUP($B562,Attendance2!$B:$H,5,FALSE))="","",IFERROR(VLOOKUP($A562,Attendance2!$B:$H,5,FALSE),VLOOKUP($B562,Attendance2!$B:$H,5,FALSE))),"")</f>
        <v>13080</v>
      </c>
    </row>
    <row r="563" spans="1:12">
      <c r="A563" t="s">
        <v>184</v>
      </c>
      <c r="B563" t="s">
        <v>184</v>
      </c>
      <c r="C563">
        <v>204796</v>
      </c>
      <c r="D563">
        <v>18140</v>
      </c>
      <c r="E563">
        <f t="shared" si="9"/>
        <v>2016</v>
      </c>
      <c r="F563">
        <f>IFERROR(IF(VLOOKUP(C563,TotalRev2!A:C,3,FALSE)="","",VLOOKUP(C563,TotalRev2!A:C,3,FALSE)),"")</f>
        <v>309593</v>
      </c>
      <c r="G563">
        <f>IFERROR(IF(VLOOKUP(C563,TotalRev1!A:C,3,FALSE)="","",VLOOKUP(C563,TotalRev1!A:C,3,FALSE)),"")</f>
        <v>283919</v>
      </c>
      <c r="H563" s="26">
        <f>IFERROR(IFERROR(VLOOKUP($A563,Winpct2!$A:$K,9,FALSE),VLOOKUP($B563,Winpct2!$A:$K,9,FALSE)),"")</f>
        <v>0.71399999999999997</v>
      </c>
      <c r="I563">
        <f>IFERROR(IFERROR(VLOOKUP($A563,Ra2W!$A:$K,6,FALSE),VLOOKUP($B563,Ra2W!$A:$K,6,FALSE)),"")</f>
        <v>27263</v>
      </c>
      <c r="J563">
        <f>IFERROR(VLOOKUP(D563,'Pop-Metro'!A:R,E563-2005,FALSE),VLOOKUP(D563,'Pop-Micro'!A:R,E563-2005,FALSE))</f>
        <v>2055047</v>
      </c>
      <c r="K563">
        <f>IFERROR(VLOOKUP(D563,'PCI-Metro'!A:R,E563-2005,FALSE),VLOOKUP(D563,'PCI-Micro'!A:R,E563-2005,FALSE))</f>
        <v>47740</v>
      </c>
      <c r="L563">
        <f>IFERROR(IF(IFERROR(VLOOKUP($A563,Attendance2!$B:$H,5,FALSE),VLOOKUP($B563,Attendance2!$B:$H,5,FALSE))="","",IFERROR(VLOOKUP($A563,Attendance2!$B:$H,5,FALSE),VLOOKUP($B563,Attendance2!$B:$H,5,FALSE))),"")</f>
        <v>13276</v>
      </c>
    </row>
    <row r="564" spans="1:12">
      <c r="A564" t="s">
        <v>185</v>
      </c>
      <c r="B564" t="s">
        <v>185</v>
      </c>
      <c r="C564">
        <v>207500</v>
      </c>
      <c r="D564">
        <v>36420</v>
      </c>
      <c r="E564">
        <f t="shared" si="9"/>
        <v>2016</v>
      </c>
      <c r="F564">
        <f>IFERROR(IF(VLOOKUP(C564,TotalRev2!A:C,3,FALSE)="","",VLOOKUP(C564,TotalRev2!A:C,3,FALSE)),"")</f>
        <v>177964</v>
      </c>
      <c r="G564">
        <f>IFERROR(IF(VLOOKUP(C564,TotalRev1!A:C,3,FALSE)="","",VLOOKUP(C564,TotalRev1!A:C,3,FALSE)),"")</f>
        <v>110631</v>
      </c>
      <c r="H564" s="26">
        <f>IFERROR(IFERROR(VLOOKUP($A564,Winpct2!$A:$K,9,FALSE),VLOOKUP($B564,Winpct2!$A:$K,9,FALSE)),"")</f>
        <v>0.42899999999999999</v>
      </c>
      <c r="I564">
        <f>IFERROR(IFERROR(VLOOKUP($A564,Ra2W!$A:$K,6,FALSE),VLOOKUP($B564,Ra2W!$A:$K,6,FALSE)),"")</f>
        <v>11034</v>
      </c>
      <c r="J564">
        <f>IFERROR(VLOOKUP(D564,'Pop-Metro'!A:R,E564-2005,FALSE),VLOOKUP(D564,'Pop-Micro'!A:R,E564-2005,FALSE))</f>
        <v>1375508</v>
      </c>
      <c r="K564">
        <f>IFERROR(VLOOKUP(D564,'PCI-Metro'!A:R,E564-2005,FALSE),VLOOKUP(D564,'PCI-Micro'!A:R,E564-2005,FALSE))</f>
        <v>44787</v>
      </c>
      <c r="L564">
        <f>IFERROR(IF(IFERROR(VLOOKUP($A564,Attendance2!$B:$H,5,FALSE),VLOOKUP($B564,Attendance2!$B:$H,5,FALSE))="","",IFERROR(VLOOKUP($A564,Attendance2!$B:$H,5,FALSE),VLOOKUP($B564,Attendance2!$B:$H,5,FALSE))),"")</f>
        <v>2000</v>
      </c>
    </row>
    <row r="565" spans="1:12">
      <c r="A565" t="s">
        <v>186</v>
      </c>
      <c r="B565" t="s">
        <v>186</v>
      </c>
      <c r="C565">
        <v>207388</v>
      </c>
      <c r="D565">
        <v>44660</v>
      </c>
      <c r="E565">
        <f t="shared" si="9"/>
        <v>2016</v>
      </c>
      <c r="F565" t="str">
        <f>IFERROR(IF(VLOOKUP(C565,TotalRev2!A:C,3,FALSE)="","",VLOOKUP(C565,TotalRev2!A:C,3,FALSE)),"")</f>
        <v/>
      </c>
      <c r="G565" t="str">
        <f>IFERROR(IF(VLOOKUP(C565,TotalRev1!A:C,3,FALSE)="","",VLOOKUP(C565,TotalRev1!A:C,3,FALSE)),"")</f>
        <v/>
      </c>
      <c r="H565" s="26" t="str">
        <f>IFERROR(IFERROR(VLOOKUP($A565,Winpct2!$A:$K,9,FALSE),VLOOKUP($B565,Winpct2!$A:$K,9,FALSE)),"")</f>
        <v/>
      </c>
      <c r="I565" t="str">
        <f>IFERROR(IFERROR(VLOOKUP($A565,Ra2W!$A:$K,6,FALSE),VLOOKUP($B565,Ra2W!$A:$K,6,FALSE)),"")</f>
        <v/>
      </c>
      <c r="J565">
        <f>IFERROR(VLOOKUP(D565,'Pop-Metro'!A:R,E565-2005,FALSE),VLOOKUP(D565,'Pop-Micro'!A:R,E565-2005,FALSE))</f>
        <v>81842</v>
      </c>
      <c r="K565">
        <f>IFERROR(VLOOKUP(D565,'PCI-Metro'!A:R,E565-2005,FALSE),VLOOKUP(D565,'PCI-Micro'!A:R,E565-2005,FALSE))</f>
        <v>34307</v>
      </c>
      <c r="L565" t="str">
        <f>IFERROR(IF(IFERROR(VLOOKUP($A565,Attendance2!$B:$H,5,FALSE),VLOOKUP($B565,Attendance2!$B:$H,5,FALSE))="","",IFERROR(VLOOKUP($A565,Attendance2!$B:$H,5,FALSE),VLOOKUP($B565,Attendance2!$B:$H,5,FALSE))),"")</f>
        <v/>
      </c>
    </row>
    <row r="566" spans="1:12">
      <c r="A566" t="s">
        <v>1295</v>
      </c>
      <c r="B566" t="s">
        <v>1295</v>
      </c>
      <c r="C566">
        <v>232982</v>
      </c>
      <c r="D566">
        <v>47260</v>
      </c>
      <c r="E566">
        <f t="shared" si="9"/>
        <v>2016</v>
      </c>
      <c r="F566" t="str">
        <f>IFERROR(IF(VLOOKUP(C566,TotalRev2!A:C,3,FALSE)="","",VLOOKUP(C566,TotalRev2!A:C,3,FALSE)),"")</f>
        <v/>
      </c>
      <c r="G566" t="str">
        <f>IFERROR(IF(VLOOKUP(C566,TotalRev1!A:C,3,FALSE)="","",VLOOKUP(C566,TotalRev1!A:C,3,FALSE)),"")</f>
        <v/>
      </c>
      <c r="H566" s="26" t="str">
        <f>IFERROR(IFERROR(VLOOKUP($A566,Winpct2!$A:$K,9,FALSE),VLOOKUP($B566,Winpct2!$A:$K,9,FALSE)),"")</f>
        <v/>
      </c>
      <c r="I566" t="str">
        <f>IFERROR(IFERROR(VLOOKUP($A566,Ra2W!$A:$K,6,FALSE),VLOOKUP($B566,Ra2W!$A:$K,6,FALSE)),"")</f>
        <v/>
      </c>
      <c r="J566">
        <f>IFERROR(VLOOKUP(D566,'Pop-Metro'!A:R,E566-2005,FALSE),VLOOKUP(D566,'Pop-Micro'!A:R,E566-2005,FALSE))</f>
        <v>1773651</v>
      </c>
      <c r="K566">
        <f>IFERROR(VLOOKUP(D566,'PCI-Metro'!A:R,E566-2005,FALSE),VLOOKUP(D566,'PCI-Micro'!A:R,E566-2005,FALSE))</f>
        <v>46137</v>
      </c>
      <c r="L566" t="str">
        <f>IFERROR(IF(IFERROR(VLOOKUP($A566,Attendance2!$B:$H,5,FALSE),VLOOKUP($B566,Attendance2!$B:$H,5,FALSE))="","",IFERROR(VLOOKUP($A566,Attendance2!$B:$H,5,FALSE),VLOOKUP($B566,Attendance2!$B:$H,5,FALSE))),"")</f>
        <v/>
      </c>
    </row>
    <row r="567" spans="1:12">
      <c r="A567" t="s">
        <v>187</v>
      </c>
      <c r="B567" t="s">
        <v>187</v>
      </c>
      <c r="C567">
        <v>176017</v>
      </c>
      <c r="D567">
        <v>37060</v>
      </c>
      <c r="E567">
        <f t="shared" si="9"/>
        <v>2016</v>
      </c>
      <c r="F567">
        <f>IFERROR(IF(VLOOKUP(C567,TotalRev2!A:C,3,FALSE)="","",VLOOKUP(C567,TotalRev2!A:C,3,FALSE)),"")</f>
        <v>86959</v>
      </c>
      <c r="G567">
        <f>IFERROR(IF(VLOOKUP(C567,TotalRev1!A:C,3,FALSE)="","",VLOOKUP(C567,TotalRev1!A:C,3,FALSE)),"")</f>
        <v>58858</v>
      </c>
      <c r="H567" s="26">
        <f>IFERROR(IFERROR(VLOOKUP($A567,Winpct2!$A:$K,9,FALSE),VLOOKUP($B567,Winpct2!$A:$K,9,FALSE)),"")</f>
        <v>0.66700000000000004</v>
      </c>
      <c r="I567">
        <f>IFERROR(IFERROR(VLOOKUP($A567,Ra2W!$A:$K,6,FALSE),VLOOKUP($B567,Ra2W!$A:$K,6,FALSE)),"")</f>
        <v>9588</v>
      </c>
      <c r="J567">
        <f>IFERROR(VLOOKUP(D567,'Pop-Metro'!A:R,E567-2005,FALSE),VLOOKUP(D567,'Pop-Micro'!A:R,E567-2005,FALSE))</f>
        <v>54507</v>
      </c>
      <c r="K567">
        <f>IFERROR(VLOOKUP(D567,'PCI-Metro'!A:R,E567-2005,FALSE),VLOOKUP(D567,'PCI-Micro'!A:R,E567-2005,FALSE))</f>
        <v>38384</v>
      </c>
      <c r="L567">
        <f>IFERROR(IF(IFERROR(VLOOKUP($A567,Attendance2!$B:$H,5,FALSE),VLOOKUP($B567,Attendance2!$B:$H,5,FALSE))="","",IFERROR(VLOOKUP($A567,Attendance2!$B:$H,5,FALSE),VLOOKUP($B567,Attendance2!$B:$H,5,FALSE))),"")</f>
        <v>1000</v>
      </c>
    </row>
    <row r="568" spans="1:12">
      <c r="A568" t="s">
        <v>188</v>
      </c>
      <c r="B568" t="s">
        <v>188</v>
      </c>
      <c r="C568">
        <v>181394</v>
      </c>
      <c r="D568">
        <v>36540</v>
      </c>
      <c r="E568">
        <f t="shared" si="9"/>
        <v>2016</v>
      </c>
      <c r="F568">
        <f>IFERROR(IF(VLOOKUP(C568,TotalRev2!A:C,3,FALSE)="","",VLOOKUP(C568,TotalRev2!A:C,3,FALSE)),"")</f>
        <v>740786</v>
      </c>
      <c r="G568">
        <f>IFERROR(IF(VLOOKUP(C568,TotalRev1!A:C,3,FALSE)="","",VLOOKUP(C568,TotalRev1!A:C,3,FALSE)),"")</f>
        <v>734877</v>
      </c>
      <c r="H568" s="26">
        <f>IFERROR(IFERROR(VLOOKUP($A568,Winpct2!$A:$K,9,FALSE),VLOOKUP($B568,Winpct2!$A:$K,9,FALSE)),"")</f>
        <v>0.59399999999999997</v>
      </c>
      <c r="I568">
        <f>IFERROR(IFERROR(VLOOKUP($A568,Ra2W!$A:$K,6,FALSE),VLOOKUP($B568,Ra2W!$A:$K,6,FALSE)),"")</f>
        <v>4579</v>
      </c>
      <c r="J568">
        <f>IFERROR(VLOOKUP(D568,'Pop-Metro'!A:R,E568-2005,FALSE),VLOOKUP(D568,'Pop-Micro'!A:R,E568-2005,FALSE))</f>
        <v>932571</v>
      </c>
      <c r="K568">
        <f>IFERROR(VLOOKUP(D568,'PCI-Metro'!A:R,E568-2005,FALSE),VLOOKUP(D568,'PCI-Micro'!A:R,E568-2005,FALSE))</f>
        <v>52237</v>
      </c>
      <c r="L568">
        <f>IFERROR(IF(IFERROR(VLOOKUP($A568,Attendance2!$B:$H,5,FALSE),VLOOKUP($B568,Attendance2!$B:$H,5,FALSE))="","",IFERROR(VLOOKUP($A568,Attendance2!$B:$H,5,FALSE),VLOOKUP($B568,Attendance2!$B:$H,5,FALSE))),"")</f>
        <v>2500</v>
      </c>
    </row>
    <row r="569" spans="1:12">
      <c r="A569" t="s">
        <v>1296</v>
      </c>
      <c r="B569" t="s">
        <v>1296</v>
      </c>
      <c r="C569">
        <v>207582</v>
      </c>
      <c r="D569">
        <v>46140</v>
      </c>
      <c r="E569">
        <f t="shared" si="9"/>
        <v>2016</v>
      </c>
      <c r="F569" t="str">
        <f>IFERROR(IF(VLOOKUP(C569,TotalRev2!A:C,3,FALSE)="","",VLOOKUP(C569,TotalRev2!A:C,3,FALSE)),"")</f>
        <v/>
      </c>
      <c r="G569" t="str">
        <f>IFERROR(IF(VLOOKUP(C569,TotalRev1!A:C,3,FALSE)="","",VLOOKUP(C569,TotalRev1!A:C,3,FALSE)),"")</f>
        <v/>
      </c>
      <c r="H569" s="26">
        <f>IFERROR(IFERROR(VLOOKUP($A569,Winpct2!$A:$K,9,FALSE),VLOOKUP($B569,Winpct2!$A:$K,9,FALSE)),"")</f>
        <v>0.46700000000000003</v>
      </c>
      <c r="I569">
        <f>IFERROR(IFERROR(VLOOKUP($A569,Ra2W!$A:$K,6,FALSE),VLOOKUP($B569,Ra2W!$A:$K,6,FALSE)),"")</f>
        <v>6300</v>
      </c>
      <c r="J569">
        <f>IFERROR(VLOOKUP(D569,'Pop-Metro'!A:R,E569-2005,FALSE),VLOOKUP(D569,'Pop-Micro'!A:R,E569-2005,FALSE))</f>
        <v>995361</v>
      </c>
      <c r="K569">
        <f>IFERROR(VLOOKUP(D569,'PCI-Metro'!A:R,E569-2005,FALSE),VLOOKUP(D569,'PCI-Micro'!A:R,E569-2005,FALSE))</f>
        <v>47087</v>
      </c>
      <c r="L569">
        <f>IFERROR(IF(IFERROR(VLOOKUP($A569,Attendance2!$B:$H,5,FALSE),VLOOKUP($B569,Attendance2!$B:$H,5,FALSE))="","",IFERROR(VLOOKUP($A569,Attendance2!$B:$H,5,FALSE),VLOOKUP($B569,Attendance2!$B:$H,5,FALSE))),"")</f>
        <v>500</v>
      </c>
    </row>
    <row r="570" spans="1:12">
      <c r="A570" t="s">
        <v>189</v>
      </c>
      <c r="B570" t="s">
        <v>189</v>
      </c>
      <c r="C570">
        <v>209551</v>
      </c>
      <c r="D570">
        <v>21660</v>
      </c>
      <c r="E570">
        <f t="shared" si="9"/>
        <v>2016</v>
      </c>
      <c r="F570">
        <f>IFERROR(IF(VLOOKUP(C570,TotalRev2!A:C,3,FALSE)="","",VLOOKUP(C570,TotalRev2!A:C,3,FALSE)),"")</f>
        <v>467269</v>
      </c>
      <c r="G570">
        <f>IFERROR(IF(VLOOKUP(C570,TotalRev1!A:C,3,FALSE)="","",VLOOKUP(C570,TotalRev1!A:C,3,FALSE)),"")</f>
        <v>436841</v>
      </c>
      <c r="H570" s="26">
        <f>IFERROR(IFERROR(VLOOKUP($A570,Winpct2!$A:$K,9,FALSE),VLOOKUP($B570,Winpct2!$A:$K,9,FALSE)),"")</f>
        <v>0.53300000000000003</v>
      </c>
      <c r="I570">
        <f>IFERROR(IFERROR(VLOOKUP($A570,Ra2W!$A:$K,6,FALSE),VLOOKUP($B570,Ra2W!$A:$K,6,FALSE)),"")</f>
        <v>15874</v>
      </c>
      <c r="J570">
        <f>IFERROR(VLOOKUP(D570,'Pop-Metro'!A:R,E570-2005,FALSE),VLOOKUP(D570,'Pop-Micro'!A:R,E570-2005,FALSE))</f>
        <v>369149</v>
      </c>
      <c r="K570">
        <f>IFERROR(VLOOKUP(D570,'PCI-Metro'!A:R,E570-2005,FALSE),VLOOKUP(D570,'PCI-Micro'!A:R,E570-2005,FALSE))</f>
        <v>41101</v>
      </c>
      <c r="L570">
        <f>IFERROR(IF(IFERROR(VLOOKUP($A570,Attendance2!$B:$H,5,FALSE),VLOOKUP($B570,Attendance2!$B:$H,5,FALSE))="","",IFERROR(VLOOKUP($A570,Attendance2!$B:$H,5,FALSE),VLOOKUP($B570,Attendance2!$B:$H,5,FALSE))),"")</f>
        <v>12541</v>
      </c>
    </row>
    <row r="571" spans="1:12">
      <c r="A571" t="s">
        <v>190</v>
      </c>
      <c r="B571" t="s">
        <v>190</v>
      </c>
      <c r="C571">
        <v>209542</v>
      </c>
      <c r="D571">
        <v>18700</v>
      </c>
      <c r="E571">
        <f t="shared" si="9"/>
        <v>2016</v>
      </c>
      <c r="F571">
        <f>IFERROR(IF(VLOOKUP(C571,TotalRev2!A:C,3,FALSE)="","",VLOOKUP(C571,TotalRev2!A:C,3,FALSE)),"")</f>
        <v>317767</v>
      </c>
      <c r="G571">
        <f>IFERROR(IF(VLOOKUP(C571,TotalRev1!A:C,3,FALSE)="","",VLOOKUP(C571,TotalRev1!A:C,3,FALSE)),"")</f>
        <v>334106</v>
      </c>
      <c r="H571" s="26">
        <f>IFERROR(IFERROR(VLOOKUP($A571,Winpct2!$A:$K,9,FALSE),VLOOKUP($B571,Winpct2!$A:$K,9,FALSE)),"")</f>
        <v>0.2</v>
      </c>
      <c r="I571">
        <f>IFERROR(IFERROR(VLOOKUP($A571,Ra2W!$A:$K,6,FALSE),VLOOKUP($B571,Ra2W!$A:$K,6,FALSE)),"")</f>
        <v>11984</v>
      </c>
      <c r="J571">
        <f>IFERROR(VLOOKUP(D571,'Pop-Metro'!A:R,E571-2005,FALSE),VLOOKUP(D571,'Pop-Micro'!A:R,E571-2005,FALSE))</f>
        <v>91178</v>
      </c>
      <c r="K571">
        <f>IFERROR(VLOOKUP(D571,'PCI-Metro'!A:R,E571-2005,FALSE),VLOOKUP(D571,'PCI-Micro'!A:R,E571-2005,FALSE))</f>
        <v>41509</v>
      </c>
      <c r="L571">
        <f>IFERROR(IF(IFERROR(VLOOKUP($A571,Attendance2!$B:$H,5,FALSE),VLOOKUP($B571,Attendance2!$B:$H,5,FALSE))="","",IFERROR(VLOOKUP($A571,Attendance2!$B:$H,5,FALSE),VLOOKUP($B571,Attendance2!$B:$H,5,FALSE))),"")</f>
        <v>9604</v>
      </c>
    </row>
    <row r="572" spans="1:12">
      <c r="A572" t="s">
        <v>191</v>
      </c>
      <c r="B572" t="s">
        <v>191</v>
      </c>
      <c r="C572">
        <v>120883</v>
      </c>
      <c r="D572">
        <v>44700</v>
      </c>
      <c r="E572">
        <f t="shared" si="9"/>
        <v>2016</v>
      </c>
      <c r="F572" t="str">
        <f>IFERROR(IF(VLOOKUP(C572,TotalRev2!A:C,3,FALSE)="","",VLOOKUP(C572,TotalRev2!A:C,3,FALSE)),"")</f>
        <v/>
      </c>
      <c r="G572" t="str">
        <f>IFERROR(IF(VLOOKUP(C572,TotalRev1!A:C,3,FALSE)="","",VLOOKUP(C572,TotalRev1!A:C,3,FALSE)),"")</f>
        <v/>
      </c>
      <c r="H572" s="26">
        <f>IFERROR(IFERROR(VLOOKUP($A572,Winpct2!$A:$K,9,FALSE),VLOOKUP($B572,Winpct2!$A:$K,9,FALSE)),"")</f>
        <v>0.56699999999999995</v>
      </c>
      <c r="I572">
        <f>IFERROR(IFERROR(VLOOKUP($A572,Ra2W!$A:$K,6,FALSE),VLOOKUP($B572,Ra2W!$A:$K,6,FALSE)),"")</f>
        <v>7428</v>
      </c>
      <c r="J572">
        <f>IFERROR(VLOOKUP(D572,'Pop-Metro'!A:R,E572-2005,FALSE),VLOOKUP(D572,'Pop-Micro'!A:R,E572-2005,FALSE))</f>
        <v>739814</v>
      </c>
      <c r="K572">
        <f>IFERROR(VLOOKUP(D572,'PCI-Metro'!A:R,E572-2005,FALSE),VLOOKUP(D572,'PCI-Micro'!A:R,E572-2005,FALSE))</f>
        <v>39777</v>
      </c>
      <c r="L572">
        <f>IFERROR(IF(IFERROR(VLOOKUP($A572,Attendance2!$B:$H,5,FALSE),VLOOKUP($B572,Attendance2!$B:$H,5,FALSE))="","",IFERROR(VLOOKUP($A572,Attendance2!$B:$H,5,FALSE),VLOOKUP($B572,Attendance2!$B:$H,5,FALSE))),"")</f>
        <v>6150</v>
      </c>
    </row>
    <row r="573" spans="1:12">
      <c r="A573" t="s">
        <v>192</v>
      </c>
      <c r="B573" t="s">
        <v>192</v>
      </c>
      <c r="C573">
        <v>215062</v>
      </c>
      <c r="D573">
        <v>37980</v>
      </c>
      <c r="E573">
        <f t="shared" si="9"/>
        <v>2016</v>
      </c>
      <c r="F573" t="str">
        <f>IFERROR(IF(VLOOKUP(C573,TotalRev2!A:C,3,FALSE)="","",VLOOKUP(C573,TotalRev2!A:C,3,FALSE)),"")</f>
        <v/>
      </c>
      <c r="G573" t="str">
        <f>IFERROR(IF(VLOOKUP(C573,TotalRev1!A:C,3,FALSE)="","",VLOOKUP(C573,TotalRev1!A:C,3,FALSE)),"")</f>
        <v/>
      </c>
      <c r="H573" s="26">
        <f>IFERROR(IFERROR(VLOOKUP($A573,Winpct2!$A:$K,9,FALSE),VLOOKUP($B573,Winpct2!$A:$K,9,FALSE)),"")</f>
        <v>0.5</v>
      </c>
      <c r="I573">
        <f>IFERROR(IFERROR(VLOOKUP($A573,Ra2W!$A:$K,6,FALSE),VLOOKUP($B573,Ra2W!$A:$K,6,FALSE)),"")</f>
        <v>2737</v>
      </c>
      <c r="J573">
        <f>IFERROR(VLOOKUP(D573,'Pop-Metro'!A:R,E573-2005,FALSE),VLOOKUP(D573,'Pop-Micro'!A:R,E573-2005,FALSE))</f>
        <v>6153468</v>
      </c>
      <c r="K573">
        <f>IFERROR(VLOOKUP(D573,'PCI-Metro'!A:R,E573-2005,FALSE),VLOOKUP(D573,'PCI-Micro'!A:R,E573-2005,FALSE))</f>
        <v>58589</v>
      </c>
      <c r="L573">
        <f>IFERROR(IF(IFERROR(VLOOKUP($A573,Attendance2!$B:$H,5,FALSE),VLOOKUP($B573,Attendance2!$B:$H,5,FALSE))="","",IFERROR(VLOOKUP($A573,Attendance2!$B:$H,5,FALSE),VLOOKUP($B573,Attendance2!$B:$H,5,FALSE))),"")</f>
        <v>8700</v>
      </c>
    </row>
    <row r="574" spans="1:12">
      <c r="A574" t="s">
        <v>193</v>
      </c>
      <c r="B574" t="s">
        <v>193</v>
      </c>
      <c r="C574">
        <v>214777</v>
      </c>
      <c r="D574">
        <v>44300</v>
      </c>
      <c r="E574">
        <f t="shared" si="9"/>
        <v>2016</v>
      </c>
      <c r="F574">
        <f>IFERROR(IF(VLOOKUP(C574,TotalRev2!A:C,3,FALSE)="","",VLOOKUP(C574,TotalRev2!A:C,3,FALSE)),"")</f>
        <v>1088627</v>
      </c>
      <c r="G574">
        <f>IFERROR(IF(VLOOKUP(C574,TotalRev1!A:C,3,FALSE)="","",VLOOKUP(C574,TotalRev1!A:C,3,FALSE)),"")</f>
        <v>884394</v>
      </c>
      <c r="H574" s="26">
        <f>IFERROR(IFERROR(VLOOKUP($A574,Winpct2!$A:$K,9,FALSE),VLOOKUP($B574,Winpct2!$A:$K,9,FALSE)),"")</f>
        <v>0.82399999999999995</v>
      </c>
      <c r="I574">
        <f>IFERROR(IFERROR(VLOOKUP($A574,Ra2W!$A:$K,6,FALSE),VLOOKUP($B574,Ra2W!$A:$K,6,FALSE)),"")</f>
        <v>66672</v>
      </c>
      <c r="J574">
        <f>IFERROR(VLOOKUP(D574,'Pop-Metro'!A:R,E574-2005,FALSE),VLOOKUP(D574,'Pop-Micro'!A:R,E574-2005,FALSE))</f>
        <v>160149</v>
      </c>
      <c r="K574">
        <f>IFERROR(VLOOKUP(D574,'PCI-Metro'!A:R,E574-2005,FALSE),VLOOKUP(D574,'PCI-Micro'!A:R,E574-2005,FALSE))</f>
        <v>42939</v>
      </c>
      <c r="L574">
        <f>IFERROR(IF(IFERROR(VLOOKUP($A574,Attendance2!$B:$H,5,FALSE),VLOOKUP($B574,Attendance2!$B:$H,5,FALSE))="","",IFERROR(VLOOKUP($A574,Attendance2!$B:$H,5,FALSE),VLOOKUP($B574,Attendance2!$B:$H,5,FALSE))),"")</f>
        <v>5812</v>
      </c>
    </row>
    <row r="575" spans="1:12">
      <c r="A575" t="s">
        <v>1297</v>
      </c>
      <c r="B575" t="s">
        <v>1297</v>
      </c>
      <c r="C575">
        <v>121150</v>
      </c>
      <c r="D575">
        <v>31080</v>
      </c>
      <c r="E575">
        <f t="shared" si="9"/>
        <v>2016</v>
      </c>
      <c r="F575" t="str">
        <f>IFERROR(IF(VLOOKUP(C575,TotalRev2!A:C,3,FALSE)="","",VLOOKUP(C575,TotalRev2!A:C,3,FALSE)),"")</f>
        <v/>
      </c>
      <c r="G575" t="str">
        <f>IFERROR(IF(VLOOKUP(C575,TotalRev1!A:C,3,FALSE)="","",VLOOKUP(C575,TotalRev1!A:C,3,FALSE)),"")</f>
        <v/>
      </c>
      <c r="H575" s="26">
        <f>IFERROR(IFERROR(VLOOKUP($A575,Winpct2!$A:$K,9,FALSE),VLOOKUP($B575,Winpct2!$A:$K,9,FALSE)),"")</f>
        <v>0.54800000000000004</v>
      </c>
      <c r="I575">
        <f>IFERROR(IFERROR(VLOOKUP($A575,Ra2W!$A:$K,6,FALSE),VLOOKUP($B575,Ra2W!$A:$K,6,FALSE)),"")</f>
        <v>5394</v>
      </c>
      <c r="J575">
        <f>IFERROR(VLOOKUP(D575,'Pop-Metro'!A:R,E575-2005,FALSE),VLOOKUP(D575,'Pop-Micro'!A:R,E575-2005,FALSE))</f>
        <v>13295906</v>
      </c>
      <c r="K575">
        <f>IFERROR(VLOOKUP(D575,'PCI-Metro'!A:R,E575-2005,FALSE),VLOOKUP(D575,'PCI-Micro'!A:R,E575-2005,FALSE))</f>
        <v>56287</v>
      </c>
      <c r="L575">
        <f>IFERROR(IF(IFERROR(VLOOKUP($A575,Attendance2!$B:$H,5,FALSE),VLOOKUP($B575,Attendance2!$B:$H,5,FALSE))="","",IFERROR(VLOOKUP($A575,Attendance2!$B:$H,5,FALSE),VLOOKUP($B575,Attendance2!$B:$H,5,FALSE))),"")</f>
        <v>3104</v>
      </c>
    </row>
    <row r="576" spans="1:12">
      <c r="A576" t="s">
        <v>194</v>
      </c>
      <c r="B576" t="s">
        <v>194</v>
      </c>
      <c r="C576">
        <v>215293</v>
      </c>
      <c r="D576">
        <v>38300</v>
      </c>
      <c r="E576">
        <f t="shared" si="9"/>
        <v>2016</v>
      </c>
      <c r="F576" t="str">
        <f>IFERROR(IF(VLOOKUP(C576,TotalRev2!A:C,3,FALSE)="","",VLOOKUP(C576,TotalRev2!A:C,3,FALSE)),"")</f>
        <v/>
      </c>
      <c r="G576" t="str">
        <f>IFERROR(IF(VLOOKUP(C576,TotalRev1!A:C,3,FALSE)="","",VLOOKUP(C576,TotalRev1!A:C,3,FALSE)),"")</f>
        <v/>
      </c>
      <c r="H576" s="26">
        <f>IFERROR(IFERROR(VLOOKUP($A576,Winpct2!$A:$K,9,FALSE),VLOOKUP($B576,Winpct2!$A:$K,9,FALSE)),"")</f>
        <v>0.71899999999999997</v>
      </c>
      <c r="I576">
        <f>IFERROR(IFERROR(VLOOKUP($A576,Ra2W!$A:$K,6,FALSE),VLOOKUP($B576,Ra2W!$A:$K,6,FALSE)),"")</f>
        <v>6528</v>
      </c>
      <c r="J576">
        <f>IFERROR(VLOOKUP(D576,'Pop-Metro'!A:R,E576-2005,FALSE),VLOOKUP(D576,'Pop-Micro'!A:R,E576-2005,FALSE))</f>
        <v>2377835</v>
      </c>
      <c r="K576">
        <f>IFERROR(VLOOKUP(D576,'PCI-Metro'!A:R,E576-2005,FALSE),VLOOKUP(D576,'PCI-Micro'!A:R,E576-2005,FALSE))</f>
        <v>50652</v>
      </c>
      <c r="L576">
        <f>IFERROR(IF(IFERROR(VLOOKUP($A576,Attendance2!$B:$H,5,FALSE),VLOOKUP($B576,Attendance2!$B:$H,5,FALSE))="","",IFERROR(VLOOKUP($A576,Attendance2!$B:$H,5,FALSE),VLOOKUP($B576,Attendance2!$B:$H,5,FALSE))),"")</f>
        <v>6798</v>
      </c>
    </row>
    <row r="577" spans="1:12">
      <c r="A577" t="s">
        <v>1298</v>
      </c>
      <c r="B577" t="s">
        <v>1298</v>
      </c>
      <c r="C577">
        <v>209825</v>
      </c>
      <c r="D577">
        <v>38900</v>
      </c>
      <c r="E577">
        <f t="shared" si="9"/>
        <v>2016</v>
      </c>
      <c r="F577" t="str">
        <f>IFERROR(IF(VLOOKUP(C577,TotalRev2!A:C,3,FALSE)="","",VLOOKUP(C577,TotalRev2!A:C,3,FALSE)),"")</f>
        <v/>
      </c>
      <c r="G577" t="str">
        <f>IFERROR(IF(VLOOKUP(C577,TotalRev1!A:C,3,FALSE)="","",VLOOKUP(C577,TotalRev1!A:C,3,FALSE)),"")</f>
        <v/>
      </c>
      <c r="H577" s="26">
        <f>IFERROR(IFERROR(VLOOKUP($A577,Winpct2!$A:$K,9,FALSE),VLOOKUP($B577,Winpct2!$A:$K,9,FALSE)),"")</f>
        <v>0.51600000000000001</v>
      </c>
      <c r="I577">
        <f>IFERROR(IFERROR(VLOOKUP($A577,Ra2W!$A:$K,6,FALSE),VLOOKUP($B577,Ra2W!$A:$K,6,FALSE)),"")</f>
        <v>3857</v>
      </c>
      <c r="J577">
        <f>IFERROR(VLOOKUP(D577,'Pop-Metro'!A:R,E577-2005,FALSE),VLOOKUP(D577,'Pop-Micro'!A:R,E577-2005,FALSE))</f>
        <v>2431944</v>
      </c>
      <c r="K577">
        <f>IFERROR(VLOOKUP(D577,'PCI-Metro'!A:R,E577-2005,FALSE),VLOOKUP(D577,'PCI-Micro'!A:R,E577-2005,FALSE))</f>
        <v>50367</v>
      </c>
      <c r="L577">
        <f>IFERROR(IF(IFERROR(VLOOKUP($A577,Attendance2!$B:$H,5,FALSE),VLOOKUP($B577,Attendance2!$B:$H,5,FALSE))="","",IFERROR(VLOOKUP($A577,Attendance2!$B:$H,5,FALSE),VLOOKUP($B577,Attendance2!$B:$H,5,FALSE))),"")</f>
        <v>5000</v>
      </c>
    </row>
    <row r="578" spans="1:12">
      <c r="A578" t="s">
        <v>195</v>
      </c>
      <c r="B578" t="s">
        <v>195</v>
      </c>
      <c r="C578">
        <v>209807</v>
      </c>
      <c r="D578">
        <v>38900</v>
      </c>
      <c r="E578">
        <f t="shared" si="9"/>
        <v>2016</v>
      </c>
      <c r="F578">
        <f>IFERROR(IF(VLOOKUP(C578,TotalRev2!A:C,3,FALSE)="","",VLOOKUP(C578,TotalRev2!A:C,3,FALSE)),"")</f>
        <v>225287</v>
      </c>
      <c r="G578">
        <f>IFERROR(IF(VLOOKUP(C578,TotalRev1!A:C,3,FALSE)="","",VLOOKUP(C578,TotalRev1!A:C,3,FALSE)),"")</f>
        <v>792834</v>
      </c>
      <c r="H578" s="26">
        <f>IFERROR(IFERROR(VLOOKUP($A578,Winpct2!$A:$K,9,FALSE),VLOOKUP($B578,Winpct2!$A:$K,9,FALSE)),"")</f>
        <v>0.32100000000000001</v>
      </c>
      <c r="I578">
        <f>IFERROR(IFERROR(VLOOKUP($A578,Ra2W!$A:$K,6,FALSE),VLOOKUP($B578,Ra2W!$A:$K,6,FALSE)),"")</f>
        <v>2770</v>
      </c>
      <c r="J578">
        <f>IFERROR(VLOOKUP(D578,'Pop-Metro'!A:R,E578-2005,FALSE),VLOOKUP(D578,'Pop-Micro'!A:R,E578-2005,FALSE))</f>
        <v>2431944</v>
      </c>
      <c r="K578">
        <f>IFERROR(VLOOKUP(D578,'PCI-Metro'!A:R,E578-2005,FALSE),VLOOKUP(D578,'PCI-Micro'!A:R,E578-2005,FALSE))</f>
        <v>50367</v>
      </c>
      <c r="L578">
        <f>IFERROR(IF(IFERROR(VLOOKUP($A578,Attendance2!$B:$H,5,FALSE),VLOOKUP($B578,Attendance2!$B:$H,5,FALSE))="","",IFERROR(VLOOKUP($A578,Attendance2!$B:$H,5,FALSE),VLOOKUP($B578,Attendance2!$B:$H,5,FALSE))),"")</f>
        <v>1500</v>
      </c>
    </row>
    <row r="579" spans="1:12">
      <c r="A579" t="s">
        <v>196</v>
      </c>
      <c r="B579" t="s">
        <v>196</v>
      </c>
      <c r="C579">
        <v>227526</v>
      </c>
      <c r="D579">
        <v>26420</v>
      </c>
      <c r="E579">
        <f t="shared" si="9"/>
        <v>2016</v>
      </c>
      <c r="F579">
        <f>IFERROR(IF(VLOOKUP(C579,TotalRev2!A:C,3,FALSE)="","",VLOOKUP(C579,TotalRev2!A:C,3,FALSE)),"")</f>
        <v>374155</v>
      </c>
      <c r="G579">
        <f>IFERROR(IF(VLOOKUP(C579,TotalRev1!A:C,3,FALSE)="","",VLOOKUP(C579,TotalRev1!A:C,3,FALSE)),"")</f>
        <v>298405</v>
      </c>
      <c r="H579" s="26">
        <f>IFERROR(IFERROR(VLOOKUP($A579,Winpct2!$A:$K,9,FALSE),VLOOKUP($B579,Winpct2!$A:$K,9,FALSE)),"")</f>
        <v>0.26500000000000001</v>
      </c>
      <c r="I579">
        <f>IFERROR(IFERROR(VLOOKUP($A579,Ra2W!$A:$K,6,FALSE),VLOOKUP($B579,Ra2W!$A:$K,6,FALSE)),"")</f>
        <v>1901</v>
      </c>
      <c r="J579">
        <f>IFERROR(VLOOKUP(D579,'Pop-Metro'!A:R,E579-2005,FALSE),VLOOKUP(D579,'Pop-Micro'!A:R,E579-2005,FALSE))</f>
        <v>6797324</v>
      </c>
      <c r="K579">
        <f>IFERROR(VLOOKUP(D579,'PCI-Metro'!A:R,E579-2005,FALSE),VLOOKUP(D579,'PCI-Micro'!A:R,E579-2005,FALSE))</f>
        <v>50841</v>
      </c>
      <c r="L579">
        <f>IFERROR(IF(IFERROR(VLOOKUP($A579,Attendance2!$B:$H,5,FALSE),VLOOKUP($B579,Attendance2!$B:$H,5,FALSE))="","",IFERROR(VLOOKUP($A579,Attendance2!$B:$H,5,FALSE),VLOOKUP($B579,Attendance2!$B:$H,5,FALSE))),"")</f>
        <v>6600</v>
      </c>
    </row>
    <row r="580" spans="1:12">
      <c r="A580" t="s">
        <v>197</v>
      </c>
      <c r="B580" t="s">
        <v>197</v>
      </c>
      <c r="C580">
        <v>218539</v>
      </c>
      <c r="D580">
        <v>43900</v>
      </c>
      <c r="E580">
        <f t="shared" si="9"/>
        <v>2016</v>
      </c>
      <c r="F580" t="str">
        <f>IFERROR(IF(VLOOKUP(C580,TotalRev2!A:C,3,FALSE)="","",VLOOKUP(C580,TotalRev2!A:C,3,FALSE)),"")</f>
        <v/>
      </c>
      <c r="G580" t="str">
        <f>IFERROR(IF(VLOOKUP(C580,TotalRev1!A:C,3,FALSE)="","",VLOOKUP(C580,TotalRev1!A:C,3,FALSE)),"")</f>
        <v/>
      </c>
      <c r="H580" s="26">
        <f>IFERROR(IFERROR(VLOOKUP($A580,Winpct2!$A:$K,9,FALSE),VLOOKUP($B580,Winpct2!$A:$K,9,FALSE)),"")</f>
        <v>0.14299999999999999</v>
      </c>
      <c r="I580">
        <f>IFERROR(IFERROR(VLOOKUP($A580,Ra2W!$A:$K,6,FALSE),VLOOKUP($B580,Ra2W!$A:$K,6,FALSE)),"")</f>
        <v>1902</v>
      </c>
      <c r="J580">
        <f>IFERROR(VLOOKUP(D580,'Pop-Metro'!A:R,E580-2005,FALSE),VLOOKUP(D580,'Pop-Micro'!A:R,E580-2005,FALSE))</f>
        <v>302696</v>
      </c>
      <c r="K580">
        <f>IFERROR(VLOOKUP(D580,'PCI-Metro'!A:R,E580-2005,FALSE),VLOOKUP(D580,'PCI-Micro'!A:R,E580-2005,FALSE))</f>
        <v>40605</v>
      </c>
      <c r="L580">
        <f>IFERROR(IF(IFERROR(VLOOKUP($A580,Attendance2!$B:$H,5,FALSE),VLOOKUP($B580,Attendance2!$B:$H,5,FALSE))="","",IFERROR(VLOOKUP($A580,Attendance2!$B:$H,5,FALSE),VLOOKUP($B580,Attendance2!$B:$H,5,FALSE))),"")</f>
        <v>2500</v>
      </c>
    </row>
    <row r="581" spans="1:12">
      <c r="A581" t="s">
        <v>198</v>
      </c>
      <c r="B581" t="s">
        <v>198</v>
      </c>
      <c r="C581">
        <v>186131</v>
      </c>
      <c r="D581">
        <v>45940</v>
      </c>
      <c r="E581">
        <f t="shared" si="9"/>
        <v>2016</v>
      </c>
      <c r="F581" t="str">
        <f>IFERROR(IF(VLOOKUP(C581,TotalRev2!A:C,3,FALSE)="","",VLOOKUP(C581,TotalRev2!A:C,3,FALSE)),"")</f>
        <v/>
      </c>
      <c r="G581" t="str">
        <f>IFERROR(IF(VLOOKUP(C581,TotalRev1!A:C,3,FALSE)="","",VLOOKUP(C581,TotalRev1!A:C,3,FALSE)),"")</f>
        <v/>
      </c>
      <c r="H581" s="26">
        <f>IFERROR(IFERROR(VLOOKUP($A581,Winpct2!$A:$K,9,FALSE),VLOOKUP($B581,Winpct2!$A:$K,9,FALSE)),"")</f>
        <v>0.625</v>
      </c>
      <c r="I581">
        <f>IFERROR(IFERROR(VLOOKUP($A581,Ra2W!$A:$K,6,FALSE),VLOOKUP($B581,Ra2W!$A:$K,6,FALSE)),"")</f>
        <v>2268</v>
      </c>
      <c r="J581">
        <f>IFERROR(VLOOKUP(D581,'Pop-Metro'!A:R,E581-2005,FALSE),VLOOKUP(D581,'Pop-Micro'!A:R,E581-2005,FALSE))</f>
        <v>380010</v>
      </c>
      <c r="K581">
        <f>IFERROR(VLOOKUP(D581,'PCI-Metro'!A:R,E581-2005,FALSE),VLOOKUP(D581,'PCI-Micro'!A:R,E581-2005,FALSE))</f>
        <v>61418</v>
      </c>
      <c r="L581">
        <f>IFERROR(IF(IFERROR(VLOOKUP($A581,Attendance2!$B:$H,5,FALSE),VLOOKUP($B581,Attendance2!$B:$H,5,FALSE))="","",IFERROR(VLOOKUP($A581,Attendance2!$B:$H,5,FALSE),VLOOKUP($B581,Attendance2!$B:$H,5,FALSE))),"")</f>
        <v>1500</v>
      </c>
    </row>
    <row r="582" spans="1:12">
      <c r="A582" t="s">
        <v>199</v>
      </c>
      <c r="B582" t="s">
        <v>199</v>
      </c>
      <c r="C582">
        <v>217402</v>
      </c>
      <c r="D582">
        <v>39300</v>
      </c>
      <c r="E582">
        <f t="shared" si="9"/>
        <v>2016</v>
      </c>
      <c r="F582" t="str">
        <f>IFERROR(IF(VLOOKUP(C582,TotalRev2!A:C,3,FALSE)="","",VLOOKUP(C582,TotalRev2!A:C,3,FALSE)),"")</f>
        <v/>
      </c>
      <c r="G582" t="str">
        <f>IFERROR(IF(VLOOKUP(C582,TotalRev1!A:C,3,FALSE)="","",VLOOKUP(C582,TotalRev1!A:C,3,FALSE)),"")</f>
        <v/>
      </c>
      <c r="H582" s="26">
        <f>IFERROR(IFERROR(VLOOKUP($A582,Winpct2!$A:$K,9,FALSE),VLOOKUP($B582,Winpct2!$A:$K,9,FALSE)),"")</f>
        <v>0.313</v>
      </c>
      <c r="I582">
        <f>IFERROR(IFERROR(VLOOKUP($A582,Ra2W!$A:$K,6,FALSE),VLOOKUP($B582,Ra2W!$A:$K,6,FALSE)),"")</f>
        <v>2245</v>
      </c>
      <c r="J582">
        <f>IFERROR(VLOOKUP(D582,'Pop-Metro'!A:R,E582-2005,FALSE),VLOOKUP(D582,'Pop-Micro'!A:R,E582-2005,FALSE))</f>
        <v>1648427</v>
      </c>
      <c r="K582">
        <f>IFERROR(VLOOKUP(D582,'PCI-Metro'!A:R,E582-2005,FALSE),VLOOKUP(D582,'PCI-Micro'!A:R,E582-2005,FALSE))</f>
        <v>48395</v>
      </c>
      <c r="L582">
        <f>IFERROR(IF(IFERROR(VLOOKUP($A582,Attendance2!$B:$H,5,FALSE),VLOOKUP($B582,Attendance2!$B:$H,5,FALSE))="","",IFERROR(VLOOKUP($A582,Attendance2!$B:$H,5,FALSE),VLOOKUP($B582,Attendance2!$B:$H,5,FALSE))),"")</f>
        <v>1854</v>
      </c>
    </row>
    <row r="583" spans="1:12">
      <c r="A583" t="s">
        <v>200</v>
      </c>
      <c r="B583" t="s">
        <v>200</v>
      </c>
      <c r="C583">
        <v>243780</v>
      </c>
      <c r="D583">
        <v>29200</v>
      </c>
      <c r="E583">
        <f t="shared" si="9"/>
        <v>2016</v>
      </c>
      <c r="F583">
        <f>IFERROR(IF(VLOOKUP(C583,TotalRev2!A:C,3,FALSE)="","",VLOOKUP(C583,TotalRev2!A:C,3,FALSE)),"")</f>
        <v>556659</v>
      </c>
      <c r="G583">
        <f>IFERROR(IF(VLOOKUP(C583,TotalRev1!A:C,3,FALSE)="","",VLOOKUP(C583,TotalRev1!A:C,3,FALSE)),"")</f>
        <v>594991</v>
      </c>
      <c r="H583" s="26">
        <f>IFERROR(IFERROR(VLOOKUP($A583,Winpct2!$A:$K,9,FALSE),VLOOKUP($B583,Winpct2!$A:$K,9,FALSE)),"")</f>
        <v>0.69699999999999995</v>
      </c>
      <c r="I583">
        <f>IFERROR(IFERROR(VLOOKUP($A583,Ra2W!$A:$K,6,FALSE),VLOOKUP($B583,Ra2W!$A:$K,6,FALSE)),"")</f>
        <v>40379</v>
      </c>
      <c r="J583">
        <f>IFERROR(VLOOKUP(D583,'Pop-Metro'!A:R,E583-2005,FALSE),VLOOKUP(D583,'Pop-Micro'!A:R,E583-2005,FALSE))</f>
        <v>221610</v>
      </c>
      <c r="K583">
        <f>IFERROR(VLOOKUP(D583,'PCI-Metro'!A:R,E583-2005,FALSE),VLOOKUP(D583,'PCI-Micro'!A:R,E583-2005,FALSE))</f>
        <v>36645</v>
      </c>
      <c r="L583">
        <f>IFERROR(IF(IFERROR(VLOOKUP($A583,Attendance2!$B:$H,5,FALSE),VLOOKUP($B583,Attendance2!$B:$H,5,FALSE))="","",IFERROR(VLOOKUP($A583,Attendance2!$B:$H,5,FALSE),VLOOKUP($B583,Attendance2!$B:$H,5,FALSE))),"")</f>
        <v>2288</v>
      </c>
    </row>
    <row r="584" spans="1:12">
      <c r="A584" t="s">
        <v>201</v>
      </c>
      <c r="B584" t="s">
        <v>201</v>
      </c>
      <c r="C584">
        <v>151102</v>
      </c>
      <c r="D584">
        <v>23060</v>
      </c>
      <c r="E584">
        <f t="shared" si="9"/>
        <v>2016</v>
      </c>
      <c r="F584">
        <f>IFERROR(IF(VLOOKUP(C584,TotalRev2!A:C,3,FALSE)="","",VLOOKUP(C584,TotalRev2!A:C,3,FALSE)),"")</f>
        <v>515742</v>
      </c>
      <c r="G584">
        <f>IFERROR(IF(VLOOKUP(C584,TotalRev1!A:C,3,FALSE)="","",VLOOKUP(C584,TotalRev1!A:C,3,FALSE)),"")</f>
        <v>457664</v>
      </c>
      <c r="H584" s="26">
        <f>IFERROR(IFERROR(VLOOKUP($A584,Winpct2!$A:$K,9,FALSE),VLOOKUP($B584,Winpct2!$A:$K,9,FALSE)),"")</f>
        <v>0.219</v>
      </c>
      <c r="I584">
        <f>IFERROR(IFERROR(VLOOKUP($A584,Ra2W!$A:$K,6,FALSE),VLOOKUP($B584,Ra2W!$A:$K,6,FALSE)),"")</f>
        <v>6144</v>
      </c>
      <c r="J584">
        <f>IFERROR(VLOOKUP(D584,'Pop-Metro'!A:R,E584-2005,FALSE),VLOOKUP(D584,'Pop-Micro'!A:R,E584-2005,FALSE))</f>
        <v>405304</v>
      </c>
      <c r="K584">
        <f>IFERROR(VLOOKUP(D584,'PCI-Metro'!A:R,E584-2005,FALSE),VLOOKUP(D584,'PCI-Micro'!A:R,E584-2005,FALSE))</f>
        <v>42437</v>
      </c>
      <c r="L584">
        <f>IFERROR(IF(IFERROR(VLOOKUP($A584,Attendance2!$B:$H,5,FALSE),VLOOKUP($B584,Attendance2!$B:$H,5,FALSE))="","",IFERROR(VLOOKUP($A584,Attendance2!$B:$H,5,FALSE),VLOOKUP($B584,Attendance2!$B:$H,5,FALSE))),"")</f>
        <v>1800</v>
      </c>
    </row>
    <row r="585" spans="1:12">
      <c r="A585" t="s">
        <v>202</v>
      </c>
      <c r="B585" t="s">
        <v>202</v>
      </c>
      <c r="C585">
        <v>130226</v>
      </c>
      <c r="D585">
        <v>35300</v>
      </c>
      <c r="E585">
        <f t="shared" si="9"/>
        <v>2016</v>
      </c>
      <c r="F585" t="str">
        <f>IFERROR(IF(VLOOKUP(C585,TotalRev2!A:C,3,FALSE)="","",VLOOKUP(C585,TotalRev2!A:C,3,FALSE)),"")</f>
        <v/>
      </c>
      <c r="G585" t="str">
        <f>IFERROR(IF(VLOOKUP(C585,TotalRev1!A:C,3,FALSE)="","",VLOOKUP(C585,TotalRev1!A:C,3,FALSE)),"")</f>
        <v/>
      </c>
      <c r="H585" s="26">
        <f>IFERROR(IFERROR(VLOOKUP($A585,Winpct2!$A:$K,9,FALSE),VLOOKUP($B585,Winpct2!$A:$K,9,FALSE)),"")</f>
        <v>9.7000000000000003E-2</v>
      </c>
      <c r="I585">
        <f>IFERROR(IFERROR(VLOOKUP($A585,Ra2W!$A:$K,6,FALSE),VLOOKUP($B585,Ra2W!$A:$K,6,FALSE)),"")</f>
        <v>2086</v>
      </c>
      <c r="J585">
        <f>IFERROR(VLOOKUP(D585,'Pop-Metro'!A:R,E585-2005,FALSE),VLOOKUP(D585,'Pop-Micro'!A:R,E585-2005,FALSE))</f>
        <v>865560</v>
      </c>
      <c r="K585">
        <f>IFERROR(VLOOKUP(D585,'PCI-Metro'!A:R,E585-2005,FALSE),VLOOKUP(D585,'PCI-Micro'!A:R,E585-2005,FALSE))</f>
        <v>50725</v>
      </c>
      <c r="L585">
        <f>IFERROR(IF(IFERROR(VLOOKUP($A585,Attendance2!$B:$H,5,FALSE),VLOOKUP($B585,Attendance2!$B:$H,5,FALSE))="","",IFERROR(VLOOKUP($A585,Attendance2!$B:$H,5,FALSE),VLOOKUP($B585,Attendance2!$B:$H,5,FALSE))),"")</f>
        <v>2000</v>
      </c>
    </row>
    <row r="586" spans="1:12">
      <c r="A586" t="s">
        <v>203</v>
      </c>
      <c r="B586" t="s">
        <v>203</v>
      </c>
      <c r="C586">
        <v>233277</v>
      </c>
      <c r="D586">
        <v>40220</v>
      </c>
      <c r="E586">
        <f t="shared" si="9"/>
        <v>2016</v>
      </c>
      <c r="F586">
        <f>IFERROR(IF(VLOOKUP(C586,TotalRev2!A:C,3,FALSE)="","",VLOOKUP(C586,TotalRev2!A:C,3,FALSE)),"")</f>
        <v>4084</v>
      </c>
      <c r="G586">
        <f>IFERROR(IF(VLOOKUP(C586,TotalRev1!A:C,3,FALSE)="","",VLOOKUP(C586,TotalRev1!A:C,3,FALSE)),"")</f>
        <v>8375</v>
      </c>
      <c r="H586" s="26">
        <f>IFERROR(IFERROR(VLOOKUP($A586,Winpct2!$A:$K,9,FALSE),VLOOKUP($B586,Winpct2!$A:$K,9,FALSE)),"")</f>
        <v>0.48299999999999998</v>
      </c>
      <c r="I586">
        <f>IFERROR(IFERROR(VLOOKUP($A586,Ra2W!$A:$K,6,FALSE),VLOOKUP($B586,Ra2W!$A:$K,6,FALSE)),"")</f>
        <v>5858</v>
      </c>
      <c r="J586">
        <f>IFERROR(VLOOKUP(D586,'Pop-Metro'!A:R,E586-2005,FALSE),VLOOKUP(D586,'Pop-Micro'!A:R,E586-2005,FALSE))</f>
        <v>313616</v>
      </c>
      <c r="K586">
        <f>IFERROR(VLOOKUP(D586,'PCI-Metro'!A:R,E586-2005,FALSE),VLOOKUP(D586,'PCI-Micro'!A:R,E586-2005,FALSE))</f>
        <v>42984</v>
      </c>
      <c r="L586">
        <f>IFERROR(IF(IFERROR(VLOOKUP($A586,Attendance2!$B:$H,5,FALSE),VLOOKUP($B586,Attendance2!$B:$H,5,FALSE))="","",IFERROR(VLOOKUP($A586,Attendance2!$B:$H,5,FALSE),VLOOKUP($B586,Attendance2!$B:$H,5,FALSE))),"")</f>
        <v>3215</v>
      </c>
    </row>
    <row r="587" spans="1:12">
      <c r="A587" t="s">
        <v>204</v>
      </c>
      <c r="B587" t="s">
        <v>204</v>
      </c>
      <c r="C587">
        <v>217484</v>
      </c>
      <c r="D587">
        <v>39300</v>
      </c>
      <c r="E587">
        <f t="shared" si="9"/>
        <v>2016</v>
      </c>
      <c r="F587">
        <f>IFERROR(IF(VLOOKUP(C587,TotalRev2!A:C,3,FALSE)="","",VLOOKUP(C587,TotalRev2!A:C,3,FALSE)),"")</f>
        <v>810403</v>
      </c>
      <c r="G587">
        <f>IFERROR(IF(VLOOKUP(C587,TotalRev1!A:C,3,FALSE)="","",VLOOKUP(C587,TotalRev1!A:C,3,FALSE)),"")</f>
        <v>768266</v>
      </c>
      <c r="H587" s="26">
        <f>IFERROR(IFERROR(VLOOKUP($A587,Winpct2!$A:$K,9,FALSE),VLOOKUP($B587,Winpct2!$A:$K,9,FALSE)),"")</f>
        <v>0.69</v>
      </c>
      <c r="I587">
        <f>IFERROR(IFERROR(VLOOKUP($A587,Ra2W!$A:$K,6,FALSE),VLOOKUP($B587,Ra2W!$A:$K,6,FALSE)),"")</f>
        <v>1644</v>
      </c>
      <c r="J587">
        <f>IFERROR(VLOOKUP(D587,'Pop-Metro'!A:R,E587-2005,FALSE),VLOOKUP(D587,'Pop-Micro'!A:R,E587-2005,FALSE))</f>
        <v>1648427</v>
      </c>
      <c r="K587">
        <f>IFERROR(VLOOKUP(D587,'PCI-Metro'!A:R,E587-2005,FALSE),VLOOKUP(D587,'PCI-Micro'!A:R,E587-2005,FALSE))</f>
        <v>48395</v>
      </c>
      <c r="L587">
        <f>IFERROR(IF(IFERROR(VLOOKUP($A587,Attendance2!$B:$H,5,FALSE),VLOOKUP($B587,Attendance2!$B:$H,5,FALSE))="","",IFERROR(VLOOKUP($A587,Attendance2!$B:$H,5,FALSE),VLOOKUP($B587,Attendance2!$B:$H,5,FALSE))),"")</f>
        <v>5000</v>
      </c>
    </row>
    <row r="588" spans="1:12">
      <c r="A588" t="s">
        <v>1299</v>
      </c>
      <c r="B588" t="s">
        <v>1299</v>
      </c>
      <c r="C588">
        <v>227757</v>
      </c>
      <c r="D588">
        <v>26420</v>
      </c>
      <c r="E588">
        <f t="shared" si="9"/>
        <v>2016</v>
      </c>
      <c r="F588" t="str">
        <f>IFERROR(IF(VLOOKUP(C588,TotalRev2!A:C,3,FALSE)="","",VLOOKUP(C588,TotalRev2!A:C,3,FALSE)),"")</f>
        <v/>
      </c>
      <c r="G588" t="str">
        <f>IFERROR(IF(VLOOKUP(C588,TotalRev1!A:C,3,FALSE)="","",VLOOKUP(C588,TotalRev1!A:C,3,FALSE)),"")</f>
        <v/>
      </c>
      <c r="H588" s="26">
        <f>IFERROR(IFERROR(VLOOKUP($A588,Winpct2!$A:$K,9,FALSE),VLOOKUP($B588,Winpct2!$A:$K,9,FALSE)),"")</f>
        <v>0.67700000000000005</v>
      </c>
      <c r="I588">
        <f>IFERROR(IFERROR(VLOOKUP($A588,Ra2W!$A:$K,6,FALSE),VLOOKUP($B588,Ra2W!$A:$K,6,FALSE)),"")</f>
        <v>4455</v>
      </c>
      <c r="J588">
        <f>IFERROR(VLOOKUP(D588,'Pop-Metro'!A:R,E588-2005,FALSE),VLOOKUP(D588,'Pop-Micro'!A:R,E588-2005,FALSE))</f>
        <v>6797324</v>
      </c>
      <c r="K588">
        <f>IFERROR(VLOOKUP(D588,'PCI-Metro'!A:R,E588-2005,FALSE),VLOOKUP(D588,'PCI-Micro'!A:R,E588-2005,FALSE))</f>
        <v>50841</v>
      </c>
      <c r="L588">
        <f>IFERROR(IF(IFERROR(VLOOKUP($A588,Attendance2!$B:$H,5,FALSE),VLOOKUP($B588,Attendance2!$B:$H,5,FALSE))="","",IFERROR(VLOOKUP($A588,Attendance2!$B:$H,5,FALSE),VLOOKUP($B588,Attendance2!$B:$H,5,FALSE))),"")</f>
        <v>5750</v>
      </c>
    </row>
    <row r="589" spans="1:12">
      <c r="A589" t="s">
        <v>1300</v>
      </c>
      <c r="B589" t="s">
        <v>1300</v>
      </c>
      <c r="C589">
        <v>233374</v>
      </c>
      <c r="D589">
        <v>40060</v>
      </c>
      <c r="E589">
        <f t="shared" si="9"/>
        <v>2016</v>
      </c>
      <c r="F589" t="str">
        <f>IFERROR(IF(VLOOKUP(C589,TotalRev2!A:C,3,FALSE)="","",VLOOKUP(C589,TotalRev2!A:C,3,FALSE)),"")</f>
        <v/>
      </c>
      <c r="G589" t="str">
        <f>IFERROR(IF(VLOOKUP(C589,TotalRev1!A:C,3,FALSE)="","",VLOOKUP(C589,TotalRev1!A:C,3,FALSE)),"")</f>
        <v/>
      </c>
      <c r="H589" s="26" t="str">
        <f>IFERROR(IFERROR(VLOOKUP($A589,Winpct2!$A:$K,9,FALSE),VLOOKUP($B589,Winpct2!$A:$K,9,FALSE)),"")</f>
        <v/>
      </c>
      <c r="I589" t="str">
        <f>IFERROR(IFERROR(VLOOKUP($A589,Ra2W!$A:$K,6,FALSE),VLOOKUP($B589,Ra2W!$A:$K,6,FALSE)),"")</f>
        <v/>
      </c>
      <c r="J589">
        <f>IFERROR(VLOOKUP(D589,'Pop-Metro'!A:R,E589-2005,FALSE),VLOOKUP(D589,'Pop-Micro'!A:R,E589-2005,FALSE))</f>
        <v>1267111</v>
      </c>
      <c r="K589">
        <f>IFERROR(VLOOKUP(D589,'PCI-Metro'!A:R,E589-2005,FALSE),VLOOKUP(D589,'PCI-Micro'!A:R,E589-2005,FALSE))</f>
        <v>51617</v>
      </c>
      <c r="L589" t="str">
        <f>IFERROR(IF(IFERROR(VLOOKUP($A589,Attendance2!$B:$H,5,FALSE),VLOOKUP($B589,Attendance2!$B:$H,5,FALSE))="","",IFERROR(VLOOKUP($A589,Attendance2!$B:$H,5,FALSE),VLOOKUP($B589,Attendance2!$B:$H,5,FALSE))),"")</f>
        <v/>
      </c>
    </row>
    <row r="590" spans="1:12">
      <c r="A590" t="s">
        <v>205</v>
      </c>
      <c r="B590" t="s">
        <v>205</v>
      </c>
      <c r="C590">
        <v>186283</v>
      </c>
      <c r="D590">
        <v>45940</v>
      </c>
      <c r="E590">
        <f t="shared" si="9"/>
        <v>2016</v>
      </c>
      <c r="F590" t="str">
        <f>IFERROR(IF(VLOOKUP(C590,TotalRev2!A:C,3,FALSE)="","",VLOOKUP(C590,TotalRev2!A:C,3,FALSE)),"")</f>
        <v/>
      </c>
      <c r="G590" t="str">
        <f>IFERROR(IF(VLOOKUP(C590,TotalRev1!A:C,3,FALSE)="","",VLOOKUP(C590,TotalRev1!A:C,3,FALSE)),"")</f>
        <v/>
      </c>
      <c r="H590" s="26">
        <f>IFERROR(IFERROR(VLOOKUP($A590,Winpct2!$A:$K,9,FALSE),VLOOKUP($B590,Winpct2!$A:$K,9,FALSE)),"")</f>
        <v>0.48499999999999999</v>
      </c>
      <c r="I590">
        <f>IFERROR(IFERROR(VLOOKUP($A590,Ra2W!$A:$K,6,FALSE),VLOOKUP($B590,Ra2W!$A:$K,6,FALSE)),"")</f>
        <v>2374</v>
      </c>
      <c r="J590">
        <f>IFERROR(VLOOKUP(D590,'Pop-Metro'!A:R,E590-2005,FALSE),VLOOKUP(D590,'Pop-Micro'!A:R,E590-2005,FALSE))</f>
        <v>380010</v>
      </c>
      <c r="K590">
        <f>IFERROR(VLOOKUP(D590,'PCI-Metro'!A:R,E590-2005,FALSE),VLOOKUP(D590,'PCI-Micro'!A:R,E590-2005,FALSE))</f>
        <v>61418</v>
      </c>
      <c r="L590">
        <f>IFERROR(IF(IFERROR(VLOOKUP($A590,Attendance2!$B:$H,5,FALSE),VLOOKUP($B590,Attendance2!$B:$H,5,FALSE))="","",IFERROR(VLOOKUP($A590,Attendance2!$B:$H,5,FALSE),VLOOKUP($B590,Attendance2!$B:$H,5,FALSE))),"")</f>
        <v>1650</v>
      </c>
    </row>
    <row r="591" spans="1:12">
      <c r="A591" t="s">
        <v>206</v>
      </c>
      <c r="B591" t="s">
        <v>206</v>
      </c>
      <c r="C591">
        <v>215655</v>
      </c>
      <c r="D591">
        <v>38300</v>
      </c>
      <c r="E591">
        <f t="shared" si="9"/>
        <v>2016</v>
      </c>
      <c r="F591" t="str">
        <f>IFERROR(IF(VLOOKUP(C591,TotalRev2!A:C,3,FALSE)="","",VLOOKUP(C591,TotalRev2!A:C,3,FALSE)),"")</f>
        <v/>
      </c>
      <c r="G591" t="str">
        <f>IFERROR(IF(VLOOKUP(C591,TotalRev1!A:C,3,FALSE)="","",VLOOKUP(C591,TotalRev1!A:C,3,FALSE)),"")</f>
        <v/>
      </c>
      <c r="H591" s="26">
        <f>IFERROR(IFERROR(VLOOKUP($A591,Winpct2!$A:$K,9,FALSE),VLOOKUP($B591,Winpct2!$A:$K,9,FALSE)),"")</f>
        <v>0.59399999999999997</v>
      </c>
      <c r="I591">
        <f>IFERROR(IFERROR(VLOOKUP($A591,Ra2W!$A:$K,6,FALSE),VLOOKUP($B591,Ra2W!$A:$K,6,FALSE)),"")</f>
        <v>2316</v>
      </c>
      <c r="J591">
        <f>IFERROR(VLOOKUP(D591,'Pop-Metro'!A:R,E591-2005,FALSE),VLOOKUP(D591,'Pop-Micro'!A:R,E591-2005,FALSE))</f>
        <v>2377835</v>
      </c>
      <c r="K591">
        <f>IFERROR(VLOOKUP(D591,'PCI-Metro'!A:R,E591-2005,FALSE),VLOOKUP(D591,'PCI-Micro'!A:R,E591-2005,FALSE))</f>
        <v>50652</v>
      </c>
      <c r="L591">
        <f>IFERROR(IF(IFERROR(VLOOKUP($A591,Attendance2!$B:$H,5,FALSE),VLOOKUP($B591,Attendance2!$B:$H,5,FALSE))="","",IFERROR(VLOOKUP($A591,Attendance2!$B:$H,5,FALSE),VLOOKUP($B591,Attendance2!$B:$H,5,FALSE))),"")</f>
        <v>3056</v>
      </c>
    </row>
    <row r="592" spans="1:12">
      <c r="A592" t="s">
        <v>207</v>
      </c>
      <c r="B592" t="s">
        <v>207</v>
      </c>
      <c r="C592">
        <v>186380</v>
      </c>
      <c r="D592">
        <v>35620</v>
      </c>
      <c r="E592">
        <f t="shared" si="9"/>
        <v>2016</v>
      </c>
      <c r="F592" t="str">
        <f>IFERROR(IF(VLOOKUP(C592,TotalRev2!A:C,3,FALSE)="","",VLOOKUP(C592,TotalRev2!A:C,3,FALSE)),"")</f>
        <v/>
      </c>
      <c r="G592">
        <f>IFERROR(IF(VLOOKUP(C592,TotalRev1!A:C,3,FALSE)="","",VLOOKUP(C592,TotalRev1!A:C,3,FALSE)),"")</f>
        <v>1337739</v>
      </c>
      <c r="H592" s="26">
        <f>IFERROR(IFERROR(VLOOKUP($A592,Winpct2!$A:$K,9,FALSE),VLOOKUP($B592,Winpct2!$A:$K,9,FALSE)),"")</f>
        <v>0.125</v>
      </c>
      <c r="I592">
        <f>IFERROR(IFERROR(VLOOKUP($A592,Ra2W!$A:$K,6,FALSE),VLOOKUP($B592,Ra2W!$A:$K,6,FALSE)),"")</f>
        <v>3771</v>
      </c>
      <c r="J592">
        <f>IFERROR(VLOOKUP(D592,'Pop-Metro'!A:R,E592-2005,FALSE),VLOOKUP(D592,'Pop-Micro'!A:R,E592-2005,FALSE))</f>
        <v>19943198</v>
      </c>
      <c r="K592">
        <f>IFERROR(VLOOKUP(D592,'PCI-Metro'!A:R,E592-2005,FALSE),VLOOKUP(D592,'PCI-Micro'!A:R,E592-2005,FALSE))</f>
        <v>64886</v>
      </c>
      <c r="L592">
        <f>IFERROR(IF(IFERROR(VLOOKUP($A592,Attendance2!$B:$H,5,FALSE),VLOOKUP($B592,Attendance2!$B:$H,5,FALSE))="","",IFERROR(VLOOKUP($A592,Attendance2!$B:$H,5,FALSE),VLOOKUP($B592,Attendance2!$B:$H,5,FALSE))),"")</f>
        <v>2500</v>
      </c>
    </row>
    <row r="593" spans="1:12">
      <c r="A593" t="s">
        <v>208</v>
      </c>
      <c r="B593" t="s">
        <v>208</v>
      </c>
      <c r="C593">
        <v>110617</v>
      </c>
      <c r="D593">
        <v>40900</v>
      </c>
      <c r="E593">
        <f t="shared" si="9"/>
        <v>2016</v>
      </c>
      <c r="F593">
        <f>IFERROR(IF(VLOOKUP(C593,TotalRev2!A:C,3,FALSE)="","",VLOOKUP(C593,TotalRev2!A:C,3,FALSE)),"")</f>
        <v>346976</v>
      </c>
      <c r="G593">
        <f>IFERROR(IF(VLOOKUP(C593,TotalRev1!A:C,3,FALSE)="","",VLOOKUP(C593,TotalRev1!A:C,3,FALSE)),"")</f>
        <v>548313</v>
      </c>
      <c r="H593" s="26">
        <f>IFERROR(IFERROR(VLOOKUP($A593,Winpct2!$A:$K,9,FALSE),VLOOKUP($B593,Winpct2!$A:$K,9,FALSE)),"")</f>
        <v>0.78800000000000003</v>
      </c>
      <c r="I593">
        <f>IFERROR(IFERROR(VLOOKUP($A593,Ra2W!$A:$K,6,FALSE),VLOOKUP($B593,Ra2W!$A:$K,6,FALSE)),"")</f>
        <v>3928</v>
      </c>
      <c r="J593">
        <f>IFERROR(VLOOKUP(D593,'Pop-Metro'!A:R,E593-2005,FALSE),VLOOKUP(D593,'Pop-Micro'!A:R,E593-2005,FALSE))</f>
        <v>2306062</v>
      </c>
      <c r="K593">
        <f>IFERROR(VLOOKUP(D593,'PCI-Metro'!A:R,E593-2005,FALSE),VLOOKUP(D593,'PCI-Micro'!A:R,E593-2005,FALSE))</f>
        <v>50659</v>
      </c>
      <c r="L593">
        <f>IFERROR(IF(IFERROR(VLOOKUP($A593,Attendance2!$B:$H,5,FALSE),VLOOKUP($B593,Attendance2!$B:$H,5,FALSE))="","",IFERROR(VLOOKUP($A593,Attendance2!$B:$H,5,FALSE),VLOOKUP($B593,Attendance2!$B:$H,5,FALSE))),"")</f>
        <v>1012</v>
      </c>
    </row>
    <row r="594" spans="1:12">
      <c r="A594" t="s">
        <v>209</v>
      </c>
      <c r="B594" t="s">
        <v>209</v>
      </c>
      <c r="C594">
        <v>130253</v>
      </c>
      <c r="D594">
        <v>35300</v>
      </c>
      <c r="E594">
        <f t="shared" si="9"/>
        <v>2016</v>
      </c>
      <c r="F594" t="str">
        <f>IFERROR(IF(VLOOKUP(C594,TotalRev2!A:C,3,FALSE)="","",VLOOKUP(C594,TotalRev2!A:C,3,FALSE)),"")</f>
        <v/>
      </c>
      <c r="G594" t="str">
        <f>IFERROR(IF(VLOOKUP(C594,TotalRev1!A:C,3,FALSE)="","",VLOOKUP(C594,TotalRev1!A:C,3,FALSE)),"")</f>
        <v/>
      </c>
      <c r="H594" s="26">
        <f>IFERROR(IFERROR(VLOOKUP($A594,Winpct2!$A:$K,9,FALSE),VLOOKUP($B594,Winpct2!$A:$K,9,FALSE)),"")</f>
        <v>0.51700000000000002</v>
      </c>
      <c r="I594">
        <f>IFERROR(IFERROR(VLOOKUP($A594,Ra2W!$A:$K,6,FALSE),VLOOKUP($B594,Ra2W!$A:$K,6,FALSE)),"")</f>
        <v>1268</v>
      </c>
      <c r="J594">
        <f>IFERROR(VLOOKUP(D594,'Pop-Metro'!A:R,E594-2005,FALSE),VLOOKUP(D594,'Pop-Micro'!A:R,E594-2005,FALSE))</f>
        <v>865560</v>
      </c>
      <c r="K594">
        <f>IFERROR(VLOOKUP(D594,'PCI-Metro'!A:R,E594-2005,FALSE),VLOOKUP(D594,'PCI-Micro'!A:R,E594-2005,FALSE))</f>
        <v>50725</v>
      </c>
      <c r="L594">
        <f>IFERROR(IF(IFERROR(VLOOKUP($A594,Attendance2!$B:$H,5,FALSE),VLOOKUP($B594,Attendance2!$B:$H,5,FALSE))="","",IFERROR(VLOOKUP($A594,Attendance2!$B:$H,5,FALSE),VLOOKUP($B594,Attendance2!$B:$H,5,FALSE))),"")</f>
        <v>2100</v>
      </c>
    </row>
    <row r="595" spans="1:12">
      <c r="A595" t="s">
        <v>210</v>
      </c>
      <c r="B595" t="s">
        <v>210</v>
      </c>
      <c r="C595">
        <v>215743</v>
      </c>
      <c r="D595">
        <v>11020</v>
      </c>
      <c r="E595">
        <f t="shared" si="9"/>
        <v>2016</v>
      </c>
      <c r="F595" t="str">
        <f>IFERROR(IF(VLOOKUP(C595,TotalRev2!A:C,3,FALSE)="","",VLOOKUP(C595,TotalRev2!A:C,3,FALSE)),"")</f>
        <v/>
      </c>
      <c r="G595" t="str">
        <f>IFERROR(IF(VLOOKUP(C595,TotalRev1!A:C,3,FALSE)="","",VLOOKUP(C595,TotalRev1!A:C,3,FALSE)),"")</f>
        <v/>
      </c>
      <c r="H595" s="26" t="str">
        <f>IFERROR(IFERROR(VLOOKUP($A595,Winpct2!$A:$K,9,FALSE),VLOOKUP($B595,Winpct2!$A:$K,9,FALSE)),"")</f>
        <v/>
      </c>
      <c r="I595" t="str">
        <f>IFERROR(IFERROR(VLOOKUP($A595,Ra2W!$A:$K,6,FALSE),VLOOKUP($B595,Ra2W!$A:$K,6,FALSE)),"")</f>
        <v/>
      </c>
      <c r="J595">
        <f>IFERROR(VLOOKUP(D595,'Pop-Metro'!A:R,E595-2005,FALSE),VLOOKUP(D595,'Pop-Micro'!A:R,E595-2005,FALSE))</f>
        <v>124764</v>
      </c>
      <c r="K595">
        <f>IFERROR(VLOOKUP(D595,'PCI-Metro'!A:R,E595-2005,FALSE),VLOOKUP(D595,'PCI-Micro'!A:R,E595-2005,FALSE))</f>
        <v>41604</v>
      </c>
      <c r="L595" t="str">
        <f>IFERROR(IF(IFERROR(VLOOKUP($A595,Attendance2!$B:$H,5,FALSE),VLOOKUP($B595,Attendance2!$B:$H,5,FALSE))="","",IFERROR(VLOOKUP($A595,Attendance2!$B:$H,5,FALSE),VLOOKUP($B595,Attendance2!$B:$H,5,FALSE))),"")</f>
        <v/>
      </c>
    </row>
    <row r="596" spans="1:12">
      <c r="A596" t="s">
        <v>211</v>
      </c>
      <c r="B596" t="s">
        <v>211</v>
      </c>
      <c r="C596">
        <v>215770</v>
      </c>
      <c r="D596">
        <v>37980</v>
      </c>
      <c r="E596">
        <f t="shared" si="9"/>
        <v>2016</v>
      </c>
      <c r="F596" t="str">
        <f>IFERROR(IF(VLOOKUP(C596,TotalRev2!A:C,3,FALSE)="","",VLOOKUP(C596,TotalRev2!A:C,3,FALSE)),"")</f>
        <v/>
      </c>
      <c r="G596" t="str">
        <f>IFERROR(IF(VLOOKUP(C596,TotalRev1!A:C,3,FALSE)="","",VLOOKUP(C596,TotalRev1!A:C,3,FALSE)),"")</f>
        <v/>
      </c>
      <c r="H596" s="26" t="str">
        <f>IFERROR(IFERROR(VLOOKUP($A596,Winpct2!$A:$K,9,FALSE),VLOOKUP($B596,Winpct2!$A:$K,9,FALSE)),"")</f>
        <v/>
      </c>
      <c r="I596" t="str">
        <f>IFERROR(IFERROR(VLOOKUP($A596,Ra2W!$A:$K,6,FALSE),VLOOKUP($B596,Ra2W!$A:$K,6,FALSE)),"")</f>
        <v/>
      </c>
      <c r="J596">
        <f>IFERROR(VLOOKUP(D596,'Pop-Metro'!A:R,E596-2005,FALSE),VLOOKUP(D596,'Pop-Micro'!A:R,E596-2005,FALSE))</f>
        <v>6153468</v>
      </c>
      <c r="K596">
        <f>IFERROR(VLOOKUP(D596,'PCI-Metro'!A:R,E596-2005,FALSE),VLOOKUP(D596,'PCI-Micro'!A:R,E596-2005,FALSE))</f>
        <v>58589</v>
      </c>
      <c r="L596" t="str">
        <f>IFERROR(IF(IFERROR(VLOOKUP($A596,Attendance2!$B:$H,5,FALSE),VLOOKUP($B596,Attendance2!$B:$H,5,FALSE))="","",IFERROR(VLOOKUP($A596,Attendance2!$B:$H,5,FALSE),VLOOKUP($B596,Attendance2!$B:$H,5,FALSE))),"")</f>
        <v/>
      </c>
    </row>
    <row r="597" spans="1:12">
      <c r="A597" t="s">
        <v>212</v>
      </c>
      <c r="B597" t="s">
        <v>212</v>
      </c>
      <c r="C597">
        <v>179159</v>
      </c>
      <c r="D597">
        <v>41180</v>
      </c>
      <c r="E597">
        <f t="shared" si="9"/>
        <v>2016</v>
      </c>
      <c r="F597" t="str">
        <f>IFERROR(IF(VLOOKUP(C597,TotalRev2!A:C,3,FALSE)="","",VLOOKUP(C597,TotalRev2!A:C,3,FALSE)),"")</f>
        <v/>
      </c>
      <c r="G597" t="str">
        <f>IFERROR(IF(VLOOKUP(C597,TotalRev1!A:C,3,FALSE)="","",VLOOKUP(C597,TotalRev1!A:C,3,FALSE)),"")</f>
        <v/>
      </c>
      <c r="H597" s="26">
        <f>IFERROR(IFERROR(VLOOKUP($A597,Winpct2!$A:$K,9,FALSE),VLOOKUP($B597,Winpct2!$A:$K,9,FALSE)),"")</f>
        <v>0.68799999999999994</v>
      </c>
      <c r="I597">
        <f>IFERROR(IFERROR(VLOOKUP($A597,Ra2W!$A:$K,6,FALSE),VLOOKUP($B597,Ra2W!$A:$K,6,FALSE)),"")</f>
        <v>7092</v>
      </c>
      <c r="J597">
        <f>IFERROR(VLOOKUP(D597,'Pop-Metro'!A:R,E597-2005,FALSE),VLOOKUP(D597,'Pop-Micro'!A:R,E597-2005,FALSE))</f>
        <v>2815619</v>
      </c>
      <c r="K597">
        <f>IFERROR(VLOOKUP(D597,'PCI-Metro'!A:R,E597-2005,FALSE),VLOOKUP(D597,'PCI-Micro'!A:R,E597-2005,FALSE))</f>
        <v>50748</v>
      </c>
      <c r="L597">
        <f>IFERROR(IF(IFERROR(VLOOKUP($A597,Attendance2!$B:$H,5,FALSE),VLOOKUP($B597,Attendance2!$B:$H,5,FALSE))="","",IFERROR(VLOOKUP($A597,Attendance2!$B:$H,5,FALSE),VLOOKUP($B597,Attendance2!$B:$H,5,FALSE))),"")</f>
        <v>800</v>
      </c>
    </row>
    <row r="598" spans="1:12">
      <c r="A598" t="s">
        <v>213</v>
      </c>
      <c r="B598" t="s">
        <v>213</v>
      </c>
      <c r="C598">
        <v>123554</v>
      </c>
      <c r="D598">
        <v>41860</v>
      </c>
      <c r="E598">
        <f t="shared" si="9"/>
        <v>2016</v>
      </c>
      <c r="F598" t="str">
        <f>IFERROR(IF(VLOOKUP(C598,TotalRev2!A:C,3,FALSE)="","",VLOOKUP(C598,TotalRev2!A:C,3,FALSE)),"")</f>
        <v/>
      </c>
      <c r="G598" t="str">
        <f>IFERROR(IF(VLOOKUP(C598,TotalRev1!A:C,3,FALSE)="","",VLOOKUP(C598,TotalRev1!A:C,3,FALSE)),"")</f>
        <v/>
      </c>
      <c r="H598" s="26">
        <f>IFERROR(IFERROR(VLOOKUP($A598,Winpct2!$A:$K,9,FALSE),VLOOKUP($B598,Winpct2!$A:$K,9,FALSE)),"")</f>
        <v>0.214</v>
      </c>
      <c r="I598">
        <f>IFERROR(IFERROR(VLOOKUP($A598,Ra2W!$A:$K,6,FALSE),VLOOKUP($B598,Ra2W!$A:$K,6,FALSE)),"")</f>
        <v>3249</v>
      </c>
      <c r="J598">
        <f>IFERROR(VLOOKUP(D598,'Pop-Metro'!A:R,E598-2005,FALSE),VLOOKUP(D598,'Pop-Micro'!A:R,E598-2005,FALSE))</f>
        <v>4713129</v>
      </c>
      <c r="K598">
        <f>IFERROR(VLOOKUP(D598,'PCI-Metro'!A:R,E598-2005,FALSE),VLOOKUP(D598,'PCI-Micro'!A:R,E598-2005,FALSE))</f>
        <v>83812</v>
      </c>
      <c r="L598">
        <f>IFERROR(IF(IFERROR(VLOOKUP($A598,Attendance2!$B:$H,5,FALSE),VLOOKUP($B598,Attendance2!$B:$H,5,FALSE))="","",IFERROR(VLOOKUP($A598,Attendance2!$B:$H,5,FALSE),VLOOKUP($B598,Attendance2!$B:$H,5,FALSE))),"")</f>
        <v>3500</v>
      </c>
    </row>
    <row r="599" spans="1:12">
      <c r="A599" t="s">
        <v>214</v>
      </c>
      <c r="B599" t="s">
        <v>214</v>
      </c>
      <c r="C599">
        <v>186432</v>
      </c>
      <c r="D599">
        <v>35620</v>
      </c>
      <c r="E599">
        <f t="shared" si="9"/>
        <v>2016</v>
      </c>
      <c r="F599" t="str">
        <f>IFERROR(IF(VLOOKUP(C599,TotalRev2!A:C,3,FALSE)="","",VLOOKUP(C599,TotalRev2!A:C,3,FALSE)),"")</f>
        <v/>
      </c>
      <c r="G599" t="str">
        <f>IFERROR(IF(VLOOKUP(C599,TotalRev1!A:C,3,FALSE)="","",VLOOKUP(C599,TotalRev1!A:C,3,FALSE)),"")</f>
        <v/>
      </c>
      <c r="H599" s="26">
        <f>IFERROR(IFERROR(VLOOKUP($A599,Winpct2!$A:$K,9,FALSE),VLOOKUP($B599,Winpct2!$A:$K,9,FALSE)),"")</f>
        <v>0.14299999999999999</v>
      </c>
      <c r="I599">
        <f>IFERROR(IFERROR(VLOOKUP($A599,Ra2W!$A:$K,6,FALSE),VLOOKUP($B599,Ra2W!$A:$K,6,FALSE)),"")</f>
        <v>1606</v>
      </c>
      <c r="J599">
        <f>IFERROR(VLOOKUP(D599,'Pop-Metro'!A:R,E599-2005,FALSE),VLOOKUP(D599,'Pop-Micro'!A:R,E599-2005,FALSE))</f>
        <v>19943198</v>
      </c>
      <c r="K599">
        <f>IFERROR(VLOOKUP(D599,'PCI-Metro'!A:R,E599-2005,FALSE),VLOOKUP(D599,'PCI-Micro'!A:R,E599-2005,FALSE))</f>
        <v>64886</v>
      </c>
      <c r="L599">
        <f>IFERROR(IF(IFERROR(VLOOKUP($A599,Attendance2!$B:$H,5,FALSE),VLOOKUP($B599,Attendance2!$B:$H,5,FALSE))="","",IFERROR(VLOOKUP($A599,Attendance2!$B:$H,5,FALSE),VLOOKUP($B599,Attendance2!$B:$H,5,FALSE))),"")</f>
        <v>3200</v>
      </c>
    </row>
    <row r="600" spans="1:12">
      <c r="A600" t="s">
        <v>215</v>
      </c>
      <c r="B600" t="s">
        <v>1249</v>
      </c>
      <c r="C600">
        <v>227881</v>
      </c>
      <c r="D600">
        <v>26660</v>
      </c>
      <c r="E600">
        <f t="shared" si="9"/>
        <v>2016</v>
      </c>
      <c r="F600">
        <f>IFERROR(IF(VLOOKUP(C600,TotalRev2!A:C,3,FALSE)="","",VLOOKUP(C600,TotalRev2!A:C,3,FALSE)),"")</f>
        <v>23236</v>
      </c>
      <c r="G600">
        <f>IFERROR(IF(VLOOKUP(C600,TotalRev1!A:C,3,FALSE)="","",VLOOKUP(C600,TotalRev1!A:C,3,FALSE)),"")</f>
        <v>14190</v>
      </c>
      <c r="H600" s="26">
        <f>IFERROR(IFERROR(VLOOKUP($A600,Winpct2!$A:$K,9,FALSE),VLOOKUP($B600,Winpct2!$A:$K,9,FALSE)),"")</f>
        <v>0.438</v>
      </c>
      <c r="I600">
        <f>IFERROR(IFERROR(VLOOKUP($A600,Ra2W!$A:$K,6,FALSE),VLOOKUP($B600,Ra2W!$A:$K,6,FALSE)),"")</f>
        <v>6589</v>
      </c>
      <c r="J600">
        <f>IFERROR(VLOOKUP(D600,'Pop-Metro'!A:R,E600-2005,FALSE),VLOOKUP(D600,'Pop-Micro'!A:R,E600-2005,FALSE))</f>
        <v>74442</v>
      </c>
      <c r="K600">
        <f>IFERROR(VLOOKUP(D600,'PCI-Metro'!A:R,E600-2005,FALSE),VLOOKUP(D600,'PCI-Micro'!A:R,E600-2005,FALSE))</f>
        <v>25966</v>
      </c>
      <c r="L600">
        <f>IFERROR(IF(IFERROR(VLOOKUP($A600,Attendance2!$B:$H,5,FALSE),VLOOKUP($B600,Attendance2!$B:$H,5,FALSE))="","",IFERROR(VLOOKUP($A600,Attendance2!$B:$H,5,FALSE),VLOOKUP($B600,Attendance2!$B:$H,5,FALSE))),"")</f>
        <v>6100</v>
      </c>
    </row>
    <row r="601" spans="1:12">
      <c r="A601" t="s">
        <v>216</v>
      </c>
      <c r="B601" t="s">
        <v>216</v>
      </c>
      <c r="C601">
        <v>102049</v>
      </c>
      <c r="D601">
        <v>13820</v>
      </c>
      <c r="E601">
        <f t="shared" si="9"/>
        <v>2016</v>
      </c>
      <c r="F601" t="str">
        <f>IFERROR(IF(VLOOKUP(C601,TotalRev2!A:C,3,FALSE)="","",VLOOKUP(C601,TotalRev2!A:C,3,FALSE)),"")</f>
        <v/>
      </c>
      <c r="G601" t="str">
        <f>IFERROR(IF(VLOOKUP(C601,TotalRev1!A:C,3,FALSE)="","",VLOOKUP(C601,TotalRev1!A:C,3,FALSE)),"")</f>
        <v/>
      </c>
      <c r="H601" s="26">
        <f>IFERROR(IFERROR(VLOOKUP($A601,Winpct2!$A:$K,9,FALSE),VLOOKUP($B601,Winpct2!$A:$K,9,FALSE)),"")</f>
        <v>0.55600000000000005</v>
      </c>
      <c r="I601">
        <f>IFERROR(IFERROR(VLOOKUP($A601,Ra2W!$A:$K,6,FALSE),VLOOKUP($B601,Ra2W!$A:$K,6,FALSE)),"")</f>
        <v>2279</v>
      </c>
      <c r="J601">
        <f>IFERROR(VLOOKUP(D601,'Pop-Metro'!A:R,E601-2005,FALSE),VLOOKUP(D601,'Pop-Micro'!A:R,E601-2005,FALSE))</f>
        <v>1097647</v>
      </c>
      <c r="K601">
        <f>IFERROR(VLOOKUP(D601,'PCI-Metro'!A:R,E601-2005,FALSE),VLOOKUP(D601,'PCI-Micro'!A:R,E601-2005,FALSE))</f>
        <v>46011</v>
      </c>
      <c r="L601">
        <f>IFERROR(IF(IFERROR(VLOOKUP($A601,Attendance2!$B:$H,5,FALSE),VLOOKUP($B601,Attendance2!$B:$H,5,FALSE))="","",IFERROR(VLOOKUP($A601,Attendance2!$B:$H,5,FALSE),VLOOKUP($B601,Attendance2!$B:$H,5,FALSE))),"")</f>
        <v>5000</v>
      </c>
    </row>
    <row r="602" spans="1:12">
      <c r="A602" t="s">
        <v>217</v>
      </c>
      <c r="B602" t="s">
        <v>217</v>
      </c>
      <c r="C602">
        <v>122436</v>
      </c>
      <c r="D602">
        <v>41740</v>
      </c>
      <c r="E602">
        <f t="shared" si="9"/>
        <v>2016</v>
      </c>
      <c r="F602" t="str">
        <f>IFERROR(IF(VLOOKUP(C602,TotalRev2!A:C,3,FALSE)="","",VLOOKUP(C602,TotalRev2!A:C,3,FALSE)),"")</f>
        <v/>
      </c>
      <c r="G602" t="str">
        <f>IFERROR(IF(VLOOKUP(C602,TotalRev1!A:C,3,FALSE)="","",VLOOKUP(C602,TotalRev1!A:C,3,FALSE)),"")</f>
        <v/>
      </c>
      <c r="H602" s="26">
        <f>IFERROR(IFERROR(VLOOKUP($A602,Winpct2!$A:$K,9,FALSE),VLOOKUP($B602,Winpct2!$A:$K,9,FALSE)),"")</f>
        <v>0.68799999999999994</v>
      </c>
      <c r="I602">
        <f>IFERROR(IFERROR(VLOOKUP($A602,Ra2W!$A:$K,6,FALSE),VLOOKUP($B602,Ra2W!$A:$K,6,FALSE)),"")</f>
        <v>5893</v>
      </c>
      <c r="J602">
        <f>IFERROR(VLOOKUP(D602,'Pop-Metro'!A:R,E602-2005,FALSE),VLOOKUP(D602,'Pop-Micro'!A:R,E602-2005,FALSE))</f>
        <v>3283586</v>
      </c>
      <c r="K602">
        <f>IFERROR(VLOOKUP(D602,'PCI-Metro'!A:R,E602-2005,FALSE),VLOOKUP(D602,'PCI-Micro'!A:R,E602-2005,FALSE))</f>
        <v>55074</v>
      </c>
      <c r="L602">
        <f>IFERROR(IF(IFERROR(VLOOKUP($A602,Attendance2!$B:$H,5,FALSE),VLOOKUP($B602,Attendance2!$B:$H,5,FALSE))="","",IFERROR(VLOOKUP($A602,Attendance2!$B:$H,5,FALSE),VLOOKUP($B602,Attendance2!$B:$H,5,FALSE))),"")</f>
        <v>5100</v>
      </c>
    </row>
    <row r="603" spans="1:12">
      <c r="A603" t="s">
        <v>218</v>
      </c>
      <c r="B603" t="s">
        <v>218</v>
      </c>
      <c r="C603">
        <v>122409</v>
      </c>
      <c r="D603">
        <v>41740</v>
      </c>
      <c r="E603">
        <f t="shared" si="9"/>
        <v>2016</v>
      </c>
      <c r="F603">
        <f>IFERROR(IF(VLOOKUP(C603,TotalRev2!A:C,3,FALSE)="","",VLOOKUP(C603,TotalRev2!A:C,3,FALSE)),"")</f>
        <v>943696</v>
      </c>
      <c r="G603">
        <f>IFERROR(IF(VLOOKUP(C603,TotalRev1!A:C,3,FALSE)="","",VLOOKUP(C603,TotalRev1!A:C,3,FALSE)),"")</f>
        <v>897319</v>
      </c>
      <c r="H603" s="26">
        <f>IFERROR(IFERROR(VLOOKUP($A603,Winpct2!$A:$K,9,FALSE),VLOOKUP($B603,Winpct2!$A:$K,9,FALSE)),"")</f>
        <v>0.38700000000000001</v>
      </c>
      <c r="I603">
        <f>IFERROR(IFERROR(VLOOKUP($A603,Ra2W!$A:$K,6,FALSE),VLOOKUP($B603,Ra2W!$A:$K,6,FALSE)),"")</f>
        <v>4176</v>
      </c>
      <c r="J603">
        <f>IFERROR(VLOOKUP(D603,'Pop-Metro'!A:R,E603-2005,FALSE),VLOOKUP(D603,'Pop-Micro'!A:R,E603-2005,FALSE))</f>
        <v>3283586</v>
      </c>
      <c r="K603">
        <f>IFERROR(VLOOKUP(D603,'PCI-Metro'!A:R,E603-2005,FALSE),VLOOKUP(D603,'PCI-Micro'!A:R,E603-2005,FALSE))</f>
        <v>55074</v>
      </c>
      <c r="L603">
        <f>IFERROR(IF(IFERROR(VLOOKUP($A603,Attendance2!$B:$H,5,FALSE),VLOOKUP($B603,Attendance2!$B:$H,5,FALSE))="","",IFERROR(VLOOKUP($A603,Attendance2!$B:$H,5,FALSE),VLOOKUP($B603,Attendance2!$B:$H,5,FALSE))),"")</f>
        <v>2500</v>
      </c>
    </row>
    <row r="604" spans="1:12">
      <c r="A604" t="s">
        <v>1301</v>
      </c>
      <c r="B604" t="s">
        <v>1301</v>
      </c>
      <c r="C604">
        <v>122612</v>
      </c>
      <c r="D604">
        <v>41860</v>
      </c>
      <c r="E604">
        <f t="shared" si="9"/>
        <v>2016</v>
      </c>
      <c r="F604" t="str">
        <f>IFERROR(IF(VLOOKUP(C604,TotalRev2!A:C,3,FALSE)="","",VLOOKUP(C604,TotalRev2!A:C,3,FALSE)),"")</f>
        <v/>
      </c>
      <c r="G604" t="str">
        <f>IFERROR(IF(VLOOKUP(C604,TotalRev1!A:C,3,FALSE)="","",VLOOKUP(C604,TotalRev1!A:C,3,FALSE)),"")</f>
        <v/>
      </c>
      <c r="H604" s="26">
        <f>IFERROR(IFERROR(VLOOKUP($A604,Winpct2!$A:$K,9,FALSE),VLOOKUP($B604,Winpct2!$A:$K,9,FALSE)),"")</f>
        <v>0.54800000000000004</v>
      </c>
      <c r="I604">
        <f>IFERROR(IFERROR(VLOOKUP($A604,Ra2W!$A:$K,6,FALSE),VLOOKUP($B604,Ra2W!$A:$K,6,FALSE)),"")</f>
        <v>4462</v>
      </c>
      <c r="J604">
        <f>IFERROR(VLOOKUP(D604,'Pop-Metro'!A:R,E604-2005,FALSE),VLOOKUP(D604,'Pop-Micro'!A:R,E604-2005,FALSE))</f>
        <v>4713129</v>
      </c>
      <c r="K604">
        <f>IFERROR(VLOOKUP(D604,'PCI-Metro'!A:R,E604-2005,FALSE),VLOOKUP(D604,'PCI-Micro'!A:R,E604-2005,FALSE))</f>
        <v>83812</v>
      </c>
      <c r="L604">
        <f>IFERROR(IF(IFERROR(VLOOKUP($A604,Attendance2!$B:$H,5,FALSE),VLOOKUP($B604,Attendance2!$B:$H,5,FALSE))="","",IFERROR(VLOOKUP($A604,Attendance2!$B:$H,5,FALSE),VLOOKUP($B604,Attendance2!$B:$H,5,FALSE))),"")</f>
        <v>5300</v>
      </c>
    </row>
    <row r="605" spans="1:12">
      <c r="A605" t="s">
        <v>219</v>
      </c>
      <c r="B605" t="s">
        <v>219</v>
      </c>
      <c r="C605">
        <v>122755</v>
      </c>
      <c r="D605">
        <v>41940</v>
      </c>
      <c r="E605">
        <f t="shared" si="9"/>
        <v>2016</v>
      </c>
      <c r="F605">
        <f>IFERROR(IF(VLOOKUP(C605,TotalRev2!A:C,3,FALSE)="","",VLOOKUP(C605,TotalRev2!A:C,3,FALSE)),"")</f>
        <v>37041</v>
      </c>
      <c r="G605">
        <f>IFERROR(IF(VLOOKUP(C605,TotalRev1!A:C,3,FALSE)="","",VLOOKUP(C605,TotalRev1!A:C,3,FALSE)),"")</f>
        <v>22414</v>
      </c>
      <c r="H605" s="26">
        <f>IFERROR(IFERROR(VLOOKUP($A605,Winpct2!$A:$K,9,FALSE),VLOOKUP($B605,Winpct2!$A:$K,9,FALSE)),"")</f>
        <v>0.41899999999999998</v>
      </c>
      <c r="I605">
        <f>IFERROR(IFERROR(VLOOKUP($A605,Ra2W!$A:$K,6,FALSE),VLOOKUP($B605,Ra2W!$A:$K,6,FALSE)),"")</f>
        <v>3867</v>
      </c>
      <c r="J605">
        <f>IFERROR(VLOOKUP(D605,'Pop-Metro'!A:R,E605-2005,FALSE),VLOOKUP(D605,'Pop-Micro'!A:R,E605-2005,FALSE))</f>
        <v>2001778</v>
      </c>
      <c r="K605">
        <f>IFERROR(VLOOKUP(D605,'PCI-Metro'!A:R,E605-2005,FALSE),VLOOKUP(D605,'PCI-Micro'!A:R,E605-2005,FALSE))</f>
        <v>88801</v>
      </c>
      <c r="L605">
        <f>IFERROR(IF(IFERROR(VLOOKUP($A605,Attendance2!$B:$H,5,FALSE),VLOOKUP($B605,Attendance2!$B:$H,5,FALSE))="","",IFERROR(VLOOKUP($A605,Attendance2!$B:$H,5,FALSE),VLOOKUP($B605,Attendance2!$B:$H,5,FALSE))),"")</f>
        <v>1200</v>
      </c>
    </row>
    <row r="606" spans="1:12">
      <c r="A606" t="s">
        <v>220</v>
      </c>
      <c r="B606" t="s">
        <v>220</v>
      </c>
      <c r="C606">
        <v>122931</v>
      </c>
      <c r="D606">
        <v>41940</v>
      </c>
      <c r="E606">
        <f t="shared" si="9"/>
        <v>2016</v>
      </c>
      <c r="F606" t="str">
        <f>IFERROR(IF(VLOOKUP(C606,TotalRev2!A:C,3,FALSE)="","",VLOOKUP(C606,TotalRev2!A:C,3,FALSE)),"")</f>
        <v/>
      </c>
      <c r="G606" t="str">
        <f>IFERROR(IF(VLOOKUP(C606,TotalRev1!A:C,3,FALSE)="","",VLOOKUP(C606,TotalRev1!A:C,3,FALSE)),"")</f>
        <v/>
      </c>
      <c r="H606" s="26">
        <f>IFERROR(IFERROR(VLOOKUP($A606,Winpct2!$A:$K,9,FALSE),VLOOKUP($B606,Winpct2!$A:$K,9,FALSE)),"")</f>
        <v>0.71</v>
      </c>
      <c r="I606">
        <f>IFERROR(IFERROR(VLOOKUP($A606,Ra2W!$A:$K,6,FALSE),VLOOKUP($B606,Ra2W!$A:$K,6,FALSE)),"")</f>
        <v>3484</v>
      </c>
      <c r="J606">
        <f>IFERROR(VLOOKUP(D606,'Pop-Metro'!A:R,E606-2005,FALSE),VLOOKUP(D606,'Pop-Micro'!A:R,E606-2005,FALSE))</f>
        <v>2001778</v>
      </c>
      <c r="K606">
        <f>IFERROR(VLOOKUP(D606,'PCI-Metro'!A:R,E606-2005,FALSE),VLOOKUP(D606,'PCI-Micro'!A:R,E606-2005,FALSE))</f>
        <v>88801</v>
      </c>
      <c r="L606">
        <f>IFERROR(IF(IFERROR(VLOOKUP($A606,Attendance2!$B:$H,5,FALSE),VLOOKUP($B606,Attendance2!$B:$H,5,FALSE))="","",IFERROR(VLOOKUP($A606,Attendance2!$B:$H,5,FALSE),VLOOKUP($B606,Attendance2!$B:$H,5,FALSE))),"")</f>
        <v>4200</v>
      </c>
    </row>
    <row r="607" spans="1:12">
      <c r="A607" t="s">
        <v>221</v>
      </c>
      <c r="B607" t="s">
        <v>221</v>
      </c>
      <c r="C607">
        <v>236595</v>
      </c>
      <c r="D607">
        <v>42660</v>
      </c>
      <c r="E607">
        <f t="shared" si="9"/>
        <v>2016</v>
      </c>
      <c r="F607" t="str">
        <f>IFERROR(IF(VLOOKUP(C607,TotalRev2!A:C,3,FALSE)="","",VLOOKUP(C607,TotalRev2!A:C,3,FALSE)),"")</f>
        <v/>
      </c>
      <c r="G607" t="str">
        <f>IFERROR(IF(VLOOKUP(C607,TotalRev1!A:C,3,FALSE)="","",VLOOKUP(C607,TotalRev1!A:C,3,FALSE)),"")</f>
        <v/>
      </c>
      <c r="H607" s="26">
        <f>IFERROR(IFERROR(VLOOKUP($A607,Winpct2!$A:$K,9,FALSE),VLOOKUP($B607,Winpct2!$A:$K,9,FALSE)),"")</f>
        <v>0.621</v>
      </c>
      <c r="I607">
        <f>IFERROR(IFERROR(VLOOKUP($A607,Ra2W!$A:$K,6,FALSE),VLOOKUP($B607,Ra2W!$A:$K,6,FALSE)),"")</f>
        <v>1343</v>
      </c>
      <c r="J607">
        <f>IFERROR(VLOOKUP(D607,'Pop-Metro'!A:R,E607-2005,FALSE),VLOOKUP(D607,'Pop-Micro'!A:R,E607-2005,FALSE))</f>
        <v>3824014</v>
      </c>
      <c r="K607">
        <f>IFERROR(VLOOKUP(D607,'PCI-Metro'!A:R,E607-2005,FALSE),VLOOKUP(D607,'PCI-Micro'!A:R,E607-2005,FALSE))</f>
        <v>64639</v>
      </c>
      <c r="L607">
        <f>IFERROR(IF(IFERROR(VLOOKUP($A607,Attendance2!$B:$H,5,FALSE),VLOOKUP($B607,Attendance2!$B:$H,5,FALSE))="","",IFERROR(VLOOKUP($A607,Attendance2!$B:$H,5,FALSE),VLOOKUP($B607,Attendance2!$B:$H,5,FALSE))),"")</f>
        <v>1000</v>
      </c>
    </row>
    <row r="608" spans="1:12">
      <c r="A608" t="s">
        <v>222</v>
      </c>
      <c r="B608" t="s">
        <v>222</v>
      </c>
      <c r="C608">
        <v>186584</v>
      </c>
      <c r="D608">
        <v>35620</v>
      </c>
      <c r="E608">
        <f t="shared" si="9"/>
        <v>2016</v>
      </c>
      <c r="F608" t="str">
        <f>IFERROR(IF(VLOOKUP(C608,TotalRev2!A:C,3,FALSE)="","",VLOOKUP(C608,TotalRev2!A:C,3,FALSE)),"")</f>
        <v/>
      </c>
      <c r="G608" t="str">
        <f>IFERROR(IF(VLOOKUP(C608,TotalRev1!A:C,3,FALSE)="","",VLOOKUP(C608,TotalRev1!A:C,3,FALSE)),"")</f>
        <v/>
      </c>
      <c r="H608" s="26">
        <f>IFERROR(IFERROR(VLOOKUP($A608,Winpct2!$A:$K,9,FALSE),VLOOKUP($B608,Winpct2!$A:$K,9,FALSE)),"")</f>
        <v>0.46700000000000003</v>
      </c>
      <c r="I608">
        <f>IFERROR(IFERROR(VLOOKUP($A608,Ra2W!$A:$K,6,FALSE),VLOOKUP($B608,Ra2W!$A:$K,6,FALSE)),"")</f>
        <v>3792</v>
      </c>
      <c r="J608">
        <f>IFERROR(VLOOKUP(D608,'Pop-Metro'!A:R,E608-2005,FALSE),VLOOKUP(D608,'Pop-Micro'!A:R,E608-2005,FALSE))</f>
        <v>19943198</v>
      </c>
      <c r="K608">
        <f>IFERROR(VLOOKUP(D608,'PCI-Metro'!A:R,E608-2005,FALSE),VLOOKUP(D608,'PCI-Micro'!A:R,E608-2005,FALSE))</f>
        <v>64886</v>
      </c>
      <c r="L608">
        <f>IFERROR(IF(IFERROR(VLOOKUP($A608,Attendance2!$B:$H,5,FALSE),VLOOKUP($B608,Attendance2!$B:$H,5,FALSE))="","",IFERROR(VLOOKUP($A608,Attendance2!$B:$H,5,FALSE),VLOOKUP($B608,Attendance2!$B:$H,5,FALSE))),"")</f>
        <v>2600</v>
      </c>
    </row>
    <row r="609" spans="1:12">
      <c r="A609" t="s">
        <v>223</v>
      </c>
      <c r="B609" t="s">
        <v>223</v>
      </c>
      <c r="C609">
        <v>228431</v>
      </c>
      <c r="D609">
        <v>34860</v>
      </c>
      <c r="E609">
        <f t="shared" si="9"/>
        <v>2016</v>
      </c>
      <c r="F609">
        <f>IFERROR(IF(VLOOKUP(C609,TotalRev2!A:C,3,FALSE)="","",VLOOKUP(C609,TotalRev2!A:C,3,FALSE)),"")</f>
        <v>543747</v>
      </c>
      <c r="G609">
        <f>IFERROR(IF(VLOOKUP(C609,TotalRev1!A:C,3,FALSE)="","",VLOOKUP(C609,TotalRev1!A:C,3,FALSE)),"")</f>
        <v>506575</v>
      </c>
      <c r="H609" s="26">
        <f>IFERROR(IFERROR(VLOOKUP($A609,Winpct2!$A:$K,9,FALSE),VLOOKUP($B609,Winpct2!$A:$K,9,FALSE)),"")</f>
        <v>0.58799999999999997</v>
      </c>
      <c r="I609">
        <f>IFERROR(IFERROR(VLOOKUP($A609,Ra2W!$A:$K,6,FALSE),VLOOKUP($B609,Ra2W!$A:$K,6,FALSE)),"")</f>
        <v>3893</v>
      </c>
      <c r="J609">
        <f>IFERROR(VLOOKUP(D609,'Pop-Metro'!A:R,E609-2005,FALSE),VLOOKUP(D609,'Pop-Micro'!A:R,E609-2005,FALSE))</f>
        <v>65455</v>
      </c>
      <c r="K609">
        <f>IFERROR(VLOOKUP(D609,'PCI-Metro'!A:R,E609-2005,FALSE),VLOOKUP(D609,'PCI-Micro'!A:R,E609-2005,FALSE))</f>
        <v>34686</v>
      </c>
      <c r="L609">
        <f>IFERROR(IF(IFERROR(VLOOKUP($A609,Attendance2!$B:$H,5,FALSE),VLOOKUP($B609,Attendance2!$B:$H,5,FALSE))="","",IFERROR(VLOOKUP($A609,Attendance2!$B:$H,5,FALSE),VLOOKUP($B609,Attendance2!$B:$H,5,FALSE))),"")</f>
        <v>600</v>
      </c>
    </row>
    <row r="610" spans="1:12">
      <c r="A610" t="s">
        <v>224</v>
      </c>
      <c r="B610" t="s">
        <v>224</v>
      </c>
      <c r="C610">
        <v>195474</v>
      </c>
      <c r="D610">
        <v>10580</v>
      </c>
      <c r="E610">
        <f t="shared" si="9"/>
        <v>2016</v>
      </c>
      <c r="F610" t="str">
        <f>IFERROR(IF(VLOOKUP(C610,TotalRev2!A:C,3,FALSE)="","",VLOOKUP(C610,TotalRev2!A:C,3,FALSE)),"")</f>
        <v/>
      </c>
      <c r="G610" t="str">
        <f>IFERROR(IF(VLOOKUP(C610,TotalRev1!A:C,3,FALSE)="","",VLOOKUP(C610,TotalRev1!A:C,3,FALSE)),"")</f>
        <v/>
      </c>
      <c r="H610" s="26">
        <f>IFERROR(IFERROR(VLOOKUP($A610,Winpct2!$A:$K,9,FALSE),VLOOKUP($B610,Winpct2!$A:$K,9,FALSE)),"")</f>
        <v>0.55200000000000005</v>
      </c>
      <c r="I610">
        <f>IFERROR(IFERROR(VLOOKUP($A610,Ra2W!$A:$K,6,FALSE),VLOOKUP($B610,Ra2W!$A:$K,6,FALSE)),"")</f>
        <v>1095</v>
      </c>
      <c r="J610">
        <f>IFERROR(VLOOKUP(D610,'Pop-Metro'!A:R,E610-2005,FALSE),VLOOKUP(D610,'Pop-Micro'!A:R,E610-2005,FALSE))</f>
        <v>892762</v>
      </c>
      <c r="K610">
        <f>IFERROR(VLOOKUP(D610,'PCI-Metro'!A:R,E610-2005,FALSE),VLOOKUP(D610,'PCI-Micro'!A:R,E610-2005,FALSE))</f>
        <v>51996</v>
      </c>
      <c r="L610">
        <f>IFERROR(IF(IFERROR(VLOOKUP($A610,Attendance2!$B:$H,5,FALSE),VLOOKUP($B610,Attendance2!$B:$H,5,FALSE))="","",IFERROR(VLOOKUP($A610,Attendance2!$B:$H,5,FALSE),VLOOKUP($B610,Attendance2!$B:$H,5,FALSE))),"")</f>
        <v>4000</v>
      </c>
    </row>
    <row r="611" spans="1:12">
      <c r="A611" t="s">
        <v>225</v>
      </c>
      <c r="B611" t="s">
        <v>225</v>
      </c>
      <c r="C611">
        <v>149231</v>
      </c>
      <c r="D611">
        <v>41180</v>
      </c>
      <c r="E611">
        <f t="shared" ref="E611:E674" si="10">E610</f>
        <v>2016</v>
      </c>
      <c r="F611">
        <f>IFERROR(IF(VLOOKUP(C611,TotalRev2!A:C,3,FALSE)="","",VLOOKUP(C611,TotalRev2!A:C,3,FALSE)),"")</f>
        <v>444097</v>
      </c>
      <c r="G611">
        <f>IFERROR(IF(VLOOKUP(C611,TotalRev1!A:C,3,FALSE)="","",VLOOKUP(C611,TotalRev1!A:C,3,FALSE)),"")</f>
        <v>377824</v>
      </c>
      <c r="H611" s="26">
        <f>IFERROR(IFERROR(VLOOKUP($A611,Winpct2!$A:$K,9,FALSE),VLOOKUP($B611,Winpct2!$A:$K,9,FALSE)),"")</f>
        <v>0.308</v>
      </c>
      <c r="I611">
        <f>IFERROR(IFERROR(VLOOKUP($A611,Ra2W!$A:$K,6,FALSE),VLOOKUP($B611,Ra2W!$A:$K,6,FALSE)),"")</f>
        <v>3240</v>
      </c>
      <c r="J611">
        <f>IFERROR(VLOOKUP(D611,'Pop-Metro'!A:R,E611-2005,FALSE),VLOOKUP(D611,'Pop-Micro'!A:R,E611-2005,FALSE))</f>
        <v>2815619</v>
      </c>
      <c r="K611">
        <f>IFERROR(VLOOKUP(D611,'PCI-Metro'!A:R,E611-2005,FALSE),VLOOKUP(D611,'PCI-Micro'!A:R,E611-2005,FALSE))</f>
        <v>50748</v>
      </c>
      <c r="L611">
        <f>IFERROR(IF(IFERROR(VLOOKUP($A611,Attendance2!$B:$H,5,FALSE),VLOOKUP($B611,Attendance2!$B:$H,5,FALSE))="","",IFERROR(VLOOKUP($A611,Attendance2!$B:$H,5,FALSE),VLOOKUP($B611,Attendance2!$B:$H,5,FALSE))),"")</f>
        <v>4000</v>
      </c>
    </row>
    <row r="612" spans="1:12">
      <c r="A612" t="s">
        <v>1302</v>
      </c>
      <c r="B612" t="s">
        <v>1302</v>
      </c>
      <c r="C612">
        <v>228246</v>
      </c>
      <c r="D612">
        <v>19100</v>
      </c>
      <c r="E612">
        <f t="shared" si="10"/>
        <v>2016</v>
      </c>
      <c r="F612" t="str">
        <f>IFERROR(IF(VLOOKUP(C612,TotalRev2!A:C,3,FALSE)="","",VLOOKUP(C612,TotalRev2!A:C,3,FALSE)),"")</f>
        <v/>
      </c>
      <c r="G612" t="str">
        <f>IFERROR(IF(VLOOKUP(C612,TotalRev1!A:C,3,FALSE)="","",VLOOKUP(C612,TotalRev1!A:C,3,FALSE)),"")</f>
        <v/>
      </c>
      <c r="H612" s="26">
        <f>IFERROR(IFERROR(VLOOKUP($A612,Winpct2!$A:$K,9,FALSE),VLOOKUP($B612,Winpct2!$A:$K,9,FALSE)),"")</f>
        <v>0.81799999999999995</v>
      </c>
      <c r="I612">
        <f>IFERROR(IFERROR(VLOOKUP($A612,Ra2W!$A:$K,6,FALSE),VLOOKUP($B612,Ra2W!$A:$K,6,FALSE)),"")</f>
        <v>6222</v>
      </c>
      <c r="J612">
        <f>IFERROR(VLOOKUP(D612,'Pop-Metro'!A:R,E612-2005,FALSE),VLOOKUP(D612,'Pop-Micro'!A:R,E612-2005,FALSE))</f>
        <v>7176620</v>
      </c>
      <c r="K612">
        <f>IFERROR(VLOOKUP(D612,'PCI-Metro'!A:R,E612-2005,FALSE),VLOOKUP(D612,'PCI-Micro'!A:R,E612-2005,FALSE))</f>
        <v>51451</v>
      </c>
      <c r="L612">
        <f>IFERROR(IF(IFERROR(VLOOKUP($A612,Attendance2!$B:$H,5,FALSE),VLOOKUP($B612,Attendance2!$B:$H,5,FALSE))="","",IFERROR(VLOOKUP($A612,Attendance2!$B:$H,5,FALSE),VLOOKUP($B612,Attendance2!$B:$H,5,FALSE))),"")</f>
        <v>8998</v>
      </c>
    </row>
    <row r="613" spans="1:12">
      <c r="A613" t="s">
        <v>226</v>
      </c>
      <c r="B613" t="s">
        <v>226</v>
      </c>
      <c r="C613">
        <v>102094</v>
      </c>
      <c r="D613">
        <v>33660</v>
      </c>
      <c r="E613">
        <f t="shared" si="10"/>
        <v>2016</v>
      </c>
      <c r="F613" t="str">
        <f>IFERROR(IF(VLOOKUP(C613,TotalRev2!A:C,3,FALSE)="","",VLOOKUP(C613,TotalRev2!A:C,3,FALSE)),"")</f>
        <v/>
      </c>
      <c r="G613" t="str">
        <f>IFERROR(IF(VLOOKUP(C613,TotalRev1!A:C,3,FALSE)="","",VLOOKUP(C613,TotalRev1!A:C,3,FALSE)),"")</f>
        <v/>
      </c>
      <c r="H613" s="26">
        <f>IFERROR(IFERROR(VLOOKUP($A613,Winpct2!$A:$K,9,FALSE),VLOOKUP($B613,Winpct2!$A:$K,9,FALSE)),"")</f>
        <v>0.46400000000000002</v>
      </c>
      <c r="I613">
        <f>IFERROR(IFERROR(VLOOKUP($A613,Ra2W!$A:$K,6,FALSE),VLOOKUP($B613,Ra2W!$A:$K,6,FALSE)),"")</f>
        <v>3480</v>
      </c>
      <c r="J613">
        <f>IFERROR(VLOOKUP(D613,'Pop-Metro'!A:R,E613-2005,FALSE),VLOOKUP(D613,'Pop-Micro'!A:R,E613-2005,FALSE))</f>
        <v>432476</v>
      </c>
      <c r="K613">
        <f>IFERROR(VLOOKUP(D613,'PCI-Metro'!A:R,E613-2005,FALSE),VLOOKUP(D613,'PCI-Micro'!A:R,E613-2005,FALSE))</f>
        <v>35903</v>
      </c>
      <c r="L613">
        <f>IFERROR(IF(IFERROR(VLOOKUP($A613,Attendance2!$B:$H,5,FALSE),VLOOKUP($B613,Attendance2!$B:$H,5,FALSE))="","",IFERROR(VLOOKUP($A613,Attendance2!$B:$H,5,FALSE),VLOOKUP($B613,Attendance2!$B:$H,5,FALSE))),"")</f>
        <v>800</v>
      </c>
    </row>
    <row r="614" spans="1:12">
      <c r="A614" t="s">
        <v>227</v>
      </c>
      <c r="B614" t="s">
        <v>227</v>
      </c>
      <c r="C614">
        <v>218663</v>
      </c>
      <c r="D614">
        <v>17900</v>
      </c>
      <c r="E614">
        <f t="shared" si="10"/>
        <v>2016</v>
      </c>
      <c r="F614">
        <f>IFERROR(IF(VLOOKUP(C614,TotalRev2!A:C,3,FALSE)="","",VLOOKUP(C614,TotalRev2!A:C,3,FALSE)),"")</f>
        <v>131737</v>
      </c>
      <c r="G614">
        <f>IFERROR(IF(VLOOKUP(C614,TotalRev1!A:C,3,FALSE)="","",VLOOKUP(C614,TotalRev1!A:C,3,FALSE)),"")</f>
        <v>190009</v>
      </c>
      <c r="H614" s="26">
        <f>IFERROR(IFERROR(VLOOKUP($A614,Winpct2!$A:$K,9,FALSE),VLOOKUP($B614,Winpct2!$A:$K,9,FALSE)),"")</f>
        <v>0.41899999999999998</v>
      </c>
      <c r="I614">
        <f>IFERROR(IFERROR(VLOOKUP($A614,Ra2W!$A:$K,6,FALSE),VLOOKUP($B614,Ra2W!$A:$K,6,FALSE)),"")</f>
        <v>17423</v>
      </c>
      <c r="J614">
        <f>IFERROR(VLOOKUP(D614,'Pop-Metro'!A:R,E614-2005,FALSE),VLOOKUP(D614,'Pop-Micro'!A:R,E614-2005,FALSE))</f>
        <v>807908</v>
      </c>
      <c r="K614">
        <f>IFERROR(VLOOKUP(D614,'PCI-Metro'!A:R,E614-2005,FALSE),VLOOKUP(D614,'PCI-Micro'!A:R,E614-2005,FALSE))</f>
        <v>42039</v>
      </c>
      <c r="L614">
        <f>IFERROR(IF(IFERROR(VLOOKUP($A614,Attendance2!$B:$H,5,FALSE),VLOOKUP($B614,Attendance2!$B:$H,5,FALSE))="","",IFERROR(VLOOKUP($A614,Attendance2!$B:$H,5,FALSE),VLOOKUP($B614,Attendance2!$B:$H,5,FALSE))),"")</f>
        <v>1200</v>
      </c>
    </row>
    <row r="615" spans="1:12">
      <c r="A615" t="s">
        <v>228</v>
      </c>
      <c r="B615" t="s">
        <v>228</v>
      </c>
      <c r="C615">
        <v>218733</v>
      </c>
      <c r="D615">
        <v>36700</v>
      </c>
      <c r="E615">
        <f t="shared" si="10"/>
        <v>2016</v>
      </c>
      <c r="F615" t="str">
        <f>IFERROR(IF(VLOOKUP(C615,TotalRev2!A:C,3,FALSE)="","",VLOOKUP(C615,TotalRev2!A:C,3,FALSE)),"")</f>
        <v/>
      </c>
      <c r="G615" t="str">
        <f>IFERROR(IF(VLOOKUP(C615,TotalRev1!A:C,3,FALSE)="","",VLOOKUP(C615,TotalRev1!A:C,3,FALSE)),"")</f>
        <v/>
      </c>
      <c r="H615" s="26">
        <f>IFERROR(IFERROR(VLOOKUP($A615,Winpct2!$A:$K,9,FALSE),VLOOKUP($B615,Winpct2!$A:$K,9,FALSE)),"")</f>
        <v>0.17399999999999999</v>
      </c>
      <c r="I615">
        <f>IFERROR(IFERROR(VLOOKUP($A615,Ra2W!$A:$K,6,FALSE),VLOOKUP($B615,Ra2W!$A:$K,6,FALSE)),"")</f>
        <v>1552</v>
      </c>
      <c r="J615">
        <f>IFERROR(VLOOKUP(D615,'Pop-Metro'!A:R,E615-2005,FALSE),VLOOKUP(D615,'Pop-Micro'!A:R,E615-2005,FALSE))</f>
        <v>87513</v>
      </c>
      <c r="K615">
        <f>IFERROR(VLOOKUP(D615,'PCI-Metro'!A:R,E615-2005,FALSE),VLOOKUP(D615,'PCI-Micro'!A:R,E615-2005,FALSE))</f>
        <v>31821</v>
      </c>
      <c r="L615">
        <f>IFERROR(IF(IFERROR(VLOOKUP($A615,Attendance2!$B:$H,5,FALSE),VLOOKUP($B615,Attendance2!$B:$H,5,FALSE))="","",IFERROR(VLOOKUP($A615,Attendance2!$B:$H,5,FALSE),VLOOKUP($B615,Attendance2!$B:$H,5,FALSE))),"")</f>
        <v>500</v>
      </c>
    </row>
    <row r="616" spans="1:12">
      <c r="A616" t="s">
        <v>229</v>
      </c>
      <c r="B616" t="s">
        <v>229</v>
      </c>
      <c r="C616">
        <v>219471</v>
      </c>
      <c r="D616">
        <v>46820</v>
      </c>
      <c r="E616">
        <f t="shared" si="10"/>
        <v>2016</v>
      </c>
      <c r="F616">
        <f>IFERROR(IF(VLOOKUP(C616,TotalRev2!A:C,3,FALSE)="","",VLOOKUP(C616,TotalRev2!A:C,3,FALSE)),"")</f>
        <v>313427</v>
      </c>
      <c r="G616">
        <f>IFERROR(IF(VLOOKUP(C616,TotalRev1!A:C,3,FALSE)="","",VLOOKUP(C616,TotalRev1!A:C,3,FALSE)),"")</f>
        <v>290041</v>
      </c>
      <c r="H616" s="26">
        <f>IFERROR(IFERROR(VLOOKUP($A616,Winpct2!$A:$K,9,FALSE),VLOOKUP($B616,Winpct2!$A:$K,9,FALSE)),"")</f>
        <v>0.48399999999999999</v>
      </c>
      <c r="I616">
        <f>IFERROR(IFERROR(VLOOKUP($A616,Ra2W!$A:$K,6,FALSE),VLOOKUP($B616,Ra2W!$A:$K,6,FALSE)),"")</f>
        <v>1943</v>
      </c>
      <c r="J616">
        <f>IFERROR(VLOOKUP(D616,'Pop-Metro'!A:R,E616-2005,FALSE),VLOOKUP(D616,'Pop-Micro'!A:R,E616-2005,FALSE))</f>
        <v>14435</v>
      </c>
      <c r="K616">
        <f>IFERROR(VLOOKUP(D616,'PCI-Metro'!A:R,E616-2005,FALSE),VLOOKUP(D616,'PCI-Micro'!A:R,E616-2005,FALSE))</f>
        <v>35190</v>
      </c>
      <c r="L616">
        <f>IFERROR(IF(IFERROR(VLOOKUP($A616,Attendance2!$B:$H,5,FALSE),VLOOKUP($B616,Attendance2!$B:$H,5,FALSE))="","",IFERROR(VLOOKUP($A616,Attendance2!$B:$H,5,FALSE),VLOOKUP($B616,Attendance2!$B:$H,5,FALSE))),"")</f>
        <v>10000</v>
      </c>
    </row>
    <row r="617" spans="1:12">
      <c r="A617" t="s">
        <v>230</v>
      </c>
      <c r="B617" t="s">
        <v>230</v>
      </c>
      <c r="C617">
        <v>219356</v>
      </c>
      <c r="D617">
        <v>15100</v>
      </c>
      <c r="E617">
        <f t="shared" si="10"/>
        <v>2016</v>
      </c>
      <c r="F617">
        <f>IFERROR(IF(VLOOKUP(C617,TotalRev2!A:C,3,FALSE)="","",VLOOKUP(C617,TotalRev2!A:C,3,FALSE)),"")</f>
        <v>14019</v>
      </c>
      <c r="G617">
        <f>IFERROR(IF(VLOOKUP(C617,TotalRev1!A:C,3,FALSE)="","",VLOOKUP(C617,TotalRev1!A:C,3,FALSE)),"")</f>
        <v>9558</v>
      </c>
      <c r="H617" s="26">
        <f>IFERROR(IFERROR(VLOOKUP($A617,Winpct2!$A:$K,9,FALSE),VLOOKUP($B617,Winpct2!$A:$K,9,FALSE)),"")</f>
        <v>0.156</v>
      </c>
      <c r="I617">
        <f>IFERROR(IFERROR(VLOOKUP($A617,Ra2W!$A:$K,6,FALSE),VLOOKUP($B617,Ra2W!$A:$K,6,FALSE)),"")</f>
        <v>3622</v>
      </c>
      <c r="J617">
        <f>IFERROR(VLOOKUP(D617,'Pop-Metro'!A:R,E617-2005,FALSE),VLOOKUP(D617,'Pop-Micro'!A:R,E617-2005,FALSE))</f>
        <v>33644</v>
      </c>
      <c r="K617">
        <f>IFERROR(VLOOKUP(D617,'PCI-Metro'!A:R,E617-2005,FALSE),VLOOKUP(D617,'PCI-Micro'!A:R,E617-2005,FALSE))</f>
        <v>44208</v>
      </c>
      <c r="L617">
        <f>IFERROR(IF(IFERROR(VLOOKUP($A617,Attendance2!$B:$H,5,FALSE),VLOOKUP($B617,Attendance2!$B:$H,5,FALSE))="","",IFERROR(VLOOKUP($A617,Attendance2!$B:$H,5,FALSE),VLOOKUP($B617,Attendance2!$B:$H,5,FALSE))),"")</f>
        <v>6100</v>
      </c>
    </row>
    <row r="618" spans="1:12">
      <c r="A618" t="s">
        <v>231</v>
      </c>
      <c r="B618" t="s">
        <v>231</v>
      </c>
      <c r="C618">
        <v>137351</v>
      </c>
      <c r="D618">
        <v>45300</v>
      </c>
      <c r="E618">
        <f t="shared" si="10"/>
        <v>2016</v>
      </c>
      <c r="F618">
        <f>IFERROR(IF(VLOOKUP(C618,TotalRev2!A:C,3,FALSE)="","",VLOOKUP(C618,TotalRev2!A:C,3,FALSE)),"")</f>
        <v>129889</v>
      </c>
      <c r="G618">
        <f>IFERROR(IF(VLOOKUP(C618,TotalRev1!A:C,3,FALSE)="","",VLOOKUP(C618,TotalRev1!A:C,3,FALSE)),"")</f>
        <v>95500</v>
      </c>
      <c r="H618" s="26">
        <f>IFERROR(IFERROR(VLOOKUP($A618,Winpct2!$A:$K,9,FALSE),VLOOKUP($B618,Winpct2!$A:$K,9,FALSE)),"")</f>
        <v>0.34399999999999997</v>
      </c>
      <c r="I618">
        <f>IFERROR(IFERROR(VLOOKUP($A618,Ra2W!$A:$K,6,FALSE),VLOOKUP($B618,Ra2W!$A:$K,6,FALSE)),"")</f>
        <v>8507</v>
      </c>
      <c r="J618">
        <f>IFERROR(VLOOKUP(D618,'Pop-Metro'!A:R,E618-2005,FALSE),VLOOKUP(D618,'Pop-Micro'!A:R,E618-2005,FALSE))</f>
        <v>3017229</v>
      </c>
      <c r="K618">
        <f>IFERROR(VLOOKUP(D618,'PCI-Metro'!A:R,E618-2005,FALSE),VLOOKUP(D618,'PCI-Micro'!A:R,E618-2005,FALSE))</f>
        <v>43783</v>
      </c>
      <c r="L618">
        <f>IFERROR(IF(IFERROR(VLOOKUP($A618,Attendance2!$B:$H,5,FALSE),VLOOKUP($B618,Attendance2!$B:$H,5,FALSE))="","",IFERROR(VLOOKUP($A618,Attendance2!$B:$H,5,FALSE),VLOOKUP($B618,Attendance2!$B:$H,5,FALSE))),"")</f>
        <v>1000</v>
      </c>
    </row>
    <row r="619" spans="1:12">
      <c r="A619" t="s">
        <v>232</v>
      </c>
      <c r="B619" t="s">
        <v>232</v>
      </c>
      <c r="C619">
        <v>179557</v>
      </c>
      <c r="D619">
        <v>16020</v>
      </c>
      <c r="E619">
        <f t="shared" si="10"/>
        <v>2016</v>
      </c>
      <c r="F619">
        <f>IFERROR(IF(VLOOKUP(C619,TotalRev2!A:C,3,FALSE)="","",VLOOKUP(C619,TotalRev2!A:C,3,FALSE)),"")</f>
        <v>285026</v>
      </c>
      <c r="G619">
        <f>IFERROR(IF(VLOOKUP(C619,TotalRev1!A:C,3,FALSE)="","",VLOOKUP(C619,TotalRev1!A:C,3,FALSE)),"")</f>
        <v>323554</v>
      </c>
      <c r="H619" s="26">
        <f>IFERROR(IFERROR(VLOOKUP($A619,Winpct2!$A:$K,9,FALSE),VLOOKUP($B619,Winpct2!$A:$K,9,FALSE)),"")</f>
        <v>0.33300000000000002</v>
      </c>
      <c r="I619">
        <f>IFERROR(IFERROR(VLOOKUP($A619,Ra2W!$A:$K,6,FALSE),VLOOKUP($B619,Ra2W!$A:$K,6,FALSE)),"")</f>
        <v>3749</v>
      </c>
      <c r="J619">
        <f>IFERROR(VLOOKUP(D619,'Pop-Metro'!A:R,E619-2005,FALSE),VLOOKUP(D619,'Pop-Micro'!A:R,E619-2005,FALSE))</f>
        <v>97330</v>
      </c>
      <c r="K619">
        <f>IFERROR(VLOOKUP(D619,'PCI-Metro'!A:R,E619-2005,FALSE),VLOOKUP(D619,'PCI-Micro'!A:R,E619-2005,FALSE))</f>
        <v>39543</v>
      </c>
      <c r="L619">
        <f>IFERROR(IF(IFERROR(VLOOKUP($A619,Attendance2!$B:$H,5,FALSE),VLOOKUP($B619,Attendance2!$B:$H,5,FALSE))="","",IFERROR(VLOOKUP($A619,Attendance2!$B:$H,5,FALSE),VLOOKUP($B619,Attendance2!$B:$H,5,FALSE))),"")</f>
        <v>1000</v>
      </c>
    </row>
    <row r="620" spans="1:12">
      <c r="A620" t="s">
        <v>233</v>
      </c>
      <c r="B620" t="s">
        <v>233</v>
      </c>
      <c r="C620">
        <v>160612</v>
      </c>
      <c r="D620">
        <v>25220</v>
      </c>
      <c r="E620">
        <f t="shared" si="10"/>
        <v>2016</v>
      </c>
      <c r="F620" t="str">
        <f>IFERROR(IF(VLOOKUP(C620,TotalRev2!A:C,3,FALSE)="","",VLOOKUP(C620,TotalRev2!A:C,3,FALSE)),"")</f>
        <v/>
      </c>
      <c r="G620" t="str">
        <f>IFERROR(IF(VLOOKUP(C620,TotalRev1!A:C,3,FALSE)="","",VLOOKUP(C620,TotalRev1!A:C,3,FALSE)),"")</f>
        <v/>
      </c>
      <c r="H620" s="26">
        <f>IFERROR(IFERROR(VLOOKUP($A620,Winpct2!$A:$K,9,FALSE),VLOOKUP($B620,Winpct2!$A:$K,9,FALSE)),"")</f>
        <v>0.41899999999999998</v>
      </c>
      <c r="I620">
        <f>IFERROR(IFERROR(VLOOKUP($A620,Ra2W!$A:$K,6,FALSE),VLOOKUP($B620,Ra2W!$A:$K,6,FALSE)),"")</f>
        <v>2100</v>
      </c>
      <c r="J620">
        <f>IFERROR(VLOOKUP(D620,'Pop-Metro'!A:R,E620-2005,FALSE),VLOOKUP(D620,'Pop-Micro'!A:R,E620-2005,FALSE))</f>
        <v>128900</v>
      </c>
      <c r="K620">
        <f>IFERROR(VLOOKUP(D620,'PCI-Metro'!A:R,E620-2005,FALSE),VLOOKUP(D620,'PCI-Micro'!A:R,E620-2005,FALSE))</f>
        <v>36513</v>
      </c>
      <c r="L620">
        <f>IFERROR(IF(IFERROR(VLOOKUP($A620,Attendance2!$B:$H,5,FALSE),VLOOKUP($B620,Attendance2!$B:$H,5,FALSE))="","",IFERROR(VLOOKUP($A620,Attendance2!$B:$H,5,FALSE),VLOOKUP($B620,Attendance2!$B:$H,5,FALSE))),"")</f>
        <v>7500</v>
      </c>
    </row>
    <row r="621" spans="1:12">
      <c r="A621" t="s">
        <v>1303</v>
      </c>
      <c r="B621" t="s">
        <v>1303</v>
      </c>
      <c r="C621">
        <v>123961</v>
      </c>
      <c r="D621">
        <v>31080</v>
      </c>
      <c r="E621">
        <f t="shared" si="10"/>
        <v>2016</v>
      </c>
      <c r="F621" t="str">
        <f>IFERROR(IF(VLOOKUP(C621,TotalRev2!A:C,3,FALSE)="","",VLOOKUP(C621,TotalRev2!A:C,3,FALSE)),"")</f>
        <v/>
      </c>
      <c r="G621" t="str">
        <f>IFERROR(IF(VLOOKUP(C621,TotalRev1!A:C,3,FALSE)="","",VLOOKUP(C621,TotalRev1!A:C,3,FALSE)),"")</f>
        <v/>
      </c>
      <c r="H621" s="26">
        <f>IFERROR(IFERROR(VLOOKUP($A621,Winpct2!$A:$K,9,FALSE),VLOOKUP($B621,Winpct2!$A:$K,9,FALSE)),"")</f>
        <v>0.91700000000000004</v>
      </c>
      <c r="I621">
        <f>IFERROR(IFERROR(VLOOKUP($A621,Ra2W!$A:$K,6,FALSE),VLOOKUP($B621,Ra2W!$A:$K,6,FALSE)),"")</f>
        <v>32400</v>
      </c>
      <c r="J621">
        <f>IFERROR(VLOOKUP(D621,'Pop-Metro'!A:R,E621-2005,FALSE),VLOOKUP(D621,'Pop-Micro'!A:R,E621-2005,FALSE))</f>
        <v>13295906</v>
      </c>
      <c r="K621">
        <f>IFERROR(VLOOKUP(D621,'PCI-Metro'!A:R,E621-2005,FALSE),VLOOKUP(D621,'PCI-Micro'!A:R,E621-2005,FALSE))</f>
        <v>56287</v>
      </c>
      <c r="L621">
        <f>IFERROR(IF(IFERROR(VLOOKUP($A621,Attendance2!$B:$H,5,FALSE),VLOOKUP($B621,Attendance2!$B:$H,5,FALSE))="","",IFERROR(VLOOKUP($A621,Attendance2!$B:$H,5,FALSE),VLOOKUP($B621,Attendance2!$B:$H,5,FALSE))),"")</f>
        <v>10258</v>
      </c>
    </row>
    <row r="622" spans="1:12">
      <c r="A622" t="s">
        <v>234</v>
      </c>
      <c r="B622" t="s">
        <v>234</v>
      </c>
      <c r="C622">
        <v>149222</v>
      </c>
      <c r="D622">
        <v>16060</v>
      </c>
      <c r="E622">
        <f t="shared" si="10"/>
        <v>2016</v>
      </c>
      <c r="F622">
        <f>IFERROR(IF(VLOOKUP(C622,TotalRev2!A:C,3,FALSE)="","",VLOOKUP(C622,TotalRev2!A:C,3,FALSE)),"")</f>
        <v>193491</v>
      </c>
      <c r="G622">
        <f>IFERROR(IF(VLOOKUP(C622,TotalRev1!A:C,3,FALSE)="","",VLOOKUP(C622,TotalRev1!A:C,3,FALSE)),"")</f>
        <v>207877</v>
      </c>
      <c r="H622" s="26">
        <f>IFERROR(IFERROR(VLOOKUP($A622,Winpct2!$A:$K,9,FALSE),VLOOKUP($B622,Winpct2!$A:$K,9,FALSE)),"")</f>
        <v>0.69699999999999995</v>
      </c>
      <c r="I622">
        <f>IFERROR(IFERROR(VLOOKUP($A622,Ra2W!$A:$K,6,FALSE),VLOOKUP($B622,Ra2W!$A:$K,6,FALSE)),"")</f>
        <v>5036</v>
      </c>
      <c r="J622">
        <f>IFERROR(VLOOKUP(D622,'Pop-Metro'!A:R,E622-2005,FALSE),VLOOKUP(D622,'Pop-Micro'!A:R,E622-2005,FALSE))</f>
        <v>137319</v>
      </c>
      <c r="K622">
        <f>IFERROR(VLOOKUP(D622,'PCI-Metro'!A:R,E622-2005,FALSE),VLOOKUP(D622,'PCI-Micro'!A:R,E622-2005,FALSE))</f>
        <v>37723</v>
      </c>
      <c r="L622">
        <f>IFERROR(IF(IFERROR(VLOOKUP($A622,Attendance2!$B:$H,5,FALSE),VLOOKUP($B622,Attendance2!$B:$H,5,FALSE))="","",IFERROR(VLOOKUP($A622,Attendance2!$B:$H,5,FALSE),VLOOKUP($B622,Attendance2!$B:$H,5,FALSE))),"")</f>
        <v>1250</v>
      </c>
    </row>
    <row r="623" spans="1:12">
      <c r="A623" t="s">
        <v>235</v>
      </c>
      <c r="B623" t="s">
        <v>235</v>
      </c>
      <c r="C623">
        <v>176372</v>
      </c>
      <c r="D623">
        <v>25620</v>
      </c>
      <c r="E623">
        <f t="shared" si="10"/>
        <v>2016</v>
      </c>
      <c r="F623">
        <f>IFERROR(IF(VLOOKUP(C623,TotalRev2!A:C,3,FALSE)="","",VLOOKUP(C623,TotalRev2!A:C,3,FALSE)),"")</f>
        <v>41410</v>
      </c>
      <c r="G623">
        <f>IFERROR(IF(VLOOKUP(C623,TotalRev1!A:C,3,FALSE)="","",VLOOKUP(C623,TotalRev1!A:C,3,FALSE)),"")</f>
        <v>46404</v>
      </c>
      <c r="H623" s="26">
        <f>IFERROR(IFERROR(VLOOKUP($A623,Winpct2!$A:$K,9,FALSE),VLOOKUP($B623,Winpct2!$A:$K,9,FALSE)),"")</f>
        <v>0.68600000000000005</v>
      </c>
      <c r="I623">
        <f>IFERROR(IFERROR(VLOOKUP($A623,Ra2W!$A:$K,6,FALSE),VLOOKUP($B623,Ra2W!$A:$K,6,FALSE)),"")</f>
        <v>4256</v>
      </c>
      <c r="J623">
        <f>IFERROR(VLOOKUP(D623,'Pop-Metro'!A:R,E623-2005,FALSE),VLOOKUP(D623,'Pop-Micro'!A:R,E623-2005,FALSE))</f>
        <v>169946</v>
      </c>
      <c r="K623">
        <f>IFERROR(VLOOKUP(D623,'PCI-Metro'!A:R,E623-2005,FALSE),VLOOKUP(D623,'PCI-Micro'!A:R,E623-2005,FALSE))</f>
        <v>35729</v>
      </c>
      <c r="L623">
        <f>IFERROR(IF(IFERROR(VLOOKUP($A623,Attendance2!$B:$H,5,FALSE),VLOOKUP($B623,Attendance2!$B:$H,5,FALSE))="","",IFERROR(VLOOKUP($A623,Attendance2!$B:$H,5,FALSE),VLOOKUP($B623,Attendance2!$B:$H,5,FALSE))),"")</f>
        <v>8095</v>
      </c>
    </row>
    <row r="624" spans="1:12">
      <c r="A624" t="s">
        <v>236</v>
      </c>
      <c r="B624" t="s">
        <v>236</v>
      </c>
      <c r="C624">
        <v>160621</v>
      </c>
      <c r="D624">
        <v>12940</v>
      </c>
      <c r="E624">
        <f t="shared" si="10"/>
        <v>2016</v>
      </c>
      <c r="F624" t="str">
        <f>IFERROR(IF(VLOOKUP(C624,TotalRev2!A:C,3,FALSE)="","",VLOOKUP(C624,TotalRev2!A:C,3,FALSE)),"")</f>
        <v/>
      </c>
      <c r="G624">
        <f>IFERROR(IF(VLOOKUP(C624,TotalRev1!A:C,3,FALSE)="","",VLOOKUP(C624,TotalRev1!A:C,3,FALSE)),"")</f>
        <v>46516</v>
      </c>
      <c r="H624" s="26">
        <f>IFERROR(IFERROR(VLOOKUP($A624,Winpct2!$A:$K,9,FALSE),VLOOKUP($B624,Winpct2!$A:$K,9,FALSE)),"")</f>
        <v>0.32300000000000001</v>
      </c>
      <c r="I624">
        <f>IFERROR(IFERROR(VLOOKUP($A624,Ra2W!$A:$K,6,FALSE),VLOOKUP($B624,Ra2W!$A:$K,6,FALSE)),"")</f>
        <v>1373</v>
      </c>
      <c r="J624">
        <f>IFERROR(VLOOKUP(D624,'Pop-Metro'!A:R,E624-2005,FALSE),VLOOKUP(D624,'Pop-Micro'!A:R,E624-2005,FALSE))</f>
        <v>864743</v>
      </c>
      <c r="K624">
        <f>IFERROR(VLOOKUP(D624,'PCI-Metro'!A:R,E624-2005,FALSE),VLOOKUP(D624,'PCI-Micro'!A:R,E624-2005,FALSE))</f>
        <v>44066</v>
      </c>
      <c r="L624">
        <f>IFERROR(IF(IFERROR(VLOOKUP($A624,Attendance2!$B:$H,5,FALSE),VLOOKUP($B624,Attendance2!$B:$H,5,FALSE))="","",IFERROR(VLOOKUP($A624,Attendance2!$B:$H,5,FALSE),VLOOKUP($B624,Attendance2!$B:$H,5,FALSE))),"")</f>
        <v>800</v>
      </c>
    </row>
    <row r="625" spans="1:12">
      <c r="A625" t="s">
        <v>237</v>
      </c>
      <c r="B625" t="s">
        <v>237</v>
      </c>
      <c r="C625">
        <v>230603</v>
      </c>
      <c r="D625">
        <v>16260</v>
      </c>
      <c r="E625">
        <f t="shared" si="10"/>
        <v>2016</v>
      </c>
      <c r="F625">
        <f>IFERROR(IF(VLOOKUP(C625,TotalRev2!A:C,3,FALSE)="","",VLOOKUP(C625,TotalRev2!A:C,3,FALSE)),"")</f>
        <v>532910</v>
      </c>
      <c r="G625">
        <f>IFERROR(IF(VLOOKUP(C625,TotalRev1!A:C,3,FALSE)="","",VLOOKUP(C625,TotalRev1!A:C,3,FALSE)),"")</f>
        <v>488518</v>
      </c>
      <c r="H625" s="26">
        <f>IFERROR(IFERROR(VLOOKUP($A625,Winpct2!$A:$K,9,FALSE),VLOOKUP($B625,Winpct2!$A:$K,9,FALSE)),"")</f>
        <v>0.5</v>
      </c>
      <c r="I625">
        <f>IFERROR(IFERROR(VLOOKUP($A625,Ra2W!$A:$K,6,FALSE),VLOOKUP($B625,Ra2W!$A:$K,6,FALSE)),"")</f>
        <v>6165</v>
      </c>
      <c r="J625">
        <f>IFERROR(VLOOKUP(D625,'Pop-Metro'!A:R,E625-2005,FALSE),VLOOKUP(D625,'Pop-Micro'!A:R,E625-2005,FALSE))</f>
        <v>50204</v>
      </c>
      <c r="K625">
        <f>IFERROR(VLOOKUP(D625,'PCI-Metro'!A:R,E625-2005,FALSE),VLOOKUP(D625,'PCI-Micro'!A:R,E625-2005,FALSE))</f>
        <v>28462</v>
      </c>
      <c r="L625">
        <f>IFERROR(IF(IFERROR(VLOOKUP($A625,Attendance2!$B:$H,5,FALSE),VLOOKUP($B625,Attendance2!$B:$H,5,FALSE))="","",IFERROR(VLOOKUP($A625,Attendance2!$B:$H,5,FALSE),VLOOKUP($B625,Attendance2!$B:$H,5,FALSE))),"")</f>
        <v>5300</v>
      </c>
    </row>
    <row r="626" spans="1:12">
      <c r="A626" t="s">
        <v>238</v>
      </c>
      <c r="B626" t="s">
        <v>238</v>
      </c>
      <c r="C626">
        <v>195164</v>
      </c>
      <c r="D626">
        <v>18500</v>
      </c>
      <c r="E626">
        <f t="shared" si="10"/>
        <v>2016</v>
      </c>
      <c r="F626" t="str">
        <f>IFERROR(IF(VLOOKUP(C626,TotalRev2!A:C,3,FALSE)="","",VLOOKUP(C626,TotalRev2!A:C,3,FALSE)),"")</f>
        <v/>
      </c>
      <c r="G626" t="str">
        <f>IFERROR(IF(VLOOKUP(C626,TotalRev1!A:C,3,FALSE)="","",VLOOKUP(C626,TotalRev1!A:C,3,FALSE)),"")</f>
        <v/>
      </c>
      <c r="H626" s="26" t="str">
        <f>IFERROR(IFERROR(VLOOKUP($A626,Winpct2!$A:$K,9,FALSE),VLOOKUP($B626,Winpct2!$A:$K,9,FALSE)),"")</f>
        <v/>
      </c>
      <c r="I626" t="str">
        <f>IFERROR(IFERROR(VLOOKUP($A626,Ra2W!$A:$K,6,FALSE),VLOOKUP($B626,Ra2W!$A:$K,6,FALSE)),"")</f>
        <v/>
      </c>
      <c r="J626">
        <f>IFERROR(VLOOKUP(D626,'Pop-Metro'!A:R,E626-2005,FALSE),VLOOKUP(D626,'Pop-Micro'!A:R,E626-2005,FALSE))</f>
        <v>96217</v>
      </c>
      <c r="K626">
        <f>IFERROR(VLOOKUP(D626,'PCI-Metro'!A:R,E626-2005,FALSE),VLOOKUP(D626,'PCI-Micro'!A:R,E626-2005,FALSE))</f>
        <v>40976</v>
      </c>
      <c r="L626" t="str">
        <f>IFERROR(IF(IFERROR(VLOOKUP($A626,Attendance2!$B:$H,5,FALSE),VLOOKUP($B626,Attendance2!$B:$H,5,FALSE))="","",IFERROR(VLOOKUP($A626,Attendance2!$B:$H,5,FALSE),VLOOKUP($B626,Attendance2!$B:$H,5,FALSE))),"")</f>
        <v/>
      </c>
    </row>
    <row r="627" spans="1:12">
      <c r="A627" t="s">
        <v>1304</v>
      </c>
      <c r="B627" t="s">
        <v>1304</v>
      </c>
      <c r="C627">
        <v>195173</v>
      </c>
      <c r="D627">
        <v>15100</v>
      </c>
      <c r="E627">
        <f t="shared" si="10"/>
        <v>2016</v>
      </c>
      <c r="F627" t="str">
        <f>IFERROR(IF(VLOOKUP(C627,TotalRev2!A:C,3,FALSE)="","",VLOOKUP(C627,TotalRev2!A:C,3,FALSE)),"")</f>
        <v/>
      </c>
      <c r="G627" t="str">
        <f>IFERROR(IF(VLOOKUP(C627,TotalRev1!A:C,3,FALSE)="","",VLOOKUP(C627,TotalRev1!A:C,3,FALSE)),"")</f>
        <v/>
      </c>
      <c r="H627" s="26">
        <f>IFERROR(IFERROR(VLOOKUP($A627,Winpct2!$A:$K,9,FALSE),VLOOKUP($B627,Winpct2!$A:$K,9,FALSE)),"")</f>
        <v>0.23300000000000001</v>
      </c>
      <c r="I627">
        <f>IFERROR(IFERROR(VLOOKUP($A627,Ra2W!$A:$K,6,FALSE),VLOOKUP($B627,Ra2W!$A:$K,6,FALSE)),"")</f>
        <v>958</v>
      </c>
      <c r="J627">
        <f>IFERROR(VLOOKUP(D627,'Pop-Metro'!A:R,E627-2005,FALSE),VLOOKUP(D627,'Pop-Micro'!A:R,E627-2005,FALSE))</f>
        <v>33644</v>
      </c>
      <c r="K627">
        <f>IFERROR(VLOOKUP(D627,'PCI-Metro'!A:R,E627-2005,FALSE),VLOOKUP(D627,'PCI-Micro'!A:R,E627-2005,FALSE))</f>
        <v>44208</v>
      </c>
      <c r="L627">
        <f>IFERROR(IF(IFERROR(VLOOKUP($A627,Attendance2!$B:$H,5,FALSE),VLOOKUP($B627,Attendance2!$B:$H,5,FALSE))="","",IFERROR(VLOOKUP($A627,Attendance2!$B:$H,5,FALSE),VLOOKUP($B627,Attendance2!$B:$H,5,FALSE))),"")</f>
        <v>500</v>
      </c>
    </row>
    <row r="628" spans="1:12">
      <c r="A628" t="s">
        <v>239</v>
      </c>
      <c r="B628" t="s">
        <v>239</v>
      </c>
      <c r="C628">
        <v>195809</v>
      </c>
      <c r="D628">
        <v>35620</v>
      </c>
      <c r="E628">
        <f t="shared" si="10"/>
        <v>2016</v>
      </c>
      <c r="F628" t="str">
        <f>IFERROR(IF(VLOOKUP(C628,TotalRev2!A:C,3,FALSE)="","",VLOOKUP(C628,TotalRev2!A:C,3,FALSE)),"")</f>
        <v/>
      </c>
      <c r="G628" t="str">
        <f>IFERROR(IF(VLOOKUP(C628,TotalRev1!A:C,3,FALSE)="","",VLOOKUP(C628,TotalRev1!A:C,3,FALSE)),"")</f>
        <v/>
      </c>
      <c r="H628" s="26">
        <f>IFERROR(IFERROR(VLOOKUP($A628,Winpct2!$A:$K,9,FALSE),VLOOKUP($B628,Winpct2!$A:$K,9,FALSE)),"")</f>
        <v>0.54500000000000004</v>
      </c>
      <c r="I628">
        <f>IFERROR(IFERROR(VLOOKUP($A628,Ra2W!$A:$K,6,FALSE),VLOOKUP($B628,Ra2W!$A:$K,6,FALSE)),"")</f>
        <v>5054</v>
      </c>
      <c r="J628">
        <f>IFERROR(VLOOKUP(D628,'Pop-Metro'!A:R,E628-2005,FALSE),VLOOKUP(D628,'Pop-Micro'!A:R,E628-2005,FALSE))</f>
        <v>19943198</v>
      </c>
      <c r="K628">
        <f>IFERROR(VLOOKUP(D628,'PCI-Metro'!A:R,E628-2005,FALSE),VLOOKUP(D628,'PCI-Micro'!A:R,E628-2005,FALSE))</f>
        <v>64886</v>
      </c>
      <c r="L628">
        <f>IFERROR(IF(IFERROR(VLOOKUP($A628,Attendance2!$B:$H,5,FALSE),VLOOKUP($B628,Attendance2!$B:$H,5,FALSE))="","",IFERROR(VLOOKUP($A628,Attendance2!$B:$H,5,FALSE),VLOOKUP($B628,Attendance2!$B:$H,5,FALSE))),"")</f>
        <v>5602</v>
      </c>
    </row>
    <row r="629" spans="1:12">
      <c r="A629" t="s">
        <v>240</v>
      </c>
      <c r="B629" t="s">
        <v>240</v>
      </c>
      <c r="C629">
        <v>243744</v>
      </c>
      <c r="D629">
        <v>41940</v>
      </c>
      <c r="E629">
        <f t="shared" si="10"/>
        <v>2016</v>
      </c>
      <c r="F629" t="str">
        <f>IFERROR(IF(VLOOKUP(C629,TotalRev2!A:C,3,FALSE)="","",VLOOKUP(C629,TotalRev2!A:C,3,FALSE)),"")</f>
        <v/>
      </c>
      <c r="G629" t="str">
        <f>IFERROR(IF(VLOOKUP(C629,TotalRev1!A:C,3,FALSE)="","",VLOOKUP(C629,TotalRev1!A:C,3,FALSE)),"")</f>
        <v/>
      </c>
      <c r="H629" s="26">
        <f>IFERROR(IFERROR(VLOOKUP($A629,Winpct2!$A:$K,9,FALSE),VLOOKUP($B629,Winpct2!$A:$K,9,FALSE)),"")</f>
        <v>0.76700000000000002</v>
      </c>
      <c r="I629">
        <f>IFERROR(IFERROR(VLOOKUP($A629,Ra2W!$A:$K,6,FALSE),VLOOKUP($B629,Ra2W!$A:$K,6,FALSE)),"")</f>
        <v>30528</v>
      </c>
      <c r="J629">
        <f>IFERROR(VLOOKUP(D629,'Pop-Metro'!A:R,E629-2005,FALSE),VLOOKUP(D629,'Pop-Micro'!A:R,E629-2005,FALSE))</f>
        <v>2001778</v>
      </c>
      <c r="K629">
        <f>IFERROR(VLOOKUP(D629,'PCI-Metro'!A:R,E629-2005,FALSE),VLOOKUP(D629,'PCI-Micro'!A:R,E629-2005,FALSE))</f>
        <v>88801</v>
      </c>
      <c r="L629">
        <f>IFERROR(IF(IFERROR(VLOOKUP($A629,Attendance2!$B:$H,5,FALSE),VLOOKUP($B629,Attendance2!$B:$H,5,FALSE))="","",IFERROR(VLOOKUP($A629,Attendance2!$B:$H,5,FALSE),VLOOKUP($B629,Attendance2!$B:$H,5,FALSE))),"")</f>
        <v>7500</v>
      </c>
    </row>
    <row r="630" spans="1:12">
      <c r="A630" t="s">
        <v>241</v>
      </c>
      <c r="B630" t="s">
        <v>241</v>
      </c>
      <c r="C630">
        <v>137546</v>
      </c>
      <c r="D630">
        <v>36740</v>
      </c>
      <c r="E630">
        <f t="shared" si="10"/>
        <v>2016</v>
      </c>
      <c r="F630" t="str">
        <f>IFERROR(IF(VLOOKUP(C630,TotalRev2!A:C,3,FALSE)="","",VLOOKUP(C630,TotalRev2!A:C,3,FALSE)),"")</f>
        <v/>
      </c>
      <c r="G630" t="str">
        <f>IFERROR(IF(VLOOKUP(C630,TotalRev1!A:C,3,FALSE)="","",VLOOKUP(C630,TotalRev1!A:C,3,FALSE)),"")</f>
        <v/>
      </c>
      <c r="H630" s="26">
        <f>IFERROR(IFERROR(VLOOKUP($A630,Winpct2!$A:$K,9,FALSE),VLOOKUP($B630,Winpct2!$A:$K,9,FALSE)),"")</f>
        <v>0.379</v>
      </c>
      <c r="I630">
        <f>IFERROR(IFERROR(VLOOKUP($A630,Ra2W!$A:$K,6,FALSE),VLOOKUP($B630,Ra2W!$A:$K,6,FALSE)),"")</f>
        <v>2777</v>
      </c>
      <c r="J630">
        <f>IFERROR(VLOOKUP(D630,'Pop-Metro'!A:R,E630-2005,FALSE),VLOOKUP(D630,'Pop-Micro'!A:R,E630-2005,FALSE))</f>
        <v>2479365</v>
      </c>
      <c r="K630">
        <f>IFERROR(VLOOKUP(D630,'PCI-Metro'!A:R,E630-2005,FALSE),VLOOKUP(D630,'PCI-Micro'!A:R,E630-2005,FALSE))</f>
        <v>39527</v>
      </c>
      <c r="L630">
        <f>IFERROR(IF(IFERROR(VLOOKUP($A630,Attendance2!$B:$H,5,FALSE),VLOOKUP($B630,Attendance2!$B:$H,5,FALSE))="","",IFERROR(VLOOKUP($A630,Attendance2!$B:$H,5,FALSE),VLOOKUP($B630,Attendance2!$B:$H,5,FALSE))),"")</f>
        <v>4000</v>
      </c>
    </row>
    <row r="631" spans="1:12">
      <c r="A631" t="s">
        <v>242</v>
      </c>
      <c r="B631" t="s">
        <v>242</v>
      </c>
      <c r="C631">
        <v>196097</v>
      </c>
      <c r="D631">
        <v>35620</v>
      </c>
      <c r="E631">
        <f t="shared" si="10"/>
        <v>2016</v>
      </c>
      <c r="F631">
        <f>IFERROR(IF(VLOOKUP(C631,TotalRev2!A:C,3,FALSE)="","",VLOOKUP(C631,TotalRev2!A:C,3,FALSE)),"")</f>
        <v>526932</v>
      </c>
      <c r="G631">
        <f>IFERROR(IF(VLOOKUP(C631,TotalRev1!A:C,3,FALSE)="","",VLOOKUP(C631,TotalRev1!A:C,3,FALSE)),"")</f>
        <v>535862</v>
      </c>
      <c r="H631" s="26">
        <f>IFERROR(IFERROR(VLOOKUP($A631,Winpct2!$A:$K,9,FALSE),VLOOKUP($B631,Winpct2!$A:$K,9,FALSE)),"")</f>
        <v>0.38700000000000001</v>
      </c>
      <c r="I631">
        <f>IFERROR(IFERROR(VLOOKUP($A631,Ra2W!$A:$K,6,FALSE),VLOOKUP($B631,Ra2W!$A:$K,6,FALSE)),"")</f>
        <v>3726</v>
      </c>
      <c r="J631">
        <f>IFERROR(VLOOKUP(D631,'Pop-Metro'!A:R,E631-2005,FALSE),VLOOKUP(D631,'Pop-Micro'!A:R,E631-2005,FALSE))</f>
        <v>19943198</v>
      </c>
      <c r="K631">
        <f>IFERROR(VLOOKUP(D631,'PCI-Metro'!A:R,E631-2005,FALSE),VLOOKUP(D631,'PCI-Micro'!A:R,E631-2005,FALSE))</f>
        <v>64886</v>
      </c>
      <c r="L631">
        <f>IFERROR(IF(IFERROR(VLOOKUP($A631,Attendance2!$B:$H,5,FALSE),VLOOKUP($B631,Attendance2!$B:$H,5,FALSE))="","",IFERROR(VLOOKUP($A631,Attendance2!$B:$H,5,FALSE),VLOOKUP($B631,Attendance2!$B:$H,5,FALSE))),"")</f>
        <v>1680</v>
      </c>
    </row>
    <row r="632" spans="1:12">
      <c r="A632" t="s">
        <v>243</v>
      </c>
      <c r="B632" t="s">
        <v>243</v>
      </c>
      <c r="C632">
        <v>196413</v>
      </c>
      <c r="D632">
        <v>45060</v>
      </c>
      <c r="E632">
        <f t="shared" si="10"/>
        <v>2016</v>
      </c>
      <c r="F632" t="str">
        <f>IFERROR(IF(VLOOKUP(C632,TotalRev2!A:C,3,FALSE)="","",VLOOKUP(C632,TotalRev2!A:C,3,FALSE)),"")</f>
        <v/>
      </c>
      <c r="G632" t="str">
        <f>IFERROR(IF(VLOOKUP(C632,TotalRev1!A:C,3,FALSE)="","",VLOOKUP(C632,TotalRev1!A:C,3,FALSE)),"")</f>
        <v/>
      </c>
      <c r="H632" s="26">
        <f>IFERROR(IFERROR(VLOOKUP($A632,Winpct2!$A:$K,9,FALSE),VLOOKUP($B632,Winpct2!$A:$K,9,FALSE)),"")</f>
        <v>0.74199999999999999</v>
      </c>
      <c r="I632">
        <f>IFERROR(IFERROR(VLOOKUP($A632,Ra2W!$A:$K,6,FALSE),VLOOKUP($B632,Ra2W!$A:$K,6,FALSE)),"")</f>
        <v>3107</v>
      </c>
      <c r="J632">
        <f>IFERROR(VLOOKUP(D632,'Pop-Metro'!A:R,E632-2005,FALSE),VLOOKUP(D632,'Pop-Micro'!A:R,E632-2005,FALSE))</f>
        <v>663914</v>
      </c>
      <c r="K632">
        <f>IFERROR(VLOOKUP(D632,'PCI-Metro'!A:R,E632-2005,FALSE),VLOOKUP(D632,'PCI-Micro'!A:R,E632-2005,FALSE))</f>
        <v>44264</v>
      </c>
      <c r="L632">
        <f>IFERROR(IF(IFERROR(VLOOKUP($A632,Attendance2!$B:$H,5,FALSE),VLOOKUP($B632,Attendance2!$B:$H,5,FALSE))="","",IFERROR(VLOOKUP($A632,Attendance2!$B:$H,5,FALSE),VLOOKUP($B632,Attendance2!$B:$H,5,FALSE))),"")</f>
        <v>3000</v>
      </c>
    </row>
    <row r="633" spans="1:12">
      <c r="A633" t="s">
        <v>1305</v>
      </c>
      <c r="B633" t="s">
        <v>1305</v>
      </c>
      <c r="C633">
        <v>228875</v>
      </c>
      <c r="D633">
        <v>19100</v>
      </c>
      <c r="E633">
        <f t="shared" si="10"/>
        <v>2016</v>
      </c>
      <c r="F633" t="str">
        <f>IFERROR(IF(VLOOKUP(C633,TotalRev2!A:C,3,FALSE)="","",VLOOKUP(C633,TotalRev2!A:C,3,FALSE)),"")</f>
        <v/>
      </c>
      <c r="G633" t="str">
        <f>IFERROR(IF(VLOOKUP(C633,TotalRev1!A:C,3,FALSE)="","",VLOOKUP(C633,TotalRev1!A:C,3,FALSE)),"")</f>
        <v/>
      </c>
      <c r="H633" s="26">
        <f>IFERROR(IFERROR(VLOOKUP($A633,Winpct2!$A:$K,9,FALSE),VLOOKUP($B633,Winpct2!$A:$K,9,FALSE)),"")</f>
        <v>0.65500000000000003</v>
      </c>
      <c r="I633">
        <f>IFERROR(IFERROR(VLOOKUP($A633,Ra2W!$A:$K,6,FALSE),VLOOKUP($B633,Ra2W!$A:$K,6,FALSE)),"")</f>
        <v>19164</v>
      </c>
      <c r="J633">
        <f>IFERROR(VLOOKUP(D633,'Pop-Metro'!A:R,E633-2005,FALSE),VLOOKUP(D633,'Pop-Micro'!A:R,E633-2005,FALSE))</f>
        <v>7176620</v>
      </c>
      <c r="K633">
        <f>IFERROR(VLOOKUP(D633,'PCI-Metro'!A:R,E633-2005,FALSE),VLOOKUP(D633,'PCI-Micro'!A:R,E633-2005,FALSE))</f>
        <v>51451</v>
      </c>
      <c r="L633">
        <f>IFERROR(IF(IFERROR(VLOOKUP($A633,Attendance2!$B:$H,5,FALSE),VLOOKUP($B633,Attendance2!$B:$H,5,FALSE))="","",IFERROR(VLOOKUP($A633,Attendance2!$B:$H,5,FALSE),VLOOKUP($B633,Attendance2!$B:$H,5,FALSE))),"")</f>
        <v>1350</v>
      </c>
    </row>
    <row r="634" spans="1:12">
      <c r="A634" t="s">
        <v>1306</v>
      </c>
      <c r="B634" t="s">
        <v>1306</v>
      </c>
      <c r="C634">
        <v>216339</v>
      </c>
      <c r="D634">
        <v>37980</v>
      </c>
      <c r="E634">
        <f t="shared" si="10"/>
        <v>2016</v>
      </c>
      <c r="F634" t="str">
        <f>IFERROR(IF(VLOOKUP(C634,TotalRev2!A:C,3,FALSE)="","",VLOOKUP(C634,TotalRev2!A:C,3,FALSE)),"")</f>
        <v/>
      </c>
      <c r="G634" t="str">
        <f>IFERROR(IF(VLOOKUP(C634,TotalRev1!A:C,3,FALSE)="","",VLOOKUP(C634,TotalRev1!A:C,3,FALSE)),"")</f>
        <v/>
      </c>
      <c r="H634" s="26">
        <f>IFERROR(IFERROR(VLOOKUP($A634,Winpct2!$A:$K,9,FALSE),VLOOKUP($B634,Winpct2!$A:$K,9,FALSE)),"")</f>
        <v>0.75</v>
      </c>
      <c r="I634">
        <f>IFERROR(IFERROR(VLOOKUP($A634,Ra2W!$A:$K,6,FALSE),VLOOKUP($B634,Ra2W!$A:$K,6,FALSE)),"")</f>
        <v>9776</v>
      </c>
      <c r="J634">
        <f>IFERROR(VLOOKUP(D634,'Pop-Metro'!A:R,E634-2005,FALSE),VLOOKUP(D634,'Pop-Micro'!A:R,E634-2005,FALSE))</f>
        <v>6153468</v>
      </c>
      <c r="K634">
        <f>IFERROR(VLOOKUP(D634,'PCI-Metro'!A:R,E634-2005,FALSE),VLOOKUP(D634,'PCI-Micro'!A:R,E634-2005,FALSE))</f>
        <v>58589</v>
      </c>
      <c r="L634">
        <f>IFERROR(IF(IFERROR(VLOOKUP($A634,Attendance2!$B:$H,5,FALSE),VLOOKUP($B634,Attendance2!$B:$H,5,FALSE))="","",IFERROR(VLOOKUP($A634,Attendance2!$B:$H,5,FALSE),VLOOKUP($B634,Attendance2!$B:$H,5,FALSE))),"")</f>
        <v>3900</v>
      </c>
    </row>
    <row r="635" spans="1:12">
      <c r="A635" t="s">
        <v>244</v>
      </c>
      <c r="B635" t="s">
        <v>244</v>
      </c>
      <c r="C635">
        <v>221759</v>
      </c>
      <c r="D635">
        <v>28940</v>
      </c>
      <c r="E635">
        <f t="shared" si="10"/>
        <v>2016</v>
      </c>
      <c r="F635">
        <f>IFERROR(IF(VLOOKUP(C635,TotalRev2!A:C,3,FALSE)="","",VLOOKUP(C635,TotalRev2!A:C,3,FALSE)),"")</f>
        <v>193598</v>
      </c>
      <c r="G635">
        <f>IFERROR(IF(VLOOKUP(C635,TotalRev1!A:C,3,FALSE)="","",VLOOKUP(C635,TotalRev1!A:C,3,FALSE)),"")</f>
        <v>313972</v>
      </c>
      <c r="H635" s="26">
        <f>IFERROR(IFERROR(VLOOKUP($A635,Winpct2!$A:$K,9,FALSE),VLOOKUP($B635,Winpct2!$A:$K,9,FALSE)),"")</f>
        <v>0.63600000000000001</v>
      </c>
      <c r="I635">
        <f>IFERROR(IFERROR(VLOOKUP($A635,Ra2W!$A:$K,6,FALSE),VLOOKUP($B635,Ra2W!$A:$K,6,FALSE)),"")</f>
        <v>11754</v>
      </c>
      <c r="J635">
        <f>IFERROR(VLOOKUP(D635,'Pop-Metro'!A:R,E635-2005,FALSE),VLOOKUP(D635,'Pop-Micro'!A:R,E635-2005,FALSE))</f>
        <v>847835</v>
      </c>
      <c r="K635">
        <f>IFERROR(VLOOKUP(D635,'PCI-Metro'!A:R,E635-2005,FALSE),VLOOKUP(D635,'PCI-Micro'!A:R,E635-2005,FALSE))</f>
        <v>42139</v>
      </c>
      <c r="L635">
        <f>IFERROR(IF(IFERROR(VLOOKUP($A635,Attendance2!$B:$H,5,FALSE),VLOOKUP($B635,Attendance2!$B:$H,5,FALSE))="","",IFERROR(VLOOKUP($A635,Attendance2!$B:$H,5,FALSE),VLOOKUP($B635,Attendance2!$B:$H,5,FALSE))),"")</f>
        <v>7500</v>
      </c>
    </row>
    <row r="636" spans="1:12">
      <c r="A636" t="s">
        <v>245</v>
      </c>
      <c r="B636" t="s">
        <v>245</v>
      </c>
      <c r="C636">
        <v>221838</v>
      </c>
      <c r="D636">
        <v>34980</v>
      </c>
      <c r="E636">
        <f t="shared" si="10"/>
        <v>2016</v>
      </c>
      <c r="F636" t="str">
        <f>IFERROR(IF(VLOOKUP(C636,TotalRev2!A:C,3,FALSE)="","",VLOOKUP(C636,TotalRev2!A:C,3,FALSE)),"")</f>
        <v/>
      </c>
      <c r="G636" t="str">
        <f>IFERROR(IF(VLOOKUP(C636,TotalRev1!A:C,3,FALSE)="","",VLOOKUP(C636,TotalRev1!A:C,3,FALSE)),"")</f>
        <v/>
      </c>
      <c r="H636" s="26">
        <f>IFERROR(IFERROR(VLOOKUP($A636,Winpct2!$A:$K,9,FALSE),VLOOKUP($B636,Winpct2!$A:$K,9,FALSE)),"")</f>
        <v>0.53300000000000003</v>
      </c>
      <c r="I636">
        <f>IFERROR(IFERROR(VLOOKUP($A636,Ra2W!$A:$K,6,FALSE),VLOOKUP($B636,Ra2W!$A:$K,6,FALSE)),"")</f>
        <v>2796</v>
      </c>
      <c r="J636">
        <f>IFERROR(VLOOKUP(D636,'Pop-Metro'!A:R,E636-2005,FALSE),VLOOKUP(D636,'Pop-Micro'!A:R,E636-2005,FALSE))</f>
        <v>1863407</v>
      </c>
      <c r="K636">
        <f>IFERROR(VLOOKUP(D636,'PCI-Metro'!A:R,E636-2005,FALSE),VLOOKUP(D636,'PCI-Micro'!A:R,E636-2005,FALSE))</f>
        <v>52406</v>
      </c>
      <c r="L636">
        <f>IFERROR(IF(IFERROR(VLOOKUP($A636,Attendance2!$B:$H,5,FALSE),VLOOKUP($B636,Attendance2!$B:$H,5,FALSE))="","",IFERROR(VLOOKUP($A636,Attendance2!$B:$H,5,FALSE),VLOOKUP($B636,Attendance2!$B:$H,5,FALSE))),"")</f>
        <v>2500</v>
      </c>
    </row>
    <row r="637" spans="1:12">
      <c r="A637" t="s">
        <v>246</v>
      </c>
      <c r="B637" t="s">
        <v>246</v>
      </c>
      <c r="C637">
        <v>221847</v>
      </c>
      <c r="D637">
        <v>18260</v>
      </c>
      <c r="E637">
        <f t="shared" si="10"/>
        <v>2016</v>
      </c>
      <c r="F637">
        <f>IFERROR(IF(VLOOKUP(C637,TotalRev2!A:C,3,FALSE)="","",VLOOKUP(C637,TotalRev2!A:C,3,FALSE)),"")</f>
        <v>8515</v>
      </c>
      <c r="G637">
        <f>IFERROR(IF(VLOOKUP(C637,TotalRev1!A:C,3,FALSE)="","",VLOOKUP(C637,TotalRev1!A:C,3,FALSE)),"")</f>
        <v>9171</v>
      </c>
      <c r="H637" s="26">
        <f>IFERROR(IFERROR(VLOOKUP($A637,Winpct2!$A:$K,9,FALSE),VLOOKUP($B637,Winpct2!$A:$K,9,FALSE)),"")</f>
        <v>0.32300000000000001</v>
      </c>
      <c r="I637">
        <f>IFERROR(IFERROR(VLOOKUP($A637,Ra2W!$A:$K,6,FALSE),VLOOKUP($B637,Ra2W!$A:$K,6,FALSE)),"")</f>
        <v>3532</v>
      </c>
      <c r="J637">
        <f>IFERROR(VLOOKUP(D637,'Pop-Metro'!A:R,E637-2005,FALSE),VLOOKUP(D637,'Pop-Micro'!A:R,E637-2005,FALSE))</f>
        <v>108913</v>
      </c>
      <c r="K637">
        <f>IFERROR(VLOOKUP(D637,'PCI-Metro'!A:R,E637-2005,FALSE),VLOOKUP(D637,'PCI-Micro'!A:R,E637-2005,FALSE))</f>
        <v>34903</v>
      </c>
      <c r="L637">
        <f>IFERROR(IF(IFERROR(VLOOKUP($A637,Attendance2!$B:$H,5,FALSE),VLOOKUP($B637,Attendance2!$B:$H,5,FALSE))="","",IFERROR(VLOOKUP($A637,Attendance2!$B:$H,5,FALSE),VLOOKUP($B637,Attendance2!$B:$H,5,FALSE))),"")</f>
        <v>9282</v>
      </c>
    </row>
    <row r="638" spans="1:12">
      <c r="A638" t="s">
        <v>247</v>
      </c>
      <c r="B638" t="s">
        <v>247</v>
      </c>
      <c r="C638">
        <v>228778</v>
      </c>
      <c r="D638">
        <v>12420</v>
      </c>
      <c r="E638">
        <f t="shared" si="10"/>
        <v>2016</v>
      </c>
      <c r="F638">
        <f>IFERROR(IF(VLOOKUP(C638,TotalRev2!A:C,3,FALSE)="","",VLOOKUP(C638,TotalRev2!A:C,3,FALSE)),"")</f>
        <v>3310449</v>
      </c>
      <c r="G638">
        <f>IFERROR(IF(VLOOKUP(C638,TotalRev1!A:C,3,FALSE)="","",VLOOKUP(C638,TotalRev1!A:C,3,FALSE)),"")</f>
        <v>1737835</v>
      </c>
      <c r="H638" s="26">
        <f>IFERROR(IFERROR(VLOOKUP($A638,Winpct2!$A:$K,9,FALSE),VLOOKUP($B638,Winpct2!$A:$K,9,FALSE)),"")</f>
        <v>0.90900000000000003</v>
      </c>
      <c r="I638">
        <f>IFERROR(IFERROR(VLOOKUP($A638,Ra2W!$A:$K,6,FALSE),VLOOKUP($B638,Ra2W!$A:$K,6,FALSE)),"")</f>
        <v>56257</v>
      </c>
      <c r="J638">
        <f>IFERROR(VLOOKUP(D638,'Pop-Metro'!A:R,E638-2005,FALSE),VLOOKUP(D638,'Pop-Micro'!A:R,E638-2005,FALSE))</f>
        <v>2064915</v>
      </c>
      <c r="K638">
        <f>IFERROR(VLOOKUP(D638,'PCI-Metro'!A:R,E638-2005,FALSE),VLOOKUP(D638,'PCI-Micro'!A:R,E638-2005,FALSE))</f>
        <v>52471</v>
      </c>
      <c r="L638">
        <f>IFERROR(IF(IFERROR(VLOOKUP($A638,Attendance2!$B:$H,5,FALSE),VLOOKUP($B638,Attendance2!$B:$H,5,FALSE))="","",IFERROR(VLOOKUP($A638,Attendance2!$B:$H,5,FALSE),VLOOKUP($B638,Attendance2!$B:$H,5,FALSE))),"")</f>
        <v>4000</v>
      </c>
    </row>
    <row r="639" spans="1:12">
      <c r="A639" t="s">
        <v>248</v>
      </c>
      <c r="B639" t="s">
        <v>248</v>
      </c>
      <c r="C639">
        <v>228723</v>
      </c>
      <c r="D639">
        <v>17780</v>
      </c>
      <c r="E639">
        <f t="shared" si="10"/>
        <v>2016</v>
      </c>
      <c r="F639">
        <f>IFERROR(IF(VLOOKUP(C639,TotalRev2!A:C,3,FALSE)="","",VLOOKUP(C639,TotalRev2!A:C,3,FALSE)),"")</f>
        <v>662938</v>
      </c>
      <c r="G639">
        <f>IFERROR(IF(VLOOKUP(C639,TotalRev1!A:C,3,FALSE)="","",VLOOKUP(C639,TotalRev1!A:C,3,FALSE)),"")</f>
        <v>615752</v>
      </c>
      <c r="H639" s="26">
        <f>IFERROR(IFERROR(VLOOKUP($A639,Winpct2!$A:$K,9,FALSE),VLOOKUP($B639,Winpct2!$A:$K,9,FALSE)),"")</f>
        <v>0.77400000000000002</v>
      </c>
      <c r="I639">
        <f>IFERROR(IFERROR(VLOOKUP($A639,Ra2W!$A:$K,6,FALSE),VLOOKUP($B639,Ra2W!$A:$K,6,FALSE)),"")</f>
        <v>25053</v>
      </c>
      <c r="J639">
        <f>IFERROR(VLOOKUP(D639,'Pop-Metro'!A:R,E639-2005,FALSE),VLOOKUP(D639,'Pop-Micro'!A:R,E639-2005,FALSE))</f>
        <v>254919</v>
      </c>
      <c r="K639">
        <f>IFERROR(VLOOKUP(D639,'PCI-Metro'!A:R,E639-2005,FALSE),VLOOKUP(D639,'PCI-Micro'!A:R,E639-2005,FALSE))</f>
        <v>36145</v>
      </c>
      <c r="L639">
        <f>IFERROR(IF(IFERROR(VLOOKUP($A639,Attendance2!$B:$H,5,FALSE),VLOOKUP($B639,Attendance2!$B:$H,5,FALSE))="","",IFERROR(VLOOKUP($A639,Attendance2!$B:$H,5,FALSE),VLOOKUP($B639,Attendance2!$B:$H,5,FALSE))),"")</f>
        <v>12989</v>
      </c>
    </row>
    <row r="640" spans="1:12">
      <c r="A640" t="s">
        <v>249</v>
      </c>
      <c r="B640" t="s">
        <v>249</v>
      </c>
      <c r="C640">
        <v>229063</v>
      </c>
      <c r="D640">
        <v>26420</v>
      </c>
      <c r="E640">
        <f t="shared" si="10"/>
        <v>2016</v>
      </c>
      <c r="F640">
        <f>IFERROR(IF(VLOOKUP(C640,TotalRev2!A:C,3,FALSE)="","",VLOOKUP(C640,TotalRev2!A:C,3,FALSE)),"")</f>
        <v>255413</v>
      </c>
      <c r="G640">
        <f>IFERROR(IF(VLOOKUP(C640,TotalRev1!A:C,3,FALSE)="","",VLOOKUP(C640,TotalRev1!A:C,3,FALSE)),"")</f>
        <v>180431</v>
      </c>
      <c r="H640" s="26">
        <f>IFERROR(IFERROR(VLOOKUP($A640,Winpct2!$A:$K,9,FALSE),VLOOKUP($B640,Winpct2!$A:$K,9,FALSE)),"")</f>
        <v>0.45700000000000002</v>
      </c>
      <c r="I640">
        <f>IFERROR(IFERROR(VLOOKUP($A640,Ra2W!$A:$K,6,FALSE),VLOOKUP($B640,Ra2W!$A:$K,6,FALSE)),"")</f>
        <v>1233</v>
      </c>
      <c r="J640">
        <f>IFERROR(VLOOKUP(D640,'Pop-Metro'!A:R,E640-2005,FALSE),VLOOKUP(D640,'Pop-Micro'!A:R,E640-2005,FALSE))</f>
        <v>6797324</v>
      </c>
      <c r="K640">
        <f>IFERROR(VLOOKUP(D640,'PCI-Metro'!A:R,E640-2005,FALSE),VLOOKUP(D640,'PCI-Micro'!A:R,E640-2005,FALSE))</f>
        <v>50841</v>
      </c>
      <c r="L640">
        <f>IFERROR(IF(IFERROR(VLOOKUP($A640,Attendance2!$B:$H,5,FALSE),VLOOKUP($B640,Attendance2!$B:$H,5,FALSE))="","",IFERROR(VLOOKUP($A640,Attendance2!$B:$H,5,FALSE),VLOOKUP($B640,Attendance2!$B:$H,5,FALSE))),"")</f>
        <v>8100</v>
      </c>
    </row>
    <row r="641" spans="1:12">
      <c r="A641" t="s">
        <v>250</v>
      </c>
      <c r="B641" t="s">
        <v>250</v>
      </c>
      <c r="C641">
        <v>228459</v>
      </c>
      <c r="D641">
        <v>12420</v>
      </c>
      <c r="E641">
        <f t="shared" si="10"/>
        <v>2016</v>
      </c>
      <c r="F641">
        <f>IFERROR(IF(VLOOKUP(C641,TotalRev2!A:C,3,FALSE)="","",VLOOKUP(C641,TotalRev2!A:C,3,FALSE)),"")</f>
        <v>67254</v>
      </c>
      <c r="G641">
        <f>IFERROR(IF(VLOOKUP(C641,TotalRev1!A:C,3,FALSE)="","",VLOOKUP(C641,TotalRev1!A:C,3,FALSE)),"")</f>
        <v>146242</v>
      </c>
      <c r="H641" s="26">
        <f>IFERROR(IFERROR(VLOOKUP($A641,Winpct2!$A:$K,9,FALSE),VLOOKUP($B641,Winpct2!$A:$K,9,FALSE)),"")</f>
        <v>0.61299999999999999</v>
      </c>
      <c r="I641">
        <f>IFERROR(IFERROR(VLOOKUP($A641,Ra2W!$A:$K,6,FALSE),VLOOKUP($B641,Ra2W!$A:$K,6,FALSE)),"")</f>
        <v>11151</v>
      </c>
      <c r="J641">
        <f>IFERROR(VLOOKUP(D641,'Pop-Metro'!A:R,E641-2005,FALSE),VLOOKUP(D641,'Pop-Micro'!A:R,E641-2005,FALSE))</f>
        <v>2064915</v>
      </c>
      <c r="K641">
        <f>IFERROR(VLOOKUP(D641,'PCI-Metro'!A:R,E641-2005,FALSE),VLOOKUP(D641,'PCI-Micro'!A:R,E641-2005,FALSE))</f>
        <v>52471</v>
      </c>
      <c r="L641">
        <f>IFERROR(IF(IFERROR(VLOOKUP($A641,Attendance2!$B:$H,5,FALSE),VLOOKUP($B641,Attendance2!$B:$H,5,FALSE))="","",IFERROR(VLOOKUP($A641,Attendance2!$B:$H,5,FALSE),VLOOKUP($B641,Attendance2!$B:$H,5,FALSE))),"")</f>
        <v>7200</v>
      </c>
    </row>
    <row r="642" spans="1:12">
      <c r="A642" t="s">
        <v>251</v>
      </c>
      <c r="B642" t="s">
        <v>251</v>
      </c>
      <c r="C642">
        <v>229115</v>
      </c>
      <c r="D642">
        <v>31180</v>
      </c>
      <c r="E642">
        <f t="shared" si="10"/>
        <v>2016</v>
      </c>
      <c r="F642">
        <f>IFERROR(IF(VLOOKUP(C642,TotalRev2!A:C,3,FALSE)="","",VLOOKUP(C642,TotalRev2!A:C,3,FALSE)),"")</f>
        <v>176132</v>
      </c>
      <c r="G642">
        <f>IFERROR(IF(VLOOKUP(C642,TotalRev1!A:C,3,FALSE)="","",VLOOKUP(C642,TotalRev1!A:C,3,FALSE)),"")</f>
        <v>149012</v>
      </c>
      <c r="H642" s="26">
        <f>IFERROR(IFERROR(VLOOKUP($A642,Winpct2!$A:$K,9,FALSE),VLOOKUP($B642,Winpct2!$A:$K,9,FALSE)),"")</f>
        <v>0.46700000000000003</v>
      </c>
      <c r="I642">
        <f>IFERROR(IFERROR(VLOOKUP($A642,Ra2W!$A:$K,6,FALSE),VLOOKUP($B642,Ra2W!$A:$K,6,FALSE)),"")</f>
        <v>5901</v>
      </c>
      <c r="J642">
        <f>IFERROR(VLOOKUP(D642,'Pop-Metro'!A:R,E642-2005,FALSE),VLOOKUP(D642,'Pop-Micro'!A:R,E642-2005,FALSE))</f>
        <v>311496</v>
      </c>
      <c r="K642">
        <f>IFERROR(VLOOKUP(D642,'PCI-Metro'!A:R,E642-2005,FALSE),VLOOKUP(D642,'PCI-Micro'!A:R,E642-2005,FALSE))</f>
        <v>39943</v>
      </c>
      <c r="L642">
        <f>IFERROR(IF(IFERROR(VLOOKUP($A642,Attendance2!$B:$H,5,FALSE),VLOOKUP($B642,Attendance2!$B:$H,5,FALSE))="","",IFERROR(VLOOKUP($A642,Attendance2!$B:$H,5,FALSE),VLOOKUP($B642,Attendance2!$B:$H,5,FALSE))),"")</f>
        <v>15050</v>
      </c>
    </row>
    <row r="643" spans="1:12">
      <c r="A643" t="s">
        <v>1307</v>
      </c>
      <c r="B643" t="s">
        <v>1308</v>
      </c>
      <c r="C643">
        <v>217864</v>
      </c>
      <c r="D643">
        <v>16700</v>
      </c>
      <c r="E643">
        <f t="shared" si="10"/>
        <v>2016</v>
      </c>
      <c r="F643">
        <f>IFERROR(IF(VLOOKUP(C643,TotalRev2!A:C,3,FALSE)="","",VLOOKUP(C643,TotalRev2!A:C,3,FALSE)),"")</f>
        <v>569305</v>
      </c>
      <c r="G643">
        <f>IFERROR(IF(VLOOKUP(C643,TotalRev1!A:C,3,FALSE)="","",VLOOKUP(C643,TotalRev1!A:C,3,FALSE)),"")</f>
        <v>503916</v>
      </c>
      <c r="H643" s="26">
        <f>IFERROR(IFERROR(VLOOKUP($A643,Winpct2!$A:$K,9,FALSE),VLOOKUP($B643,Winpct2!$A:$K,9,FALSE)),"")</f>
        <v>0.2</v>
      </c>
      <c r="I643">
        <f>IFERROR(IFERROR(VLOOKUP($A643,Ra2W!$A:$K,6,FALSE),VLOOKUP($B643,Ra2W!$A:$K,6,FALSE)),"")</f>
        <v>1303</v>
      </c>
      <c r="J643">
        <f>IFERROR(VLOOKUP(D643,'Pop-Metro'!A:R,E643-2005,FALSE),VLOOKUP(D643,'Pop-Micro'!A:R,E643-2005,FALSE))</f>
        <v>752834</v>
      </c>
      <c r="K643">
        <f>IFERROR(VLOOKUP(D643,'PCI-Metro'!A:R,E643-2005,FALSE),VLOOKUP(D643,'PCI-Micro'!A:R,E643-2005,FALSE))</f>
        <v>47186</v>
      </c>
      <c r="L643">
        <f>IFERROR(IF(IFERROR(VLOOKUP($A643,Attendance2!$B:$H,5,FALSE),VLOOKUP($B643,Attendance2!$B:$H,5,FALSE))="","",IFERROR(VLOOKUP($A643,Attendance2!$B:$H,5,FALSE),VLOOKUP($B643,Attendance2!$B:$H,5,FALSE))),"")</f>
        <v>6600</v>
      </c>
    </row>
    <row r="644" spans="1:12">
      <c r="A644" t="s">
        <v>252</v>
      </c>
      <c r="B644" t="s">
        <v>252</v>
      </c>
      <c r="C644">
        <v>206084</v>
      </c>
      <c r="D644">
        <v>45780</v>
      </c>
      <c r="E644">
        <f t="shared" si="10"/>
        <v>2016</v>
      </c>
      <c r="F644">
        <f>IFERROR(IF(VLOOKUP(C644,TotalRev2!A:C,3,FALSE)="","",VLOOKUP(C644,TotalRev2!A:C,3,FALSE)),"")</f>
        <v>27073</v>
      </c>
      <c r="G644">
        <f>IFERROR(IF(VLOOKUP(C644,TotalRev1!A:C,3,FALSE)="","",VLOOKUP(C644,TotalRev1!A:C,3,FALSE)),"")</f>
        <v>19034</v>
      </c>
      <c r="H644" s="26">
        <f>IFERROR(IFERROR(VLOOKUP($A644,Winpct2!$A:$K,9,FALSE),VLOOKUP($B644,Winpct2!$A:$K,9,FALSE)),"")</f>
        <v>0.20699999999999999</v>
      </c>
      <c r="I644">
        <f>IFERROR(IFERROR(VLOOKUP($A644,Ra2W!$A:$K,6,FALSE),VLOOKUP($B644,Ra2W!$A:$K,6,FALSE)),"")</f>
        <v>4817</v>
      </c>
      <c r="J644">
        <f>IFERROR(VLOOKUP(D644,'Pop-Metro'!A:R,E644-2005,FALSE),VLOOKUP(D644,'Pop-Micro'!A:R,E644-2005,FALSE))</f>
        <v>648629</v>
      </c>
      <c r="K644">
        <f>IFERROR(VLOOKUP(D644,'PCI-Metro'!A:R,E644-2005,FALSE),VLOOKUP(D644,'PCI-Micro'!A:R,E644-2005,FALSE))</f>
        <v>43206</v>
      </c>
      <c r="L644">
        <f>IFERROR(IF(IFERROR(VLOOKUP($A644,Attendance2!$B:$H,5,FALSE),VLOOKUP($B644,Attendance2!$B:$H,5,FALSE))="","",IFERROR(VLOOKUP($A644,Attendance2!$B:$H,5,FALSE),VLOOKUP($B644,Attendance2!$B:$H,5,FALSE))),"")</f>
        <v>7014</v>
      </c>
    </row>
    <row r="645" spans="1:12">
      <c r="A645" t="s">
        <v>253</v>
      </c>
      <c r="B645" t="s">
        <v>253</v>
      </c>
      <c r="C645">
        <v>164076</v>
      </c>
      <c r="D645">
        <v>12580</v>
      </c>
      <c r="E645">
        <f t="shared" si="10"/>
        <v>2016</v>
      </c>
      <c r="F645">
        <f>IFERROR(IF(VLOOKUP(C645,TotalRev2!A:C,3,FALSE)="","",VLOOKUP(C645,TotalRev2!A:C,3,FALSE)),"")</f>
        <v>154679</v>
      </c>
      <c r="G645">
        <f>IFERROR(IF(VLOOKUP(C645,TotalRev1!A:C,3,FALSE)="","",VLOOKUP(C645,TotalRev1!A:C,3,FALSE)),"")</f>
        <v>178861</v>
      </c>
      <c r="H645" s="26">
        <f>IFERROR(IFERROR(VLOOKUP($A645,Winpct2!$A:$K,9,FALSE),VLOOKUP($B645,Winpct2!$A:$K,9,FALSE)),"")</f>
        <v>0.81299999999999994</v>
      </c>
      <c r="I645">
        <f>IFERROR(IFERROR(VLOOKUP($A645,Ra2W!$A:$K,6,FALSE),VLOOKUP($B645,Ra2W!$A:$K,6,FALSE)),"")</f>
        <v>4274</v>
      </c>
      <c r="J645">
        <f>IFERROR(VLOOKUP(D645,'Pop-Metro'!A:R,E645-2005,FALSE),VLOOKUP(D645,'Pop-Micro'!A:R,E645-2005,FALSE))</f>
        <v>2821424</v>
      </c>
      <c r="K645">
        <f>IFERROR(VLOOKUP(D645,'PCI-Metro'!A:R,E645-2005,FALSE),VLOOKUP(D645,'PCI-Micro'!A:R,E645-2005,FALSE))</f>
        <v>55720</v>
      </c>
      <c r="L645">
        <f>IFERROR(IF(IFERROR(VLOOKUP($A645,Attendance2!$B:$H,5,FALSE),VLOOKUP($B645,Attendance2!$B:$H,5,FALSE))="","",IFERROR(VLOOKUP($A645,Attendance2!$B:$H,5,FALSE),VLOOKUP($B645,Attendance2!$B:$H,5,FALSE))),"")</f>
        <v>5200</v>
      </c>
    </row>
    <row r="646" spans="1:12">
      <c r="A646" t="s">
        <v>254</v>
      </c>
      <c r="B646" t="s">
        <v>254</v>
      </c>
      <c r="C646">
        <v>102368</v>
      </c>
      <c r="D646">
        <v>45980</v>
      </c>
      <c r="E646">
        <f t="shared" si="10"/>
        <v>2016</v>
      </c>
      <c r="F646" t="str">
        <f>IFERROR(IF(VLOOKUP(C646,TotalRev2!A:C,3,FALSE)="","",VLOOKUP(C646,TotalRev2!A:C,3,FALSE)),"")</f>
        <v/>
      </c>
      <c r="G646" t="str">
        <f>IFERROR(IF(VLOOKUP(C646,TotalRev1!A:C,3,FALSE)="","",VLOOKUP(C646,TotalRev1!A:C,3,FALSE)),"")</f>
        <v/>
      </c>
      <c r="H646" s="26">
        <f>IFERROR(IFERROR(VLOOKUP($A646,Winpct2!$A:$K,9,FALSE),VLOOKUP($B646,Winpct2!$A:$K,9,FALSE)),"")</f>
        <v>0.438</v>
      </c>
      <c r="I646">
        <f>IFERROR(IFERROR(VLOOKUP($A646,Ra2W!$A:$K,6,FALSE),VLOOKUP($B646,Ra2W!$A:$K,6,FALSE)),"")</f>
        <v>7015</v>
      </c>
      <c r="J646">
        <f>IFERROR(VLOOKUP(D646,'Pop-Metro'!A:R,E646-2005,FALSE),VLOOKUP(D646,'Pop-Micro'!A:R,E646-2005,FALSE))</f>
        <v>33564</v>
      </c>
      <c r="K646">
        <f>IFERROR(VLOOKUP(D646,'PCI-Metro'!A:R,E646-2005,FALSE),VLOOKUP(D646,'PCI-Micro'!A:R,E646-2005,FALSE))</f>
        <v>34674</v>
      </c>
      <c r="L646">
        <f>IFERROR(IF(IFERROR(VLOOKUP($A646,Attendance2!$B:$H,5,FALSE),VLOOKUP($B646,Attendance2!$B:$H,5,FALSE))="","",IFERROR(VLOOKUP($A646,Attendance2!$B:$H,5,FALSE),VLOOKUP($B646,Attendance2!$B:$H,5,FALSE))),"")</f>
        <v>5200</v>
      </c>
    </row>
    <row r="647" spans="1:12">
      <c r="A647" t="s">
        <v>1309</v>
      </c>
      <c r="B647" t="s">
        <v>1309</v>
      </c>
      <c r="C647">
        <v>160755</v>
      </c>
      <c r="D647">
        <v>35380</v>
      </c>
      <c r="E647">
        <f t="shared" si="10"/>
        <v>2016</v>
      </c>
      <c r="F647" t="str">
        <f>IFERROR(IF(VLOOKUP(C647,TotalRev2!A:C,3,FALSE)="","",VLOOKUP(C647,TotalRev2!A:C,3,FALSE)),"")</f>
        <v/>
      </c>
      <c r="G647" t="str">
        <f>IFERROR(IF(VLOOKUP(C647,TotalRev1!A:C,3,FALSE)="","",VLOOKUP(C647,TotalRev1!A:C,3,FALSE)),"")</f>
        <v/>
      </c>
      <c r="H647" s="26">
        <f>IFERROR(IFERROR(VLOOKUP($A647,Winpct2!$A:$K,9,FALSE),VLOOKUP($B647,Winpct2!$A:$K,9,FALSE)),"")</f>
        <v>0.313</v>
      </c>
      <c r="I647">
        <f>IFERROR(IFERROR(VLOOKUP($A647,Ra2W!$A:$K,6,FALSE),VLOOKUP($B647,Ra2W!$A:$K,6,FALSE)),"")</f>
        <v>3893</v>
      </c>
      <c r="J647">
        <f>IFERROR(VLOOKUP(D647,'Pop-Metro'!A:R,E647-2005,FALSE),VLOOKUP(D647,'Pop-Micro'!A:R,E647-2005,FALSE))</f>
        <v>1267717</v>
      </c>
      <c r="K647">
        <f>IFERROR(VLOOKUP(D647,'PCI-Metro'!A:R,E647-2005,FALSE),VLOOKUP(D647,'PCI-Micro'!A:R,E647-2005,FALSE))</f>
        <v>47719</v>
      </c>
      <c r="L647">
        <f>IFERROR(IF(IFERROR(VLOOKUP($A647,Attendance2!$B:$H,5,FALSE),VLOOKUP($B647,Attendance2!$B:$H,5,FALSE))="","",IFERROR(VLOOKUP($A647,Attendance2!$B:$H,5,FALSE),VLOOKUP($B647,Attendance2!$B:$H,5,FALSE))),"")</f>
        <v>3600</v>
      </c>
    </row>
    <row r="648" spans="1:12">
      <c r="A648" t="s">
        <v>255</v>
      </c>
      <c r="B648" t="s">
        <v>255</v>
      </c>
      <c r="C648">
        <v>207971</v>
      </c>
      <c r="D648">
        <v>46140</v>
      </c>
      <c r="E648">
        <f t="shared" si="10"/>
        <v>2016</v>
      </c>
      <c r="F648" t="str">
        <f>IFERROR(IF(VLOOKUP(C648,TotalRev2!A:C,3,FALSE)="","",VLOOKUP(C648,TotalRev2!A:C,3,FALSE)),"")</f>
        <v/>
      </c>
      <c r="G648" t="str">
        <f>IFERROR(IF(VLOOKUP(C648,TotalRev1!A:C,3,FALSE)="","",VLOOKUP(C648,TotalRev1!A:C,3,FALSE)),"")</f>
        <v/>
      </c>
      <c r="H648" s="26">
        <f>IFERROR(IFERROR(VLOOKUP($A648,Winpct2!$A:$K,9,FALSE),VLOOKUP($B648,Winpct2!$A:$K,9,FALSE)),"")</f>
        <v>0.46899999999999997</v>
      </c>
      <c r="I648">
        <f>IFERROR(IFERROR(VLOOKUP($A648,Ra2W!$A:$K,6,FALSE),VLOOKUP($B648,Ra2W!$A:$K,6,FALSE)),"")</f>
        <v>3113</v>
      </c>
      <c r="J648">
        <f>IFERROR(VLOOKUP(D648,'Pop-Metro'!A:R,E648-2005,FALSE),VLOOKUP(D648,'Pop-Micro'!A:R,E648-2005,FALSE))</f>
        <v>995361</v>
      </c>
      <c r="K648">
        <f>IFERROR(VLOOKUP(D648,'PCI-Metro'!A:R,E648-2005,FALSE),VLOOKUP(D648,'PCI-Micro'!A:R,E648-2005,FALSE))</f>
        <v>47087</v>
      </c>
      <c r="L648">
        <f>IFERROR(IF(IFERROR(VLOOKUP($A648,Attendance2!$B:$H,5,FALSE),VLOOKUP($B648,Attendance2!$B:$H,5,FALSE))="","",IFERROR(VLOOKUP($A648,Attendance2!$B:$H,5,FALSE),VLOOKUP($B648,Attendance2!$B:$H,5,FALSE))),"")</f>
        <v>8355</v>
      </c>
    </row>
    <row r="649" spans="1:12">
      <c r="A649" t="s">
        <v>256</v>
      </c>
      <c r="B649" t="s">
        <v>256</v>
      </c>
      <c r="C649">
        <v>100663</v>
      </c>
      <c r="D649">
        <v>13820</v>
      </c>
      <c r="E649">
        <f t="shared" si="10"/>
        <v>2016</v>
      </c>
      <c r="F649">
        <f>IFERROR(IF(VLOOKUP(C649,TotalRev2!A:C,3,FALSE)="","",VLOOKUP(C649,TotalRev2!A:C,3,FALSE)),"")</f>
        <v>982131</v>
      </c>
      <c r="G649">
        <f>IFERROR(IF(VLOOKUP(C649,TotalRev1!A:C,3,FALSE)="","",VLOOKUP(C649,TotalRev1!A:C,3,FALSE)),"")</f>
        <v>957961</v>
      </c>
      <c r="H649" s="26">
        <f>IFERROR(IFERROR(VLOOKUP($A649,Winpct2!$A:$K,9,FALSE),VLOOKUP($B649,Winpct2!$A:$K,9,FALSE)),"")</f>
        <v>0.28100000000000003</v>
      </c>
      <c r="I649">
        <f>IFERROR(IFERROR(VLOOKUP($A649,Ra2W!$A:$K,6,FALSE),VLOOKUP($B649,Ra2W!$A:$K,6,FALSE)),"")</f>
        <v>4634</v>
      </c>
      <c r="J649">
        <f>IFERROR(VLOOKUP(D649,'Pop-Metro'!A:R,E649-2005,FALSE),VLOOKUP(D649,'Pop-Micro'!A:R,E649-2005,FALSE))</f>
        <v>1097647</v>
      </c>
      <c r="K649">
        <f>IFERROR(VLOOKUP(D649,'PCI-Metro'!A:R,E649-2005,FALSE),VLOOKUP(D649,'PCI-Micro'!A:R,E649-2005,FALSE))</f>
        <v>46011</v>
      </c>
      <c r="L649">
        <f>IFERROR(IF(IFERROR(VLOOKUP($A649,Attendance2!$B:$H,5,FALSE),VLOOKUP($B649,Attendance2!$B:$H,5,FALSE))="","",IFERROR(VLOOKUP($A649,Attendance2!$B:$H,5,FALSE),VLOOKUP($B649,Attendance2!$B:$H,5,FALSE))),"")</f>
        <v>8500</v>
      </c>
    </row>
    <row r="650" spans="1:12">
      <c r="A650" t="s">
        <v>10</v>
      </c>
      <c r="B650" t="s">
        <v>1239</v>
      </c>
      <c r="C650">
        <v>196060</v>
      </c>
      <c r="D650">
        <v>10580</v>
      </c>
      <c r="E650">
        <f t="shared" si="10"/>
        <v>2016</v>
      </c>
      <c r="F650">
        <f>IFERROR(IF(VLOOKUP(C650,TotalRev2!A:C,3,FALSE)="","",VLOOKUP(C650,TotalRev2!A:C,3,FALSE)),"")</f>
        <v>155396</v>
      </c>
      <c r="G650" t="str">
        <f>IFERROR(IF(VLOOKUP(C650,TotalRev1!A:C,3,FALSE)="","",VLOOKUP(C650,TotalRev1!A:C,3,FALSE)),"")</f>
        <v/>
      </c>
      <c r="H650" s="26">
        <f>IFERROR(IFERROR(VLOOKUP($A650,Winpct2!$A:$K,9,FALSE),VLOOKUP($B650,Winpct2!$A:$K,9,FALSE)),"")</f>
        <v>0.65400000000000003</v>
      </c>
      <c r="I650">
        <f>IFERROR(IFERROR(VLOOKUP($A650,Ra2W!$A:$K,6,FALSE),VLOOKUP($B650,Ra2W!$A:$K,6,FALSE)),"")</f>
        <v>1219</v>
      </c>
      <c r="J650">
        <f>IFERROR(VLOOKUP(D650,'Pop-Metro'!A:R,E650-2005,FALSE),VLOOKUP(D650,'Pop-Micro'!A:R,E650-2005,FALSE))</f>
        <v>892762</v>
      </c>
      <c r="K650">
        <f>IFERROR(VLOOKUP(D650,'PCI-Metro'!A:R,E650-2005,FALSE),VLOOKUP(D650,'PCI-Micro'!A:R,E650-2005,FALSE))</f>
        <v>51996</v>
      </c>
      <c r="L650">
        <f>IFERROR(IF(IFERROR(VLOOKUP($A650,Attendance2!$B:$H,5,FALSE),VLOOKUP($B650,Attendance2!$B:$H,5,FALSE))="","",IFERROR(VLOOKUP($A650,Attendance2!$B:$H,5,FALSE),VLOOKUP($B650,Attendance2!$B:$H,5,FALSE))),"")</f>
        <v>2600</v>
      </c>
    </row>
    <row r="651" spans="1:12">
      <c r="A651" t="s">
        <v>257</v>
      </c>
      <c r="B651" t="s">
        <v>257</v>
      </c>
      <c r="C651">
        <v>110644</v>
      </c>
      <c r="D651">
        <v>40900</v>
      </c>
      <c r="E651">
        <f t="shared" si="10"/>
        <v>2016</v>
      </c>
      <c r="F651">
        <f>IFERROR(IF(VLOOKUP(C651,TotalRev2!A:C,3,FALSE)="","",VLOOKUP(C651,TotalRev2!A:C,3,FALSE)),"")</f>
        <v>458826</v>
      </c>
      <c r="G651">
        <f>IFERROR(IF(VLOOKUP(C651,TotalRev1!A:C,3,FALSE)="","",VLOOKUP(C651,TotalRev1!A:C,3,FALSE)),"")</f>
        <v>395956</v>
      </c>
      <c r="H651" s="26">
        <f>IFERROR(IFERROR(VLOOKUP($A651,Winpct2!$A:$K,9,FALSE),VLOOKUP($B651,Winpct2!$A:$K,9,FALSE)),"")</f>
        <v>0.5</v>
      </c>
      <c r="I651">
        <f>IFERROR(IFERROR(VLOOKUP($A651,Ra2W!$A:$K,6,FALSE),VLOOKUP($B651,Ra2W!$A:$K,6,FALSE)),"")</f>
        <v>5587</v>
      </c>
      <c r="J651">
        <f>IFERROR(VLOOKUP(D651,'Pop-Metro'!A:R,E651-2005,FALSE),VLOOKUP(D651,'Pop-Micro'!A:R,E651-2005,FALSE))</f>
        <v>2306062</v>
      </c>
      <c r="K651">
        <f>IFERROR(VLOOKUP(D651,'PCI-Metro'!A:R,E651-2005,FALSE),VLOOKUP(D651,'PCI-Micro'!A:R,E651-2005,FALSE))</f>
        <v>50659</v>
      </c>
      <c r="L651">
        <f>IFERROR(IF(IFERROR(VLOOKUP($A651,Attendance2!$B:$H,5,FALSE),VLOOKUP($B651,Attendance2!$B:$H,5,FALSE))="","",IFERROR(VLOOKUP($A651,Attendance2!$B:$H,5,FALSE),VLOOKUP($B651,Attendance2!$B:$H,5,FALSE))),"")</f>
        <v>5931</v>
      </c>
    </row>
    <row r="652" spans="1:12">
      <c r="A652" t="s">
        <v>1310</v>
      </c>
      <c r="B652" t="s">
        <v>1310</v>
      </c>
      <c r="C652">
        <v>110653</v>
      </c>
      <c r="D652">
        <v>31080</v>
      </c>
      <c r="E652">
        <f t="shared" si="10"/>
        <v>2016</v>
      </c>
      <c r="F652">
        <f>IFERROR(IF(VLOOKUP(C652,TotalRev2!A:C,3,FALSE)="","",VLOOKUP(C652,TotalRev2!A:C,3,FALSE)),"")</f>
        <v>63710</v>
      </c>
      <c r="G652">
        <f>IFERROR(IF(VLOOKUP(C652,TotalRev1!A:C,3,FALSE)="","",VLOOKUP(C652,TotalRev1!A:C,3,FALSE)),"")</f>
        <v>755506</v>
      </c>
      <c r="H652" s="26">
        <f>IFERROR(IFERROR(VLOOKUP($A652,Winpct2!$A:$K,9,FALSE),VLOOKUP($B652,Winpct2!$A:$K,9,FALSE)),"")</f>
        <v>0.46400000000000002</v>
      </c>
      <c r="I652">
        <f>IFERROR(IFERROR(VLOOKUP($A652,Ra2W!$A:$K,6,FALSE),VLOOKUP($B652,Ra2W!$A:$K,6,FALSE)),"")</f>
        <v>3556</v>
      </c>
      <c r="J652">
        <f>IFERROR(VLOOKUP(D652,'Pop-Metro'!A:R,E652-2005,FALSE),VLOOKUP(D652,'Pop-Micro'!A:R,E652-2005,FALSE))</f>
        <v>13295906</v>
      </c>
      <c r="K652">
        <f>IFERROR(VLOOKUP(D652,'PCI-Metro'!A:R,E652-2005,FALSE),VLOOKUP(D652,'PCI-Micro'!A:R,E652-2005,FALSE))</f>
        <v>56287</v>
      </c>
      <c r="L652">
        <f>IFERROR(IF(IFERROR(VLOOKUP($A652,Attendance2!$B:$H,5,FALSE),VLOOKUP($B652,Attendance2!$B:$H,5,FALSE))="","",IFERROR(VLOOKUP($A652,Attendance2!$B:$H,5,FALSE),VLOOKUP($B652,Attendance2!$B:$H,5,FALSE))),"")</f>
        <v>5000</v>
      </c>
    </row>
    <row r="653" spans="1:12">
      <c r="A653" t="s">
        <v>258</v>
      </c>
      <c r="B653" t="s">
        <v>258</v>
      </c>
      <c r="C653">
        <v>110671</v>
      </c>
      <c r="D653">
        <v>40140</v>
      </c>
      <c r="E653">
        <f t="shared" si="10"/>
        <v>2016</v>
      </c>
      <c r="F653">
        <f>IFERROR(IF(VLOOKUP(C653,TotalRev2!A:C,3,FALSE)="","",VLOOKUP(C653,TotalRev2!A:C,3,FALSE)),"")</f>
        <v>1051822</v>
      </c>
      <c r="G653">
        <f>IFERROR(IF(VLOOKUP(C653,TotalRev1!A:C,3,FALSE)="","",VLOOKUP(C653,TotalRev1!A:C,3,FALSE)),"")</f>
        <v>956004</v>
      </c>
      <c r="H653" s="26">
        <f>IFERROR(IFERROR(VLOOKUP($A653,Winpct2!$A:$K,9,FALSE),VLOOKUP($B653,Winpct2!$A:$K,9,FALSE)),"")</f>
        <v>0.34499999999999997</v>
      </c>
      <c r="I653">
        <f>IFERROR(IFERROR(VLOOKUP($A653,Ra2W!$A:$K,6,FALSE),VLOOKUP($B653,Ra2W!$A:$K,6,FALSE)),"")</f>
        <v>2896</v>
      </c>
      <c r="J653">
        <f>IFERROR(VLOOKUP(D653,'Pop-Metro'!A:R,E653-2005,FALSE),VLOOKUP(D653,'Pop-Micro'!A:R,E653-2005,FALSE))</f>
        <v>4465521</v>
      </c>
      <c r="K653">
        <f>IFERROR(VLOOKUP(D653,'PCI-Metro'!A:R,E653-2005,FALSE),VLOOKUP(D653,'PCI-Micro'!A:R,E653-2005,FALSE))</f>
        <v>37275</v>
      </c>
      <c r="L653">
        <f>IFERROR(IF(IFERROR(VLOOKUP($A653,Attendance2!$B:$H,5,FALSE),VLOOKUP($B653,Attendance2!$B:$H,5,FALSE))="","",IFERROR(VLOOKUP($A653,Attendance2!$B:$H,5,FALSE),VLOOKUP($B653,Attendance2!$B:$H,5,FALSE))),"")</f>
        <v>1922</v>
      </c>
    </row>
    <row r="654" spans="1:12">
      <c r="A654" t="s">
        <v>259</v>
      </c>
      <c r="B654" t="s">
        <v>259</v>
      </c>
      <c r="C654">
        <v>110705</v>
      </c>
      <c r="D654">
        <v>42200</v>
      </c>
      <c r="E654">
        <f t="shared" si="10"/>
        <v>2016</v>
      </c>
      <c r="F654">
        <f>IFERROR(IF(VLOOKUP(C654,TotalRev2!A:C,3,FALSE)="","",VLOOKUP(C654,TotalRev2!A:C,3,FALSE)),"")</f>
        <v>802263</v>
      </c>
      <c r="G654">
        <f>IFERROR(IF(VLOOKUP(C654,TotalRev1!A:C,3,FALSE)="","",VLOOKUP(C654,TotalRev1!A:C,3,FALSE)),"")</f>
        <v>470470</v>
      </c>
      <c r="H654" s="26">
        <f>IFERROR(IFERROR(VLOOKUP($A654,Winpct2!$A:$K,9,FALSE),VLOOKUP($B654,Winpct2!$A:$K,9,FALSE)),"")</f>
        <v>0.25900000000000001</v>
      </c>
      <c r="I654">
        <f>IFERROR(IFERROR(VLOOKUP($A654,Ra2W!$A:$K,6,FALSE),VLOOKUP($B654,Ra2W!$A:$K,6,FALSE)),"")</f>
        <v>2599</v>
      </c>
      <c r="J654">
        <f>IFERROR(VLOOKUP(D654,'Pop-Metro'!A:R,E654-2005,FALSE),VLOOKUP(D654,'Pop-Micro'!A:R,E654-2005,FALSE))</f>
        <v>446061</v>
      </c>
      <c r="K654">
        <f>IFERROR(VLOOKUP(D654,'PCI-Metro'!A:R,E654-2005,FALSE),VLOOKUP(D654,'PCI-Micro'!A:R,E654-2005,FALSE))</f>
        <v>54873</v>
      </c>
      <c r="L654">
        <f>IFERROR(IF(IFERROR(VLOOKUP($A654,Attendance2!$B:$H,5,FALSE),VLOOKUP($B654,Attendance2!$B:$H,5,FALSE))="","",IFERROR(VLOOKUP($A654,Attendance2!$B:$H,5,FALSE),VLOOKUP($B654,Attendance2!$B:$H,5,FALSE))),"")</f>
        <v>6000</v>
      </c>
    </row>
    <row r="655" spans="1:12">
      <c r="A655" t="s">
        <v>260</v>
      </c>
      <c r="B655" t="s">
        <v>260</v>
      </c>
      <c r="C655">
        <v>132903</v>
      </c>
      <c r="D655">
        <v>36740</v>
      </c>
      <c r="E655">
        <f t="shared" si="10"/>
        <v>2016</v>
      </c>
      <c r="F655">
        <f>IFERROR(IF(VLOOKUP(C655,TotalRev2!A:C,3,FALSE)="","",VLOOKUP(C655,TotalRev2!A:C,3,FALSE)),"")</f>
        <v>429215</v>
      </c>
      <c r="G655">
        <f>IFERROR(IF(VLOOKUP(C655,TotalRev1!A:C,3,FALSE)="","",VLOOKUP(C655,TotalRev1!A:C,3,FALSE)),"")</f>
        <v>315472</v>
      </c>
      <c r="H655" s="26">
        <f>IFERROR(IFERROR(VLOOKUP($A655,Winpct2!$A:$K,9,FALSE),VLOOKUP($B655,Winpct2!$A:$K,9,FALSE)),"")</f>
        <v>0.46899999999999997</v>
      </c>
      <c r="I655">
        <f>IFERROR(IFERROR(VLOOKUP($A655,Ra2W!$A:$K,6,FALSE),VLOOKUP($B655,Ra2W!$A:$K,6,FALSE)),"")</f>
        <v>5869</v>
      </c>
      <c r="J655">
        <f>IFERROR(VLOOKUP(D655,'Pop-Metro'!A:R,E655-2005,FALSE),VLOOKUP(D655,'Pop-Micro'!A:R,E655-2005,FALSE))</f>
        <v>2479365</v>
      </c>
      <c r="K655">
        <f>IFERROR(VLOOKUP(D655,'PCI-Metro'!A:R,E655-2005,FALSE),VLOOKUP(D655,'PCI-Micro'!A:R,E655-2005,FALSE))</f>
        <v>39527</v>
      </c>
      <c r="L655">
        <f>IFERROR(IF(IFERROR(VLOOKUP($A655,Attendance2!$B:$H,5,FALSE),VLOOKUP($B655,Attendance2!$B:$H,5,FALSE))="","",IFERROR(VLOOKUP($A655,Attendance2!$B:$H,5,FALSE),VLOOKUP($B655,Attendance2!$B:$H,5,FALSE))),"")</f>
        <v>2000</v>
      </c>
    </row>
    <row r="656" spans="1:12">
      <c r="A656" t="s">
        <v>261</v>
      </c>
      <c r="B656" t="s">
        <v>261</v>
      </c>
      <c r="C656">
        <v>110662</v>
      </c>
      <c r="D656">
        <v>31080</v>
      </c>
      <c r="E656">
        <f t="shared" si="10"/>
        <v>2016</v>
      </c>
      <c r="F656">
        <f>IFERROR(IF(VLOOKUP(C656,TotalRev2!A:C,3,FALSE)="","",VLOOKUP(C656,TotalRev2!A:C,3,FALSE)),"")</f>
        <v>488049</v>
      </c>
      <c r="G656">
        <f>IFERROR(IF(VLOOKUP(C656,TotalRev1!A:C,3,FALSE)="","",VLOOKUP(C656,TotalRev1!A:C,3,FALSE)),"")</f>
        <v>629583</v>
      </c>
      <c r="H656" s="26">
        <f>IFERROR(IFERROR(VLOOKUP($A656,Winpct2!$A:$K,9,FALSE),VLOOKUP($B656,Winpct2!$A:$K,9,FALSE)),"")</f>
        <v>0.75800000000000001</v>
      </c>
      <c r="I656">
        <f>IFERROR(IFERROR(VLOOKUP($A656,Ra2W!$A:$K,6,FALSE),VLOOKUP($B656,Ra2W!$A:$K,6,FALSE)),"")</f>
        <v>17435</v>
      </c>
      <c r="J656">
        <f>IFERROR(VLOOKUP(D656,'Pop-Metro'!A:R,E656-2005,FALSE),VLOOKUP(D656,'Pop-Micro'!A:R,E656-2005,FALSE))</f>
        <v>13295906</v>
      </c>
      <c r="K656">
        <f>IFERROR(VLOOKUP(D656,'PCI-Metro'!A:R,E656-2005,FALSE),VLOOKUP(D656,'PCI-Micro'!A:R,E656-2005,FALSE))</f>
        <v>56287</v>
      </c>
      <c r="L656">
        <f>IFERROR(IF(IFERROR(VLOOKUP($A656,Attendance2!$B:$H,5,FALSE),VLOOKUP($B656,Attendance2!$B:$H,5,FALSE))="","",IFERROR(VLOOKUP($A656,Attendance2!$B:$H,5,FALSE),VLOOKUP($B656,Attendance2!$B:$H,5,FALSE))),"")</f>
        <v>13800</v>
      </c>
    </row>
    <row r="657" spans="1:12">
      <c r="A657" t="s">
        <v>262</v>
      </c>
      <c r="B657" t="s">
        <v>262</v>
      </c>
      <c r="C657">
        <v>129020</v>
      </c>
      <c r="D657">
        <v>25540</v>
      </c>
      <c r="E657">
        <f t="shared" si="10"/>
        <v>2016</v>
      </c>
      <c r="F657">
        <f>IFERROR(IF(VLOOKUP(C657,TotalRev2!A:C,3,FALSE)="","",VLOOKUP(C657,TotalRev2!A:C,3,FALSE)),"")</f>
        <v>10078</v>
      </c>
      <c r="G657">
        <f>IFERROR(IF(VLOOKUP(C657,TotalRev1!A:C,3,FALSE)="","",VLOOKUP(C657,TotalRev1!A:C,3,FALSE)),"")</f>
        <v>11691</v>
      </c>
      <c r="H657" s="26">
        <f>IFERROR(IFERROR(VLOOKUP($A657,Winpct2!$A:$K,9,FALSE),VLOOKUP($B657,Winpct2!$A:$K,9,FALSE)),"")</f>
        <v>0.51600000000000001</v>
      </c>
      <c r="I657">
        <f>IFERROR(IFERROR(VLOOKUP($A657,Ra2W!$A:$K,6,FALSE),VLOOKUP($B657,Ra2W!$A:$K,6,FALSE)),"")</f>
        <v>3923</v>
      </c>
      <c r="J657">
        <f>IFERROR(VLOOKUP(D657,'Pop-Metro'!A:R,E657-2005,FALSE),VLOOKUP(D657,'Pop-Micro'!A:R,E657-2005,FALSE))</f>
        <v>1215505</v>
      </c>
      <c r="K657">
        <f>IFERROR(VLOOKUP(D657,'PCI-Metro'!A:R,E657-2005,FALSE),VLOOKUP(D657,'PCI-Micro'!A:R,E657-2005,FALSE))</f>
        <v>58296</v>
      </c>
      <c r="L657">
        <f>IFERROR(IF(IFERROR(VLOOKUP($A657,Attendance2!$B:$H,5,FALSE),VLOOKUP($B657,Attendance2!$B:$H,5,FALSE))="","",IFERROR(VLOOKUP($A657,Attendance2!$B:$H,5,FALSE),VLOOKUP($B657,Attendance2!$B:$H,5,FALSE))),"")</f>
        <v>10241</v>
      </c>
    </row>
    <row r="658" spans="1:12">
      <c r="A658" t="s">
        <v>263</v>
      </c>
      <c r="B658" t="s">
        <v>263</v>
      </c>
      <c r="C658">
        <v>145600</v>
      </c>
      <c r="D658">
        <v>16980</v>
      </c>
      <c r="E658">
        <f t="shared" si="10"/>
        <v>2016</v>
      </c>
      <c r="F658">
        <f>IFERROR(IF(VLOOKUP(C658,TotalRev2!A:C,3,FALSE)="","",VLOOKUP(C658,TotalRev2!A:C,3,FALSE)),"")</f>
        <v>409018</v>
      </c>
      <c r="G658">
        <f>IFERROR(IF(VLOOKUP(C658,TotalRev1!A:C,3,FALSE)="","",VLOOKUP(C658,TotalRev1!A:C,3,FALSE)),"")</f>
        <v>147328</v>
      </c>
      <c r="H658" s="26">
        <f>IFERROR(IFERROR(VLOOKUP($A658,Winpct2!$A:$K,9,FALSE),VLOOKUP($B658,Winpct2!$A:$K,9,FALSE)),"")</f>
        <v>0.38700000000000001</v>
      </c>
      <c r="I658">
        <f>IFERROR(IFERROR(VLOOKUP($A658,Ra2W!$A:$K,6,FALSE),VLOOKUP($B658,Ra2W!$A:$K,6,FALSE)),"")</f>
        <v>3463</v>
      </c>
      <c r="J658">
        <f>IFERROR(VLOOKUP(D658,'Pop-Metro'!A:R,E658-2005,FALSE),VLOOKUP(D658,'Pop-Micro'!A:R,E658-2005,FALSE))</f>
        <v>9656432</v>
      </c>
      <c r="K658">
        <f>IFERROR(VLOOKUP(D658,'PCI-Metro'!A:R,E658-2005,FALSE),VLOOKUP(D658,'PCI-Micro'!A:R,E658-2005,FALSE))</f>
        <v>55027</v>
      </c>
      <c r="L658">
        <f>IFERROR(IF(IFERROR(VLOOKUP($A658,Attendance2!$B:$H,5,FALSE),VLOOKUP($B658,Attendance2!$B:$H,5,FALSE))="","",IFERROR(VLOOKUP($A658,Attendance2!$B:$H,5,FALSE),VLOOKUP($B658,Attendance2!$B:$H,5,FALSE))),"")</f>
        <v>500</v>
      </c>
    </row>
    <row r="659" spans="1:12">
      <c r="A659" t="s">
        <v>107</v>
      </c>
      <c r="B659" t="s">
        <v>1244</v>
      </c>
      <c r="C659">
        <v>225627</v>
      </c>
      <c r="D659">
        <v>41700</v>
      </c>
      <c r="E659">
        <f t="shared" si="10"/>
        <v>2016</v>
      </c>
      <c r="F659" t="str">
        <f>IFERROR(IF(VLOOKUP(C659,TotalRev2!A:C,3,FALSE)="","",VLOOKUP(C659,TotalRev2!A:C,3,FALSE)),"")</f>
        <v/>
      </c>
      <c r="G659" t="str">
        <f>IFERROR(IF(VLOOKUP(C659,TotalRev1!A:C,3,FALSE)="","",VLOOKUP(C659,TotalRev1!A:C,3,FALSE)),"")</f>
        <v/>
      </c>
      <c r="H659" s="26" t="str">
        <f>IFERROR(IFERROR(VLOOKUP($A659,Winpct2!$A:$K,9,FALSE),VLOOKUP($B659,Winpct2!$A:$K,9,FALSE)),"")</f>
        <v/>
      </c>
      <c r="I659">
        <f>IFERROR(IFERROR(VLOOKUP($A659,Ra2W!$A:$K,6,FALSE),VLOOKUP($B659,Ra2W!$A:$K,6,FALSE)),"")</f>
        <v>2226</v>
      </c>
      <c r="J659">
        <f>IFERROR(VLOOKUP(D659,'Pop-Metro'!A:R,E659-2005,FALSE),VLOOKUP(D659,'Pop-Micro'!A:R,E659-2005,FALSE))</f>
        <v>2412468</v>
      </c>
      <c r="K659">
        <f>IFERROR(VLOOKUP(D659,'PCI-Metro'!A:R,E659-2005,FALSE),VLOOKUP(D659,'PCI-Micro'!A:R,E659-2005,FALSE))</f>
        <v>43637</v>
      </c>
      <c r="L659">
        <f>IFERROR(IF(IFERROR(VLOOKUP($A659,Attendance2!$B:$H,5,FALSE),VLOOKUP($B659,Attendance2!$B:$H,5,FALSE))="","",IFERROR(VLOOKUP($A659,Attendance2!$B:$H,5,FALSE),VLOOKUP($B659,Attendance2!$B:$H,5,FALSE))),"")</f>
        <v>2000</v>
      </c>
    </row>
    <row r="660" spans="1:12">
      <c r="A660" t="s">
        <v>122</v>
      </c>
      <c r="B660" t="s">
        <v>1245</v>
      </c>
      <c r="C660">
        <v>159993</v>
      </c>
      <c r="D660">
        <v>33740</v>
      </c>
      <c r="E660">
        <f t="shared" si="10"/>
        <v>2016</v>
      </c>
      <c r="F660">
        <f>IFERROR(IF(VLOOKUP(C660,TotalRev2!A:C,3,FALSE)="","",VLOOKUP(C660,TotalRev2!A:C,3,FALSE)),"")</f>
        <v>30887</v>
      </c>
      <c r="G660">
        <f>IFERROR(IF(VLOOKUP(C660,TotalRev1!A:C,3,FALSE)="","",VLOOKUP(C660,TotalRev1!A:C,3,FALSE)),"")</f>
        <v>39195</v>
      </c>
      <c r="H660" s="26">
        <f>IFERROR(IFERROR(VLOOKUP($A660,Winpct2!$A:$K,9,FALSE),VLOOKUP($B660,Winpct2!$A:$K,9,FALSE)),"")</f>
        <v>0.438</v>
      </c>
      <c r="I660">
        <f>IFERROR(IFERROR(VLOOKUP($A660,Ra2W!$A:$K,6,FALSE),VLOOKUP($B660,Ra2W!$A:$K,6,FALSE)),"")</f>
        <v>2284</v>
      </c>
      <c r="J660">
        <f>IFERROR(VLOOKUP(D660,'Pop-Metro'!A:R,E660-2005,FALSE),VLOOKUP(D660,'Pop-Micro'!A:R,E660-2005,FALSE))</f>
        <v>210240</v>
      </c>
      <c r="K660">
        <f>IFERROR(VLOOKUP(D660,'PCI-Metro'!A:R,E660-2005,FALSE),VLOOKUP(D660,'PCI-Micro'!A:R,E660-2005,FALSE))</f>
        <v>36468</v>
      </c>
      <c r="L660">
        <f>IFERROR(IF(IFERROR(VLOOKUP($A660,Attendance2!$B:$H,5,FALSE),VLOOKUP($B660,Attendance2!$B:$H,5,FALSE))="","",IFERROR(VLOOKUP($A660,Attendance2!$B:$H,5,FALSE),VLOOKUP($B660,Attendance2!$B:$H,5,FALSE))),"")</f>
        <v>7000</v>
      </c>
    </row>
    <row r="661" spans="1:12">
      <c r="A661" t="s">
        <v>264</v>
      </c>
      <c r="B661" t="s">
        <v>264</v>
      </c>
      <c r="C661">
        <v>166513</v>
      </c>
      <c r="D661">
        <v>31700</v>
      </c>
      <c r="E661">
        <f t="shared" si="10"/>
        <v>2016</v>
      </c>
      <c r="F661">
        <f>IFERROR(IF(VLOOKUP(C661,TotalRev2!A:C,3,FALSE)="","",VLOOKUP(C661,TotalRev2!A:C,3,FALSE)),"")</f>
        <v>587296</v>
      </c>
      <c r="G661">
        <f>IFERROR(IF(VLOOKUP(C661,TotalRev1!A:C,3,FALSE)="","",VLOOKUP(C661,TotalRev1!A:C,3,FALSE)),"")</f>
        <v>510614</v>
      </c>
      <c r="H661" s="26" t="str">
        <f>IFERROR(IFERROR(VLOOKUP($A661,Winpct2!$A:$K,9,FALSE),VLOOKUP($B661,Winpct2!$A:$K,9,FALSE)),"")</f>
        <v/>
      </c>
      <c r="I661">
        <f>IFERROR(IFERROR(VLOOKUP($A661,Ra2W!$A:$K,6,FALSE),VLOOKUP($B661,Ra2W!$A:$K,6,FALSE)),"")</f>
        <v>1752</v>
      </c>
      <c r="J661">
        <f>IFERROR(VLOOKUP(D661,'Pop-Metro'!A:R,E661-2005,FALSE),VLOOKUP(D661,'Pop-Micro'!A:R,E661-2005,FALSE))</f>
        <v>414107</v>
      </c>
      <c r="K661">
        <f>IFERROR(VLOOKUP(D661,'PCI-Metro'!A:R,E661-2005,FALSE),VLOOKUP(D661,'PCI-Micro'!A:R,E661-2005,FALSE))</f>
        <v>55459</v>
      </c>
      <c r="L661">
        <f>IFERROR(IF(IFERROR(VLOOKUP($A661,Attendance2!$B:$H,5,FALSE),VLOOKUP($B661,Attendance2!$B:$H,5,FALSE))="","",IFERROR(VLOOKUP($A661,Attendance2!$B:$H,5,FALSE),VLOOKUP($B661,Attendance2!$B:$H,5,FALSE))),"")</f>
        <v>2100</v>
      </c>
    </row>
    <row r="662" spans="1:12">
      <c r="A662" t="s">
        <v>265</v>
      </c>
      <c r="B662" t="s">
        <v>265</v>
      </c>
      <c r="C662">
        <v>163268</v>
      </c>
      <c r="D662">
        <v>12580</v>
      </c>
      <c r="E662">
        <f t="shared" si="10"/>
        <v>2016</v>
      </c>
      <c r="F662">
        <f>IFERROR(IF(VLOOKUP(C662,TotalRev2!A:C,3,FALSE)="","",VLOOKUP(C662,TotalRev2!A:C,3,FALSE)),"")</f>
        <v>130998</v>
      </c>
      <c r="G662">
        <f>IFERROR(IF(VLOOKUP(C662,TotalRev1!A:C,3,FALSE)="","",VLOOKUP(C662,TotalRev1!A:C,3,FALSE)),"")</f>
        <v>125327</v>
      </c>
      <c r="H662" s="26">
        <f>IFERROR(IFERROR(VLOOKUP($A662,Winpct2!$A:$K,9,FALSE),VLOOKUP($B662,Winpct2!$A:$K,9,FALSE)),"")</f>
        <v>0.46200000000000002</v>
      </c>
      <c r="I662">
        <f>IFERROR(IFERROR(VLOOKUP($A662,Ra2W!$A:$K,6,FALSE),VLOOKUP($B662,Ra2W!$A:$K,6,FALSE)),"")</f>
        <v>3035</v>
      </c>
      <c r="J662">
        <f>IFERROR(VLOOKUP(D662,'Pop-Metro'!A:R,E662-2005,FALSE),VLOOKUP(D662,'Pop-Micro'!A:R,E662-2005,FALSE))</f>
        <v>2821424</v>
      </c>
      <c r="K662">
        <f>IFERROR(VLOOKUP(D662,'PCI-Metro'!A:R,E662-2005,FALSE),VLOOKUP(D662,'PCI-Micro'!A:R,E662-2005,FALSE))</f>
        <v>55720</v>
      </c>
      <c r="L662">
        <f>IFERROR(IF(IFERROR(VLOOKUP($A662,Attendance2!$B:$H,5,FALSE),VLOOKUP($B662,Attendance2!$B:$H,5,FALSE))="","",IFERROR(VLOOKUP($A662,Attendance2!$B:$H,5,FALSE),VLOOKUP($B662,Attendance2!$B:$H,5,FALSE))),"")</f>
        <v>3824</v>
      </c>
    </row>
    <row r="663" spans="1:12">
      <c r="A663" t="s">
        <v>266</v>
      </c>
      <c r="B663" t="s">
        <v>266</v>
      </c>
      <c r="C663">
        <v>163338</v>
      </c>
      <c r="D663">
        <v>41540</v>
      </c>
      <c r="E663">
        <f t="shared" si="10"/>
        <v>2016</v>
      </c>
      <c r="F663">
        <f>IFERROR(IF(VLOOKUP(C663,TotalRev2!A:C,3,FALSE)="","",VLOOKUP(C663,TotalRev2!A:C,3,FALSE)),"")</f>
        <v>291960</v>
      </c>
      <c r="G663">
        <f>IFERROR(IF(VLOOKUP(C663,TotalRev1!A:C,3,FALSE)="","",VLOOKUP(C663,TotalRev1!A:C,3,FALSE)),"")</f>
        <v>270099</v>
      </c>
      <c r="H663" s="26">
        <f>IFERROR(IFERROR(VLOOKUP($A663,Winpct2!$A:$K,9,FALSE),VLOOKUP($B663,Winpct2!$A:$K,9,FALSE)),"")</f>
        <v>0.75900000000000001</v>
      </c>
      <c r="I663">
        <f>IFERROR(IFERROR(VLOOKUP($A663,Ra2W!$A:$K,6,FALSE),VLOOKUP($B663,Ra2W!$A:$K,6,FALSE)),"")</f>
        <v>10059</v>
      </c>
      <c r="J663">
        <f>IFERROR(VLOOKUP(D663,'Pop-Metro'!A:R,E663-2005,FALSE),VLOOKUP(D663,'Pop-Micro'!A:R,E663-2005,FALSE))</f>
        <v>396952</v>
      </c>
      <c r="K663">
        <f>IFERROR(VLOOKUP(D663,'PCI-Metro'!A:R,E663-2005,FALSE),VLOOKUP(D663,'PCI-Micro'!A:R,E663-2005,FALSE))</f>
        <v>45081</v>
      </c>
      <c r="L663">
        <f>IFERROR(IF(IFERROR(VLOOKUP($A663,Attendance2!$B:$H,5,FALSE),VLOOKUP($B663,Attendance2!$B:$H,5,FALSE))="","",IFERROR(VLOOKUP($A663,Attendance2!$B:$H,5,FALSE),VLOOKUP($B663,Attendance2!$B:$H,5,FALSE))),"")</f>
        <v>5500</v>
      </c>
    </row>
    <row r="664" spans="1:12">
      <c r="A664" t="s">
        <v>1311</v>
      </c>
      <c r="B664" t="s">
        <v>1311</v>
      </c>
      <c r="C664">
        <v>199111</v>
      </c>
      <c r="D664">
        <v>11700</v>
      </c>
      <c r="E664">
        <f t="shared" si="10"/>
        <v>2016</v>
      </c>
      <c r="F664" t="str">
        <f>IFERROR(IF(VLOOKUP(C664,TotalRev2!A:C,3,FALSE)="","",VLOOKUP(C664,TotalRev2!A:C,3,FALSE)),"")</f>
        <v/>
      </c>
      <c r="G664" t="str">
        <f>IFERROR(IF(VLOOKUP(C664,TotalRev1!A:C,3,FALSE)="","",VLOOKUP(C664,TotalRev1!A:C,3,FALSE)),"")</f>
        <v/>
      </c>
      <c r="H664" s="26">
        <f>IFERROR(IFERROR(VLOOKUP($A664,Winpct2!$A:$K,9,FALSE),VLOOKUP($B664,Winpct2!$A:$K,9,FALSE)),"")</f>
        <v>0.55600000000000005</v>
      </c>
      <c r="I664">
        <f>IFERROR(IFERROR(VLOOKUP($A664,Ra2W!$A:$K,6,FALSE),VLOOKUP($B664,Ra2W!$A:$K,6,FALSE)),"")</f>
        <v>4399</v>
      </c>
      <c r="J664">
        <f>IFERROR(VLOOKUP(D664,'Pop-Metro'!A:R,E664-2005,FALSE),VLOOKUP(D664,'Pop-Micro'!A:R,E664-2005,FALSE))</f>
        <v>452542</v>
      </c>
      <c r="K664">
        <f>IFERROR(VLOOKUP(D664,'PCI-Metro'!A:R,E664-2005,FALSE),VLOOKUP(D664,'PCI-Micro'!A:R,E664-2005,FALSE))</f>
        <v>41312</v>
      </c>
      <c r="L664">
        <f>IFERROR(IF(IFERROR(VLOOKUP($A664,Attendance2!$B:$H,5,FALSE),VLOOKUP($B664,Attendance2!$B:$H,5,FALSE))="","",IFERROR(VLOOKUP($A664,Attendance2!$B:$H,5,FALSE),VLOOKUP($B664,Attendance2!$B:$H,5,FALSE))),"")</f>
        <v>1100</v>
      </c>
    </row>
    <row r="665" spans="1:12">
      <c r="A665" t="s">
        <v>268</v>
      </c>
      <c r="B665" t="s">
        <v>268</v>
      </c>
      <c r="C665">
        <v>199148</v>
      </c>
      <c r="D665">
        <v>24660</v>
      </c>
      <c r="E665">
        <f t="shared" si="10"/>
        <v>2016</v>
      </c>
      <c r="F665" t="str">
        <f>IFERROR(IF(VLOOKUP(C665,TotalRev2!A:C,3,FALSE)="","",VLOOKUP(C665,TotalRev2!A:C,3,FALSE)),"")</f>
        <v/>
      </c>
      <c r="G665">
        <f>IFERROR(IF(VLOOKUP(C665,TotalRev1!A:C,3,FALSE)="","",VLOOKUP(C665,TotalRev1!A:C,3,FALSE)),"")</f>
        <v>548185</v>
      </c>
      <c r="H665" s="26">
        <f>IFERROR(IFERROR(VLOOKUP($A665,Winpct2!$A:$K,9,FALSE),VLOOKUP($B665,Winpct2!$A:$K,9,FALSE)),"")</f>
        <v>0.66700000000000004</v>
      </c>
      <c r="I665">
        <f>IFERROR(IFERROR(VLOOKUP($A665,Ra2W!$A:$K,6,FALSE),VLOOKUP($B665,Ra2W!$A:$K,6,FALSE)),"")</f>
        <v>5363</v>
      </c>
      <c r="J665">
        <f>IFERROR(VLOOKUP(D665,'Pop-Metro'!A:R,E665-2005,FALSE),VLOOKUP(D665,'Pop-Micro'!A:R,E665-2005,FALSE))</f>
        <v>759247</v>
      </c>
      <c r="K665">
        <f>IFERROR(VLOOKUP(D665,'PCI-Metro'!A:R,E665-2005,FALSE),VLOOKUP(D665,'PCI-Micro'!A:R,E665-2005,FALSE))</f>
        <v>39704</v>
      </c>
      <c r="L665">
        <f>IFERROR(IF(IFERROR(VLOOKUP($A665,Attendance2!$B:$H,5,FALSE),VLOOKUP($B665,Attendance2!$B:$H,5,FALSE))="","",IFERROR(VLOOKUP($A665,Attendance2!$B:$H,5,FALSE),VLOOKUP($B665,Attendance2!$B:$H,5,FALSE))),"")</f>
        <v>1833</v>
      </c>
    </row>
    <row r="666" spans="1:12">
      <c r="A666" t="s">
        <v>269</v>
      </c>
      <c r="B666" t="s">
        <v>269</v>
      </c>
      <c r="C666">
        <v>199218</v>
      </c>
      <c r="D666">
        <v>48900</v>
      </c>
      <c r="E666">
        <f t="shared" si="10"/>
        <v>2016</v>
      </c>
      <c r="F666">
        <f>IFERROR(IF(VLOOKUP(C666,TotalRev2!A:C,3,FALSE)="","",VLOOKUP(C666,TotalRev2!A:C,3,FALSE)),"")</f>
        <v>35932</v>
      </c>
      <c r="G666">
        <f>IFERROR(IF(VLOOKUP(C666,TotalRev1!A:C,3,FALSE)="","",VLOOKUP(C666,TotalRev1!A:C,3,FALSE)),"")</f>
        <v>32632</v>
      </c>
      <c r="H666" s="26">
        <f>IFERROR(IFERROR(VLOOKUP($A666,Winpct2!$A:$K,9,FALSE),VLOOKUP($B666,Winpct2!$A:$K,9,FALSE)),"")</f>
        <v>0.75</v>
      </c>
      <c r="I666">
        <f>IFERROR(IFERROR(VLOOKUP($A666,Ra2W!$A:$K,6,FALSE),VLOOKUP($B666,Ra2W!$A:$K,6,FALSE)),"")</f>
        <v>6239</v>
      </c>
      <c r="J666">
        <f>IFERROR(VLOOKUP(D666,'Pop-Metro'!A:R,E666-2005,FALSE),VLOOKUP(D666,'Pop-Micro'!A:R,E666-2005,FALSE))</f>
        <v>275310</v>
      </c>
      <c r="K666">
        <f>IFERROR(VLOOKUP(D666,'PCI-Metro'!A:R,E666-2005,FALSE),VLOOKUP(D666,'PCI-Micro'!A:R,E666-2005,FALSE))</f>
        <v>42128</v>
      </c>
      <c r="L666">
        <f>IFERROR(IF(IFERROR(VLOOKUP($A666,Attendance2!$B:$H,5,FALSE),VLOOKUP($B666,Attendance2!$B:$H,5,FALSE))="","",IFERROR(VLOOKUP($A666,Attendance2!$B:$H,5,FALSE),VLOOKUP($B666,Attendance2!$B:$H,5,FALSE))),"")</f>
        <v>1000</v>
      </c>
    </row>
    <row r="667" spans="1:12">
      <c r="A667" t="s">
        <v>270</v>
      </c>
      <c r="B667" t="s">
        <v>270</v>
      </c>
      <c r="C667">
        <v>154095</v>
      </c>
      <c r="D667">
        <v>47940</v>
      </c>
      <c r="E667">
        <f t="shared" si="10"/>
        <v>2016</v>
      </c>
      <c r="F667">
        <f>IFERROR(IF(VLOOKUP(C667,TotalRev2!A:C,3,FALSE)="","",VLOOKUP(C667,TotalRev2!A:C,3,FALSE)),"")</f>
        <v>608344</v>
      </c>
      <c r="G667">
        <f>IFERROR(IF(VLOOKUP(C667,TotalRev1!A:C,3,FALSE)="","",VLOOKUP(C667,TotalRev1!A:C,3,FALSE)),"")</f>
        <v>626481</v>
      </c>
      <c r="H667" s="26">
        <f>IFERROR(IFERROR(VLOOKUP($A667,Winpct2!$A:$K,9,FALSE),VLOOKUP($B667,Winpct2!$A:$K,9,FALSE)),"")</f>
        <v>0.55900000000000005</v>
      </c>
      <c r="I667">
        <f>IFERROR(IFERROR(VLOOKUP($A667,Ra2W!$A:$K,6,FALSE),VLOOKUP($B667,Ra2W!$A:$K,6,FALSE)),"")</f>
        <v>27329</v>
      </c>
      <c r="J667">
        <f>IFERROR(VLOOKUP(D667,'Pop-Metro'!A:R,E667-2005,FALSE),VLOOKUP(D667,'Pop-Micro'!A:R,E667-2005,FALSE))</f>
        <v>170282</v>
      </c>
      <c r="K667">
        <f>IFERROR(VLOOKUP(D667,'PCI-Metro'!A:R,E667-2005,FALSE),VLOOKUP(D667,'PCI-Micro'!A:R,E667-2005,FALSE))</f>
        <v>41641</v>
      </c>
      <c r="L667">
        <f>IFERROR(IF(IFERROR(VLOOKUP($A667,Attendance2!$B:$H,5,FALSE),VLOOKUP($B667,Attendance2!$B:$H,5,FALSE))="","",IFERROR(VLOOKUP($A667,Attendance2!$B:$H,5,FALSE),VLOOKUP($B667,Attendance2!$B:$H,5,FALSE))),"")</f>
        <v>6650</v>
      </c>
    </row>
    <row r="668" spans="1:12">
      <c r="A668" t="s">
        <v>271</v>
      </c>
      <c r="B668" t="s">
        <v>271</v>
      </c>
      <c r="C668">
        <v>182281</v>
      </c>
      <c r="D668">
        <v>29820</v>
      </c>
      <c r="E668">
        <f t="shared" si="10"/>
        <v>2016</v>
      </c>
      <c r="F668">
        <f>IFERROR(IF(VLOOKUP(C668,TotalRev2!A:C,3,FALSE)="","",VLOOKUP(C668,TotalRev2!A:C,3,FALSE)),"")</f>
        <v>80937</v>
      </c>
      <c r="G668">
        <f>IFERROR(IF(VLOOKUP(C668,TotalRev1!A:C,3,FALSE)="","",VLOOKUP(C668,TotalRev1!A:C,3,FALSE)),"")</f>
        <v>85405</v>
      </c>
      <c r="H668" s="26">
        <f>IFERROR(IFERROR(VLOOKUP($A668,Winpct2!$A:$K,9,FALSE),VLOOKUP($B668,Winpct2!$A:$K,9,FALSE)),"")</f>
        <v>0.53300000000000003</v>
      </c>
      <c r="I668">
        <f>IFERROR(IFERROR(VLOOKUP($A668,Ra2W!$A:$K,6,FALSE),VLOOKUP($B668,Ra2W!$A:$K,6,FALSE)),"")</f>
        <v>6870</v>
      </c>
      <c r="J668">
        <f>IFERROR(VLOOKUP(D668,'Pop-Metro'!A:R,E668-2005,FALSE),VLOOKUP(D668,'Pop-Micro'!A:R,E668-2005,FALSE))</f>
        <v>2115963</v>
      </c>
      <c r="K668">
        <f>IFERROR(VLOOKUP(D668,'PCI-Metro'!A:R,E668-2005,FALSE),VLOOKUP(D668,'PCI-Micro'!A:R,E668-2005,FALSE))</f>
        <v>43621</v>
      </c>
      <c r="L668">
        <f>IFERROR(IF(IFERROR(VLOOKUP($A668,Attendance2!$B:$H,5,FALSE),VLOOKUP($B668,Attendance2!$B:$H,5,FALSE))="","",IFERROR(VLOOKUP($A668,Attendance2!$B:$H,5,FALSE),VLOOKUP($B668,Attendance2!$B:$H,5,FALSE))),"")</f>
        <v>2500</v>
      </c>
    </row>
    <row r="669" spans="1:12">
      <c r="A669" t="s">
        <v>272</v>
      </c>
      <c r="B669" t="s">
        <v>272</v>
      </c>
      <c r="C669">
        <v>218742</v>
      </c>
      <c r="D669">
        <v>43900</v>
      </c>
      <c r="E669">
        <f t="shared" si="10"/>
        <v>2016</v>
      </c>
      <c r="F669">
        <f>IFERROR(IF(VLOOKUP(C669,TotalRev2!A:C,3,FALSE)="","",VLOOKUP(C669,TotalRev2!A:C,3,FALSE)),"")</f>
        <v>364530</v>
      </c>
      <c r="G669">
        <f>IFERROR(IF(VLOOKUP(C669,TotalRev1!A:C,3,FALSE)="","",VLOOKUP(C669,TotalRev1!A:C,3,FALSE)),"")</f>
        <v>329714</v>
      </c>
      <c r="H669" s="26">
        <f>IFERROR(IFERROR(VLOOKUP($A669,Winpct2!$A:$K,9,FALSE),VLOOKUP($B669,Winpct2!$A:$K,9,FALSE)),"")</f>
        <v>0.5</v>
      </c>
      <c r="I669">
        <f>IFERROR(IFERROR(VLOOKUP($A669,Ra2W!$A:$K,6,FALSE),VLOOKUP($B669,Ra2W!$A:$K,6,FALSE)),"")</f>
        <v>1972</v>
      </c>
      <c r="J669">
        <f>IFERROR(VLOOKUP(D669,'Pop-Metro'!A:R,E669-2005,FALSE),VLOOKUP(D669,'Pop-Micro'!A:R,E669-2005,FALSE))</f>
        <v>302696</v>
      </c>
      <c r="K669">
        <f>IFERROR(VLOOKUP(D669,'PCI-Metro'!A:R,E669-2005,FALSE),VLOOKUP(D669,'PCI-Micro'!A:R,E669-2005,FALSE))</f>
        <v>40605</v>
      </c>
      <c r="L669">
        <f>IFERROR(IF(IFERROR(VLOOKUP($A669,Attendance2!$B:$H,5,FALSE),VLOOKUP($B669,Attendance2!$B:$H,5,FALSE))="","",IFERROR(VLOOKUP($A669,Attendance2!$B:$H,5,FALSE),VLOOKUP($B669,Attendance2!$B:$H,5,FALSE))),"")</f>
        <v>837</v>
      </c>
    </row>
    <row r="670" spans="1:12">
      <c r="A670" t="s">
        <v>273</v>
      </c>
      <c r="B670" t="s">
        <v>273</v>
      </c>
      <c r="C670">
        <v>228769</v>
      </c>
      <c r="D670">
        <v>19100</v>
      </c>
      <c r="E670">
        <f t="shared" si="10"/>
        <v>2016</v>
      </c>
      <c r="F670">
        <f>IFERROR(IF(VLOOKUP(C670,TotalRev2!A:C,3,FALSE)="","",VLOOKUP(C670,TotalRev2!A:C,3,FALSE)),"")</f>
        <v>56615</v>
      </c>
      <c r="G670">
        <f>IFERROR(IF(VLOOKUP(C670,TotalRev1!A:C,3,FALSE)="","",VLOOKUP(C670,TotalRev1!A:C,3,FALSE)),"")</f>
        <v>59163</v>
      </c>
      <c r="H670" s="26">
        <f>IFERROR(IFERROR(VLOOKUP($A670,Winpct2!$A:$K,9,FALSE),VLOOKUP($B670,Winpct2!$A:$K,9,FALSE)),"")</f>
        <v>0.65500000000000003</v>
      </c>
      <c r="I670">
        <f>IFERROR(IFERROR(VLOOKUP($A670,Ra2W!$A:$K,6,FALSE),VLOOKUP($B670,Ra2W!$A:$K,6,FALSE)),"")</f>
        <v>10176</v>
      </c>
      <c r="J670">
        <f>IFERROR(VLOOKUP(D670,'Pop-Metro'!A:R,E670-2005,FALSE),VLOOKUP(D670,'Pop-Micro'!A:R,E670-2005,FALSE))</f>
        <v>7176620</v>
      </c>
      <c r="K670">
        <f>IFERROR(VLOOKUP(D670,'PCI-Metro'!A:R,E670-2005,FALSE),VLOOKUP(D670,'PCI-Micro'!A:R,E670-2005,FALSE))</f>
        <v>51451</v>
      </c>
      <c r="L670">
        <f>IFERROR(IF(IFERROR(VLOOKUP($A670,Attendance2!$B:$H,5,FALSE),VLOOKUP($B670,Attendance2!$B:$H,5,FALSE))="","",IFERROR(VLOOKUP($A670,Attendance2!$B:$H,5,FALSE),VLOOKUP($B670,Attendance2!$B:$H,5,FALSE))),"")</f>
        <v>7000</v>
      </c>
    </row>
    <row r="671" spans="1:12">
      <c r="A671" t="s">
        <v>274</v>
      </c>
      <c r="B671" t="s">
        <v>274</v>
      </c>
      <c r="C671">
        <v>221768</v>
      </c>
      <c r="D671">
        <v>32280</v>
      </c>
      <c r="E671">
        <f t="shared" si="10"/>
        <v>2016</v>
      </c>
      <c r="F671" t="str">
        <f>IFERROR(IF(VLOOKUP(C671,TotalRev2!A:C,3,FALSE)="","",VLOOKUP(C671,TotalRev2!A:C,3,FALSE)),"")</f>
        <v/>
      </c>
      <c r="G671" t="str">
        <f>IFERROR(IF(VLOOKUP(C671,TotalRev1!A:C,3,FALSE)="","",VLOOKUP(C671,TotalRev1!A:C,3,FALSE)),"")</f>
        <v/>
      </c>
      <c r="H671" s="26">
        <f>IFERROR(IFERROR(VLOOKUP($A671,Winpct2!$A:$K,9,FALSE),VLOOKUP($B671,Winpct2!$A:$K,9,FALSE)),"")</f>
        <v>0.27300000000000002</v>
      </c>
      <c r="I671">
        <f>IFERROR(IFERROR(VLOOKUP($A671,Ra2W!$A:$K,6,FALSE),VLOOKUP($B671,Ra2W!$A:$K,6,FALSE)),"")</f>
        <v>2641</v>
      </c>
      <c r="J671">
        <f>IFERROR(VLOOKUP(D671,'Pop-Metro'!A:R,E671-2005,FALSE),VLOOKUP(D671,'Pop-Micro'!A:R,E671-2005,FALSE))</f>
        <v>33312</v>
      </c>
      <c r="K671">
        <f>IFERROR(VLOOKUP(D671,'PCI-Metro'!A:R,E671-2005,FALSE),VLOOKUP(D671,'PCI-Micro'!A:R,E671-2005,FALSE))</f>
        <v>32891</v>
      </c>
      <c r="L671">
        <f>IFERROR(IF(IFERROR(VLOOKUP($A671,Attendance2!$B:$H,5,FALSE),VLOOKUP($B671,Attendance2!$B:$H,5,FALSE))="","",IFERROR(VLOOKUP($A671,Attendance2!$B:$H,5,FALSE),VLOOKUP($B671,Attendance2!$B:$H,5,FALSE))),"")</f>
        <v>3000</v>
      </c>
    </row>
    <row r="672" spans="1:12">
      <c r="A672" t="s">
        <v>275</v>
      </c>
      <c r="B672" t="s">
        <v>275</v>
      </c>
      <c r="C672">
        <v>230764</v>
      </c>
      <c r="D672">
        <v>41620</v>
      </c>
      <c r="E672">
        <f t="shared" si="10"/>
        <v>2016</v>
      </c>
      <c r="F672">
        <f>IFERROR(IF(VLOOKUP(C672,TotalRev2!A:C,3,FALSE)="","",VLOOKUP(C672,TotalRev2!A:C,3,FALSE)),"")</f>
        <v>253737</v>
      </c>
      <c r="G672">
        <f>IFERROR(IF(VLOOKUP(C672,TotalRev1!A:C,3,FALSE)="","",VLOOKUP(C672,TotalRev1!A:C,3,FALSE)),"")</f>
        <v>238277</v>
      </c>
      <c r="H672" s="26">
        <f>IFERROR(IFERROR(VLOOKUP($A672,Winpct2!$A:$K,9,FALSE),VLOOKUP($B672,Winpct2!$A:$K,9,FALSE)),"")</f>
        <v>0.32300000000000001</v>
      </c>
      <c r="I672">
        <f>IFERROR(IFERROR(VLOOKUP($A672,Ra2W!$A:$K,6,FALSE),VLOOKUP($B672,Ra2W!$A:$K,6,FALSE)),"")</f>
        <v>13917</v>
      </c>
      <c r="J672">
        <f>IFERROR(VLOOKUP(D672,'Pop-Metro'!A:R,E672-2005,FALSE),VLOOKUP(D672,'Pop-Micro'!A:R,E672-2005,FALSE))</f>
        <v>1197061</v>
      </c>
      <c r="K672">
        <f>IFERROR(VLOOKUP(D672,'PCI-Metro'!A:R,E672-2005,FALSE),VLOOKUP(D672,'PCI-Micro'!A:R,E672-2005,FALSE))</f>
        <v>45734</v>
      </c>
      <c r="L672">
        <f>IFERROR(IF(IFERROR(VLOOKUP($A672,Attendance2!$B:$H,5,FALSE),VLOOKUP($B672,Attendance2!$B:$H,5,FALSE))="","",IFERROR(VLOOKUP($A672,Attendance2!$B:$H,5,FALSE),VLOOKUP($B672,Attendance2!$B:$H,5,FALSE))),"")</f>
        <v>15000</v>
      </c>
    </row>
    <row r="673" spans="1:12">
      <c r="A673" t="s">
        <v>276</v>
      </c>
      <c r="B673" t="s">
        <v>276</v>
      </c>
      <c r="C673">
        <v>230728</v>
      </c>
      <c r="D673">
        <v>30860</v>
      </c>
      <c r="E673">
        <f t="shared" si="10"/>
        <v>2016</v>
      </c>
      <c r="F673">
        <f>IFERROR(IF(VLOOKUP(C673,TotalRev2!A:C,3,FALSE)="","",VLOOKUP(C673,TotalRev2!A:C,3,FALSE)),"")</f>
        <v>339846</v>
      </c>
      <c r="G673">
        <f>IFERROR(IF(VLOOKUP(C673,TotalRev1!A:C,3,FALSE)="","",VLOOKUP(C673,TotalRev1!A:C,3,FALSE)),"")</f>
        <v>292945</v>
      </c>
      <c r="H673" s="26">
        <f>IFERROR(IFERROR(VLOOKUP($A673,Winpct2!$A:$K,9,FALSE),VLOOKUP($B673,Winpct2!$A:$K,9,FALSE)),"")</f>
        <v>0.188</v>
      </c>
      <c r="I673">
        <f>IFERROR(IFERROR(VLOOKUP($A673,Ra2W!$A:$K,6,FALSE),VLOOKUP($B673,Ra2W!$A:$K,6,FALSE)),"")</f>
        <v>12569</v>
      </c>
      <c r="J673">
        <f>IFERROR(VLOOKUP(D673,'Pop-Metro'!A:R,E673-2005,FALSE),VLOOKUP(D673,'Pop-Micro'!A:R,E673-2005,FALSE))</f>
        <v>137759</v>
      </c>
      <c r="K673">
        <f>IFERROR(VLOOKUP(D673,'PCI-Metro'!A:R,E673-2005,FALSE),VLOOKUP(D673,'PCI-Micro'!A:R,E673-2005,FALSE))</f>
        <v>34514</v>
      </c>
      <c r="L673">
        <f>IFERROR(IF(IFERROR(VLOOKUP($A673,Attendance2!$B:$H,5,FALSE),VLOOKUP($B673,Attendance2!$B:$H,5,FALSE))="","",IFERROR(VLOOKUP($A673,Attendance2!$B:$H,5,FALSE),VLOOKUP($B673,Attendance2!$B:$H,5,FALSE))),"")</f>
        <v>1400</v>
      </c>
    </row>
    <row r="674" spans="1:12">
      <c r="A674" t="s">
        <v>277</v>
      </c>
      <c r="B674" t="s">
        <v>277</v>
      </c>
      <c r="C674">
        <v>230737</v>
      </c>
      <c r="D674">
        <v>39340</v>
      </c>
      <c r="E674">
        <f t="shared" si="10"/>
        <v>2016</v>
      </c>
      <c r="F674">
        <f>IFERROR(IF(VLOOKUP(C674,TotalRev2!A:C,3,FALSE)="","",VLOOKUP(C674,TotalRev2!A:C,3,FALSE)),"")</f>
        <v>8000</v>
      </c>
      <c r="G674">
        <f>IFERROR(IF(VLOOKUP(C674,TotalRev1!A:C,3,FALSE)="","",VLOOKUP(C674,TotalRev1!A:C,3,FALSE)),"")</f>
        <v>5500</v>
      </c>
      <c r="H674" s="26">
        <f>IFERROR(IFERROR(VLOOKUP($A674,Winpct2!$A:$K,9,FALSE),VLOOKUP($B674,Winpct2!$A:$K,9,FALSE)),"")</f>
        <v>0.5</v>
      </c>
      <c r="I674">
        <f>IFERROR(IFERROR(VLOOKUP($A674,Ra2W!$A:$K,6,FALSE),VLOOKUP($B674,Ra2W!$A:$K,6,FALSE)),"")</f>
        <v>6222</v>
      </c>
      <c r="J674">
        <f>IFERROR(VLOOKUP(D674,'Pop-Metro'!A:R,E674-2005,FALSE),VLOOKUP(D674,'Pop-Micro'!A:R,E674-2005,FALSE))</f>
        <v>608760</v>
      </c>
      <c r="K674">
        <f>IFERROR(VLOOKUP(D674,'PCI-Metro'!A:R,E674-2005,FALSE),VLOOKUP(D674,'PCI-Micro'!A:R,E674-2005,FALSE))</f>
        <v>36471</v>
      </c>
      <c r="L674">
        <f>IFERROR(IF(IFERROR(VLOOKUP($A674,Attendance2!$B:$H,5,FALSE),VLOOKUP($B674,Attendance2!$B:$H,5,FALSE))="","",IFERROR(VLOOKUP($A674,Attendance2!$B:$H,5,FALSE),VLOOKUP($B674,Attendance2!$B:$H,5,FALSE))),"")</f>
        <v>2000</v>
      </c>
    </row>
    <row r="675" spans="1:12">
      <c r="A675" t="s">
        <v>278</v>
      </c>
      <c r="B675" t="s">
        <v>278</v>
      </c>
      <c r="C675">
        <v>228796</v>
      </c>
      <c r="D675">
        <v>21340</v>
      </c>
      <c r="E675">
        <f t="shared" ref="E675:E705" si="11">E674</f>
        <v>2016</v>
      </c>
      <c r="F675">
        <f>IFERROR(IF(VLOOKUP(C675,TotalRev2!A:C,3,FALSE)="","",VLOOKUP(C675,TotalRev2!A:C,3,FALSE)),"")</f>
        <v>1413939</v>
      </c>
      <c r="G675">
        <f>IFERROR(IF(VLOOKUP(C675,TotalRev1!A:C,3,FALSE)="","",VLOOKUP(C675,TotalRev1!A:C,3,FALSE)),"")</f>
        <v>1235099</v>
      </c>
      <c r="H675" s="26">
        <f>IFERROR(IFERROR(VLOOKUP($A675,Winpct2!$A:$K,9,FALSE),VLOOKUP($B675,Winpct2!$A:$K,9,FALSE)),"")</f>
        <v>0.28100000000000003</v>
      </c>
      <c r="I675">
        <f>IFERROR(IFERROR(VLOOKUP($A675,Ra2W!$A:$K,6,FALSE),VLOOKUP($B675,Ra2W!$A:$K,6,FALSE)),"")</f>
        <v>9458</v>
      </c>
      <c r="J675">
        <f>IFERROR(VLOOKUP(D675,'Pop-Metro'!A:R,E675-2005,FALSE),VLOOKUP(D675,'Pop-Micro'!A:R,E675-2005,FALSE))</f>
        <v>852347</v>
      </c>
      <c r="K675">
        <f>IFERROR(VLOOKUP(D675,'PCI-Metro'!A:R,E675-2005,FALSE),VLOOKUP(D675,'PCI-Micro'!A:R,E675-2005,FALSE))</f>
        <v>32889</v>
      </c>
      <c r="L675">
        <f>IFERROR(IF(IFERROR(VLOOKUP($A675,Attendance2!$B:$H,5,FALSE),VLOOKUP($B675,Attendance2!$B:$H,5,FALSE))="","",IFERROR(VLOOKUP($A675,Attendance2!$B:$H,5,FALSE),VLOOKUP($B675,Attendance2!$B:$H,5,FALSE))),"")</f>
        <v>5000</v>
      </c>
    </row>
    <row r="676" spans="1:12">
      <c r="A676" t="s">
        <v>1312</v>
      </c>
      <c r="B676" t="s">
        <v>1312</v>
      </c>
      <c r="C676">
        <v>227368</v>
      </c>
      <c r="D676">
        <v>32580</v>
      </c>
      <c r="E676">
        <f t="shared" si="11"/>
        <v>2016</v>
      </c>
      <c r="F676">
        <f>IFERROR(IF(VLOOKUP(C676,TotalRev2!A:C,3,FALSE)="","",VLOOKUP(C676,TotalRev2!A:C,3,FALSE)),"")</f>
        <v>95486</v>
      </c>
      <c r="G676">
        <f>IFERROR(IF(VLOOKUP(C676,TotalRev1!A:C,3,FALSE)="","",VLOOKUP(C676,TotalRev1!A:C,3,FALSE)),"")</f>
        <v>64284</v>
      </c>
      <c r="H676" s="26">
        <f>IFERROR(IFERROR(VLOOKUP($A676,Winpct2!$A:$K,9,FALSE),VLOOKUP($B676,Winpct2!$A:$K,9,FALSE)),"")</f>
        <v>0.38700000000000001</v>
      </c>
      <c r="I676">
        <f>IFERROR(IFERROR(VLOOKUP($A676,Ra2W!$A:$K,6,FALSE),VLOOKUP($B676,Ra2W!$A:$K,6,FALSE)),"")</f>
        <v>5147</v>
      </c>
      <c r="J676">
        <f>IFERROR(VLOOKUP(D676,'Pop-Metro'!A:R,E676-2005,FALSE),VLOOKUP(D676,'Pop-Micro'!A:R,E676-2005,FALSE))</f>
        <v>846030</v>
      </c>
      <c r="K676">
        <f>IFERROR(VLOOKUP(D676,'PCI-Metro'!A:R,E676-2005,FALSE),VLOOKUP(D676,'PCI-Micro'!A:R,E676-2005,FALSE))</f>
        <v>25307</v>
      </c>
      <c r="L676">
        <f>IFERROR(IF(IFERROR(VLOOKUP($A676,Attendance2!$B:$H,5,FALSE),VLOOKUP($B676,Attendance2!$B:$H,5,FALSE))="","",IFERROR(VLOOKUP($A676,Attendance2!$B:$H,5,FALSE),VLOOKUP($B676,Attendance2!$B:$H,5,FALSE))),"")</f>
        <v>2500</v>
      </c>
    </row>
    <row r="677" spans="1:12">
      <c r="A677" t="s">
        <v>279</v>
      </c>
      <c r="B677" t="s">
        <v>279</v>
      </c>
      <c r="C677">
        <v>229027</v>
      </c>
      <c r="D677">
        <v>41700</v>
      </c>
      <c r="E677">
        <f t="shared" si="11"/>
        <v>2016</v>
      </c>
      <c r="F677">
        <f>IFERROR(IF(VLOOKUP(C677,TotalRev2!A:C,3,FALSE)="","",VLOOKUP(C677,TotalRev2!A:C,3,FALSE)),"")</f>
        <v>166715</v>
      </c>
      <c r="G677">
        <f>IFERROR(IF(VLOOKUP(C677,TotalRev1!A:C,3,FALSE)="","",VLOOKUP(C677,TotalRev1!A:C,3,FALSE)),"")</f>
        <v>39473</v>
      </c>
      <c r="H677" s="26">
        <f>IFERROR(IFERROR(VLOOKUP($A677,Winpct2!$A:$K,9,FALSE),VLOOKUP($B677,Winpct2!$A:$K,9,FALSE)),"")</f>
        <v>0.72699999999999998</v>
      </c>
      <c r="I677">
        <f>IFERROR(IFERROR(VLOOKUP($A677,Ra2W!$A:$K,6,FALSE),VLOOKUP($B677,Ra2W!$A:$K,6,FALSE)),"")</f>
        <v>7197</v>
      </c>
      <c r="J677">
        <f>IFERROR(VLOOKUP(D677,'Pop-Metro'!A:R,E677-2005,FALSE),VLOOKUP(D677,'Pop-Micro'!A:R,E677-2005,FALSE))</f>
        <v>2412468</v>
      </c>
      <c r="K677">
        <f>IFERROR(VLOOKUP(D677,'PCI-Metro'!A:R,E677-2005,FALSE),VLOOKUP(D677,'PCI-Micro'!A:R,E677-2005,FALSE))</f>
        <v>43637</v>
      </c>
      <c r="L677">
        <f>IFERROR(IF(IFERROR(VLOOKUP($A677,Attendance2!$B:$H,5,FALSE),VLOOKUP($B677,Attendance2!$B:$H,5,FALSE))="","",IFERROR(VLOOKUP($A677,Attendance2!$B:$H,5,FALSE),VLOOKUP($B677,Attendance2!$B:$H,5,FALSE))),"")</f>
        <v>4080</v>
      </c>
    </row>
    <row r="678" spans="1:12">
      <c r="A678" t="s">
        <v>280</v>
      </c>
      <c r="B678" t="s">
        <v>280</v>
      </c>
      <c r="C678">
        <v>152600</v>
      </c>
      <c r="D678">
        <v>16980</v>
      </c>
      <c r="E678">
        <f t="shared" si="11"/>
        <v>2016</v>
      </c>
      <c r="F678" t="str">
        <f>IFERROR(IF(VLOOKUP(C678,TotalRev2!A:C,3,FALSE)="","",VLOOKUP(C678,TotalRev2!A:C,3,FALSE)),"")</f>
        <v/>
      </c>
      <c r="G678" t="str">
        <f>IFERROR(IF(VLOOKUP(C678,TotalRev1!A:C,3,FALSE)="","",VLOOKUP(C678,TotalRev1!A:C,3,FALSE)),"")</f>
        <v/>
      </c>
      <c r="H678" s="26">
        <f>IFERROR(IFERROR(VLOOKUP($A678,Winpct2!$A:$K,9,FALSE),VLOOKUP($B678,Winpct2!$A:$K,9,FALSE)),"")</f>
        <v>0.77100000000000002</v>
      </c>
      <c r="I678">
        <f>IFERROR(IFERROR(VLOOKUP($A678,Ra2W!$A:$K,6,FALSE),VLOOKUP($B678,Ra2W!$A:$K,6,FALSE)),"")</f>
        <v>6328</v>
      </c>
      <c r="J678">
        <f>IFERROR(VLOOKUP(D678,'Pop-Metro'!A:R,E678-2005,FALSE),VLOOKUP(D678,'Pop-Micro'!A:R,E678-2005,FALSE))</f>
        <v>9656432</v>
      </c>
      <c r="K678">
        <f>IFERROR(VLOOKUP(D678,'PCI-Metro'!A:R,E678-2005,FALSE),VLOOKUP(D678,'PCI-Micro'!A:R,E678-2005,FALSE))</f>
        <v>55027</v>
      </c>
      <c r="L678">
        <f>IFERROR(IF(IFERROR(VLOOKUP($A678,Attendance2!$B:$H,5,FALSE),VLOOKUP($B678,Attendance2!$B:$H,5,FALSE))="","",IFERROR(VLOOKUP($A678,Attendance2!$B:$H,5,FALSE),VLOOKUP($B678,Attendance2!$B:$H,5,FALSE))),"")</f>
        <v>5000</v>
      </c>
    </row>
    <row r="679" spans="1:12">
      <c r="A679" t="s">
        <v>1313</v>
      </c>
      <c r="B679" t="s">
        <v>1313</v>
      </c>
      <c r="C679">
        <v>221999</v>
      </c>
      <c r="D679">
        <v>34980</v>
      </c>
      <c r="E679">
        <f t="shared" si="11"/>
        <v>2016</v>
      </c>
      <c r="F679" t="str">
        <f>IFERROR(IF(VLOOKUP(C679,TotalRev2!A:C,3,FALSE)="","",VLOOKUP(C679,TotalRev2!A:C,3,FALSE)),"")</f>
        <v/>
      </c>
      <c r="G679" t="str">
        <f>IFERROR(IF(VLOOKUP(C679,TotalRev1!A:C,3,FALSE)="","",VLOOKUP(C679,TotalRev1!A:C,3,FALSE)),"")</f>
        <v/>
      </c>
      <c r="H679" s="26" t="str">
        <f>IFERROR(IFERROR(VLOOKUP($A679,Winpct2!$A:$K,9,FALSE),VLOOKUP($B679,Winpct2!$A:$K,9,FALSE)),"")</f>
        <v/>
      </c>
      <c r="I679" t="str">
        <f>IFERROR(IFERROR(VLOOKUP($A679,Ra2W!$A:$K,6,FALSE),VLOOKUP($B679,Ra2W!$A:$K,6,FALSE)),"")</f>
        <v/>
      </c>
      <c r="J679">
        <f>IFERROR(VLOOKUP(D679,'Pop-Metro'!A:R,E679-2005,FALSE),VLOOKUP(D679,'Pop-Micro'!A:R,E679-2005,FALSE))</f>
        <v>1863407</v>
      </c>
      <c r="K679">
        <f>IFERROR(VLOOKUP(D679,'PCI-Metro'!A:R,E679-2005,FALSE),VLOOKUP(D679,'PCI-Micro'!A:R,E679-2005,FALSE))</f>
        <v>52406</v>
      </c>
      <c r="L679" t="str">
        <f>IFERROR(IF(IFERROR(VLOOKUP($A679,Attendance2!$B:$H,5,FALSE),VLOOKUP($B679,Attendance2!$B:$H,5,FALSE))="","",IFERROR(VLOOKUP($A679,Attendance2!$B:$H,5,FALSE),VLOOKUP($B679,Attendance2!$B:$H,5,FALSE))),"")</f>
        <v/>
      </c>
    </row>
    <row r="680" spans="1:12">
      <c r="A680" t="s">
        <v>1314</v>
      </c>
      <c r="B680" t="s">
        <v>1314</v>
      </c>
      <c r="C680">
        <v>234030</v>
      </c>
      <c r="D680">
        <v>40060</v>
      </c>
      <c r="E680">
        <f t="shared" si="11"/>
        <v>2016</v>
      </c>
      <c r="F680">
        <f>IFERROR(IF(VLOOKUP(C680,TotalRev2!A:C,3,FALSE)="","",VLOOKUP(C680,TotalRev2!A:C,3,FALSE)),"")</f>
        <v>6733</v>
      </c>
      <c r="G680">
        <f>IFERROR(IF(VLOOKUP(C680,TotalRev1!A:C,3,FALSE)="","",VLOOKUP(C680,TotalRev1!A:C,3,FALSE)),"")</f>
        <v>7948</v>
      </c>
      <c r="H680" s="26">
        <f>IFERROR(IFERROR(VLOOKUP($A680,Winpct2!$A:$K,9,FALSE),VLOOKUP($B680,Winpct2!$A:$K,9,FALSE)),"")</f>
        <v>0.45200000000000001</v>
      </c>
      <c r="I680">
        <f>IFERROR(IFERROR(VLOOKUP($A680,Ra2W!$A:$K,6,FALSE),VLOOKUP($B680,Ra2W!$A:$K,6,FALSE)),"")</f>
        <v>4424</v>
      </c>
      <c r="J680">
        <f>IFERROR(VLOOKUP(D680,'Pop-Metro'!A:R,E680-2005,FALSE),VLOOKUP(D680,'Pop-Micro'!A:R,E680-2005,FALSE))</f>
        <v>1267111</v>
      </c>
      <c r="K680">
        <f>IFERROR(VLOOKUP(D680,'PCI-Metro'!A:R,E680-2005,FALSE),VLOOKUP(D680,'PCI-Micro'!A:R,E680-2005,FALSE))</f>
        <v>51617</v>
      </c>
      <c r="L680">
        <f>IFERROR(IF(IFERROR(VLOOKUP($A680,Attendance2!$B:$H,5,FALSE),VLOOKUP($B680,Attendance2!$B:$H,5,FALSE))="","",IFERROR(VLOOKUP($A680,Attendance2!$B:$H,5,FALSE),VLOOKUP($B680,Attendance2!$B:$H,5,FALSE))),"")</f>
        <v>7500</v>
      </c>
    </row>
    <row r="681" spans="1:12">
      <c r="A681" t="s">
        <v>1315</v>
      </c>
      <c r="B681" t="s">
        <v>1315</v>
      </c>
      <c r="C681">
        <v>231174</v>
      </c>
      <c r="D681">
        <v>15540</v>
      </c>
      <c r="E681">
        <f t="shared" si="11"/>
        <v>2016</v>
      </c>
      <c r="F681" t="str">
        <f>IFERROR(IF(VLOOKUP(C681,TotalRev2!A:C,3,FALSE)="","",VLOOKUP(C681,TotalRev2!A:C,3,FALSE)),"")</f>
        <v/>
      </c>
      <c r="G681" t="str">
        <f>IFERROR(IF(VLOOKUP(C681,TotalRev1!A:C,3,FALSE)="","",VLOOKUP(C681,TotalRev1!A:C,3,FALSE)),"")</f>
        <v/>
      </c>
      <c r="H681" s="26" t="str">
        <f>IFERROR(IFERROR(VLOOKUP($A681,Winpct2!$A:$K,9,FALSE),VLOOKUP($B681,Winpct2!$A:$K,9,FALSE)),"")</f>
        <v/>
      </c>
      <c r="I681" t="str">
        <f>IFERROR(IFERROR(VLOOKUP($A681,Ra2W!$A:$K,6,FALSE),VLOOKUP($B681,Ra2W!$A:$K,6,FALSE)),"")</f>
        <v/>
      </c>
      <c r="J681">
        <f>IFERROR(VLOOKUP(D681,'Pop-Metro'!A:R,E681-2005,FALSE),VLOOKUP(D681,'Pop-Micro'!A:R,E681-2005,FALSE))</f>
        <v>220494</v>
      </c>
      <c r="K681">
        <f>IFERROR(VLOOKUP(D681,'PCI-Metro'!A:R,E681-2005,FALSE),VLOOKUP(D681,'PCI-Micro'!A:R,E681-2005,FALSE))</f>
        <v>52640</v>
      </c>
      <c r="L681" t="str">
        <f>IFERROR(IF(IFERROR(VLOOKUP($A681,Attendance2!$B:$H,5,FALSE),VLOOKUP($B681,Attendance2!$B:$H,5,FALSE))="","",IFERROR(VLOOKUP($A681,Attendance2!$B:$H,5,FALSE),VLOOKUP($B681,Attendance2!$B:$H,5,FALSE))),"")</f>
        <v/>
      </c>
    </row>
    <row r="682" spans="1:12">
      <c r="A682" t="s">
        <v>281</v>
      </c>
      <c r="B682" t="s">
        <v>281</v>
      </c>
      <c r="C682">
        <v>216597</v>
      </c>
      <c r="D682">
        <v>37980</v>
      </c>
      <c r="E682">
        <f t="shared" si="11"/>
        <v>2016</v>
      </c>
      <c r="F682" t="str">
        <f>IFERROR(IF(VLOOKUP(C682,TotalRev2!A:C,3,FALSE)="","",VLOOKUP(C682,TotalRev2!A:C,3,FALSE)),"")</f>
        <v/>
      </c>
      <c r="G682" t="str">
        <f>IFERROR(IF(VLOOKUP(C682,TotalRev1!A:C,3,FALSE)="","",VLOOKUP(C682,TotalRev1!A:C,3,FALSE)),"")</f>
        <v/>
      </c>
      <c r="H682" s="26">
        <f>IFERROR(IFERROR(VLOOKUP($A682,Winpct2!$A:$K,9,FALSE),VLOOKUP($B682,Winpct2!$A:$K,9,FALSE)),"")</f>
        <v>0.73499999999999999</v>
      </c>
      <c r="I682">
        <f>IFERROR(IFERROR(VLOOKUP($A682,Ra2W!$A:$K,6,FALSE),VLOOKUP($B682,Ra2W!$A:$K,6,FALSE)),"")</f>
        <v>3564</v>
      </c>
      <c r="J682">
        <f>IFERROR(VLOOKUP(D682,'Pop-Metro'!A:R,E682-2005,FALSE),VLOOKUP(D682,'Pop-Micro'!A:R,E682-2005,FALSE))</f>
        <v>6153468</v>
      </c>
      <c r="K682">
        <f>IFERROR(VLOOKUP(D682,'PCI-Metro'!A:R,E682-2005,FALSE),VLOOKUP(D682,'PCI-Micro'!A:R,E682-2005,FALSE))</f>
        <v>58589</v>
      </c>
      <c r="L682">
        <f>IFERROR(IF(IFERROR(VLOOKUP($A682,Attendance2!$B:$H,5,FALSE),VLOOKUP($B682,Attendance2!$B:$H,5,FALSE))="","",IFERROR(VLOOKUP($A682,Attendance2!$B:$H,5,FALSE),VLOOKUP($B682,Attendance2!$B:$H,5,FALSE))),"")</f>
        <v>1500</v>
      </c>
    </row>
    <row r="683" spans="1:12">
      <c r="A683" t="s">
        <v>282</v>
      </c>
      <c r="B683" t="s">
        <v>282</v>
      </c>
      <c r="C683">
        <v>234076</v>
      </c>
      <c r="D683">
        <v>16820</v>
      </c>
      <c r="E683">
        <f t="shared" si="11"/>
        <v>2016</v>
      </c>
      <c r="F683">
        <f>IFERROR(IF(VLOOKUP(C683,TotalRev2!A:C,3,FALSE)="","",VLOOKUP(C683,TotalRev2!A:C,3,FALSE)),"")</f>
        <v>809866</v>
      </c>
      <c r="G683">
        <f>IFERROR(IF(VLOOKUP(C683,TotalRev1!A:C,3,FALSE)="","",VLOOKUP(C683,TotalRev1!A:C,3,FALSE)),"")</f>
        <v>679012</v>
      </c>
      <c r="H683" s="26">
        <f>IFERROR(IFERROR(VLOOKUP($A683,Winpct2!$A:$K,9,FALSE),VLOOKUP($B683,Winpct2!$A:$K,9,FALSE)),"")</f>
        <v>0.58099999999999996</v>
      </c>
      <c r="I683">
        <f>IFERROR(IFERROR(VLOOKUP($A683,Ra2W!$A:$K,6,FALSE),VLOOKUP($B683,Ra2W!$A:$K,6,FALSE)),"")</f>
        <v>9110</v>
      </c>
      <c r="J683">
        <f>IFERROR(VLOOKUP(D683,'Pop-Metro'!A:R,E683-2005,FALSE),VLOOKUP(D683,'Pop-Micro'!A:R,E683-2005,FALSE))</f>
        <v>214974</v>
      </c>
      <c r="K683">
        <f>IFERROR(VLOOKUP(D683,'PCI-Metro'!A:R,E683-2005,FALSE),VLOOKUP(D683,'PCI-Micro'!A:R,E683-2005,FALSE))</f>
        <v>57658</v>
      </c>
      <c r="L683">
        <f>IFERROR(IF(IFERROR(VLOOKUP($A683,Attendance2!$B:$H,5,FALSE),VLOOKUP($B683,Attendance2!$B:$H,5,FALSE))="","",IFERROR(VLOOKUP($A683,Attendance2!$B:$H,5,FALSE),VLOOKUP($B683,Attendance2!$B:$H,5,FALSE))),"")</f>
        <v>744</v>
      </c>
    </row>
    <row r="684" spans="1:12">
      <c r="A684" t="s">
        <v>283</v>
      </c>
      <c r="B684" t="s">
        <v>283</v>
      </c>
      <c r="C684">
        <v>233921</v>
      </c>
      <c r="D684">
        <v>13980</v>
      </c>
      <c r="E684">
        <f t="shared" si="11"/>
        <v>2016</v>
      </c>
      <c r="F684">
        <f>IFERROR(IF(VLOOKUP(C684,TotalRev2!A:C,3,FALSE)="","",VLOOKUP(C684,TotalRev2!A:C,3,FALSE)),"")</f>
        <v>684468</v>
      </c>
      <c r="G684">
        <f>IFERROR(IF(VLOOKUP(C684,TotalRev1!A:C,3,FALSE)="","",VLOOKUP(C684,TotalRev1!A:C,3,FALSE)),"")</f>
        <v>626876</v>
      </c>
      <c r="H684" s="26">
        <f>IFERROR(IFERROR(VLOOKUP($A684,Winpct2!$A:$K,9,FALSE),VLOOKUP($B684,Winpct2!$A:$K,9,FALSE)),"")</f>
        <v>0.59399999999999997</v>
      </c>
      <c r="I684">
        <f>IFERROR(IFERROR(VLOOKUP($A684,Ra2W!$A:$K,6,FALSE),VLOOKUP($B684,Ra2W!$A:$K,6,FALSE)),"")</f>
        <v>9718</v>
      </c>
      <c r="J684">
        <f>IFERROR(VLOOKUP(D684,'Pop-Metro'!A:R,E684-2005,FALSE),VLOOKUP(D684,'Pop-Micro'!A:R,E684-2005,FALSE))</f>
        <v>166139</v>
      </c>
      <c r="K684">
        <f>IFERROR(VLOOKUP(D684,'PCI-Metro'!A:R,E684-2005,FALSE),VLOOKUP(D684,'PCI-Micro'!A:R,E684-2005,FALSE))</f>
        <v>34437</v>
      </c>
      <c r="L684">
        <f>IFERROR(IF(IFERROR(VLOOKUP($A684,Attendance2!$B:$H,5,FALSE),VLOOKUP($B684,Attendance2!$B:$H,5,FALSE))="","",IFERROR(VLOOKUP($A684,Attendance2!$B:$H,5,FALSE),VLOOKUP($B684,Attendance2!$B:$H,5,FALSE))),"")</f>
        <v>10052</v>
      </c>
    </row>
    <row r="685" spans="1:12">
      <c r="A685" t="s">
        <v>1316</v>
      </c>
      <c r="B685" t="s">
        <v>1316</v>
      </c>
      <c r="C685">
        <v>234085</v>
      </c>
      <c r="D685">
        <v>31340</v>
      </c>
      <c r="E685">
        <f t="shared" si="11"/>
        <v>2016</v>
      </c>
      <c r="F685" t="str">
        <f>IFERROR(IF(VLOOKUP(C685,TotalRev2!A:C,3,FALSE)="","",VLOOKUP(C685,TotalRev2!A:C,3,FALSE)),"")</f>
        <v/>
      </c>
      <c r="G685" t="str">
        <f>IFERROR(IF(VLOOKUP(C685,TotalRev1!A:C,3,FALSE)="","",VLOOKUP(C685,TotalRev1!A:C,3,FALSE)),"")</f>
        <v/>
      </c>
      <c r="H685" s="26" t="str">
        <f>IFERROR(IFERROR(VLOOKUP($A685,Winpct2!$A:$K,9,FALSE),VLOOKUP($B685,Winpct2!$A:$K,9,FALSE)),"")</f>
        <v/>
      </c>
      <c r="I685" t="str">
        <f>IFERROR(IFERROR(VLOOKUP($A685,Ra2W!$A:$K,6,FALSE),VLOOKUP($B685,Ra2W!$A:$K,6,FALSE)),"")</f>
        <v/>
      </c>
      <c r="J685">
        <f>IFERROR(VLOOKUP(D685,'Pop-Metro'!A:R,E685-2005,FALSE),VLOOKUP(D685,'Pop-Micro'!A:R,E685-2005,FALSE))</f>
        <v>259012</v>
      </c>
      <c r="K685">
        <f>IFERROR(VLOOKUP(D685,'PCI-Metro'!A:R,E685-2005,FALSE),VLOOKUP(D685,'PCI-Micro'!A:R,E685-2005,FALSE))</f>
        <v>37098</v>
      </c>
      <c r="L685" t="str">
        <f>IFERROR(IF(IFERROR(VLOOKUP($A685,Attendance2!$B:$H,5,FALSE),VLOOKUP($B685,Attendance2!$B:$H,5,FALSE))="","",IFERROR(VLOOKUP($A685,Attendance2!$B:$H,5,FALSE),VLOOKUP($B685,Attendance2!$B:$H,5,FALSE))),"")</f>
        <v/>
      </c>
    </row>
    <row r="686" spans="1:12">
      <c r="A686" t="s">
        <v>1258</v>
      </c>
      <c r="B686" t="s">
        <v>1258</v>
      </c>
      <c r="C686">
        <v>197197</v>
      </c>
      <c r="D686">
        <v>35620</v>
      </c>
      <c r="E686">
        <f t="shared" si="11"/>
        <v>2016</v>
      </c>
      <c r="F686" t="str">
        <f>IFERROR(IF(VLOOKUP(C686,TotalRev2!A:C,3,FALSE)="","",VLOOKUP(C686,TotalRev2!A:C,3,FALSE)),"")</f>
        <v/>
      </c>
      <c r="G686" t="str">
        <f>IFERROR(IF(VLOOKUP(C686,TotalRev1!A:C,3,FALSE)="","",VLOOKUP(C686,TotalRev1!A:C,3,FALSE)),"")</f>
        <v/>
      </c>
      <c r="H686" s="26" t="str">
        <f>IFERROR(IFERROR(VLOOKUP($A686,Winpct2!$A:$K,9,FALSE),VLOOKUP($B686,Winpct2!$A:$K,9,FALSE)),"")</f>
        <v/>
      </c>
      <c r="I686" t="str">
        <f>IFERROR(IFERROR(VLOOKUP($A686,Ra2W!$A:$K,6,FALSE),VLOOKUP($B686,Ra2W!$A:$K,6,FALSE)),"")</f>
        <v/>
      </c>
      <c r="J686">
        <f>IFERROR(VLOOKUP(D686,'Pop-Metro'!A:R,E686-2005,FALSE),VLOOKUP(D686,'Pop-Micro'!A:R,E686-2005,FALSE))</f>
        <v>19943198</v>
      </c>
      <c r="K686">
        <f>IFERROR(VLOOKUP(D686,'PCI-Metro'!A:R,E686-2005,FALSE),VLOOKUP(D686,'PCI-Micro'!A:R,E686-2005,FALSE))</f>
        <v>64886</v>
      </c>
      <c r="L686" t="str">
        <f>IFERROR(IF(IFERROR(VLOOKUP($A686,Attendance2!$B:$H,5,FALSE),VLOOKUP($B686,Attendance2!$B:$H,5,FALSE))="","",IFERROR(VLOOKUP($A686,Attendance2!$B:$H,5,FALSE),VLOOKUP($B686,Attendance2!$B:$H,5,FALSE))),"")</f>
        <v/>
      </c>
    </row>
    <row r="687" spans="1:12">
      <c r="A687" t="s">
        <v>1317</v>
      </c>
      <c r="B687" t="s">
        <v>1317</v>
      </c>
      <c r="C687">
        <v>199847</v>
      </c>
      <c r="D687">
        <v>49180</v>
      </c>
      <c r="E687">
        <f t="shared" si="11"/>
        <v>2016</v>
      </c>
      <c r="F687" t="str">
        <f>IFERROR(IF(VLOOKUP(C687,TotalRev2!A:C,3,FALSE)="","",VLOOKUP(C687,TotalRev2!A:C,3,FALSE)),"")</f>
        <v/>
      </c>
      <c r="G687" t="str">
        <f>IFERROR(IF(VLOOKUP(C687,TotalRev1!A:C,3,FALSE)="","",VLOOKUP(C687,TotalRev1!A:C,3,FALSE)),"")</f>
        <v/>
      </c>
      <c r="H687" s="26">
        <f>IFERROR(IFERROR(VLOOKUP($A687,Winpct2!$A:$K,9,FALSE),VLOOKUP($B687,Winpct2!$A:$K,9,FALSE)),"")</f>
        <v>0.375</v>
      </c>
      <c r="I687">
        <f>IFERROR(IFERROR(VLOOKUP($A687,Ra2W!$A:$K,6,FALSE),VLOOKUP($B687,Ra2W!$A:$K,6,FALSE)),"")</f>
        <v>10561</v>
      </c>
      <c r="J687">
        <f>IFERROR(VLOOKUP(D687,'Pop-Metro'!A:R,E687-2005,FALSE),VLOOKUP(D687,'Pop-Micro'!A:R,E687-2005,FALSE))</f>
        <v>659470</v>
      </c>
      <c r="K687">
        <f>IFERROR(VLOOKUP(D687,'PCI-Metro'!A:R,E687-2005,FALSE),VLOOKUP(D687,'PCI-Micro'!A:R,E687-2005,FALSE))</f>
        <v>41182</v>
      </c>
      <c r="L687">
        <f>IFERROR(IF(IFERROR(VLOOKUP($A687,Attendance2!$B:$H,5,FALSE),VLOOKUP($B687,Attendance2!$B:$H,5,FALSE))="","",IFERROR(VLOOKUP($A687,Attendance2!$B:$H,5,FALSE),VLOOKUP($B687,Attendance2!$B:$H,5,FALSE))),"")</f>
        <v>2000</v>
      </c>
    </row>
    <row r="688" spans="1:12">
      <c r="A688" t="s">
        <v>284</v>
      </c>
      <c r="B688" t="s">
        <v>284</v>
      </c>
      <c r="C688">
        <v>236948</v>
      </c>
      <c r="D688">
        <v>42660</v>
      </c>
      <c r="E688">
        <f t="shared" si="11"/>
        <v>2016</v>
      </c>
      <c r="F688">
        <f>IFERROR(IF(VLOOKUP(C688,TotalRev2!A:C,3,FALSE)="","",VLOOKUP(C688,TotalRev2!A:C,3,FALSE)),"")</f>
        <v>794462</v>
      </c>
      <c r="G688">
        <f>IFERROR(IF(VLOOKUP(C688,TotalRev1!A:C,3,FALSE)="","",VLOOKUP(C688,TotalRev1!A:C,3,FALSE)),"")</f>
        <v>1102304</v>
      </c>
      <c r="H688" s="26">
        <f>IFERROR(IFERROR(VLOOKUP($A688,Winpct2!$A:$K,9,FALSE),VLOOKUP($B688,Winpct2!$A:$K,9,FALSE)),"")</f>
        <v>0.91200000000000003</v>
      </c>
      <c r="I688">
        <f>IFERROR(IFERROR(VLOOKUP($A688,Ra2W!$A:$K,6,FALSE),VLOOKUP($B688,Ra2W!$A:$K,6,FALSE)),"")</f>
        <v>44680</v>
      </c>
      <c r="J688">
        <f>IFERROR(VLOOKUP(D688,'Pop-Metro'!A:R,E688-2005,FALSE),VLOOKUP(D688,'Pop-Micro'!A:R,E688-2005,FALSE))</f>
        <v>3824014</v>
      </c>
      <c r="K688">
        <f>IFERROR(VLOOKUP(D688,'PCI-Metro'!A:R,E688-2005,FALSE),VLOOKUP(D688,'PCI-Micro'!A:R,E688-2005,FALSE))</f>
        <v>64639</v>
      </c>
      <c r="L688">
        <f>IFERROR(IF(IFERROR(VLOOKUP($A688,Attendance2!$B:$H,5,FALSE),VLOOKUP($B688,Attendance2!$B:$H,5,FALSE))="","",IFERROR(VLOOKUP($A688,Attendance2!$B:$H,5,FALSE),VLOOKUP($B688,Attendance2!$B:$H,5,FALSE))),"")</f>
        <v>10000</v>
      </c>
    </row>
    <row r="689" spans="1:12">
      <c r="A689" t="s">
        <v>1318</v>
      </c>
      <c r="B689" t="s">
        <v>1318</v>
      </c>
      <c r="C689">
        <v>236939</v>
      </c>
      <c r="D689">
        <v>39420</v>
      </c>
      <c r="E689">
        <f t="shared" si="11"/>
        <v>2016</v>
      </c>
      <c r="F689">
        <f>IFERROR(IF(VLOOKUP(C689,TotalRev2!A:C,3,FALSE)="","",VLOOKUP(C689,TotalRev2!A:C,3,FALSE)),"")</f>
        <v>873893</v>
      </c>
      <c r="G689">
        <f>IFERROR(IF(VLOOKUP(C689,TotalRev1!A:C,3,FALSE)="","",VLOOKUP(C689,TotalRev1!A:C,3,FALSE)),"")</f>
        <v>791494</v>
      </c>
      <c r="H689" s="26">
        <f>IFERROR(IFERROR(VLOOKUP($A689,Winpct2!$A:$K,9,FALSE),VLOOKUP($B689,Winpct2!$A:$K,9,FALSE)),"")</f>
        <v>0.5</v>
      </c>
      <c r="I689">
        <f>IFERROR(IFERROR(VLOOKUP($A689,Ra2W!$A:$K,6,FALSE),VLOOKUP($B689,Ra2W!$A:$K,6,FALSE)),"")</f>
        <v>9639</v>
      </c>
      <c r="J689">
        <f>IFERROR(VLOOKUP(D689,'Pop-Metro'!A:R,E689-2005,FALSE),VLOOKUP(D689,'Pop-Micro'!A:R,E689-2005,FALSE))</f>
        <v>47881</v>
      </c>
      <c r="K689">
        <f>IFERROR(VLOOKUP(D689,'PCI-Metro'!A:R,E689-2005,FALSE),VLOOKUP(D689,'PCI-Micro'!A:R,E689-2005,FALSE))</f>
        <v>34887</v>
      </c>
      <c r="L689">
        <f>IFERROR(IF(IFERROR(VLOOKUP($A689,Attendance2!$B:$H,5,FALSE),VLOOKUP($B689,Attendance2!$B:$H,5,FALSE))="","",IFERROR(VLOOKUP($A689,Attendance2!$B:$H,5,FALSE),VLOOKUP($B689,Attendance2!$B:$H,5,FALSE))),"")</f>
        <v>3000</v>
      </c>
    </row>
    <row r="690" spans="1:12">
      <c r="A690" t="s">
        <v>285</v>
      </c>
      <c r="B690" t="s">
        <v>285</v>
      </c>
      <c r="C690">
        <v>230782</v>
      </c>
      <c r="D690">
        <v>36260</v>
      </c>
      <c r="E690">
        <f t="shared" si="11"/>
        <v>2016</v>
      </c>
      <c r="F690">
        <f>IFERROR(IF(VLOOKUP(C690,TotalRev2!A:C,3,FALSE)="","",VLOOKUP(C690,TotalRev2!A:C,3,FALSE)),"")</f>
        <v>348328</v>
      </c>
      <c r="G690">
        <f>IFERROR(IF(VLOOKUP(C690,TotalRev1!A:C,3,FALSE)="","",VLOOKUP(C690,TotalRev1!A:C,3,FALSE)),"")</f>
        <v>337946</v>
      </c>
      <c r="H690" s="26">
        <f>IFERROR(IFERROR(VLOOKUP($A690,Winpct2!$A:$K,9,FALSE),VLOOKUP($B690,Winpct2!$A:$K,9,FALSE)),"")</f>
        <v>0.214</v>
      </c>
      <c r="I690">
        <f>IFERROR(IFERROR(VLOOKUP($A690,Ra2W!$A:$K,6,FALSE),VLOOKUP($B690,Ra2W!$A:$K,6,FALSE)),"")</f>
        <v>3838</v>
      </c>
      <c r="J690">
        <f>IFERROR(VLOOKUP(D690,'Pop-Metro'!A:R,E690-2005,FALSE),VLOOKUP(D690,'Pop-Micro'!A:R,E690-2005,FALSE))</f>
        <v>655918</v>
      </c>
      <c r="K690">
        <f>IFERROR(VLOOKUP(D690,'PCI-Metro'!A:R,E690-2005,FALSE),VLOOKUP(D690,'PCI-Micro'!A:R,E690-2005,FALSE))</f>
        <v>39657</v>
      </c>
      <c r="L690">
        <f>IFERROR(IF(IFERROR(VLOOKUP($A690,Attendance2!$B:$H,5,FALSE),VLOOKUP($B690,Attendance2!$B:$H,5,FALSE))="","",IFERROR(VLOOKUP($A690,Attendance2!$B:$H,5,FALSE),VLOOKUP($B690,Attendance2!$B:$H,5,FALSE))),"")</f>
        <v>1000</v>
      </c>
    </row>
    <row r="691" spans="1:12">
      <c r="A691" t="s">
        <v>1319</v>
      </c>
      <c r="B691" t="s">
        <v>1319</v>
      </c>
      <c r="C691">
        <v>238032</v>
      </c>
      <c r="D691">
        <v>34060</v>
      </c>
      <c r="E691">
        <f t="shared" si="11"/>
        <v>2016</v>
      </c>
      <c r="F691">
        <f>IFERROR(IF(VLOOKUP(C691,TotalRev2!A:C,3,FALSE)="","",VLOOKUP(C691,TotalRev2!A:C,3,FALSE)),"")</f>
        <v>322708</v>
      </c>
      <c r="G691">
        <f>IFERROR(IF(VLOOKUP(C691,TotalRev1!A:C,3,FALSE)="","",VLOOKUP(C691,TotalRev1!A:C,3,FALSE)),"")</f>
        <v>44657</v>
      </c>
      <c r="H691" s="26">
        <f>IFERROR(IFERROR(VLOOKUP($A691,Winpct2!$A:$K,9,FALSE),VLOOKUP($B691,Winpct2!$A:$K,9,FALSE)),"")</f>
        <v>0.17199999999999999</v>
      </c>
      <c r="I691">
        <f>IFERROR(IFERROR(VLOOKUP($A691,Ra2W!$A:$K,6,FALSE),VLOOKUP($B691,Ra2W!$A:$K,6,FALSE)),"")</f>
        <v>4254</v>
      </c>
      <c r="J691">
        <f>IFERROR(VLOOKUP(D691,'Pop-Metro'!A:R,E691-2005,FALSE),VLOOKUP(D691,'Pop-Micro'!A:R,E691-2005,FALSE))</f>
        <v>139638</v>
      </c>
      <c r="K691">
        <f>IFERROR(VLOOKUP(D691,'PCI-Metro'!A:R,E691-2005,FALSE),VLOOKUP(D691,'PCI-Micro'!A:R,E691-2005,FALSE))</f>
        <v>39478</v>
      </c>
      <c r="L691">
        <f>IFERROR(IF(IFERROR(VLOOKUP($A691,Attendance2!$B:$H,5,FALSE),VLOOKUP($B691,Attendance2!$B:$H,5,FALSE))="","",IFERROR(VLOOKUP($A691,Attendance2!$B:$H,5,FALSE),VLOOKUP($B691,Attendance2!$B:$H,5,FALSE))),"")</f>
        <v>14000</v>
      </c>
    </row>
    <row r="692" spans="1:12">
      <c r="A692" t="s">
        <v>286</v>
      </c>
      <c r="B692" t="s">
        <v>286</v>
      </c>
      <c r="C692">
        <v>200004</v>
      </c>
      <c r="D692">
        <v>19000</v>
      </c>
      <c r="E692">
        <f t="shared" si="11"/>
        <v>2016</v>
      </c>
      <c r="F692">
        <f>IFERROR(IF(VLOOKUP(C692,TotalRev2!A:C,3,FALSE)="","",VLOOKUP(C692,TotalRev2!A:C,3,FALSE)),"")</f>
        <v>36867</v>
      </c>
      <c r="G692">
        <f>IFERROR(IF(VLOOKUP(C692,TotalRev1!A:C,3,FALSE)="","",VLOOKUP(C692,TotalRev1!A:C,3,FALSE)),"")</f>
        <v>26942</v>
      </c>
      <c r="H692" s="26">
        <f>IFERROR(IFERROR(VLOOKUP($A692,Winpct2!$A:$K,9,FALSE),VLOOKUP($B692,Winpct2!$A:$K,9,FALSE)),"")</f>
        <v>0.35299999999999998</v>
      </c>
      <c r="I692">
        <f>IFERROR(IFERROR(VLOOKUP($A692,Ra2W!$A:$K,6,FALSE),VLOOKUP($B692,Ra2W!$A:$K,6,FALSE)),"")</f>
        <v>2636</v>
      </c>
      <c r="J692">
        <f>IFERROR(VLOOKUP(D692,'Pop-Metro'!A:R,E692-2005,FALSE),VLOOKUP(D692,'Pop-Micro'!A:R,E692-2005,FALSE))</f>
        <v>56250</v>
      </c>
      <c r="K692">
        <f>IFERROR(VLOOKUP(D692,'PCI-Metro'!A:R,E692-2005,FALSE),VLOOKUP(D692,'PCI-Micro'!A:R,E692-2005,FALSE))</f>
        <v>32307</v>
      </c>
      <c r="L692">
        <f>IFERROR(IF(IFERROR(VLOOKUP($A692,Attendance2!$B:$H,5,FALSE),VLOOKUP($B692,Attendance2!$B:$H,5,FALSE))="","",IFERROR(VLOOKUP($A692,Attendance2!$B:$H,5,FALSE),VLOOKUP($B692,Attendance2!$B:$H,5,FALSE))),"")</f>
        <v>7826</v>
      </c>
    </row>
    <row r="693" spans="1:12">
      <c r="A693" t="s">
        <v>287</v>
      </c>
      <c r="B693" t="s">
        <v>287</v>
      </c>
      <c r="C693">
        <v>149772</v>
      </c>
      <c r="D693">
        <v>31380</v>
      </c>
      <c r="E693">
        <f t="shared" si="11"/>
        <v>2016</v>
      </c>
      <c r="F693">
        <f>IFERROR(IF(VLOOKUP(C693,TotalRev2!A:C,3,FALSE)="","",VLOOKUP(C693,TotalRev2!A:C,3,FALSE)),"")</f>
        <v>306234</v>
      </c>
      <c r="G693">
        <f>IFERROR(IF(VLOOKUP(C693,TotalRev1!A:C,3,FALSE)="","",VLOOKUP(C693,TotalRev1!A:C,3,FALSE)),"")</f>
        <v>301803</v>
      </c>
      <c r="H693" s="26">
        <f>IFERROR(IFERROR(VLOOKUP($A693,Winpct2!$A:$K,9,FALSE),VLOOKUP($B693,Winpct2!$A:$K,9,FALSE)),"")</f>
        <v>9.7000000000000003E-2</v>
      </c>
      <c r="I693">
        <f>IFERROR(IFERROR(VLOOKUP($A693,Ra2W!$A:$K,6,FALSE),VLOOKUP($B693,Ra2W!$A:$K,6,FALSE)),"")</f>
        <v>3034</v>
      </c>
      <c r="J693">
        <f>IFERROR(VLOOKUP(D693,'Pop-Metro'!A:R,E693-2005,FALSE),VLOOKUP(D693,'Pop-Micro'!A:R,E693-2005,FALSE))</f>
        <v>29495</v>
      </c>
      <c r="K693">
        <f>IFERROR(VLOOKUP(D693,'PCI-Metro'!A:R,E693-2005,FALSE),VLOOKUP(D693,'PCI-Micro'!A:R,E693-2005,FALSE))</f>
        <v>37711</v>
      </c>
      <c r="L693">
        <f>IFERROR(IF(IFERROR(VLOOKUP($A693,Attendance2!$B:$H,5,FALSE),VLOOKUP($B693,Attendance2!$B:$H,5,FALSE))="","",IFERROR(VLOOKUP($A693,Attendance2!$B:$H,5,FALSE),VLOOKUP($B693,Attendance2!$B:$H,5,FALSE))),"")</f>
        <v>1500</v>
      </c>
    </row>
    <row r="694" spans="1:12">
      <c r="A694" t="s">
        <v>288</v>
      </c>
      <c r="B694" t="s">
        <v>288</v>
      </c>
      <c r="C694">
        <v>157951</v>
      </c>
      <c r="D694">
        <v>14540</v>
      </c>
      <c r="E694">
        <f t="shared" si="11"/>
        <v>2016</v>
      </c>
      <c r="F694">
        <f>IFERROR(IF(VLOOKUP(C694,TotalRev2!A:C,3,FALSE)="","",VLOOKUP(C694,TotalRev2!A:C,3,FALSE)),"")</f>
        <v>966428</v>
      </c>
      <c r="G694">
        <f>IFERROR(IF(VLOOKUP(C694,TotalRev1!A:C,3,FALSE)="","",VLOOKUP(C694,TotalRev1!A:C,3,FALSE)),"")</f>
        <v>773772</v>
      </c>
      <c r="H694" s="26">
        <f>IFERROR(IFERROR(VLOOKUP($A694,Winpct2!$A:$K,9,FALSE),VLOOKUP($B694,Winpct2!$A:$K,9,FALSE)),"")</f>
        <v>0.88900000000000001</v>
      </c>
      <c r="I694">
        <f>IFERROR(IFERROR(VLOOKUP($A694,Ra2W!$A:$K,6,FALSE),VLOOKUP($B694,Ra2W!$A:$K,6,FALSE)),"")</f>
        <v>8887</v>
      </c>
      <c r="J694">
        <f>IFERROR(VLOOKUP(D694,'Pop-Metro'!A:R,E694-2005,FALSE),VLOOKUP(D694,'Pop-Micro'!A:R,E694-2005,FALSE))</f>
        <v>171804</v>
      </c>
      <c r="K694">
        <f>IFERROR(VLOOKUP(D694,'PCI-Metro'!A:R,E694-2005,FALSE),VLOOKUP(D694,'PCI-Micro'!A:R,E694-2005,FALSE))</f>
        <v>34748</v>
      </c>
      <c r="L694">
        <f>IFERROR(IF(IFERROR(VLOOKUP($A694,Attendance2!$B:$H,5,FALSE),VLOOKUP($B694,Attendance2!$B:$H,5,FALSE))="","",IFERROR(VLOOKUP($A694,Attendance2!$B:$H,5,FALSE),VLOOKUP($B694,Attendance2!$B:$H,5,FALSE))),"")</f>
        <v>7326</v>
      </c>
    </row>
    <row r="695" spans="1:12">
      <c r="A695" t="s">
        <v>289</v>
      </c>
      <c r="B695" t="s">
        <v>289</v>
      </c>
      <c r="C695">
        <v>172699</v>
      </c>
      <c r="D695">
        <v>28020</v>
      </c>
      <c r="E695">
        <f t="shared" si="11"/>
        <v>2016</v>
      </c>
      <c r="F695">
        <f>IFERROR(IF(VLOOKUP(C695,TotalRev2!A:C,3,FALSE)="","",VLOOKUP(C695,TotalRev2!A:C,3,FALSE)),"")</f>
        <v>201232</v>
      </c>
      <c r="G695">
        <f>IFERROR(IF(VLOOKUP(C695,TotalRev1!A:C,3,FALSE)="","",VLOOKUP(C695,TotalRev1!A:C,3,FALSE)),"")</f>
        <v>188616</v>
      </c>
      <c r="H695" s="26">
        <f>IFERROR(IFERROR(VLOOKUP($A695,Winpct2!$A:$K,9,FALSE),VLOOKUP($B695,Winpct2!$A:$K,9,FALSE)),"")</f>
        <v>0.45500000000000002</v>
      </c>
      <c r="I695">
        <f>IFERROR(IFERROR(VLOOKUP($A695,Ra2W!$A:$K,6,FALSE),VLOOKUP($B695,Ra2W!$A:$K,6,FALSE)),"")</f>
        <v>4917</v>
      </c>
      <c r="J695">
        <f>IFERROR(VLOOKUP(D695,'Pop-Metro'!A:R,E695-2005,FALSE),VLOOKUP(D695,'Pop-Micro'!A:R,E695-2005,FALSE))</f>
        <v>258996</v>
      </c>
      <c r="K695">
        <f>IFERROR(VLOOKUP(D695,'PCI-Metro'!A:R,E695-2005,FALSE),VLOOKUP(D695,'PCI-Micro'!A:R,E695-2005,FALSE))</f>
        <v>45469</v>
      </c>
      <c r="L695">
        <f>IFERROR(IF(IFERROR(VLOOKUP($A695,Attendance2!$B:$H,5,FALSE),VLOOKUP($B695,Attendance2!$B:$H,5,FALSE))="","",IFERROR(VLOOKUP($A695,Attendance2!$B:$H,5,FALSE),VLOOKUP($B695,Attendance2!$B:$H,5,FALSE))),"")</f>
        <v>5421</v>
      </c>
    </row>
    <row r="696" spans="1:12">
      <c r="A696" t="s">
        <v>290</v>
      </c>
      <c r="B696" t="s">
        <v>290</v>
      </c>
      <c r="C696">
        <v>156125</v>
      </c>
      <c r="D696">
        <v>48620</v>
      </c>
      <c r="E696">
        <f t="shared" si="11"/>
        <v>2016</v>
      </c>
      <c r="F696">
        <f>IFERROR(IF(VLOOKUP(C696,TotalRev2!A:C,3,FALSE)="","",VLOOKUP(C696,TotalRev2!A:C,3,FALSE)),"")</f>
        <v>504645</v>
      </c>
      <c r="G696">
        <f>IFERROR(IF(VLOOKUP(C696,TotalRev1!A:C,3,FALSE)="","",VLOOKUP(C696,TotalRev1!A:C,3,FALSE)),"")</f>
        <v>396937</v>
      </c>
      <c r="H696" s="26">
        <f>IFERROR(IFERROR(VLOOKUP($A696,Winpct2!$A:$K,9,FALSE),VLOOKUP($B696,Winpct2!$A:$K,9,FALSE)),"")</f>
        <v>0.75</v>
      </c>
      <c r="I696">
        <f>IFERROR(IFERROR(VLOOKUP($A696,Ra2W!$A:$K,6,FALSE),VLOOKUP($B696,Ra2W!$A:$K,6,FALSE)),"")</f>
        <v>31650</v>
      </c>
      <c r="J696">
        <f>IFERROR(VLOOKUP(D696,'Pop-Metro'!A:R,E696-2005,FALSE),VLOOKUP(D696,'Pop-Micro'!A:R,E696-2005,FALSE))</f>
        <v>640603</v>
      </c>
      <c r="K696">
        <f>IFERROR(VLOOKUP(D696,'PCI-Metro'!A:R,E696-2005,FALSE),VLOOKUP(D696,'PCI-Micro'!A:R,E696-2005,FALSE))</f>
        <v>45498</v>
      </c>
      <c r="L696">
        <f>IFERROR(IF(IFERROR(VLOOKUP($A696,Attendance2!$B:$H,5,FALSE),VLOOKUP($B696,Attendance2!$B:$H,5,FALSE))="","",IFERROR(VLOOKUP($A696,Attendance2!$B:$H,5,FALSE),VLOOKUP($B696,Attendance2!$B:$H,5,FALSE))),"")</f>
        <v>10400</v>
      </c>
    </row>
    <row r="697" spans="1:12">
      <c r="A697" t="s">
        <v>1320</v>
      </c>
      <c r="B697" t="s">
        <v>1320</v>
      </c>
      <c r="C697">
        <v>231624</v>
      </c>
      <c r="D697">
        <v>47260</v>
      </c>
      <c r="E697">
        <f t="shared" si="11"/>
        <v>2016</v>
      </c>
      <c r="F697">
        <f>IFERROR(IF(VLOOKUP(C697,TotalRev2!A:C,3,FALSE)="","",VLOOKUP(C697,TotalRev2!A:C,3,FALSE)),"")</f>
        <v>190617</v>
      </c>
      <c r="G697">
        <f>IFERROR(IF(VLOOKUP(C697,TotalRev1!A:C,3,FALSE)="","",VLOOKUP(C697,TotalRev1!A:C,3,FALSE)),"")</f>
        <v>142519</v>
      </c>
      <c r="H697" s="26">
        <f>IFERROR(IFERROR(VLOOKUP($A697,Winpct2!$A:$K,9,FALSE),VLOOKUP($B697,Winpct2!$A:$K,9,FALSE)),"")</f>
        <v>0.33300000000000002</v>
      </c>
      <c r="I697">
        <f>IFERROR(IFERROR(VLOOKUP($A697,Ra2W!$A:$K,6,FALSE),VLOOKUP($B697,Ra2W!$A:$K,6,FALSE)),"")</f>
        <v>3218</v>
      </c>
      <c r="J697">
        <f>IFERROR(VLOOKUP(D697,'Pop-Metro'!A:R,E697-2005,FALSE),VLOOKUP(D697,'Pop-Micro'!A:R,E697-2005,FALSE))</f>
        <v>1773651</v>
      </c>
      <c r="K697">
        <f>IFERROR(VLOOKUP(D697,'PCI-Metro'!A:R,E697-2005,FALSE),VLOOKUP(D697,'PCI-Micro'!A:R,E697-2005,FALSE))</f>
        <v>46137</v>
      </c>
      <c r="L697">
        <f>IFERROR(IF(IFERROR(VLOOKUP($A697,Attendance2!$B:$H,5,FALSE),VLOOKUP($B697,Attendance2!$B:$H,5,FALSE))="","",IFERROR(VLOOKUP($A697,Attendance2!$B:$H,5,FALSE),VLOOKUP($B697,Attendance2!$B:$H,5,FALSE))),"")</f>
        <v>8600</v>
      </c>
    </row>
    <row r="698" spans="1:12">
      <c r="A698" t="s">
        <v>291</v>
      </c>
      <c r="B698" t="s">
        <v>291</v>
      </c>
      <c r="C698">
        <v>218964</v>
      </c>
      <c r="D698">
        <v>16740</v>
      </c>
      <c r="E698">
        <f t="shared" si="11"/>
        <v>2016</v>
      </c>
      <c r="F698">
        <f>IFERROR(IF(VLOOKUP(C698,TotalRev2!A:C,3,FALSE)="","",VLOOKUP(C698,TotalRev2!A:C,3,FALSE)),"")</f>
        <v>208742</v>
      </c>
      <c r="G698">
        <f>IFERROR(IF(VLOOKUP(C698,TotalRev1!A:C,3,FALSE)="","",VLOOKUP(C698,TotalRev1!A:C,3,FALSE)),"")</f>
        <v>280493</v>
      </c>
      <c r="H698" s="26">
        <f>IFERROR(IFERROR(VLOOKUP($A698,Winpct2!$A:$K,9,FALSE),VLOOKUP($B698,Winpct2!$A:$K,9,FALSE)),"")</f>
        <v>0.438</v>
      </c>
      <c r="I698">
        <f>IFERROR(IFERROR(VLOOKUP($A698,Ra2W!$A:$K,6,FALSE),VLOOKUP($B698,Ra2W!$A:$K,6,FALSE)),"")</f>
        <v>7404</v>
      </c>
      <c r="J698">
        <f>IFERROR(VLOOKUP(D698,'Pop-Metro'!A:R,E698-2005,FALSE),VLOOKUP(D698,'Pop-Micro'!A:R,E698-2005,FALSE))</f>
        <v>2493738</v>
      </c>
      <c r="K698">
        <f>IFERROR(VLOOKUP(D698,'PCI-Metro'!A:R,E698-2005,FALSE),VLOOKUP(D698,'PCI-Micro'!A:R,E698-2005,FALSE))</f>
        <v>47733</v>
      </c>
      <c r="L698">
        <f>IFERROR(IF(IFERROR(VLOOKUP($A698,Attendance2!$B:$H,5,FALSE),VLOOKUP($B698,Attendance2!$B:$H,5,FALSE))="","",IFERROR(VLOOKUP($A698,Attendance2!$B:$H,5,FALSE),VLOOKUP($B698,Attendance2!$B:$H,5,FALSE))),"")</f>
        <v>6000</v>
      </c>
    </row>
    <row r="699" spans="1:12">
      <c r="A699" t="s">
        <v>292</v>
      </c>
      <c r="B699" t="s">
        <v>292</v>
      </c>
      <c r="C699">
        <v>240444</v>
      </c>
      <c r="D699">
        <v>31540</v>
      </c>
      <c r="E699">
        <f t="shared" si="11"/>
        <v>2016</v>
      </c>
      <c r="F699">
        <f>IFERROR(IF(VLOOKUP(C699,TotalRev2!A:C,3,FALSE)="","",VLOOKUP(C699,TotalRev2!A:C,3,FALSE)),"")</f>
        <v>1523112</v>
      </c>
      <c r="G699">
        <f>IFERROR(IF(VLOOKUP(C699,TotalRev1!A:C,3,FALSE)="","",VLOOKUP(C699,TotalRev1!A:C,3,FALSE)),"")</f>
        <v>1061317</v>
      </c>
      <c r="H699" s="26">
        <f>IFERROR(IFERROR(VLOOKUP($A699,Winpct2!$A:$K,9,FALSE),VLOOKUP($B699,Winpct2!$A:$K,9,FALSE)),"")</f>
        <v>0.78800000000000003</v>
      </c>
      <c r="I699">
        <f>IFERROR(IFERROR(VLOOKUP($A699,Ra2W!$A:$K,6,FALSE),VLOOKUP($B699,Ra2W!$A:$K,6,FALSE)),"")</f>
        <v>85774</v>
      </c>
      <c r="J699">
        <f>IFERROR(VLOOKUP(D699,'Pop-Metro'!A:R,E699-2005,FALSE),VLOOKUP(D699,'Pop-Micro'!A:R,E699-2005,FALSE))</f>
        <v>655599</v>
      </c>
      <c r="K699">
        <f>IFERROR(VLOOKUP(D699,'PCI-Metro'!A:R,E699-2005,FALSE),VLOOKUP(D699,'PCI-Micro'!A:R,E699-2005,FALSE))</f>
        <v>53334</v>
      </c>
      <c r="L699">
        <f>IFERROR(IF(IFERROR(VLOOKUP($A699,Attendance2!$B:$H,5,FALSE),VLOOKUP($B699,Attendance2!$B:$H,5,FALSE))="","",IFERROR(VLOOKUP($A699,Attendance2!$B:$H,5,FALSE),VLOOKUP($B699,Attendance2!$B:$H,5,FALSE))),"")</f>
        <v>6000</v>
      </c>
    </row>
    <row r="700" spans="1:12">
      <c r="A700" t="s">
        <v>293</v>
      </c>
      <c r="B700" t="s">
        <v>293</v>
      </c>
      <c r="C700">
        <v>218973</v>
      </c>
      <c r="D700">
        <v>43900</v>
      </c>
      <c r="E700">
        <f t="shared" si="11"/>
        <v>2016</v>
      </c>
      <c r="F700" t="str">
        <f>IFERROR(IF(VLOOKUP(C700,TotalRev2!A:C,3,FALSE)="","",VLOOKUP(C700,TotalRev2!A:C,3,FALSE)),"")</f>
        <v/>
      </c>
      <c r="G700" t="str">
        <f>IFERROR(IF(VLOOKUP(C700,TotalRev1!A:C,3,FALSE)="","",VLOOKUP(C700,TotalRev1!A:C,3,FALSE)),"")</f>
        <v/>
      </c>
      <c r="H700" s="26">
        <f>IFERROR(IFERROR(VLOOKUP($A700,Winpct2!$A:$K,9,FALSE),VLOOKUP($B700,Winpct2!$A:$K,9,FALSE)),"")</f>
        <v>0.47099999999999997</v>
      </c>
      <c r="I700">
        <f>IFERROR(IFERROR(VLOOKUP($A700,Ra2W!$A:$K,6,FALSE),VLOOKUP($B700,Ra2W!$A:$K,6,FALSE)),"")</f>
        <v>2260</v>
      </c>
      <c r="J700">
        <f>IFERROR(VLOOKUP(D700,'Pop-Metro'!A:R,E700-2005,FALSE),VLOOKUP(D700,'Pop-Micro'!A:R,E700-2005,FALSE))</f>
        <v>302696</v>
      </c>
      <c r="K700">
        <f>IFERROR(VLOOKUP(D700,'PCI-Metro'!A:R,E700-2005,FALSE),VLOOKUP(D700,'PCI-Micro'!A:R,E700-2005,FALSE))</f>
        <v>40605</v>
      </c>
      <c r="L700">
        <f>IFERROR(IF(IFERROR(VLOOKUP($A700,Attendance2!$B:$H,5,FALSE),VLOOKUP($B700,Attendance2!$B:$H,5,FALSE))="","",IFERROR(VLOOKUP($A700,Attendance2!$B:$H,5,FALSE),VLOOKUP($B700,Attendance2!$B:$H,5,FALSE))),"")</f>
        <v>3000</v>
      </c>
    </row>
    <row r="701" spans="1:12">
      <c r="A701" t="s">
        <v>1321</v>
      </c>
      <c r="B701" t="s">
        <v>1321</v>
      </c>
      <c r="C701">
        <v>206604</v>
      </c>
      <c r="D701">
        <v>19430</v>
      </c>
      <c r="E701">
        <f t="shared" si="11"/>
        <v>2016</v>
      </c>
      <c r="F701" t="str">
        <f>IFERROR(IF(VLOOKUP(C701,TotalRev2!A:C,3,FALSE)="","",VLOOKUP(C701,TotalRev2!A:C,3,FALSE)),"")</f>
        <v/>
      </c>
      <c r="G701">
        <f>IFERROR(IF(VLOOKUP(C701,TotalRev1!A:C,3,FALSE)="","",VLOOKUP(C701,TotalRev1!A:C,3,FALSE)),"")</f>
        <v>484864</v>
      </c>
      <c r="H701" s="26">
        <f>IFERROR(IFERROR(VLOOKUP($A701,Winpct2!$A:$K,9,FALSE),VLOOKUP($B701,Winpct2!$A:$K,9,FALSE)),"")</f>
        <v>0.48399999999999999</v>
      </c>
      <c r="I701">
        <f>IFERROR(IFERROR(VLOOKUP($A701,Ra2W!$A:$K,6,FALSE),VLOOKUP($B701,Ra2W!$A:$K,6,FALSE)),"")</f>
        <v>4426</v>
      </c>
      <c r="J701">
        <f>IFERROR(VLOOKUP(D701,'Pop-Metro'!A:R,E701-2005,FALSE),VLOOKUP(D701,'Pop-Micro'!A:R,E701-2005,FALSE))</f>
        <v>805086</v>
      </c>
      <c r="K701">
        <f>IFERROR(VLOOKUP(D701,'PCI-Metro'!A:R,E701-2005,FALSE),VLOOKUP(D701,'PCI-Micro'!A:R,E701-2005,FALSE))</f>
        <v>43451</v>
      </c>
      <c r="L701">
        <f>IFERROR(IF(IFERROR(VLOOKUP($A701,Attendance2!$B:$H,5,FALSE),VLOOKUP($B701,Attendance2!$B:$H,5,FALSE))="","",IFERROR(VLOOKUP($A701,Attendance2!$B:$H,5,FALSE),VLOOKUP($B701,Attendance2!$B:$H,5,FALSE))),"")</f>
        <v>500</v>
      </c>
    </row>
    <row r="702" spans="1:12">
      <c r="A702" t="s">
        <v>1322</v>
      </c>
      <c r="B702" t="s">
        <v>1322</v>
      </c>
      <c r="C702">
        <v>240727</v>
      </c>
      <c r="D702">
        <v>29660</v>
      </c>
      <c r="E702">
        <f t="shared" si="11"/>
        <v>2016</v>
      </c>
      <c r="F702">
        <f>IFERROR(IF(VLOOKUP(C702,TotalRev2!A:C,3,FALSE)="","",VLOOKUP(C702,TotalRev2!A:C,3,FALSE)),"")</f>
        <v>830924</v>
      </c>
      <c r="G702">
        <f>IFERROR(IF(VLOOKUP(C702,TotalRev1!A:C,3,FALSE)="","",VLOOKUP(C702,TotalRev1!A:C,3,FALSE)),"")</f>
        <v>532040</v>
      </c>
      <c r="H702" s="26">
        <f>IFERROR(IFERROR(VLOOKUP($A702,Winpct2!$A:$K,9,FALSE),VLOOKUP($B702,Winpct2!$A:$K,9,FALSE)),"")</f>
        <v>0.76700000000000002</v>
      </c>
      <c r="I702">
        <f>IFERROR(IFERROR(VLOOKUP($A702,Ra2W!$A:$K,6,FALSE),VLOOKUP($B702,Ra2W!$A:$K,6,FALSE)),"")</f>
        <v>15500</v>
      </c>
      <c r="J702">
        <f>IFERROR(VLOOKUP(D702,'Pop-Metro'!A:R,E702-2005,FALSE),VLOOKUP(D702,'Pop-Micro'!A:R,E702-2005,FALSE))</f>
        <v>36877</v>
      </c>
      <c r="K702">
        <f>IFERROR(VLOOKUP(D702,'PCI-Metro'!A:R,E702-2005,FALSE),VLOOKUP(D702,'PCI-Micro'!A:R,E702-2005,FALSE))</f>
        <v>39983</v>
      </c>
      <c r="L702">
        <f>IFERROR(IF(IFERROR(VLOOKUP($A702,Attendance2!$B:$H,5,FALSE),VLOOKUP($B702,Attendance2!$B:$H,5,FALSE))="","",IFERROR(VLOOKUP($A702,Attendance2!$B:$H,5,FALSE),VLOOKUP($B702,Attendance2!$B:$H,5,FALSE))),"")</f>
        <v>1200</v>
      </c>
    </row>
    <row r="703" spans="1:12">
      <c r="A703" t="s">
        <v>1323</v>
      </c>
      <c r="B703" t="s">
        <v>1323</v>
      </c>
      <c r="C703">
        <v>206622</v>
      </c>
      <c r="D703">
        <v>17140</v>
      </c>
      <c r="E703">
        <f t="shared" si="11"/>
        <v>2016</v>
      </c>
      <c r="F703" t="str">
        <f>IFERROR(IF(VLOOKUP(C703,TotalRev2!A:C,3,FALSE)="","",VLOOKUP(C703,TotalRev2!A:C,3,FALSE)),"")</f>
        <v/>
      </c>
      <c r="G703" t="str">
        <f>IFERROR(IF(VLOOKUP(C703,TotalRev1!A:C,3,FALSE)="","",VLOOKUP(C703,TotalRev1!A:C,3,FALSE)),"")</f>
        <v/>
      </c>
      <c r="H703" s="26">
        <f>IFERROR(IFERROR(VLOOKUP($A703,Winpct2!$A:$K,9,FALSE),VLOOKUP($B703,Winpct2!$A:$K,9,FALSE)),"")</f>
        <v>0.6</v>
      </c>
      <c r="I703">
        <f>IFERROR(IFERROR(VLOOKUP($A703,Ra2W!$A:$K,6,FALSE),VLOOKUP($B703,Ra2W!$A:$K,6,FALSE)),"")</f>
        <v>9232</v>
      </c>
      <c r="J703">
        <f>IFERROR(VLOOKUP(D703,'Pop-Metro'!A:R,E703-2005,FALSE),VLOOKUP(D703,'Pop-Micro'!A:R,E703-2005,FALSE))</f>
        <v>2208942</v>
      </c>
      <c r="K703">
        <f>IFERROR(VLOOKUP(D703,'PCI-Metro'!A:R,E703-2005,FALSE),VLOOKUP(D703,'PCI-Micro'!A:R,E703-2005,FALSE))</f>
        <v>49237</v>
      </c>
      <c r="L703">
        <f>IFERROR(IF(IFERROR(VLOOKUP($A703,Attendance2!$B:$H,5,FALSE),VLOOKUP($B703,Attendance2!$B:$H,5,FALSE))="","",IFERROR(VLOOKUP($A703,Attendance2!$B:$H,5,FALSE),VLOOKUP($B703,Attendance2!$B:$H,5,FALSE))),"")</f>
        <v>10250</v>
      </c>
    </row>
    <row r="704" spans="1:12">
      <c r="A704" t="s">
        <v>294</v>
      </c>
      <c r="B704" t="s">
        <v>294</v>
      </c>
      <c r="C704">
        <v>130794</v>
      </c>
      <c r="D704">
        <v>35300</v>
      </c>
      <c r="E704">
        <f t="shared" si="11"/>
        <v>2016</v>
      </c>
      <c r="F704" t="str">
        <f>IFERROR(IF(VLOOKUP(C704,TotalRev2!A:C,3,FALSE)="","",VLOOKUP(C704,TotalRev2!A:C,3,FALSE)),"")</f>
        <v/>
      </c>
      <c r="G704" t="str">
        <f>IFERROR(IF(VLOOKUP(C704,TotalRev1!A:C,3,FALSE)="","",VLOOKUP(C704,TotalRev1!A:C,3,FALSE)),"")</f>
        <v/>
      </c>
      <c r="H704" s="26">
        <f>IFERROR(IFERROR(VLOOKUP($A704,Winpct2!$A:$K,9,FALSE),VLOOKUP($B704,Winpct2!$A:$K,9,FALSE)),"")</f>
        <v>0.625</v>
      </c>
      <c r="I704">
        <f>IFERROR(IFERROR(VLOOKUP($A704,Ra2W!$A:$K,6,FALSE),VLOOKUP($B704,Ra2W!$A:$K,6,FALSE)),"")</f>
        <v>5282</v>
      </c>
      <c r="J704">
        <f>IFERROR(VLOOKUP(D704,'Pop-Metro'!A:R,E704-2005,FALSE),VLOOKUP(D704,'Pop-Micro'!A:R,E704-2005,FALSE))</f>
        <v>865560</v>
      </c>
      <c r="K704">
        <f>IFERROR(VLOOKUP(D704,'PCI-Metro'!A:R,E704-2005,FALSE),VLOOKUP(D704,'PCI-Micro'!A:R,E704-2005,FALSE))</f>
        <v>50725</v>
      </c>
      <c r="L704">
        <f>IFERROR(IF(IFERROR(VLOOKUP($A704,Attendance2!$B:$H,5,FALSE),VLOOKUP($B704,Attendance2!$B:$H,5,FALSE))="","",IFERROR(VLOOKUP($A704,Attendance2!$B:$H,5,FALSE),VLOOKUP($B704,Attendance2!$B:$H,5,FALSE))),"")</f>
        <v>2532</v>
      </c>
    </row>
    <row r="705" spans="1:12">
      <c r="A705" t="s">
        <v>295</v>
      </c>
      <c r="B705" t="s">
        <v>295</v>
      </c>
      <c r="C705">
        <v>206695</v>
      </c>
      <c r="D705">
        <v>49660</v>
      </c>
      <c r="E705">
        <f t="shared" si="11"/>
        <v>2016</v>
      </c>
      <c r="F705">
        <f>IFERROR(IF(VLOOKUP(C705,TotalRev2!A:C,3,FALSE)="","",VLOOKUP(C705,TotalRev2!A:C,3,FALSE)),"")</f>
        <v>116847</v>
      </c>
      <c r="G705">
        <f>IFERROR(IF(VLOOKUP(C705,TotalRev1!A:C,3,FALSE)="","",VLOOKUP(C705,TotalRev1!A:C,3,FALSE)),"")</f>
        <v>94975</v>
      </c>
      <c r="H705" s="26">
        <f>IFERROR(IFERROR(VLOOKUP($A705,Winpct2!$A:$K,9,FALSE),VLOOKUP($B705,Winpct2!$A:$K,9,FALSE)),"")</f>
        <v>0.32300000000000001</v>
      </c>
      <c r="I705">
        <f>IFERROR(IFERROR(VLOOKUP($A705,Ra2W!$A:$K,6,FALSE),VLOOKUP($B705,Ra2W!$A:$K,6,FALSE)),"")</f>
        <v>2193</v>
      </c>
      <c r="J705">
        <f>IFERROR(VLOOKUP(D705,'Pop-Metro'!A:R,E705-2005,FALSE),VLOOKUP(D705,'Pop-Micro'!A:R,E705-2005,FALSE))</f>
        <v>550063</v>
      </c>
      <c r="K705">
        <f>IFERROR(VLOOKUP(D705,'PCI-Metro'!A:R,E705-2005,FALSE),VLOOKUP(D705,'PCI-Micro'!A:R,E705-2005,FALSE))</f>
        <v>38564</v>
      </c>
      <c r="L705">
        <f>IFERROR(IF(IFERROR(VLOOKUP($A705,Attendance2!$B:$H,5,FALSE),VLOOKUP($B705,Attendance2!$B:$H,5,FALSE))="","",IFERROR(VLOOKUP($A705,Attendance2!$B:$H,5,FALSE),VLOOKUP($B705,Attendance2!$B:$H,5,FALSE))),"")</f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F072-E01D-4D1D-BD58-6345D5C787C5}">
  <dimension ref="A1:C203"/>
  <sheetViews>
    <sheetView workbookViewId="0"/>
  </sheetViews>
  <sheetFormatPr baseColWidth="10" defaultColWidth="8.83203125" defaultRowHeight="15"/>
  <cols>
    <col min="1" max="1" width="6.83203125" bestFit="1" customWidth="1"/>
    <col min="2" max="2" width="22.6640625" bestFit="1" customWidth="1"/>
    <col min="3" max="3" width="13.1640625" bestFit="1" customWidth="1"/>
  </cols>
  <sheetData>
    <row r="1" spans="1:3">
      <c r="A1" t="s">
        <v>1</v>
      </c>
      <c r="B1" t="s">
        <v>0</v>
      </c>
      <c r="C1" t="s">
        <v>1324</v>
      </c>
    </row>
    <row r="2" spans="1:3">
      <c r="A2">
        <v>200800</v>
      </c>
      <c r="B2" t="s">
        <v>6</v>
      </c>
      <c r="C2">
        <v>38063</v>
      </c>
    </row>
    <row r="3" spans="1:3">
      <c r="A3">
        <v>100751</v>
      </c>
      <c r="B3" t="s">
        <v>7</v>
      </c>
      <c r="C3">
        <v>677222</v>
      </c>
    </row>
    <row r="4" spans="1:3">
      <c r="A4">
        <v>197869</v>
      </c>
      <c r="B4" t="s">
        <v>1332</v>
      </c>
      <c r="C4">
        <v>29840</v>
      </c>
    </row>
    <row r="5" spans="1:3">
      <c r="A5">
        <v>104179</v>
      </c>
      <c r="B5" t="s">
        <v>13</v>
      </c>
      <c r="C5">
        <v>485291</v>
      </c>
    </row>
    <row r="6" spans="1:3">
      <c r="A6">
        <v>104151</v>
      </c>
      <c r="B6" t="s">
        <v>1333</v>
      </c>
      <c r="C6">
        <v>248561</v>
      </c>
    </row>
    <row r="7" spans="1:3">
      <c r="A7">
        <v>106397</v>
      </c>
      <c r="B7" t="s">
        <v>16</v>
      </c>
      <c r="C7">
        <v>26259</v>
      </c>
    </row>
    <row r="8" spans="1:3">
      <c r="A8">
        <v>106245</v>
      </c>
      <c r="B8" t="s">
        <v>1334</v>
      </c>
      <c r="C8">
        <v>107642</v>
      </c>
    </row>
    <row r="9" spans="1:3">
      <c r="A9">
        <v>106412</v>
      </c>
      <c r="B9" t="s">
        <v>1335</v>
      </c>
      <c r="C9">
        <v>250</v>
      </c>
    </row>
    <row r="10" spans="1:3">
      <c r="A10">
        <v>106458</v>
      </c>
      <c r="B10" t="s">
        <v>1336</v>
      </c>
      <c r="C10">
        <v>381665</v>
      </c>
    </row>
    <row r="11" spans="1:3">
      <c r="A11">
        <v>500001</v>
      </c>
      <c r="B11" t="s">
        <v>1441</v>
      </c>
      <c r="C11">
        <v>352123</v>
      </c>
    </row>
    <row r="12" spans="1:3">
      <c r="A12">
        <v>100858</v>
      </c>
      <c r="B12" t="s">
        <v>18</v>
      </c>
      <c r="C12">
        <v>133233</v>
      </c>
    </row>
    <row r="13" spans="1:3">
      <c r="A13">
        <v>219602</v>
      </c>
      <c r="B13" t="s">
        <v>1337</v>
      </c>
      <c r="C13">
        <v>8424</v>
      </c>
    </row>
    <row r="14" spans="1:3">
      <c r="A14">
        <v>150136</v>
      </c>
      <c r="B14" t="s">
        <v>1338</v>
      </c>
      <c r="C14">
        <v>113074</v>
      </c>
    </row>
    <row r="15" spans="1:3">
      <c r="A15">
        <v>196079</v>
      </c>
      <c r="B15" t="s">
        <v>24</v>
      </c>
      <c r="C15">
        <v>633340</v>
      </c>
    </row>
    <row r="16" spans="1:3">
      <c r="A16">
        <v>142115</v>
      </c>
      <c r="B16" t="s">
        <v>1339</v>
      </c>
      <c r="C16">
        <v>307432</v>
      </c>
    </row>
    <row r="17" spans="1:3">
      <c r="A17">
        <v>201441</v>
      </c>
      <c r="B17" t="s">
        <v>28</v>
      </c>
      <c r="C17">
        <v>21666</v>
      </c>
    </row>
    <row r="18" spans="1:3">
      <c r="A18">
        <v>196088</v>
      </c>
      <c r="B18" t="s">
        <v>33</v>
      </c>
      <c r="C18">
        <v>891145</v>
      </c>
    </row>
    <row r="19" spans="1:3">
      <c r="A19">
        <v>110422</v>
      </c>
      <c r="B19" t="s">
        <v>36</v>
      </c>
      <c r="C19">
        <v>72889</v>
      </c>
    </row>
    <row r="20" spans="1:3">
      <c r="A20">
        <v>110486</v>
      </c>
      <c r="B20" t="s">
        <v>1340</v>
      </c>
      <c r="C20">
        <v>35488</v>
      </c>
    </row>
    <row r="21" spans="1:3">
      <c r="A21">
        <v>110565</v>
      </c>
      <c r="B21" t="s">
        <v>1341</v>
      </c>
      <c r="C21">
        <v>626540</v>
      </c>
    </row>
    <row r="22" spans="1:3">
      <c r="A22">
        <v>110608</v>
      </c>
      <c r="B22" t="s">
        <v>1342</v>
      </c>
      <c r="C22">
        <v>15402</v>
      </c>
    </row>
    <row r="23" spans="1:3">
      <c r="A23">
        <v>110635</v>
      </c>
      <c r="B23" t="s">
        <v>38</v>
      </c>
      <c r="C23">
        <v>603826</v>
      </c>
    </row>
    <row r="24" spans="1:3">
      <c r="A24">
        <v>106704</v>
      </c>
      <c r="B24" t="s">
        <v>1343</v>
      </c>
      <c r="C24">
        <v>436227</v>
      </c>
    </row>
    <row r="25" spans="1:3">
      <c r="A25">
        <v>128771</v>
      </c>
      <c r="B25" t="s">
        <v>1344</v>
      </c>
      <c r="C25">
        <v>629785</v>
      </c>
    </row>
    <row r="26" spans="1:3">
      <c r="A26">
        <v>169248</v>
      </c>
      <c r="B26" t="s">
        <v>1345</v>
      </c>
      <c r="C26">
        <v>72687</v>
      </c>
    </row>
    <row r="27" spans="1:3">
      <c r="A27">
        <v>199139</v>
      </c>
      <c r="B27" t="s">
        <v>45</v>
      </c>
      <c r="C27">
        <v>692855</v>
      </c>
    </row>
    <row r="28" spans="1:3">
      <c r="A28">
        <v>144005</v>
      </c>
      <c r="B28" t="s">
        <v>1346</v>
      </c>
    </row>
    <row r="29" spans="1:3">
      <c r="A29">
        <v>201885</v>
      </c>
      <c r="B29" t="s">
        <v>1269</v>
      </c>
      <c r="C29">
        <v>12143</v>
      </c>
    </row>
    <row r="30" spans="1:3">
      <c r="A30">
        <v>217864</v>
      </c>
      <c r="B30" t="s">
        <v>1307</v>
      </c>
      <c r="C30">
        <v>503916</v>
      </c>
    </row>
    <row r="31" spans="1:3">
      <c r="A31">
        <v>217882</v>
      </c>
      <c r="B31" t="s">
        <v>47</v>
      </c>
      <c r="C31">
        <v>686221</v>
      </c>
    </row>
    <row r="32" spans="1:3">
      <c r="A32">
        <v>202134</v>
      </c>
      <c r="B32" t="s">
        <v>1347</v>
      </c>
      <c r="C32">
        <v>522299</v>
      </c>
    </row>
    <row r="33" spans="1:3">
      <c r="A33">
        <v>218724</v>
      </c>
      <c r="B33" t="s">
        <v>1241</v>
      </c>
      <c r="C33">
        <v>976071</v>
      </c>
    </row>
    <row r="34" spans="1:3">
      <c r="A34">
        <v>217819</v>
      </c>
      <c r="B34" t="s">
        <v>1442</v>
      </c>
      <c r="C34">
        <v>37158</v>
      </c>
    </row>
    <row r="35" spans="1:3">
      <c r="A35">
        <v>126614</v>
      </c>
      <c r="B35" t="s">
        <v>1270</v>
      </c>
      <c r="C35">
        <v>485792</v>
      </c>
    </row>
    <row r="36" spans="1:3">
      <c r="A36">
        <v>126818</v>
      </c>
      <c r="B36" t="s">
        <v>1349</v>
      </c>
      <c r="C36">
        <v>813329</v>
      </c>
    </row>
    <row r="37" spans="1:3">
      <c r="A37">
        <v>129020</v>
      </c>
      <c r="B37" t="s">
        <v>1350</v>
      </c>
      <c r="C37">
        <v>11691</v>
      </c>
    </row>
    <row r="38" spans="1:3">
      <c r="A38">
        <v>162283</v>
      </c>
      <c r="B38" t="s">
        <v>1351</v>
      </c>
      <c r="C38">
        <v>51700</v>
      </c>
    </row>
    <row r="39" spans="1:3">
      <c r="A39">
        <v>198464</v>
      </c>
      <c r="B39" t="s">
        <v>68</v>
      </c>
      <c r="C39">
        <v>8980</v>
      </c>
    </row>
    <row r="40" spans="1:3">
      <c r="A40">
        <v>144892</v>
      </c>
      <c r="B40" t="s">
        <v>1353</v>
      </c>
      <c r="C40">
        <v>1177</v>
      </c>
    </row>
    <row r="41" spans="1:3">
      <c r="A41">
        <v>156620</v>
      </c>
      <c r="B41" t="s">
        <v>1354</v>
      </c>
    </row>
    <row r="42" spans="1:3">
      <c r="A42">
        <v>169798</v>
      </c>
      <c r="B42" t="s">
        <v>1355</v>
      </c>
      <c r="C42">
        <v>856585</v>
      </c>
    </row>
    <row r="43" spans="1:3">
      <c r="A43">
        <v>235097</v>
      </c>
      <c r="B43" t="s">
        <v>1356</v>
      </c>
      <c r="C43">
        <v>774442</v>
      </c>
    </row>
    <row r="44" spans="1:3">
      <c r="A44">
        <v>134130</v>
      </c>
      <c r="B44" t="s">
        <v>79</v>
      </c>
      <c r="C44">
        <v>1476057</v>
      </c>
    </row>
    <row r="45" spans="1:3">
      <c r="A45">
        <v>133669</v>
      </c>
      <c r="B45" t="s">
        <v>1357</v>
      </c>
      <c r="C45">
        <v>499887</v>
      </c>
    </row>
    <row r="46" spans="1:3">
      <c r="A46">
        <v>433660</v>
      </c>
      <c r="B46" t="s">
        <v>1358</v>
      </c>
      <c r="C46">
        <v>219598</v>
      </c>
    </row>
    <row r="47" spans="1:3">
      <c r="A47">
        <v>133951</v>
      </c>
      <c r="B47" t="s">
        <v>1359</v>
      </c>
      <c r="C47">
        <v>563136</v>
      </c>
    </row>
    <row r="48" spans="1:3">
      <c r="A48">
        <v>134097</v>
      </c>
      <c r="B48" t="s">
        <v>1360</v>
      </c>
      <c r="C48">
        <v>912544</v>
      </c>
    </row>
    <row r="49" spans="1:3">
      <c r="A49">
        <v>110556</v>
      </c>
      <c r="B49" t="s">
        <v>1361</v>
      </c>
      <c r="C49">
        <v>725503</v>
      </c>
    </row>
    <row r="50" spans="1:3">
      <c r="A50">
        <v>139959</v>
      </c>
      <c r="B50" t="s">
        <v>90</v>
      </c>
      <c r="C50">
        <v>214103</v>
      </c>
    </row>
    <row r="51" spans="1:3">
      <c r="A51">
        <v>139931</v>
      </c>
      <c r="B51" t="s">
        <v>1362</v>
      </c>
      <c r="C51">
        <v>2007</v>
      </c>
    </row>
    <row r="52" spans="1:3">
      <c r="A52">
        <v>139940</v>
      </c>
      <c r="B52" t="s">
        <v>1363</v>
      </c>
      <c r="C52">
        <v>230987</v>
      </c>
    </row>
    <row r="53" spans="1:3">
      <c r="A53">
        <v>139755</v>
      </c>
      <c r="B53" t="s">
        <v>92</v>
      </c>
      <c r="C53">
        <v>200624</v>
      </c>
    </row>
    <row r="54" spans="1:3">
      <c r="A54">
        <v>159009</v>
      </c>
      <c r="B54" t="s">
        <v>1364</v>
      </c>
    </row>
    <row r="55" spans="1:3">
      <c r="A55">
        <v>141574</v>
      </c>
      <c r="B55" t="s">
        <v>98</v>
      </c>
      <c r="C55">
        <v>1471393</v>
      </c>
    </row>
    <row r="56" spans="1:3">
      <c r="A56">
        <v>225511</v>
      </c>
      <c r="B56" t="s">
        <v>101</v>
      </c>
      <c r="C56">
        <v>14935</v>
      </c>
    </row>
    <row r="57" spans="1:3">
      <c r="A57">
        <v>142285</v>
      </c>
      <c r="B57" t="s">
        <v>1279</v>
      </c>
      <c r="C57">
        <v>801555</v>
      </c>
    </row>
    <row r="58" spans="1:3">
      <c r="A58">
        <v>142276</v>
      </c>
      <c r="B58" t="s">
        <v>1365</v>
      </c>
      <c r="C58">
        <v>343710</v>
      </c>
    </row>
    <row r="59" spans="1:3">
      <c r="A59">
        <v>145637</v>
      </c>
      <c r="B59" t="s">
        <v>105</v>
      </c>
      <c r="C59">
        <v>809829</v>
      </c>
    </row>
    <row r="60" spans="1:3">
      <c r="A60">
        <v>145600</v>
      </c>
      <c r="B60" t="s">
        <v>1366</v>
      </c>
      <c r="C60">
        <v>147328</v>
      </c>
    </row>
    <row r="61" spans="1:3">
      <c r="A61">
        <v>145813</v>
      </c>
      <c r="B61" t="s">
        <v>1367</v>
      </c>
      <c r="C61">
        <v>323431</v>
      </c>
    </row>
    <row r="62" spans="1:3">
      <c r="A62">
        <v>151351</v>
      </c>
      <c r="B62" t="s">
        <v>108</v>
      </c>
      <c r="C62">
        <v>55558</v>
      </c>
    </row>
    <row r="63" spans="1:3">
      <c r="A63">
        <v>151324</v>
      </c>
      <c r="B63" t="s">
        <v>1368</v>
      </c>
      <c r="C63">
        <v>416021</v>
      </c>
    </row>
    <row r="64" spans="1:3">
      <c r="A64">
        <v>153658</v>
      </c>
      <c r="B64" t="s">
        <v>111</v>
      </c>
      <c r="C64">
        <v>262021</v>
      </c>
    </row>
    <row r="65" spans="1:3">
      <c r="A65">
        <v>153603</v>
      </c>
      <c r="B65" t="s">
        <v>1369</v>
      </c>
      <c r="C65">
        <v>236645</v>
      </c>
    </row>
    <row r="66" spans="1:3">
      <c r="A66">
        <v>151102</v>
      </c>
      <c r="B66" t="s">
        <v>201</v>
      </c>
      <c r="C66">
        <v>457664</v>
      </c>
    </row>
    <row r="67" spans="1:3">
      <c r="A67">
        <v>151111</v>
      </c>
      <c r="B67" t="s">
        <v>113</v>
      </c>
      <c r="C67">
        <v>3540</v>
      </c>
    </row>
    <row r="68" spans="1:3">
      <c r="A68">
        <v>232423</v>
      </c>
      <c r="B68" t="s">
        <v>117</v>
      </c>
      <c r="C68">
        <v>37736</v>
      </c>
    </row>
    <row r="69" spans="1:3">
      <c r="A69">
        <v>155317</v>
      </c>
      <c r="B69" t="s">
        <v>118</v>
      </c>
      <c r="C69">
        <v>78088</v>
      </c>
    </row>
    <row r="70" spans="1:3">
      <c r="A70">
        <v>155399</v>
      </c>
      <c r="B70" t="s">
        <v>1370</v>
      </c>
      <c r="C70">
        <v>57412</v>
      </c>
    </row>
    <row r="71" spans="1:3">
      <c r="A71">
        <v>486840</v>
      </c>
      <c r="B71" t="s">
        <v>1443</v>
      </c>
      <c r="C71">
        <v>133899</v>
      </c>
    </row>
    <row r="72" spans="1:3">
      <c r="A72">
        <v>203517</v>
      </c>
      <c r="B72" t="s">
        <v>1372</v>
      </c>
      <c r="C72">
        <v>63055</v>
      </c>
    </row>
    <row r="73" spans="1:3">
      <c r="A73">
        <v>157085</v>
      </c>
      <c r="B73" t="s">
        <v>121</v>
      </c>
      <c r="C73">
        <v>266836</v>
      </c>
    </row>
    <row r="74" spans="1:3">
      <c r="A74">
        <v>226091</v>
      </c>
      <c r="B74" t="s">
        <v>1373</v>
      </c>
      <c r="C74">
        <v>504433</v>
      </c>
    </row>
    <row r="75" spans="1:3">
      <c r="A75">
        <v>110583</v>
      </c>
      <c r="B75" t="s">
        <v>1374</v>
      </c>
      <c r="C75">
        <v>488529</v>
      </c>
    </row>
    <row r="76" spans="1:3">
      <c r="A76">
        <v>160658</v>
      </c>
      <c r="B76" t="s">
        <v>1375</v>
      </c>
      <c r="C76">
        <v>583450</v>
      </c>
    </row>
    <row r="77" spans="1:3">
      <c r="A77">
        <v>159993</v>
      </c>
      <c r="B77" t="s">
        <v>1376</v>
      </c>
      <c r="C77">
        <v>39195</v>
      </c>
    </row>
    <row r="78" spans="1:3">
      <c r="A78">
        <v>159647</v>
      </c>
      <c r="B78" t="s">
        <v>133</v>
      </c>
      <c r="C78">
        <v>713069</v>
      </c>
    </row>
    <row r="79" spans="1:3">
      <c r="A79">
        <v>157289</v>
      </c>
      <c r="B79" t="s">
        <v>134</v>
      </c>
      <c r="C79">
        <v>106416</v>
      </c>
    </row>
    <row r="80" spans="1:3">
      <c r="A80">
        <v>159391</v>
      </c>
      <c r="B80" t="s">
        <v>136</v>
      </c>
      <c r="C80">
        <v>68208</v>
      </c>
    </row>
    <row r="81" spans="1:3">
      <c r="A81">
        <v>237525</v>
      </c>
      <c r="B81" t="s">
        <v>140</v>
      </c>
      <c r="C81">
        <v>514421</v>
      </c>
    </row>
    <row r="82" spans="1:3">
      <c r="A82">
        <v>163286</v>
      </c>
      <c r="B82" t="s">
        <v>141</v>
      </c>
      <c r="C82">
        <v>474270</v>
      </c>
    </row>
    <row r="83" spans="1:3">
      <c r="A83">
        <v>163338</v>
      </c>
      <c r="B83" t="s">
        <v>1377</v>
      </c>
      <c r="C83">
        <v>270099</v>
      </c>
    </row>
    <row r="84" spans="1:3">
      <c r="A84">
        <v>166513</v>
      </c>
      <c r="B84" t="s">
        <v>1378</v>
      </c>
      <c r="C84">
        <v>510614</v>
      </c>
    </row>
    <row r="85" spans="1:3">
      <c r="A85">
        <v>159717</v>
      </c>
      <c r="B85" t="s">
        <v>1379</v>
      </c>
      <c r="C85">
        <v>418372</v>
      </c>
    </row>
    <row r="86" spans="1:3">
      <c r="A86">
        <v>204024</v>
      </c>
      <c r="B86" t="s">
        <v>1380</v>
      </c>
      <c r="C86">
        <v>856821</v>
      </c>
    </row>
    <row r="87" spans="1:3">
      <c r="A87">
        <v>170976</v>
      </c>
      <c r="B87" t="s">
        <v>147</v>
      </c>
      <c r="C87">
        <v>159459</v>
      </c>
    </row>
    <row r="88" spans="1:3">
      <c r="A88">
        <v>171100</v>
      </c>
      <c r="B88" t="s">
        <v>1381</v>
      </c>
      <c r="C88">
        <v>487306</v>
      </c>
    </row>
    <row r="89" spans="1:3">
      <c r="A89">
        <v>220978</v>
      </c>
      <c r="B89" t="s">
        <v>1382</v>
      </c>
      <c r="C89">
        <v>1087439</v>
      </c>
    </row>
    <row r="90" spans="1:3">
      <c r="A90">
        <v>174066</v>
      </c>
      <c r="B90" t="s">
        <v>150</v>
      </c>
      <c r="C90">
        <v>410740</v>
      </c>
    </row>
    <row r="91" spans="1:3">
      <c r="A91">
        <v>176017</v>
      </c>
      <c r="B91" t="s">
        <v>1383</v>
      </c>
      <c r="C91">
        <v>58858</v>
      </c>
    </row>
    <row r="92" spans="1:3">
      <c r="A92">
        <v>176080</v>
      </c>
      <c r="B92" t="s">
        <v>1384</v>
      </c>
      <c r="C92">
        <v>105759</v>
      </c>
    </row>
    <row r="93" spans="1:3">
      <c r="A93">
        <v>178396</v>
      </c>
      <c r="B93" t="s">
        <v>153</v>
      </c>
      <c r="C93">
        <v>320405</v>
      </c>
    </row>
    <row r="94" spans="1:3">
      <c r="A94">
        <v>179566</v>
      </c>
      <c r="B94" t="s">
        <v>1385</v>
      </c>
      <c r="C94">
        <v>675767</v>
      </c>
    </row>
    <row r="95" spans="1:3">
      <c r="A95">
        <v>180489</v>
      </c>
      <c r="B95" t="s">
        <v>156</v>
      </c>
      <c r="C95">
        <v>397826</v>
      </c>
    </row>
    <row r="96" spans="1:3">
      <c r="A96">
        <v>180461</v>
      </c>
      <c r="B96" t="s">
        <v>1386</v>
      </c>
      <c r="C96">
        <v>833167</v>
      </c>
    </row>
    <row r="97" spans="1:3">
      <c r="A97">
        <v>157386</v>
      </c>
      <c r="B97" t="s">
        <v>1387</v>
      </c>
      <c r="C97">
        <v>686717</v>
      </c>
    </row>
    <row r="98" spans="1:3">
      <c r="A98">
        <v>163453</v>
      </c>
      <c r="B98" t="s">
        <v>1388</v>
      </c>
      <c r="C98">
        <v>900</v>
      </c>
    </row>
    <row r="99" spans="1:3">
      <c r="A99">
        <v>157401</v>
      </c>
      <c r="B99" t="s">
        <v>1389</v>
      </c>
      <c r="C99">
        <v>18009</v>
      </c>
    </row>
    <row r="100" spans="1:3">
      <c r="A100">
        <v>500000</v>
      </c>
      <c r="B100" t="s">
        <v>1289</v>
      </c>
      <c r="C100">
        <v>314038</v>
      </c>
    </row>
    <row r="101" spans="1:3">
      <c r="A101">
        <v>181464</v>
      </c>
      <c r="B101" t="s">
        <v>164</v>
      </c>
      <c r="C101">
        <v>2971382</v>
      </c>
    </row>
    <row r="102" spans="1:3">
      <c r="A102">
        <v>181394</v>
      </c>
      <c r="B102" t="s">
        <v>1390</v>
      </c>
      <c r="C102">
        <v>734877</v>
      </c>
    </row>
    <row r="103" spans="1:3">
      <c r="A103">
        <v>182290</v>
      </c>
      <c r="B103" t="s">
        <v>165</v>
      </c>
      <c r="C103">
        <v>112633</v>
      </c>
    </row>
    <row r="104" spans="1:3">
      <c r="A104">
        <v>183044</v>
      </c>
      <c r="B104" t="s">
        <v>1290</v>
      </c>
      <c r="C104">
        <v>330082</v>
      </c>
    </row>
    <row r="105" spans="1:3">
      <c r="A105">
        <v>187985</v>
      </c>
      <c r="B105" t="s">
        <v>166</v>
      </c>
      <c r="C105">
        <v>147696</v>
      </c>
    </row>
    <row r="106" spans="1:3">
      <c r="A106">
        <v>188030</v>
      </c>
      <c r="B106" t="s">
        <v>1391</v>
      </c>
      <c r="C106">
        <v>300255</v>
      </c>
    </row>
    <row r="107" spans="1:3">
      <c r="A107">
        <v>159939</v>
      </c>
      <c r="B107" t="s">
        <v>1291</v>
      </c>
      <c r="C107">
        <v>5650</v>
      </c>
    </row>
    <row r="108" spans="1:3">
      <c r="A108">
        <v>159966</v>
      </c>
      <c r="B108" t="s">
        <v>1392</v>
      </c>
      <c r="C108">
        <v>418736</v>
      </c>
    </row>
    <row r="109" spans="1:3">
      <c r="A109">
        <v>185828</v>
      </c>
      <c r="B109" t="s">
        <v>1292</v>
      </c>
      <c r="C109">
        <v>618039</v>
      </c>
    </row>
    <row r="110" spans="1:3">
      <c r="A110">
        <v>199120</v>
      </c>
      <c r="B110" t="s">
        <v>171</v>
      </c>
      <c r="C110">
        <v>585659</v>
      </c>
    </row>
    <row r="111" spans="1:3">
      <c r="A111">
        <v>199102</v>
      </c>
      <c r="B111" t="s">
        <v>1394</v>
      </c>
      <c r="C111">
        <v>381087</v>
      </c>
    </row>
    <row r="112" spans="1:3">
      <c r="A112">
        <v>199157</v>
      </c>
      <c r="B112" t="s">
        <v>1396</v>
      </c>
      <c r="C112">
        <v>3335</v>
      </c>
    </row>
    <row r="113" spans="1:3">
      <c r="A113">
        <v>199148</v>
      </c>
      <c r="B113" t="s">
        <v>1397</v>
      </c>
      <c r="C113">
        <v>548185</v>
      </c>
    </row>
    <row r="114" spans="1:3">
      <c r="A114">
        <v>199193</v>
      </c>
      <c r="B114" t="s">
        <v>1398</v>
      </c>
      <c r="C114">
        <v>611428</v>
      </c>
    </row>
    <row r="115" spans="1:3">
      <c r="A115">
        <v>199218</v>
      </c>
      <c r="B115" t="s">
        <v>1399</v>
      </c>
      <c r="C115">
        <v>32632</v>
      </c>
    </row>
    <row r="116" spans="1:3">
      <c r="A116">
        <v>200280</v>
      </c>
      <c r="B116" t="s">
        <v>172</v>
      </c>
      <c r="C116">
        <v>88628</v>
      </c>
    </row>
    <row r="117" spans="1:3">
      <c r="A117">
        <v>200332</v>
      </c>
      <c r="B117" t="s">
        <v>1400</v>
      </c>
      <c r="C117">
        <v>384270</v>
      </c>
    </row>
    <row r="118" spans="1:3">
      <c r="A118">
        <v>136172</v>
      </c>
      <c r="B118" t="s">
        <v>174</v>
      </c>
      <c r="C118">
        <v>89304</v>
      </c>
    </row>
    <row r="119" spans="1:3">
      <c r="A119">
        <v>227216</v>
      </c>
      <c r="B119" t="s">
        <v>175</v>
      </c>
      <c r="C119">
        <v>552544</v>
      </c>
    </row>
    <row r="120" spans="1:3">
      <c r="A120">
        <v>105330</v>
      </c>
      <c r="B120" t="s">
        <v>1401</v>
      </c>
      <c r="C120">
        <v>910007</v>
      </c>
    </row>
    <row r="121" spans="1:3">
      <c r="A121">
        <v>127741</v>
      </c>
      <c r="B121" t="s">
        <v>1402</v>
      </c>
      <c r="C121">
        <v>830190</v>
      </c>
    </row>
    <row r="122" spans="1:3">
      <c r="A122">
        <v>147703</v>
      </c>
      <c r="B122" t="s">
        <v>1444</v>
      </c>
      <c r="C122">
        <v>298287</v>
      </c>
    </row>
    <row r="123" spans="1:3">
      <c r="A123">
        <v>154095</v>
      </c>
      <c r="B123" t="s">
        <v>1403</v>
      </c>
      <c r="C123">
        <v>626481</v>
      </c>
    </row>
    <row r="124" spans="1:3">
      <c r="A124">
        <v>160038</v>
      </c>
      <c r="B124" t="s">
        <v>1404</v>
      </c>
      <c r="C124">
        <v>352653</v>
      </c>
    </row>
    <row r="125" spans="1:3">
      <c r="A125">
        <v>171571</v>
      </c>
      <c r="B125" t="s">
        <v>182</v>
      </c>
      <c r="C125">
        <v>467504</v>
      </c>
    </row>
    <row r="126" spans="1:3">
      <c r="A126">
        <v>204857</v>
      </c>
      <c r="B126" t="s">
        <v>183</v>
      </c>
      <c r="C126">
        <v>1055112</v>
      </c>
    </row>
    <row r="127" spans="1:3">
      <c r="A127">
        <v>204796</v>
      </c>
      <c r="B127" t="s">
        <v>1405</v>
      </c>
      <c r="C127">
        <v>283919</v>
      </c>
    </row>
    <row r="128" spans="1:3">
      <c r="A128">
        <v>207500</v>
      </c>
      <c r="B128" t="s">
        <v>185</v>
      </c>
      <c r="C128">
        <v>110631</v>
      </c>
    </row>
    <row r="129" spans="1:3">
      <c r="A129">
        <v>209551</v>
      </c>
      <c r="B129" t="s">
        <v>189</v>
      </c>
      <c r="C129">
        <v>436841</v>
      </c>
    </row>
    <row r="130" spans="1:3">
      <c r="A130">
        <v>209542</v>
      </c>
      <c r="B130" t="s">
        <v>1406</v>
      </c>
      <c r="C130">
        <v>334106</v>
      </c>
    </row>
    <row r="131" spans="1:3">
      <c r="A131">
        <v>214777</v>
      </c>
      <c r="B131" t="s">
        <v>1407</v>
      </c>
      <c r="C131">
        <v>884394</v>
      </c>
    </row>
    <row r="132" spans="1:3">
      <c r="A132">
        <v>209807</v>
      </c>
      <c r="B132" t="s">
        <v>1408</v>
      </c>
      <c r="C132">
        <v>792834</v>
      </c>
    </row>
    <row r="133" spans="1:3">
      <c r="A133">
        <v>227526</v>
      </c>
      <c r="B133" t="s">
        <v>1409</v>
      </c>
      <c r="C133">
        <v>298405</v>
      </c>
    </row>
    <row r="134" spans="1:3">
      <c r="A134">
        <v>243780</v>
      </c>
      <c r="B134" t="s">
        <v>200</v>
      </c>
      <c r="C134">
        <v>594991</v>
      </c>
    </row>
    <row r="135" spans="1:3">
      <c r="A135">
        <v>233277</v>
      </c>
      <c r="B135" t="s">
        <v>203</v>
      </c>
      <c r="C135">
        <v>8375</v>
      </c>
    </row>
    <row r="136" spans="1:3">
      <c r="A136">
        <v>217484</v>
      </c>
      <c r="B136" t="s">
        <v>204</v>
      </c>
      <c r="C136">
        <v>768266</v>
      </c>
    </row>
    <row r="137" spans="1:3">
      <c r="A137">
        <v>186380</v>
      </c>
      <c r="B137" t="s">
        <v>207</v>
      </c>
      <c r="C137">
        <v>1337739</v>
      </c>
    </row>
    <row r="138" spans="1:3">
      <c r="A138">
        <v>110617</v>
      </c>
      <c r="B138" t="s">
        <v>1410</v>
      </c>
      <c r="C138">
        <v>548313</v>
      </c>
    </row>
    <row r="139" spans="1:3">
      <c r="A139">
        <v>227881</v>
      </c>
      <c r="B139" t="s">
        <v>1411</v>
      </c>
      <c r="C139">
        <v>14190</v>
      </c>
    </row>
    <row r="140" spans="1:3">
      <c r="A140">
        <v>122409</v>
      </c>
      <c r="B140" t="s">
        <v>1412</v>
      </c>
      <c r="C140">
        <v>897319</v>
      </c>
    </row>
    <row r="141" spans="1:3">
      <c r="A141">
        <v>122755</v>
      </c>
      <c r="B141" t="s">
        <v>1413</v>
      </c>
      <c r="C141">
        <v>22414</v>
      </c>
    </row>
    <row r="142" spans="1:3">
      <c r="A142">
        <v>140960</v>
      </c>
      <c r="B142" t="s">
        <v>1414</v>
      </c>
      <c r="C142">
        <v>10192</v>
      </c>
    </row>
    <row r="143" spans="1:3">
      <c r="A143">
        <v>149231</v>
      </c>
      <c r="B143" t="s">
        <v>1421</v>
      </c>
      <c r="C143">
        <v>377824</v>
      </c>
    </row>
    <row r="144" spans="1:3">
      <c r="A144">
        <v>218663</v>
      </c>
      <c r="B144" t="s">
        <v>227</v>
      </c>
      <c r="C144">
        <v>190009</v>
      </c>
    </row>
    <row r="145" spans="1:3">
      <c r="A145">
        <v>218742</v>
      </c>
      <c r="B145" t="s">
        <v>1415</v>
      </c>
      <c r="C145">
        <v>329714</v>
      </c>
    </row>
    <row r="146" spans="1:3">
      <c r="A146">
        <v>219471</v>
      </c>
      <c r="B146" t="s">
        <v>229</v>
      </c>
      <c r="C146">
        <v>290041</v>
      </c>
    </row>
    <row r="147" spans="1:3">
      <c r="A147">
        <v>219356</v>
      </c>
      <c r="B147" t="s">
        <v>1416</v>
      </c>
      <c r="C147">
        <v>9558</v>
      </c>
    </row>
    <row r="148" spans="1:3">
      <c r="A148">
        <v>137351</v>
      </c>
      <c r="B148" t="s">
        <v>1417</v>
      </c>
      <c r="C148">
        <v>95500</v>
      </c>
    </row>
    <row r="149" spans="1:3">
      <c r="A149">
        <v>179557</v>
      </c>
      <c r="B149" t="s">
        <v>1418</v>
      </c>
      <c r="C149">
        <v>323554</v>
      </c>
    </row>
    <row r="150" spans="1:3">
      <c r="A150">
        <v>160621</v>
      </c>
      <c r="B150" t="s">
        <v>1419</v>
      </c>
      <c r="C150">
        <v>46516</v>
      </c>
    </row>
    <row r="151" spans="1:3">
      <c r="A151">
        <v>149222</v>
      </c>
      <c r="B151" t="s">
        <v>1420</v>
      </c>
      <c r="C151">
        <v>207877</v>
      </c>
    </row>
    <row r="152" spans="1:3">
      <c r="A152">
        <v>176372</v>
      </c>
      <c r="B152" t="s">
        <v>1422</v>
      </c>
      <c r="C152">
        <v>46404</v>
      </c>
    </row>
    <row r="153" spans="1:3">
      <c r="A153">
        <v>230603</v>
      </c>
      <c r="B153" t="s">
        <v>237</v>
      </c>
      <c r="C153">
        <v>488518</v>
      </c>
    </row>
    <row r="154" spans="1:3">
      <c r="A154">
        <v>228431</v>
      </c>
      <c r="B154" t="s">
        <v>1423</v>
      </c>
      <c r="C154">
        <v>506575</v>
      </c>
    </row>
    <row r="155" spans="1:3">
      <c r="A155">
        <v>196097</v>
      </c>
      <c r="B155" t="s">
        <v>242</v>
      </c>
      <c r="C155">
        <v>535862</v>
      </c>
    </row>
    <row r="156" spans="1:3">
      <c r="A156">
        <v>221759</v>
      </c>
      <c r="B156" t="s">
        <v>244</v>
      </c>
      <c r="C156">
        <v>313972</v>
      </c>
    </row>
    <row r="157" spans="1:3">
      <c r="A157">
        <v>221740</v>
      </c>
      <c r="B157" t="s">
        <v>1424</v>
      </c>
      <c r="C157">
        <v>716035</v>
      </c>
    </row>
    <row r="158" spans="1:3">
      <c r="A158">
        <v>221847</v>
      </c>
      <c r="B158" t="s">
        <v>246</v>
      </c>
      <c r="C158">
        <v>9171</v>
      </c>
    </row>
    <row r="159" spans="1:3">
      <c r="A159">
        <v>228778</v>
      </c>
      <c r="B159" t="s">
        <v>247</v>
      </c>
      <c r="C159">
        <v>1737835</v>
      </c>
    </row>
    <row r="160" spans="1:3">
      <c r="A160">
        <v>228723</v>
      </c>
      <c r="B160" t="s">
        <v>248</v>
      </c>
      <c r="C160">
        <v>615752</v>
      </c>
    </row>
    <row r="161" spans="1:3">
      <c r="A161">
        <v>224147</v>
      </c>
      <c r="B161" t="s">
        <v>1426</v>
      </c>
      <c r="C161">
        <v>577051</v>
      </c>
    </row>
    <row r="162" spans="1:3">
      <c r="A162">
        <v>228769</v>
      </c>
      <c r="B162" t="s">
        <v>1427</v>
      </c>
      <c r="C162">
        <v>59163</v>
      </c>
    </row>
    <row r="163" spans="1:3">
      <c r="A163">
        <v>229063</v>
      </c>
      <c r="B163" t="s">
        <v>249</v>
      </c>
      <c r="C163">
        <v>180431</v>
      </c>
    </row>
    <row r="164" spans="1:3">
      <c r="A164">
        <v>228459</v>
      </c>
      <c r="B164" t="s">
        <v>1428</v>
      </c>
      <c r="C164">
        <v>146242</v>
      </c>
    </row>
    <row r="165" spans="1:3">
      <c r="A165">
        <v>229115</v>
      </c>
      <c r="B165" t="s">
        <v>251</v>
      </c>
      <c r="C165">
        <v>149012</v>
      </c>
    </row>
    <row r="166" spans="1:3">
      <c r="A166">
        <v>206084</v>
      </c>
      <c r="B166" t="s">
        <v>252</v>
      </c>
      <c r="C166">
        <v>19034</v>
      </c>
    </row>
    <row r="167" spans="1:3">
      <c r="A167">
        <v>164076</v>
      </c>
      <c r="B167" t="s">
        <v>253</v>
      </c>
      <c r="C167">
        <v>178861</v>
      </c>
    </row>
    <row r="168" spans="1:3">
      <c r="A168">
        <v>100663</v>
      </c>
      <c r="B168" t="s">
        <v>256</v>
      </c>
      <c r="C168">
        <v>957961</v>
      </c>
    </row>
    <row r="169" spans="1:3">
      <c r="A169">
        <v>110644</v>
      </c>
      <c r="B169" t="s">
        <v>257</v>
      </c>
      <c r="C169">
        <v>395956</v>
      </c>
    </row>
    <row r="170" spans="1:3">
      <c r="A170">
        <v>110653</v>
      </c>
      <c r="B170" t="s">
        <v>1310</v>
      </c>
      <c r="C170">
        <v>755506</v>
      </c>
    </row>
    <row r="171" spans="1:3">
      <c r="A171">
        <v>110671</v>
      </c>
      <c r="B171" t="s">
        <v>258</v>
      </c>
      <c r="C171">
        <v>956004</v>
      </c>
    </row>
    <row r="172" spans="1:3">
      <c r="A172">
        <v>110705</v>
      </c>
      <c r="B172" t="s">
        <v>259</v>
      </c>
      <c r="C172">
        <v>470470</v>
      </c>
    </row>
    <row r="173" spans="1:3">
      <c r="A173">
        <v>132903</v>
      </c>
      <c r="B173" t="s">
        <v>260</v>
      </c>
      <c r="C173">
        <v>315472</v>
      </c>
    </row>
    <row r="174" spans="1:3">
      <c r="A174">
        <v>110662</v>
      </c>
      <c r="B174" t="s">
        <v>261</v>
      </c>
      <c r="C174">
        <v>629583</v>
      </c>
    </row>
    <row r="175" spans="1:3">
      <c r="A175">
        <v>163268</v>
      </c>
      <c r="B175" t="s">
        <v>1445</v>
      </c>
      <c r="C175">
        <v>125327</v>
      </c>
    </row>
    <row r="176" spans="1:3">
      <c r="A176">
        <v>178402</v>
      </c>
      <c r="B176" t="s">
        <v>1446</v>
      </c>
      <c r="C176">
        <v>701783</v>
      </c>
    </row>
    <row r="177" spans="1:3">
      <c r="A177">
        <v>182281</v>
      </c>
      <c r="B177" t="s">
        <v>271</v>
      </c>
      <c r="C177">
        <v>85405</v>
      </c>
    </row>
    <row r="178" spans="1:3">
      <c r="A178">
        <v>230764</v>
      </c>
      <c r="B178" t="s">
        <v>275</v>
      </c>
      <c r="C178">
        <v>238277</v>
      </c>
    </row>
    <row r="179" spans="1:3">
      <c r="A179">
        <v>230728</v>
      </c>
      <c r="B179" t="s">
        <v>1429</v>
      </c>
      <c r="C179">
        <v>292945</v>
      </c>
    </row>
    <row r="180" spans="1:3">
      <c r="A180">
        <v>230737</v>
      </c>
      <c r="B180" t="s">
        <v>277</v>
      </c>
      <c r="C180">
        <v>5500</v>
      </c>
    </row>
    <row r="181" spans="1:3">
      <c r="A181">
        <v>228796</v>
      </c>
      <c r="B181" t="s">
        <v>278</v>
      </c>
      <c r="C181">
        <v>1235099</v>
      </c>
    </row>
    <row r="182" spans="1:3">
      <c r="A182">
        <v>227368</v>
      </c>
      <c r="B182" t="s">
        <v>1312</v>
      </c>
      <c r="C182">
        <v>64284</v>
      </c>
    </row>
    <row r="183" spans="1:3">
      <c r="A183">
        <v>229027</v>
      </c>
      <c r="B183" t="s">
        <v>279</v>
      </c>
      <c r="C183">
        <v>39473</v>
      </c>
    </row>
    <row r="184" spans="1:3">
      <c r="A184">
        <v>234030</v>
      </c>
      <c r="B184" t="s">
        <v>1314</v>
      </c>
      <c r="C184">
        <v>7948</v>
      </c>
    </row>
    <row r="185" spans="1:3">
      <c r="A185">
        <v>234076</v>
      </c>
      <c r="B185" t="s">
        <v>282</v>
      </c>
      <c r="C185">
        <v>679012</v>
      </c>
    </row>
    <row r="186" spans="1:3">
      <c r="A186">
        <v>233921</v>
      </c>
      <c r="B186" t="s">
        <v>283</v>
      </c>
      <c r="C186">
        <v>626876</v>
      </c>
    </row>
    <row r="187" spans="1:3">
      <c r="A187">
        <v>236948</v>
      </c>
      <c r="B187" t="s">
        <v>284</v>
      </c>
      <c r="C187">
        <v>1102304</v>
      </c>
    </row>
    <row r="188" spans="1:3">
      <c r="A188">
        <v>236939</v>
      </c>
      <c r="B188" t="s">
        <v>1430</v>
      </c>
      <c r="C188">
        <v>791494</v>
      </c>
    </row>
    <row r="189" spans="1:3">
      <c r="A189">
        <v>230782</v>
      </c>
      <c r="B189" t="s">
        <v>1431</v>
      </c>
      <c r="C189">
        <v>337946</v>
      </c>
    </row>
    <row r="190" spans="1:3">
      <c r="A190">
        <v>238032</v>
      </c>
      <c r="B190" t="s">
        <v>1319</v>
      </c>
      <c r="C190">
        <v>44657</v>
      </c>
    </row>
    <row r="191" spans="1:3">
      <c r="A191">
        <v>200004</v>
      </c>
      <c r="B191" t="s">
        <v>1432</v>
      </c>
      <c r="C191">
        <v>26942</v>
      </c>
    </row>
    <row r="192" spans="1:3">
      <c r="A192">
        <v>149772</v>
      </c>
      <c r="B192" t="s">
        <v>1433</v>
      </c>
      <c r="C192">
        <v>301803</v>
      </c>
    </row>
    <row r="193" spans="1:3">
      <c r="A193">
        <v>157951</v>
      </c>
      <c r="B193" t="s">
        <v>1434</v>
      </c>
      <c r="C193">
        <v>773772</v>
      </c>
    </row>
    <row r="194" spans="1:3">
      <c r="A194">
        <v>172699</v>
      </c>
      <c r="B194" t="s">
        <v>1435</v>
      </c>
      <c r="C194">
        <v>188616</v>
      </c>
    </row>
    <row r="195" spans="1:3">
      <c r="A195">
        <v>156125</v>
      </c>
      <c r="B195" t="s">
        <v>1436</v>
      </c>
      <c r="C195">
        <v>396937</v>
      </c>
    </row>
    <row r="196" spans="1:3">
      <c r="A196">
        <v>231624</v>
      </c>
      <c r="B196" t="s">
        <v>1320</v>
      </c>
      <c r="C196">
        <v>142519</v>
      </c>
    </row>
    <row r="197" spans="1:3">
      <c r="A197">
        <v>218964</v>
      </c>
      <c r="B197" t="s">
        <v>291</v>
      </c>
      <c r="C197">
        <v>280493</v>
      </c>
    </row>
    <row r="198" spans="1:3">
      <c r="A198">
        <v>240444</v>
      </c>
      <c r="B198" t="s">
        <v>292</v>
      </c>
      <c r="C198">
        <v>1061317</v>
      </c>
    </row>
    <row r="199" spans="1:3">
      <c r="A199">
        <v>240277</v>
      </c>
      <c r="B199" t="s">
        <v>1437</v>
      </c>
      <c r="C199">
        <v>140007</v>
      </c>
    </row>
    <row r="200" spans="1:3">
      <c r="A200">
        <v>240453</v>
      </c>
      <c r="B200" t="s">
        <v>1438</v>
      </c>
      <c r="C200">
        <v>397935</v>
      </c>
    </row>
    <row r="201" spans="1:3">
      <c r="A201">
        <v>206604</v>
      </c>
      <c r="B201" t="s">
        <v>1439</v>
      </c>
      <c r="C201">
        <v>484864</v>
      </c>
    </row>
    <row r="202" spans="1:3">
      <c r="A202">
        <v>240727</v>
      </c>
      <c r="B202" t="s">
        <v>1322</v>
      </c>
      <c r="C202">
        <v>532040</v>
      </c>
    </row>
    <row r="203" spans="1:3">
      <c r="A203">
        <v>206695</v>
      </c>
      <c r="B203" t="s">
        <v>1440</v>
      </c>
      <c r="C203">
        <v>94975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05ED-27DE-45CC-A8BA-7A8C3AB6A75D}">
  <dimension ref="A1:C277"/>
  <sheetViews>
    <sheetView workbookViewId="0"/>
  </sheetViews>
  <sheetFormatPr baseColWidth="10" defaultColWidth="8.83203125" defaultRowHeight="15"/>
  <cols>
    <col min="1" max="1" width="6.83203125" bestFit="1" customWidth="1"/>
    <col min="2" max="2" width="24.33203125" bestFit="1" customWidth="1"/>
    <col min="3" max="3" width="13.1640625" bestFit="1" customWidth="1"/>
  </cols>
  <sheetData>
    <row r="1" spans="1:3">
      <c r="A1" t="s">
        <v>1</v>
      </c>
      <c r="B1" t="s">
        <v>0</v>
      </c>
      <c r="C1" t="s">
        <v>1324</v>
      </c>
    </row>
    <row r="2" spans="1:3">
      <c r="A2">
        <v>200800</v>
      </c>
      <c r="B2" t="s">
        <v>6</v>
      </c>
      <c r="C2">
        <v>27194</v>
      </c>
    </row>
    <row r="3" spans="1:3">
      <c r="A3">
        <v>100751</v>
      </c>
      <c r="B3" t="s">
        <v>7</v>
      </c>
      <c r="C3">
        <v>661383</v>
      </c>
    </row>
    <row r="4" spans="1:3" ht="16" thickBot="1">
      <c r="A4">
        <v>196060</v>
      </c>
      <c r="B4" t="s">
        <v>1330</v>
      </c>
      <c r="C4" s="15">
        <v>155396</v>
      </c>
    </row>
    <row r="5" spans="1:3" ht="16" thickBot="1">
      <c r="A5">
        <v>196060</v>
      </c>
      <c r="B5" t="s">
        <v>1330</v>
      </c>
      <c r="C5" s="15">
        <v>155396</v>
      </c>
    </row>
    <row r="6" spans="1:3" ht="16" thickBot="1">
      <c r="A6">
        <v>197869</v>
      </c>
      <c r="B6" t="s">
        <v>1332</v>
      </c>
      <c r="C6" s="15">
        <v>7562</v>
      </c>
    </row>
    <row r="7" spans="1:3" ht="16" thickBot="1">
      <c r="A7">
        <v>104179</v>
      </c>
      <c r="B7" t="s">
        <v>13</v>
      </c>
      <c r="C7" s="15">
        <v>466246</v>
      </c>
    </row>
    <row r="8" spans="1:3" ht="16" thickBot="1">
      <c r="A8">
        <v>104151</v>
      </c>
      <c r="B8" t="s">
        <v>1333</v>
      </c>
      <c r="C8" s="15">
        <v>411288</v>
      </c>
    </row>
    <row r="9" spans="1:3" ht="16" thickBot="1">
      <c r="A9">
        <v>106397</v>
      </c>
      <c r="B9" t="s">
        <v>16</v>
      </c>
      <c r="C9" s="15">
        <v>32096</v>
      </c>
    </row>
    <row r="10" spans="1:3" ht="16" thickBot="1">
      <c r="A10">
        <v>106245</v>
      </c>
      <c r="B10" t="s">
        <v>1334</v>
      </c>
      <c r="C10" s="17">
        <v>125794</v>
      </c>
    </row>
    <row r="11" spans="1:3" ht="16" thickBot="1">
      <c r="A11">
        <v>106412</v>
      </c>
      <c r="B11" t="s">
        <v>1335</v>
      </c>
      <c r="C11" s="15">
        <v>4000</v>
      </c>
    </row>
    <row r="12" spans="1:3" ht="16" thickBot="1">
      <c r="A12">
        <v>500001</v>
      </c>
      <c r="B12" t="s">
        <v>1441</v>
      </c>
      <c r="C12" s="17">
        <v>487483</v>
      </c>
    </row>
    <row r="13" spans="1:3" ht="16" thickBot="1">
      <c r="A13">
        <v>100858</v>
      </c>
      <c r="B13" t="s">
        <v>18</v>
      </c>
      <c r="C13" s="15">
        <v>110791</v>
      </c>
    </row>
    <row r="14" spans="1:3" ht="16" thickBot="1">
      <c r="A14">
        <v>219602</v>
      </c>
      <c r="B14" t="s">
        <v>1337</v>
      </c>
      <c r="C14" s="18">
        <v>22980</v>
      </c>
    </row>
    <row r="15" spans="1:3" ht="16" thickBot="1">
      <c r="A15">
        <v>150136</v>
      </c>
      <c r="B15" t="s">
        <v>1338</v>
      </c>
      <c r="C15" s="15">
        <v>113443</v>
      </c>
    </row>
    <row r="16" spans="1:3" ht="16" thickBot="1">
      <c r="A16">
        <v>196079</v>
      </c>
      <c r="B16" t="s">
        <v>24</v>
      </c>
      <c r="C16" s="15">
        <v>625889</v>
      </c>
    </row>
    <row r="17" spans="1:3" ht="16" thickBot="1">
      <c r="A17">
        <v>142115</v>
      </c>
      <c r="B17" t="s">
        <v>1339</v>
      </c>
      <c r="C17" s="15">
        <v>375546</v>
      </c>
    </row>
    <row r="18" spans="1:3" ht="16" thickBot="1">
      <c r="A18">
        <v>201441</v>
      </c>
      <c r="B18" t="s">
        <v>28</v>
      </c>
      <c r="C18" s="15">
        <v>38289</v>
      </c>
    </row>
    <row r="19" spans="1:3" ht="16" thickBot="1">
      <c r="A19">
        <v>196088</v>
      </c>
      <c r="B19" t="s">
        <v>33</v>
      </c>
      <c r="C19" s="15">
        <v>819948</v>
      </c>
    </row>
    <row r="20" spans="1:3" ht="16" thickBot="1">
      <c r="A20">
        <v>110422</v>
      </c>
      <c r="B20" t="s">
        <v>36</v>
      </c>
      <c r="C20" s="15">
        <v>81834</v>
      </c>
    </row>
    <row r="21" spans="1:3" ht="16" thickBot="1">
      <c r="A21">
        <v>110486</v>
      </c>
      <c r="B21" t="s">
        <v>1340</v>
      </c>
      <c r="C21" s="15">
        <v>34396</v>
      </c>
    </row>
    <row r="22" spans="1:3">
      <c r="A22">
        <v>110565</v>
      </c>
      <c r="B22" t="s">
        <v>1341</v>
      </c>
      <c r="C22">
        <v>705248</v>
      </c>
    </row>
    <row r="23" spans="1:3" ht="16" thickBot="1">
      <c r="A23">
        <v>110608</v>
      </c>
      <c r="B23" t="s">
        <v>1342</v>
      </c>
      <c r="C23" s="15">
        <v>49677</v>
      </c>
    </row>
    <row r="24" spans="1:3" ht="16" thickBot="1">
      <c r="A24">
        <v>110635</v>
      </c>
      <c r="B24" t="s">
        <v>38</v>
      </c>
      <c r="C24" s="15">
        <v>279155</v>
      </c>
    </row>
    <row r="25" spans="1:3" ht="16" thickBot="1">
      <c r="A25">
        <v>106704</v>
      </c>
      <c r="B25" t="s">
        <v>1343</v>
      </c>
      <c r="C25" s="15"/>
    </row>
    <row r="26" spans="1:3" ht="16" thickBot="1">
      <c r="A26">
        <v>128771</v>
      </c>
      <c r="B26" t="s">
        <v>1344</v>
      </c>
      <c r="C26" s="15">
        <v>732361</v>
      </c>
    </row>
    <row r="27" spans="1:3" ht="16" thickBot="1">
      <c r="A27">
        <v>169248</v>
      </c>
      <c r="B27" t="s">
        <v>1345</v>
      </c>
      <c r="C27" s="15">
        <v>71421</v>
      </c>
    </row>
    <row r="28" spans="1:3" ht="16" thickBot="1">
      <c r="A28">
        <v>199139</v>
      </c>
      <c r="B28" t="s">
        <v>45</v>
      </c>
      <c r="C28" s="15">
        <v>788033</v>
      </c>
    </row>
    <row r="29" spans="1:3" ht="16" thickBot="1">
      <c r="A29">
        <v>144005</v>
      </c>
      <c r="B29" t="s">
        <v>1346</v>
      </c>
      <c r="C29" s="15">
        <v>521869</v>
      </c>
    </row>
    <row r="30" spans="1:3" ht="16" thickBot="1">
      <c r="A30">
        <v>201885</v>
      </c>
      <c r="B30" t="s">
        <v>1269</v>
      </c>
      <c r="C30" s="15">
        <v>16512</v>
      </c>
    </row>
    <row r="31" spans="1:3" ht="16" thickBot="1">
      <c r="A31">
        <v>217864</v>
      </c>
      <c r="B31" t="s">
        <v>1307</v>
      </c>
      <c r="C31" s="17">
        <v>569305</v>
      </c>
    </row>
    <row r="32" spans="1:3" ht="16" thickBot="1">
      <c r="A32">
        <v>217882</v>
      </c>
      <c r="B32" t="s">
        <v>47</v>
      </c>
      <c r="C32" s="15">
        <v>890642</v>
      </c>
    </row>
    <row r="33" spans="1:3" ht="16" thickBot="1">
      <c r="A33">
        <v>202134</v>
      </c>
      <c r="B33" t="s">
        <v>1347</v>
      </c>
      <c r="C33" s="15">
        <v>569633</v>
      </c>
    </row>
    <row r="34" spans="1:3" ht="16" thickBot="1">
      <c r="A34">
        <v>218724</v>
      </c>
      <c r="B34" t="s">
        <v>1241</v>
      </c>
      <c r="C34" s="15">
        <v>1010358</v>
      </c>
    </row>
    <row r="35" spans="1:3" ht="16" thickBot="1">
      <c r="A35">
        <v>217819</v>
      </c>
      <c r="B35" t="s">
        <v>1442</v>
      </c>
      <c r="C35" s="15">
        <v>50244</v>
      </c>
    </row>
    <row r="36" spans="1:3" ht="16" thickBot="1">
      <c r="A36">
        <v>126614</v>
      </c>
      <c r="B36" t="s">
        <v>1270</v>
      </c>
      <c r="C36" s="15">
        <v>555413</v>
      </c>
    </row>
    <row r="37" spans="1:3" ht="16" thickBot="1">
      <c r="A37">
        <v>126818</v>
      </c>
      <c r="B37" t="s">
        <v>1349</v>
      </c>
      <c r="C37" s="15">
        <v>630996</v>
      </c>
    </row>
    <row r="38" spans="1:3" ht="16" thickBot="1">
      <c r="A38">
        <v>129020</v>
      </c>
      <c r="B38" t="s">
        <v>1350</v>
      </c>
      <c r="C38" s="15">
        <v>10078</v>
      </c>
    </row>
    <row r="39" spans="1:3" ht="16" thickBot="1">
      <c r="A39">
        <v>162283</v>
      </c>
      <c r="B39" t="s">
        <v>1351</v>
      </c>
      <c r="C39" s="17">
        <v>58928</v>
      </c>
    </row>
    <row r="40" spans="1:3" ht="16" thickBot="1">
      <c r="A40">
        <v>198464</v>
      </c>
      <c r="B40" t="s">
        <v>68</v>
      </c>
      <c r="C40" s="15">
        <v>9498</v>
      </c>
    </row>
    <row r="41" spans="1:3" ht="16" thickBot="1">
      <c r="A41">
        <v>144892</v>
      </c>
      <c r="B41" t="s">
        <v>1353</v>
      </c>
      <c r="C41" s="15">
        <v>241533</v>
      </c>
    </row>
    <row r="42" spans="1:3">
      <c r="A42">
        <v>156620</v>
      </c>
      <c r="B42" t="s">
        <v>1354</v>
      </c>
    </row>
    <row r="43" spans="1:3" ht="16" thickBot="1">
      <c r="A43">
        <v>169798</v>
      </c>
      <c r="B43" t="s">
        <v>1355</v>
      </c>
      <c r="C43" s="15">
        <v>770664</v>
      </c>
    </row>
    <row r="44" spans="1:3" ht="16" thickBot="1">
      <c r="A44">
        <v>235097</v>
      </c>
      <c r="B44" t="s">
        <v>1356</v>
      </c>
      <c r="C44" s="15">
        <v>762348</v>
      </c>
    </row>
    <row r="45" spans="1:3" ht="16" thickBot="1">
      <c r="A45">
        <v>134130</v>
      </c>
      <c r="B45" t="s">
        <v>79</v>
      </c>
      <c r="C45" s="15"/>
    </row>
    <row r="46" spans="1:3" ht="16" thickBot="1">
      <c r="A46">
        <v>133669</v>
      </c>
      <c r="B46" t="s">
        <v>1357</v>
      </c>
      <c r="C46" s="15">
        <v>394163</v>
      </c>
    </row>
    <row r="47" spans="1:3" ht="16" thickBot="1">
      <c r="A47">
        <v>433660</v>
      </c>
      <c r="B47" t="s">
        <v>1358</v>
      </c>
      <c r="C47" s="15">
        <v>268224</v>
      </c>
    </row>
    <row r="48" spans="1:3" ht="16" thickBot="1">
      <c r="A48">
        <v>133951</v>
      </c>
      <c r="B48" t="s">
        <v>1359</v>
      </c>
      <c r="C48" s="15">
        <v>732177</v>
      </c>
    </row>
    <row r="49" spans="1:3" ht="16" thickBot="1">
      <c r="A49">
        <v>134097</v>
      </c>
      <c r="B49" t="s">
        <v>1360</v>
      </c>
      <c r="C49" s="15">
        <v>1048495</v>
      </c>
    </row>
    <row r="50" spans="1:3" ht="16" thickBot="1">
      <c r="A50">
        <v>110556</v>
      </c>
      <c r="B50" t="s">
        <v>1361</v>
      </c>
      <c r="C50" s="15">
        <v>440254</v>
      </c>
    </row>
    <row r="51" spans="1:3" ht="16" thickBot="1">
      <c r="A51">
        <v>139959</v>
      </c>
      <c r="B51" t="s">
        <v>90</v>
      </c>
      <c r="C51" s="15">
        <v>209075</v>
      </c>
    </row>
    <row r="52" spans="1:3" ht="16" thickBot="1">
      <c r="A52">
        <v>139931</v>
      </c>
      <c r="B52" t="s">
        <v>1362</v>
      </c>
      <c r="C52" s="15">
        <v>63673</v>
      </c>
    </row>
    <row r="53" spans="1:3" ht="16" thickBot="1">
      <c r="A53">
        <v>139940</v>
      </c>
      <c r="B53" t="s">
        <v>1363</v>
      </c>
      <c r="C53" s="15">
        <v>216489</v>
      </c>
    </row>
    <row r="54" spans="1:3" ht="16" thickBot="1">
      <c r="A54">
        <v>139755</v>
      </c>
      <c r="B54" t="s">
        <v>92</v>
      </c>
      <c r="C54" s="15">
        <v>247615</v>
      </c>
    </row>
    <row r="55" spans="1:3" ht="16" thickBot="1">
      <c r="A55">
        <v>159009</v>
      </c>
      <c r="B55" t="s">
        <v>1364</v>
      </c>
      <c r="C55" s="15">
        <v>73111</v>
      </c>
    </row>
    <row r="56" spans="1:3">
      <c r="A56">
        <v>141574</v>
      </c>
      <c r="B56" t="s">
        <v>98</v>
      </c>
      <c r="C56">
        <v>1572495</v>
      </c>
    </row>
    <row r="57" spans="1:3">
      <c r="A57">
        <v>225511</v>
      </c>
      <c r="B57" t="s">
        <v>101</v>
      </c>
      <c r="C57">
        <v>30927</v>
      </c>
    </row>
    <row r="58" spans="1:3">
      <c r="A58">
        <v>142285</v>
      </c>
      <c r="B58" t="s">
        <v>1279</v>
      </c>
      <c r="C58" s="10">
        <v>740214</v>
      </c>
    </row>
    <row r="59" spans="1:3">
      <c r="A59">
        <v>142276</v>
      </c>
      <c r="B59" t="s">
        <v>1365</v>
      </c>
      <c r="C59">
        <v>363335</v>
      </c>
    </row>
    <row r="60" spans="1:3">
      <c r="A60">
        <v>145637</v>
      </c>
      <c r="B60" t="s">
        <v>105</v>
      </c>
      <c r="C60">
        <v>696012</v>
      </c>
    </row>
    <row r="61" spans="1:3">
      <c r="A61">
        <v>145600</v>
      </c>
      <c r="B61" t="s">
        <v>1366</v>
      </c>
      <c r="C61">
        <v>409018</v>
      </c>
    </row>
    <row r="62" spans="1:3">
      <c r="A62">
        <v>145813</v>
      </c>
      <c r="B62" t="s">
        <v>1367</v>
      </c>
      <c r="C62">
        <v>290497</v>
      </c>
    </row>
    <row r="63" spans="1:3">
      <c r="A63">
        <v>151351</v>
      </c>
      <c r="B63" t="s">
        <v>108</v>
      </c>
      <c r="C63" s="10">
        <v>59468</v>
      </c>
    </row>
    <row r="64" spans="1:3">
      <c r="A64">
        <v>151324</v>
      </c>
      <c r="B64" t="s">
        <v>1368</v>
      </c>
      <c r="C64">
        <v>483853</v>
      </c>
    </row>
    <row r="65" spans="1:3">
      <c r="A65">
        <v>153658</v>
      </c>
      <c r="B65" t="s">
        <v>111</v>
      </c>
      <c r="C65" s="10">
        <v>294491</v>
      </c>
    </row>
    <row r="66" spans="1:3">
      <c r="A66">
        <v>153603</v>
      </c>
      <c r="B66" t="s">
        <v>1369</v>
      </c>
      <c r="C66" s="10">
        <v>251465</v>
      </c>
    </row>
    <row r="67" spans="1:3">
      <c r="A67">
        <v>151102</v>
      </c>
      <c r="B67" t="s">
        <v>201</v>
      </c>
      <c r="C67">
        <v>515742</v>
      </c>
    </row>
    <row r="68" spans="1:3">
      <c r="A68">
        <v>151111</v>
      </c>
      <c r="B68" t="s">
        <v>113</v>
      </c>
      <c r="C68">
        <v>3149</v>
      </c>
    </row>
    <row r="69" spans="1:3">
      <c r="A69">
        <v>175856</v>
      </c>
      <c r="B69" t="s">
        <v>1447</v>
      </c>
      <c r="C69" s="3"/>
    </row>
    <row r="70" spans="1:3">
      <c r="A70">
        <v>232423</v>
      </c>
      <c r="B70" t="s">
        <v>117</v>
      </c>
      <c r="C70">
        <v>42571</v>
      </c>
    </row>
    <row r="71" spans="1:3">
      <c r="A71">
        <v>155317</v>
      </c>
      <c r="B71" t="s">
        <v>118</v>
      </c>
      <c r="C71" s="10">
        <v>111745</v>
      </c>
    </row>
    <row r="72" spans="1:3">
      <c r="A72">
        <v>155399</v>
      </c>
      <c r="B72" t="s">
        <v>1370</v>
      </c>
      <c r="C72" s="10">
        <v>52116</v>
      </c>
    </row>
    <row r="73" spans="1:3">
      <c r="A73">
        <v>486840</v>
      </c>
      <c r="B73" t="s">
        <v>1371</v>
      </c>
      <c r="C73">
        <v>134744</v>
      </c>
    </row>
    <row r="74" spans="1:3">
      <c r="A74">
        <v>203517</v>
      </c>
      <c r="B74" t="s">
        <v>1372</v>
      </c>
      <c r="C74" s="10">
        <v>88430</v>
      </c>
    </row>
    <row r="75" spans="1:3">
      <c r="A75">
        <v>157085</v>
      </c>
      <c r="B75" t="s">
        <v>121</v>
      </c>
      <c r="C75" s="10">
        <v>329896</v>
      </c>
    </row>
    <row r="76" spans="1:3">
      <c r="A76">
        <v>226091</v>
      </c>
      <c r="B76" t="s">
        <v>1373</v>
      </c>
      <c r="C76">
        <v>547824</v>
      </c>
    </row>
    <row r="77" spans="1:3">
      <c r="A77">
        <v>110583</v>
      </c>
      <c r="B77" t="s">
        <v>1374</v>
      </c>
      <c r="C77">
        <v>806948</v>
      </c>
    </row>
    <row r="78" spans="1:3">
      <c r="A78">
        <v>160658</v>
      </c>
      <c r="B78" t="s">
        <v>1375</v>
      </c>
      <c r="C78" s="10">
        <v>652023</v>
      </c>
    </row>
    <row r="79" spans="1:3">
      <c r="A79">
        <v>159993</v>
      </c>
      <c r="B79" t="s">
        <v>1376</v>
      </c>
      <c r="C79" s="10">
        <v>30887</v>
      </c>
    </row>
    <row r="80" spans="1:3">
      <c r="A80">
        <v>159647</v>
      </c>
      <c r="B80" t="s">
        <v>133</v>
      </c>
      <c r="C80" s="10">
        <v>669262</v>
      </c>
    </row>
    <row r="81" spans="1:3">
      <c r="A81">
        <v>159647</v>
      </c>
      <c r="B81" t="s">
        <v>133</v>
      </c>
      <c r="C81" s="8">
        <v>669262</v>
      </c>
    </row>
    <row r="82" spans="1:3">
      <c r="A82">
        <v>157289</v>
      </c>
      <c r="B82" t="s">
        <v>134</v>
      </c>
      <c r="C82" s="10">
        <v>194116</v>
      </c>
    </row>
    <row r="83" spans="1:3">
      <c r="A83">
        <v>159391</v>
      </c>
      <c r="B83" t="s">
        <v>136</v>
      </c>
      <c r="C83" s="10">
        <v>56523</v>
      </c>
    </row>
    <row r="84" spans="1:3">
      <c r="A84">
        <v>237525</v>
      </c>
      <c r="B84" t="s">
        <v>140</v>
      </c>
      <c r="C84" s="10">
        <v>538672</v>
      </c>
    </row>
    <row r="85" spans="1:3">
      <c r="A85">
        <v>163286</v>
      </c>
      <c r="B85" t="s">
        <v>141</v>
      </c>
      <c r="C85" s="10">
        <v>641097</v>
      </c>
    </row>
    <row r="86" spans="1:3">
      <c r="A86">
        <v>163338</v>
      </c>
      <c r="B86" t="s">
        <v>1377</v>
      </c>
      <c r="C86">
        <v>291960</v>
      </c>
    </row>
    <row r="87" spans="1:3">
      <c r="A87">
        <v>166513</v>
      </c>
      <c r="B87" t="s">
        <v>1378</v>
      </c>
      <c r="C87">
        <v>587296</v>
      </c>
    </row>
    <row r="88" spans="1:3">
      <c r="A88">
        <v>159717</v>
      </c>
      <c r="B88" t="s">
        <v>1379</v>
      </c>
      <c r="C88">
        <v>422400</v>
      </c>
    </row>
    <row r="89" spans="1:3">
      <c r="A89">
        <v>204024</v>
      </c>
      <c r="B89" t="s">
        <v>1380</v>
      </c>
      <c r="C89" s="10">
        <v>983545</v>
      </c>
    </row>
    <row r="90" spans="1:3">
      <c r="A90">
        <v>170976</v>
      </c>
      <c r="B90" t="s">
        <v>147</v>
      </c>
      <c r="C90">
        <v>160712</v>
      </c>
    </row>
    <row r="91" spans="1:3">
      <c r="A91">
        <v>171100</v>
      </c>
      <c r="B91" t="s">
        <v>1381</v>
      </c>
      <c r="C91">
        <v>564467</v>
      </c>
    </row>
    <row r="92" spans="1:3">
      <c r="A92">
        <v>220978</v>
      </c>
      <c r="B92" t="s">
        <v>1382</v>
      </c>
      <c r="C92">
        <v>1114689</v>
      </c>
    </row>
    <row r="93" spans="1:3">
      <c r="A93">
        <v>174066</v>
      </c>
      <c r="B93" t="s">
        <v>150</v>
      </c>
      <c r="C93" s="10">
        <v>326937</v>
      </c>
    </row>
    <row r="94" spans="1:3">
      <c r="A94">
        <v>176017</v>
      </c>
      <c r="B94" t="s">
        <v>1383</v>
      </c>
      <c r="C94" s="10">
        <v>86959</v>
      </c>
    </row>
    <row r="95" spans="1:3">
      <c r="A95">
        <v>176080</v>
      </c>
      <c r="B95" t="s">
        <v>1384</v>
      </c>
      <c r="C95" s="10">
        <v>97924</v>
      </c>
    </row>
    <row r="96" spans="1:3">
      <c r="A96">
        <v>178396</v>
      </c>
      <c r="B96" t="s">
        <v>153</v>
      </c>
      <c r="C96" s="10">
        <v>313183</v>
      </c>
    </row>
    <row r="97" spans="1:3">
      <c r="A97">
        <v>179566</v>
      </c>
      <c r="B97" t="s">
        <v>1385</v>
      </c>
      <c r="C97">
        <v>759879</v>
      </c>
    </row>
    <row r="98" spans="1:3">
      <c r="A98">
        <v>180489</v>
      </c>
      <c r="B98" t="s">
        <v>156</v>
      </c>
      <c r="C98">
        <v>308432</v>
      </c>
    </row>
    <row r="99" spans="1:3">
      <c r="A99">
        <v>180461</v>
      </c>
      <c r="B99" t="s">
        <v>1386</v>
      </c>
      <c r="C99">
        <v>701372</v>
      </c>
    </row>
    <row r="100" spans="1:3">
      <c r="A100">
        <v>157386</v>
      </c>
      <c r="B100" t="s">
        <v>1387</v>
      </c>
      <c r="C100">
        <v>822148</v>
      </c>
    </row>
    <row r="101" spans="1:3">
      <c r="A101">
        <v>163453</v>
      </c>
      <c r="B101" t="s">
        <v>1388</v>
      </c>
      <c r="C101">
        <v>8100</v>
      </c>
    </row>
    <row r="102" spans="1:3">
      <c r="A102">
        <v>157401</v>
      </c>
      <c r="B102" t="s">
        <v>1389</v>
      </c>
      <c r="C102">
        <v>15887</v>
      </c>
    </row>
    <row r="103" spans="1:3">
      <c r="A103">
        <v>500000</v>
      </c>
      <c r="B103" t="s">
        <v>1289</v>
      </c>
      <c r="C103" s="9">
        <v>274360</v>
      </c>
    </row>
    <row r="104" spans="1:3">
      <c r="A104">
        <v>181464</v>
      </c>
      <c r="B104" t="s">
        <v>164</v>
      </c>
      <c r="C104" s="10">
        <v>4073412</v>
      </c>
    </row>
    <row r="105" spans="1:3">
      <c r="A105">
        <v>181394</v>
      </c>
      <c r="B105" t="s">
        <v>1390</v>
      </c>
      <c r="C105">
        <v>740786</v>
      </c>
    </row>
    <row r="106" spans="1:3">
      <c r="A106">
        <v>182290</v>
      </c>
      <c r="B106" t="s">
        <v>165</v>
      </c>
      <c r="C106" s="8">
        <v>107320</v>
      </c>
    </row>
    <row r="107" spans="1:3">
      <c r="A107">
        <v>183044</v>
      </c>
      <c r="B107" t="s">
        <v>1290</v>
      </c>
      <c r="C107" s="19">
        <v>221898</v>
      </c>
    </row>
    <row r="108" spans="1:3">
      <c r="A108">
        <v>187985</v>
      </c>
      <c r="B108" t="s">
        <v>166</v>
      </c>
      <c r="C108" s="10">
        <v>138238</v>
      </c>
    </row>
    <row r="109" spans="1:3">
      <c r="A109">
        <v>187985</v>
      </c>
      <c r="B109" t="s">
        <v>166</v>
      </c>
      <c r="C109" s="8">
        <v>138238</v>
      </c>
    </row>
    <row r="110" spans="1:3">
      <c r="A110">
        <v>188030</v>
      </c>
      <c r="B110" t="s">
        <v>1391</v>
      </c>
      <c r="C110" s="10">
        <v>303978</v>
      </c>
    </row>
    <row r="111" spans="1:3">
      <c r="A111">
        <v>188030</v>
      </c>
      <c r="B111" t="s">
        <v>1391</v>
      </c>
      <c r="C111" s="8">
        <v>303978</v>
      </c>
    </row>
    <row r="112" spans="1:3">
      <c r="A112">
        <v>159939</v>
      </c>
      <c r="B112" t="s">
        <v>1291</v>
      </c>
      <c r="C112" s="19">
        <v>10300</v>
      </c>
    </row>
    <row r="113" spans="1:3">
      <c r="A113">
        <v>159966</v>
      </c>
      <c r="B113" t="s">
        <v>1392</v>
      </c>
      <c r="C113" s="19">
        <v>455776</v>
      </c>
    </row>
    <row r="114" spans="1:3">
      <c r="A114">
        <v>185828</v>
      </c>
      <c r="B114" t="s">
        <v>1292</v>
      </c>
      <c r="C114" s="19"/>
    </row>
    <row r="115" spans="1:3">
      <c r="A115">
        <v>199120</v>
      </c>
      <c r="B115" t="s">
        <v>171</v>
      </c>
      <c r="C115">
        <v>683750</v>
      </c>
    </row>
    <row r="116" spans="1:3">
      <c r="A116">
        <v>199102</v>
      </c>
      <c r="B116" t="s">
        <v>1394</v>
      </c>
      <c r="C116" s="19">
        <v>371074</v>
      </c>
    </row>
    <row r="117" spans="1:3">
      <c r="A117">
        <v>199157</v>
      </c>
      <c r="B117" t="s">
        <v>1396</v>
      </c>
      <c r="C117" s="19">
        <v>499</v>
      </c>
    </row>
    <row r="118" spans="1:3">
      <c r="A118">
        <v>199148</v>
      </c>
      <c r="B118" t="s">
        <v>1397</v>
      </c>
      <c r="C118" s="19"/>
    </row>
    <row r="119" spans="1:3">
      <c r="A119">
        <v>199193</v>
      </c>
      <c r="B119" t="s">
        <v>1398</v>
      </c>
      <c r="C119">
        <v>661431</v>
      </c>
    </row>
    <row r="120" spans="1:3">
      <c r="A120">
        <v>199218</v>
      </c>
      <c r="B120" t="s">
        <v>1399</v>
      </c>
      <c r="C120" s="19">
        <v>35932</v>
      </c>
    </row>
    <row r="121" spans="1:3">
      <c r="A121">
        <v>200280</v>
      </c>
      <c r="B121" t="s">
        <v>172</v>
      </c>
      <c r="C121" s="19">
        <v>165967</v>
      </c>
    </row>
    <row r="122" spans="1:3">
      <c r="A122">
        <v>200332</v>
      </c>
      <c r="B122" t="s">
        <v>1400</v>
      </c>
      <c r="C122" s="19">
        <v>370919</v>
      </c>
    </row>
    <row r="123" spans="1:3">
      <c r="A123">
        <v>136172</v>
      </c>
      <c r="B123" t="s">
        <v>174</v>
      </c>
      <c r="C123" s="19">
        <v>88129</v>
      </c>
    </row>
    <row r="124" spans="1:3">
      <c r="A124">
        <v>227216</v>
      </c>
      <c r="B124" t="s">
        <v>175</v>
      </c>
      <c r="C124" s="10">
        <v>412525</v>
      </c>
    </row>
    <row r="125" spans="1:3">
      <c r="A125">
        <v>227216</v>
      </c>
      <c r="B125" t="s">
        <v>175</v>
      </c>
      <c r="C125" s="8">
        <v>412525</v>
      </c>
    </row>
    <row r="126" spans="1:3">
      <c r="A126">
        <v>105330</v>
      </c>
      <c r="B126" t="s">
        <v>1401</v>
      </c>
      <c r="C126" s="19">
        <v>901547</v>
      </c>
    </row>
    <row r="127" spans="1:3">
      <c r="A127">
        <v>127741</v>
      </c>
      <c r="B127" t="s">
        <v>1402</v>
      </c>
      <c r="C127" s="8">
        <v>912739</v>
      </c>
    </row>
    <row r="128" spans="1:3">
      <c r="A128">
        <v>147703</v>
      </c>
      <c r="B128" t="s">
        <v>1444</v>
      </c>
      <c r="C128">
        <v>148410</v>
      </c>
    </row>
    <row r="129" spans="1:3">
      <c r="A129">
        <v>154095</v>
      </c>
      <c r="B129" t="s">
        <v>1403</v>
      </c>
      <c r="C129" s="19">
        <v>608344</v>
      </c>
    </row>
    <row r="130" spans="1:3">
      <c r="A130">
        <v>160038</v>
      </c>
      <c r="B130" t="s">
        <v>1404</v>
      </c>
      <c r="C130" s="19">
        <v>415830</v>
      </c>
    </row>
    <row r="131" spans="1:3">
      <c r="A131">
        <v>160038</v>
      </c>
      <c r="B131" t="s">
        <v>1404</v>
      </c>
      <c r="C131" s="8">
        <v>415830</v>
      </c>
    </row>
    <row r="132" spans="1:3">
      <c r="A132">
        <v>171571</v>
      </c>
      <c r="B132" t="s">
        <v>182</v>
      </c>
      <c r="C132" s="8">
        <v>550557</v>
      </c>
    </row>
    <row r="133" spans="1:3">
      <c r="A133">
        <v>204857</v>
      </c>
      <c r="B133" t="s">
        <v>183</v>
      </c>
      <c r="C133" s="10">
        <v>1142209</v>
      </c>
    </row>
    <row r="134" spans="1:3">
      <c r="A134">
        <v>204796</v>
      </c>
      <c r="B134" t="s">
        <v>1405</v>
      </c>
      <c r="C134" s="10">
        <v>309593</v>
      </c>
    </row>
    <row r="135" spans="1:3">
      <c r="A135">
        <v>207500</v>
      </c>
      <c r="B135" t="s">
        <v>185</v>
      </c>
      <c r="C135" s="10">
        <v>177964</v>
      </c>
    </row>
    <row r="136" spans="1:3">
      <c r="A136">
        <v>209551</v>
      </c>
      <c r="B136" t="s">
        <v>189</v>
      </c>
      <c r="C136">
        <v>467269</v>
      </c>
    </row>
    <row r="137" spans="1:3">
      <c r="A137">
        <v>209542</v>
      </c>
      <c r="B137" t="s">
        <v>1406</v>
      </c>
      <c r="C137">
        <v>317767</v>
      </c>
    </row>
    <row r="138" spans="1:3">
      <c r="A138">
        <v>209542</v>
      </c>
      <c r="B138" t="s">
        <v>1406</v>
      </c>
      <c r="C138" s="8">
        <v>317767</v>
      </c>
    </row>
    <row r="139" spans="1:3">
      <c r="A139">
        <v>214777</v>
      </c>
      <c r="B139" t="s">
        <v>1407</v>
      </c>
      <c r="C139">
        <v>1088627</v>
      </c>
    </row>
    <row r="140" spans="1:3">
      <c r="A140">
        <v>209807</v>
      </c>
      <c r="B140" t="s">
        <v>1408</v>
      </c>
      <c r="C140" s="19">
        <v>225287</v>
      </c>
    </row>
    <row r="141" spans="1:3">
      <c r="A141">
        <v>227526</v>
      </c>
      <c r="B141" t="s">
        <v>1409</v>
      </c>
      <c r="C141" s="19">
        <v>374155</v>
      </c>
    </row>
    <row r="142" spans="1:3">
      <c r="A142">
        <v>243780</v>
      </c>
      <c r="B142" t="s">
        <v>200</v>
      </c>
      <c r="C142">
        <v>556659</v>
      </c>
    </row>
    <row r="143" spans="1:3">
      <c r="A143">
        <v>233277</v>
      </c>
      <c r="B143" t="s">
        <v>203</v>
      </c>
      <c r="C143" s="9">
        <v>4084</v>
      </c>
    </row>
    <row r="144" spans="1:3">
      <c r="A144">
        <v>217484</v>
      </c>
      <c r="B144" t="s">
        <v>204</v>
      </c>
      <c r="C144" s="19">
        <v>810403</v>
      </c>
    </row>
    <row r="145" spans="1:3">
      <c r="A145">
        <v>186380</v>
      </c>
      <c r="B145" t="s">
        <v>207</v>
      </c>
    </row>
    <row r="146" spans="1:3">
      <c r="A146">
        <v>110617</v>
      </c>
      <c r="B146" t="s">
        <v>1410</v>
      </c>
      <c r="C146" s="8">
        <v>346976</v>
      </c>
    </row>
    <row r="147" spans="1:3" ht="16" thickBot="1">
      <c r="A147">
        <v>227881</v>
      </c>
      <c r="B147" t="s">
        <v>1411</v>
      </c>
      <c r="C147" s="20">
        <v>23236</v>
      </c>
    </row>
    <row r="148" spans="1:3" ht="16" thickBot="1">
      <c r="A148">
        <v>122409</v>
      </c>
      <c r="B148" t="s">
        <v>1412</v>
      </c>
      <c r="C148" s="15">
        <v>943696</v>
      </c>
    </row>
    <row r="149" spans="1:3" ht="16" thickBot="1">
      <c r="A149">
        <v>122409</v>
      </c>
      <c r="B149" t="s">
        <v>1412</v>
      </c>
      <c r="C149" s="18">
        <v>943696</v>
      </c>
    </row>
    <row r="150" spans="1:3" ht="16" thickBot="1">
      <c r="A150">
        <v>122755</v>
      </c>
      <c r="B150" t="s">
        <v>1413</v>
      </c>
      <c r="C150" s="15">
        <v>37041</v>
      </c>
    </row>
    <row r="151" spans="1:3" ht="16" thickBot="1">
      <c r="A151">
        <v>140960</v>
      </c>
      <c r="B151" t="s">
        <v>1414</v>
      </c>
      <c r="C151" s="20">
        <v>163104</v>
      </c>
    </row>
    <row r="152" spans="1:3" ht="16" thickBot="1">
      <c r="A152">
        <v>218663</v>
      </c>
      <c r="B152" t="s">
        <v>227</v>
      </c>
      <c r="C152" s="15">
        <v>131737</v>
      </c>
    </row>
    <row r="153" spans="1:3" ht="16" thickBot="1">
      <c r="A153">
        <v>218663</v>
      </c>
      <c r="B153" t="s">
        <v>227</v>
      </c>
      <c r="C153" s="18">
        <v>131737</v>
      </c>
    </row>
    <row r="154" spans="1:3" ht="16" thickBot="1">
      <c r="A154">
        <v>218742</v>
      </c>
      <c r="B154" t="s">
        <v>1415</v>
      </c>
      <c r="C154" s="20">
        <v>364530</v>
      </c>
    </row>
    <row r="155" spans="1:3" ht="16" thickBot="1">
      <c r="A155">
        <v>219471</v>
      </c>
      <c r="B155" t="s">
        <v>229</v>
      </c>
      <c r="C155" s="15">
        <v>313427</v>
      </c>
    </row>
    <row r="156" spans="1:3" ht="16" thickBot="1">
      <c r="A156">
        <v>219356</v>
      </c>
      <c r="B156" t="s">
        <v>1416</v>
      </c>
      <c r="C156" s="15">
        <v>14019</v>
      </c>
    </row>
    <row r="157" spans="1:3" ht="16" thickBot="1">
      <c r="A157">
        <v>137351</v>
      </c>
      <c r="B157" t="s">
        <v>1417</v>
      </c>
      <c r="C157" s="15">
        <v>129889</v>
      </c>
    </row>
    <row r="158" spans="1:3" ht="16" thickBot="1">
      <c r="A158">
        <v>179557</v>
      </c>
      <c r="B158" t="s">
        <v>1418</v>
      </c>
      <c r="C158" s="15">
        <v>285026</v>
      </c>
    </row>
    <row r="159" spans="1:3" ht="16" thickBot="1">
      <c r="A159">
        <v>160621</v>
      </c>
      <c r="B159" t="s">
        <v>1419</v>
      </c>
      <c r="C159" s="15"/>
    </row>
    <row r="160" spans="1:3">
      <c r="A160">
        <v>149222</v>
      </c>
      <c r="B160" t="s">
        <v>1420</v>
      </c>
      <c r="C160">
        <v>193491</v>
      </c>
    </row>
    <row r="161" spans="1:3">
      <c r="A161">
        <v>149231</v>
      </c>
      <c r="B161" t="s">
        <v>1421</v>
      </c>
      <c r="C161">
        <v>444097</v>
      </c>
    </row>
    <row r="162" spans="1:3">
      <c r="A162">
        <v>176372</v>
      </c>
      <c r="B162" t="s">
        <v>1422</v>
      </c>
      <c r="C162">
        <v>41410</v>
      </c>
    </row>
    <row r="163" spans="1:3">
      <c r="A163">
        <v>230603</v>
      </c>
      <c r="B163" t="s">
        <v>237</v>
      </c>
      <c r="C163">
        <v>532910</v>
      </c>
    </row>
    <row r="164" spans="1:3">
      <c r="A164">
        <v>228431</v>
      </c>
      <c r="B164" t="s">
        <v>1423</v>
      </c>
      <c r="C164">
        <v>543747</v>
      </c>
    </row>
    <row r="165" spans="1:3">
      <c r="A165">
        <v>196097</v>
      </c>
      <c r="B165" t="s">
        <v>242</v>
      </c>
      <c r="C165">
        <v>526932</v>
      </c>
    </row>
    <row r="166" spans="1:3">
      <c r="A166">
        <v>221759</v>
      </c>
      <c r="B166" t="s">
        <v>244</v>
      </c>
      <c r="C166">
        <v>193598</v>
      </c>
    </row>
    <row r="167" spans="1:3">
      <c r="A167">
        <v>221740</v>
      </c>
      <c r="B167" t="s">
        <v>1424</v>
      </c>
      <c r="C167" s="8">
        <v>657507</v>
      </c>
    </row>
    <row r="168" spans="1:3">
      <c r="A168">
        <v>221847</v>
      </c>
      <c r="B168" t="s">
        <v>246</v>
      </c>
      <c r="C168">
        <v>8515</v>
      </c>
    </row>
    <row r="169" spans="1:3">
      <c r="A169">
        <v>228778</v>
      </c>
      <c r="B169" t="s">
        <v>247</v>
      </c>
      <c r="C169">
        <v>3310449</v>
      </c>
    </row>
    <row r="170" spans="1:3">
      <c r="A170">
        <v>228723</v>
      </c>
      <c r="B170" t="s">
        <v>248</v>
      </c>
      <c r="C170">
        <v>662938</v>
      </c>
    </row>
    <row r="171" spans="1:3">
      <c r="A171">
        <v>224147</v>
      </c>
      <c r="B171" t="s">
        <v>1426</v>
      </c>
      <c r="C171">
        <v>565073</v>
      </c>
    </row>
    <row r="172" spans="1:3">
      <c r="A172">
        <v>228769</v>
      </c>
      <c r="B172" t="s">
        <v>1427</v>
      </c>
      <c r="C172">
        <v>56615</v>
      </c>
    </row>
    <row r="173" spans="1:3">
      <c r="A173">
        <v>229063</v>
      </c>
      <c r="B173" t="s">
        <v>249</v>
      </c>
      <c r="C173">
        <v>255413</v>
      </c>
    </row>
    <row r="174" spans="1:3">
      <c r="A174">
        <v>228459</v>
      </c>
      <c r="B174" t="s">
        <v>1428</v>
      </c>
      <c r="C174">
        <v>67254</v>
      </c>
    </row>
    <row r="175" spans="1:3">
      <c r="A175">
        <v>229115</v>
      </c>
      <c r="B175" t="s">
        <v>251</v>
      </c>
      <c r="C175">
        <v>176132</v>
      </c>
    </row>
    <row r="176" spans="1:3">
      <c r="A176">
        <v>229115</v>
      </c>
      <c r="B176" t="s">
        <v>251</v>
      </c>
      <c r="C176" s="8">
        <v>176132</v>
      </c>
    </row>
    <row r="177" spans="1:3">
      <c r="A177">
        <v>206084</v>
      </c>
      <c r="B177" t="s">
        <v>252</v>
      </c>
      <c r="C177">
        <v>27073</v>
      </c>
    </row>
    <row r="178" spans="1:3">
      <c r="A178">
        <v>164076</v>
      </c>
      <c r="B178" t="s">
        <v>253</v>
      </c>
      <c r="C178">
        <v>154679</v>
      </c>
    </row>
    <row r="179" spans="1:3">
      <c r="A179">
        <v>100663</v>
      </c>
      <c r="B179" t="s">
        <v>256</v>
      </c>
      <c r="C179">
        <v>982131</v>
      </c>
    </row>
    <row r="180" spans="1:3">
      <c r="A180">
        <v>110644</v>
      </c>
      <c r="B180" t="s">
        <v>257</v>
      </c>
      <c r="C180">
        <v>458826</v>
      </c>
    </row>
    <row r="181" spans="1:3">
      <c r="A181">
        <v>110653</v>
      </c>
      <c r="B181" t="s">
        <v>1310</v>
      </c>
      <c r="C181">
        <v>63710</v>
      </c>
    </row>
    <row r="182" spans="1:3">
      <c r="A182">
        <v>110671</v>
      </c>
      <c r="B182" t="s">
        <v>258</v>
      </c>
      <c r="C182">
        <v>1051822</v>
      </c>
    </row>
    <row r="183" spans="1:3">
      <c r="A183">
        <v>110705</v>
      </c>
      <c r="B183" t="s">
        <v>259</v>
      </c>
      <c r="C183">
        <v>802263</v>
      </c>
    </row>
    <row r="184" spans="1:3">
      <c r="A184">
        <v>132903</v>
      </c>
      <c r="B184" t="s">
        <v>260</v>
      </c>
      <c r="C184">
        <v>429215</v>
      </c>
    </row>
    <row r="185" spans="1:3">
      <c r="A185">
        <v>110662</v>
      </c>
      <c r="B185" t="s">
        <v>261</v>
      </c>
      <c r="C185">
        <v>488049</v>
      </c>
    </row>
    <row r="186" spans="1:3">
      <c r="A186">
        <v>163268</v>
      </c>
      <c r="B186" t="s">
        <v>265</v>
      </c>
      <c r="C186">
        <v>130998</v>
      </c>
    </row>
    <row r="187" spans="1:3">
      <c r="A187">
        <v>178402</v>
      </c>
      <c r="B187" t="s">
        <v>267</v>
      </c>
      <c r="C187" s="19">
        <v>728208</v>
      </c>
    </row>
    <row r="188" spans="1:3">
      <c r="A188">
        <v>182281</v>
      </c>
      <c r="B188" t="s">
        <v>271</v>
      </c>
      <c r="C188">
        <v>80937</v>
      </c>
    </row>
    <row r="189" spans="1:3">
      <c r="A189">
        <v>230764</v>
      </c>
      <c r="B189" t="s">
        <v>275</v>
      </c>
      <c r="C189">
        <v>253737</v>
      </c>
    </row>
    <row r="190" spans="1:3">
      <c r="A190">
        <v>230728</v>
      </c>
      <c r="B190" t="s">
        <v>1429</v>
      </c>
      <c r="C190">
        <v>339846</v>
      </c>
    </row>
    <row r="191" spans="1:3">
      <c r="A191">
        <v>230737</v>
      </c>
      <c r="B191" t="s">
        <v>277</v>
      </c>
      <c r="C191">
        <v>8000</v>
      </c>
    </row>
    <row r="192" spans="1:3">
      <c r="A192">
        <v>228796</v>
      </c>
      <c r="B192" t="s">
        <v>278</v>
      </c>
      <c r="C192">
        <v>1413939</v>
      </c>
    </row>
    <row r="193" spans="1:3">
      <c r="A193">
        <v>227368</v>
      </c>
      <c r="B193" t="s">
        <v>1312</v>
      </c>
      <c r="C193">
        <v>95486</v>
      </c>
    </row>
    <row r="194" spans="1:3">
      <c r="A194">
        <v>229027</v>
      </c>
      <c r="B194" t="s">
        <v>279</v>
      </c>
      <c r="C194">
        <v>166715</v>
      </c>
    </row>
    <row r="195" spans="1:3">
      <c r="A195">
        <v>234030</v>
      </c>
      <c r="B195" t="s">
        <v>1314</v>
      </c>
      <c r="C195" s="9">
        <v>6733</v>
      </c>
    </row>
    <row r="196" spans="1:3">
      <c r="A196">
        <v>234076</v>
      </c>
      <c r="B196" t="s">
        <v>282</v>
      </c>
      <c r="C196">
        <v>809866</v>
      </c>
    </row>
    <row r="197" spans="1:3">
      <c r="A197">
        <v>233921</v>
      </c>
      <c r="B197" t="s">
        <v>283</v>
      </c>
      <c r="C197">
        <v>684468</v>
      </c>
    </row>
    <row r="198" spans="1:3">
      <c r="A198">
        <v>236948</v>
      </c>
      <c r="B198" t="s">
        <v>284</v>
      </c>
      <c r="C198">
        <v>794462</v>
      </c>
    </row>
    <row r="199" spans="1:3">
      <c r="A199">
        <v>236939</v>
      </c>
      <c r="B199" t="s">
        <v>1430</v>
      </c>
      <c r="C199">
        <v>873893</v>
      </c>
    </row>
    <row r="200" spans="1:3">
      <c r="A200">
        <v>230782</v>
      </c>
      <c r="B200" t="s">
        <v>1431</v>
      </c>
      <c r="C200">
        <v>348328</v>
      </c>
    </row>
    <row r="201" spans="1:3">
      <c r="A201">
        <v>238032</v>
      </c>
      <c r="B201" t="s">
        <v>1319</v>
      </c>
      <c r="C201">
        <v>322708</v>
      </c>
    </row>
    <row r="202" spans="1:3">
      <c r="A202">
        <v>200004</v>
      </c>
      <c r="B202" t="s">
        <v>1432</v>
      </c>
      <c r="C202">
        <v>36867</v>
      </c>
    </row>
    <row r="203" spans="1:3">
      <c r="A203">
        <v>149772</v>
      </c>
      <c r="B203" t="s">
        <v>1433</v>
      </c>
      <c r="C203">
        <v>306234</v>
      </c>
    </row>
    <row r="204" spans="1:3">
      <c r="A204">
        <v>157951</v>
      </c>
      <c r="B204" t="s">
        <v>1434</v>
      </c>
      <c r="C204">
        <v>966428</v>
      </c>
    </row>
    <row r="205" spans="1:3">
      <c r="A205">
        <v>172699</v>
      </c>
      <c r="B205" t="s">
        <v>1435</v>
      </c>
      <c r="C205">
        <v>201232</v>
      </c>
    </row>
    <row r="206" spans="1:3">
      <c r="A206">
        <v>156125</v>
      </c>
      <c r="B206" t="s">
        <v>1436</v>
      </c>
      <c r="C206">
        <v>504645</v>
      </c>
    </row>
    <row r="207" spans="1:3">
      <c r="A207">
        <v>231624</v>
      </c>
      <c r="B207" t="s">
        <v>1320</v>
      </c>
      <c r="C207">
        <v>190617</v>
      </c>
    </row>
    <row r="208" spans="1:3">
      <c r="A208">
        <v>218964</v>
      </c>
      <c r="B208" t="s">
        <v>291</v>
      </c>
      <c r="C208">
        <v>208742</v>
      </c>
    </row>
    <row r="209" spans="1:3">
      <c r="A209">
        <v>240444</v>
      </c>
      <c r="B209" t="s">
        <v>292</v>
      </c>
      <c r="C209">
        <v>1523112</v>
      </c>
    </row>
    <row r="210" spans="1:3">
      <c r="A210">
        <v>240277</v>
      </c>
      <c r="B210" t="s">
        <v>1437</v>
      </c>
      <c r="C210">
        <v>245865</v>
      </c>
    </row>
    <row r="211" spans="1:3">
      <c r="A211">
        <v>240453</v>
      </c>
      <c r="B211" t="s">
        <v>1438</v>
      </c>
      <c r="C211">
        <v>295278</v>
      </c>
    </row>
    <row r="212" spans="1:3">
      <c r="A212">
        <v>206604</v>
      </c>
      <c r="B212" t="s">
        <v>1439</v>
      </c>
    </row>
    <row r="213" spans="1:3">
      <c r="A213">
        <v>240727</v>
      </c>
      <c r="B213" t="s">
        <v>1322</v>
      </c>
      <c r="C213">
        <v>830924</v>
      </c>
    </row>
    <row r="214" spans="1:3">
      <c r="A214">
        <v>206695</v>
      </c>
      <c r="B214" t="s">
        <v>1440</v>
      </c>
      <c r="C214">
        <v>116847</v>
      </c>
    </row>
    <row r="220" spans="1:3">
      <c r="C220" s="10"/>
    </row>
    <row r="222" spans="1:3">
      <c r="C222" s="3"/>
    </row>
    <row r="224" spans="1:3">
      <c r="C224" s="8"/>
    </row>
    <row r="229" spans="3:3" ht="16" thickBot="1">
      <c r="C229" s="15"/>
    </row>
    <row r="230" spans="3:3" ht="16" thickBot="1">
      <c r="C230" s="17"/>
    </row>
    <row r="231" spans="3:3" ht="16" thickBot="1">
      <c r="C231" s="15"/>
    </row>
    <row r="232" spans="3:3" ht="16" thickBot="1">
      <c r="C232" s="15"/>
    </row>
    <row r="233" spans="3:3" ht="16" thickBot="1">
      <c r="C233" s="21"/>
    </row>
    <row r="234" spans="3:3" ht="16" thickBot="1">
      <c r="C234" s="15"/>
    </row>
    <row r="235" spans="3:3" ht="16" thickBot="1">
      <c r="C235" s="15"/>
    </row>
    <row r="236" spans="3:3" ht="16" thickBot="1">
      <c r="C236" s="15"/>
    </row>
    <row r="237" spans="3:3" ht="16" thickBot="1">
      <c r="C237" s="15"/>
    </row>
    <row r="238" spans="3:3" ht="16" thickBot="1">
      <c r="C238" s="15"/>
    </row>
    <row r="240" spans="3:3" ht="16" thickBot="1">
      <c r="C240" s="21"/>
    </row>
    <row r="241" spans="3:3" ht="16" thickBot="1">
      <c r="C241" s="15"/>
    </row>
    <row r="242" spans="3:3" ht="16" thickBot="1">
      <c r="C242" s="15"/>
    </row>
    <row r="243" spans="3:3" ht="16" thickBot="1">
      <c r="C243" s="15"/>
    </row>
    <row r="244" spans="3:3" ht="16" thickBot="1">
      <c r="C244" s="22"/>
    </row>
    <row r="245" spans="3:3" ht="16" thickBot="1">
      <c r="C245" s="22"/>
    </row>
    <row r="246" spans="3:3" ht="16" thickBot="1">
      <c r="C246" s="22"/>
    </row>
    <row r="247" spans="3:3" ht="16" thickBot="1">
      <c r="C247" s="22"/>
    </row>
    <row r="248" spans="3:3" ht="16" thickBot="1">
      <c r="C248" s="22"/>
    </row>
    <row r="249" spans="3:3" ht="16" thickBot="1">
      <c r="C249" s="15"/>
    </row>
    <row r="250" spans="3:3" ht="16" thickBot="1">
      <c r="C250" s="15"/>
    </row>
    <row r="251" spans="3:3" ht="16" thickBot="1">
      <c r="C251" s="22"/>
    </row>
    <row r="252" spans="3:3" ht="16" thickBot="1">
      <c r="C252" s="22"/>
    </row>
    <row r="253" spans="3:3">
      <c r="C253" s="3"/>
    </row>
    <row r="254" spans="3:3" ht="16" thickBot="1">
      <c r="C254" s="22"/>
    </row>
    <row r="255" spans="3:3" ht="16" thickBot="1">
      <c r="C255" s="15"/>
    </row>
    <row r="256" spans="3:3" ht="16" thickBot="1">
      <c r="C256" s="15"/>
    </row>
    <row r="257" spans="3:3" ht="16" thickBot="1">
      <c r="C257" s="20"/>
    </row>
    <row r="258" spans="3:3" ht="16" thickBot="1">
      <c r="C258" s="16"/>
    </row>
    <row r="259" spans="3:3" ht="16" thickBot="1">
      <c r="C259" s="15"/>
    </row>
    <row r="260" spans="3:3" ht="16" thickBot="1">
      <c r="C260" s="20"/>
    </row>
    <row r="261" spans="3:3" ht="16" thickBot="1">
      <c r="C261" s="22"/>
    </row>
    <row r="262" spans="3:3" ht="16" thickBot="1">
      <c r="C262" s="22"/>
    </row>
    <row r="263" spans="3:3" ht="16" thickBot="1">
      <c r="C263" s="22"/>
    </row>
    <row r="264" spans="3:3" ht="16" thickBot="1">
      <c r="C264" s="15"/>
    </row>
    <row r="265" spans="3:3" ht="16" thickBot="1">
      <c r="C265" s="15"/>
    </row>
    <row r="266" spans="3:3" ht="16" thickBot="1">
      <c r="C266" s="15"/>
    </row>
    <row r="267" spans="3:3" ht="16" thickBot="1">
      <c r="C267" s="16"/>
    </row>
    <row r="273" spans="3:3">
      <c r="C273" s="11"/>
    </row>
    <row r="277" spans="3:3">
      <c r="C27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E241-0AF6-45BD-BAF2-549210CAE810}">
  <dimension ref="A1:C269"/>
  <sheetViews>
    <sheetView workbookViewId="0"/>
  </sheetViews>
  <sheetFormatPr baseColWidth="10" defaultColWidth="8.83203125" defaultRowHeight="15"/>
  <cols>
    <col min="1" max="1" width="6.83203125" bestFit="1" customWidth="1"/>
    <col min="2" max="2" width="24.33203125" bestFit="1" customWidth="1"/>
    <col min="3" max="3" width="13.1640625" bestFit="1" customWidth="1"/>
  </cols>
  <sheetData>
    <row r="1" spans="1:3">
      <c r="A1" t="s">
        <v>1</v>
      </c>
      <c r="B1" t="s">
        <v>0</v>
      </c>
      <c r="C1" t="s">
        <v>1324</v>
      </c>
    </row>
    <row r="2" spans="1:3">
      <c r="A2">
        <v>200800</v>
      </c>
      <c r="B2" t="s">
        <v>6</v>
      </c>
      <c r="C2">
        <v>41564</v>
      </c>
    </row>
    <row r="3" spans="1:3">
      <c r="A3">
        <v>100751</v>
      </c>
      <c r="B3" t="s">
        <v>7</v>
      </c>
      <c r="C3">
        <v>627654</v>
      </c>
    </row>
    <row r="4" spans="1:3">
      <c r="A4">
        <v>100724</v>
      </c>
      <c r="B4" t="s">
        <v>1329</v>
      </c>
      <c r="C4">
        <v>21370</v>
      </c>
    </row>
    <row r="5" spans="1:3">
      <c r="A5">
        <v>196060</v>
      </c>
      <c r="B5" t="s">
        <v>1330</v>
      </c>
      <c r="C5">
        <v>155156</v>
      </c>
    </row>
    <row r="6" spans="1:3">
      <c r="A6">
        <v>175342</v>
      </c>
      <c r="B6" t="s">
        <v>1331</v>
      </c>
    </row>
    <row r="7" spans="1:3">
      <c r="A7">
        <v>197869</v>
      </c>
      <c r="B7" t="s">
        <v>1332</v>
      </c>
      <c r="C7">
        <v>22400</v>
      </c>
    </row>
    <row r="8" spans="1:3">
      <c r="A8">
        <v>104179</v>
      </c>
      <c r="B8" t="s">
        <v>13</v>
      </c>
      <c r="C8">
        <v>451431</v>
      </c>
    </row>
    <row r="9" spans="1:3">
      <c r="A9">
        <v>104151</v>
      </c>
      <c r="B9" t="s">
        <v>1333</v>
      </c>
      <c r="C9">
        <v>146802</v>
      </c>
    </row>
    <row r="10" spans="1:3">
      <c r="A10">
        <v>106397</v>
      </c>
      <c r="B10" t="s">
        <v>16</v>
      </c>
      <c r="C10">
        <v>206965</v>
      </c>
    </row>
    <row r="11" spans="1:3">
      <c r="A11">
        <v>106245</v>
      </c>
      <c r="B11" t="s">
        <v>1334</v>
      </c>
      <c r="C11">
        <v>62579</v>
      </c>
    </row>
    <row r="12" spans="1:3">
      <c r="A12">
        <v>106412</v>
      </c>
      <c r="B12" t="s">
        <v>1335</v>
      </c>
      <c r="C12">
        <v>0</v>
      </c>
    </row>
    <row r="13" spans="1:3">
      <c r="A13">
        <v>106458</v>
      </c>
      <c r="B13" t="s">
        <v>1336</v>
      </c>
      <c r="C13">
        <v>388553</v>
      </c>
    </row>
    <row r="14" spans="1:3">
      <c r="A14">
        <v>100858</v>
      </c>
      <c r="B14" t="s">
        <v>18</v>
      </c>
      <c r="C14">
        <v>4599</v>
      </c>
    </row>
    <row r="15" spans="1:3">
      <c r="A15">
        <v>219602</v>
      </c>
      <c r="B15" t="s">
        <v>1337</v>
      </c>
      <c r="C15">
        <v>8217</v>
      </c>
    </row>
    <row r="16" spans="1:3">
      <c r="A16">
        <v>150136</v>
      </c>
      <c r="B16" t="s">
        <v>1338</v>
      </c>
      <c r="C16">
        <v>102331</v>
      </c>
    </row>
    <row r="17" spans="1:3">
      <c r="A17">
        <v>196079</v>
      </c>
      <c r="B17" t="s">
        <v>24</v>
      </c>
      <c r="C17">
        <v>558956</v>
      </c>
    </row>
    <row r="18" spans="1:3">
      <c r="A18">
        <v>142115</v>
      </c>
      <c r="B18" t="s">
        <v>1339</v>
      </c>
      <c r="C18">
        <v>412975</v>
      </c>
    </row>
    <row r="19" spans="1:3">
      <c r="A19">
        <v>201441</v>
      </c>
      <c r="B19" t="s">
        <v>28</v>
      </c>
      <c r="C19">
        <v>94957</v>
      </c>
    </row>
    <row r="20" spans="1:3">
      <c r="A20">
        <v>196088</v>
      </c>
      <c r="B20" t="s">
        <v>33</v>
      </c>
      <c r="C20">
        <v>781367</v>
      </c>
    </row>
    <row r="21" spans="1:3">
      <c r="A21">
        <v>110422</v>
      </c>
      <c r="B21" t="s">
        <v>36</v>
      </c>
      <c r="C21" s="8">
        <v>97042</v>
      </c>
    </row>
    <row r="22" spans="1:3">
      <c r="A22">
        <v>110486</v>
      </c>
      <c r="B22" t="s">
        <v>1340</v>
      </c>
      <c r="C22" s="9">
        <v>37218</v>
      </c>
    </row>
    <row r="23" spans="1:3">
      <c r="A23">
        <v>110565</v>
      </c>
      <c r="B23" t="s">
        <v>1341</v>
      </c>
      <c r="C23" s="8">
        <v>579557</v>
      </c>
    </row>
    <row r="24" spans="1:3">
      <c r="A24">
        <v>110608</v>
      </c>
      <c r="B24" t="s">
        <v>1342</v>
      </c>
      <c r="C24" s="9">
        <v>31336</v>
      </c>
    </row>
    <row r="25" spans="1:3">
      <c r="A25">
        <v>110635</v>
      </c>
      <c r="B25" t="s">
        <v>38</v>
      </c>
      <c r="C25">
        <v>898719</v>
      </c>
    </row>
    <row r="26" spans="1:3">
      <c r="A26">
        <v>106704</v>
      </c>
      <c r="B26" t="s">
        <v>1343</v>
      </c>
      <c r="C26">
        <v>424391</v>
      </c>
    </row>
    <row r="27" spans="1:3">
      <c r="A27">
        <v>128771</v>
      </c>
      <c r="B27" t="s">
        <v>1344</v>
      </c>
      <c r="C27" s="8">
        <v>588924</v>
      </c>
    </row>
    <row r="28" spans="1:3">
      <c r="A28">
        <v>169248</v>
      </c>
      <c r="B28" t="s">
        <v>1345</v>
      </c>
      <c r="C28">
        <v>87739</v>
      </c>
    </row>
    <row r="29" spans="1:3">
      <c r="A29">
        <v>199139</v>
      </c>
      <c r="B29" t="s">
        <v>45</v>
      </c>
      <c r="C29">
        <v>623170</v>
      </c>
    </row>
    <row r="30" spans="1:3">
      <c r="A30">
        <v>144005</v>
      </c>
      <c r="B30" t="s">
        <v>1346</v>
      </c>
      <c r="C30" s="9">
        <v>101127</v>
      </c>
    </row>
    <row r="31" spans="1:3">
      <c r="A31">
        <v>201885</v>
      </c>
      <c r="B31" t="s">
        <v>1269</v>
      </c>
      <c r="C31">
        <v>12276</v>
      </c>
    </row>
    <row r="32" spans="1:3">
      <c r="A32">
        <v>217864</v>
      </c>
      <c r="B32" t="s">
        <v>1307</v>
      </c>
      <c r="C32">
        <v>489227</v>
      </c>
    </row>
    <row r="33" spans="1:3">
      <c r="A33">
        <v>217882</v>
      </c>
      <c r="B33" t="s">
        <v>47</v>
      </c>
      <c r="C33">
        <v>673850</v>
      </c>
    </row>
    <row r="34" spans="1:3">
      <c r="A34">
        <v>202134</v>
      </c>
      <c r="B34" t="s">
        <v>1347</v>
      </c>
      <c r="C34" s="9">
        <v>535786</v>
      </c>
    </row>
    <row r="35" spans="1:3">
      <c r="A35">
        <v>217819</v>
      </c>
      <c r="B35" t="s">
        <v>1348</v>
      </c>
      <c r="C35">
        <v>49200</v>
      </c>
    </row>
    <row r="36" spans="1:3">
      <c r="A36">
        <v>126614</v>
      </c>
      <c r="B36" t="s">
        <v>1270</v>
      </c>
      <c r="C36">
        <v>270024</v>
      </c>
    </row>
    <row r="37" spans="1:3">
      <c r="A37">
        <v>126818</v>
      </c>
      <c r="B37" t="s">
        <v>1349</v>
      </c>
      <c r="C37">
        <v>701863</v>
      </c>
    </row>
    <row r="38" spans="1:3">
      <c r="A38">
        <v>129020</v>
      </c>
      <c r="B38" t="s">
        <v>1350</v>
      </c>
      <c r="C38">
        <v>13114</v>
      </c>
    </row>
    <row r="39" spans="1:3">
      <c r="A39">
        <v>162283</v>
      </c>
      <c r="B39" t="s">
        <v>1351</v>
      </c>
      <c r="C39" s="9">
        <v>51375</v>
      </c>
    </row>
    <row r="40" spans="1:3">
      <c r="A40">
        <v>198464</v>
      </c>
      <c r="B40" t="s">
        <v>68</v>
      </c>
      <c r="C40">
        <v>23504</v>
      </c>
    </row>
    <row r="41" spans="1:3">
      <c r="A41">
        <v>220075</v>
      </c>
      <c r="B41" t="s">
        <v>1352</v>
      </c>
      <c r="C41">
        <v>35836</v>
      </c>
    </row>
    <row r="42" spans="1:3">
      <c r="A42">
        <v>144892</v>
      </c>
      <c r="B42" t="s">
        <v>1353</v>
      </c>
      <c r="C42">
        <v>376462</v>
      </c>
    </row>
    <row r="43" spans="1:3">
      <c r="A43">
        <v>156620</v>
      </c>
      <c r="B43" t="s">
        <v>1354</v>
      </c>
      <c r="C43">
        <v>554030</v>
      </c>
    </row>
    <row r="44" spans="1:3">
      <c r="A44">
        <v>169798</v>
      </c>
      <c r="B44" t="s">
        <v>1355</v>
      </c>
      <c r="C44">
        <v>785908</v>
      </c>
    </row>
    <row r="45" spans="1:3">
      <c r="A45">
        <v>235097</v>
      </c>
      <c r="B45" t="s">
        <v>1356</v>
      </c>
      <c r="C45">
        <v>661392</v>
      </c>
    </row>
    <row r="46" spans="1:3">
      <c r="A46">
        <v>134130</v>
      </c>
      <c r="B46" t="s">
        <v>79</v>
      </c>
      <c r="C46">
        <v>909025</v>
      </c>
    </row>
    <row r="47" spans="1:3">
      <c r="A47">
        <v>133669</v>
      </c>
      <c r="B47" t="s">
        <v>1357</v>
      </c>
      <c r="C47">
        <v>493599</v>
      </c>
    </row>
    <row r="48" spans="1:3">
      <c r="A48">
        <v>433660</v>
      </c>
      <c r="B48" t="s">
        <v>1358</v>
      </c>
      <c r="C48" s="8">
        <v>155847</v>
      </c>
    </row>
    <row r="49" spans="1:3">
      <c r="A49">
        <v>133951</v>
      </c>
      <c r="B49" t="s">
        <v>1359</v>
      </c>
      <c r="C49">
        <v>603932</v>
      </c>
    </row>
    <row r="50" spans="1:3">
      <c r="A50">
        <v>134097</v>
      </c>
      <c r="B50" t="s">
        <v>1360</v>
      </c>
      <c r="C50">
        <v>862999</v>
      </c>
    </row>
    <row r="51" spans="1:3">
      <c r="A51">
        <v>110556</v>
      </c>
      <c r="B51" t="s">
        <v>1361</v>
      </c>
      <c r="C51">
        <v>566431</v>
      </c>
    </row>
    <row r="52" spans="1:3">
      <c r="A52">
        <v>232186</v>
      </c>
      <c r="B52" t="s">
        <v>87</v>
      </c>
      <c r="C52">
        <v>8914</v>
      </c>
    </row>
    <row r="53" spans="1:3">
      <c r="A53">
        <v>139959</v>
      </c>
      <c r="B53" t="s">
        <v>90</v>
      </c>
      <c r="C53">
        <v>326560</v>
      </c>
    </row>
    <row r="54" spans="1:3">
      <c r="A54">
        <v>139931</v>
      </c>
      <c r="B54" t="s">
        <v>1362</v>
      </c>
      <c r="C54">
        <v>9917</v>
      </c>
    </row>
    <row r="55" spans="1:3">
      <c r="A55">
        <v>139940</v>
      </c>
      <c r="B55" t="s">
        <v>1363</v>
      </c>
      <c r="C55">
        <v>1270</v>
      </c>
    </row>
    <row r="56" spans="1:3">
      <c r="A56">
        <v>139755</v>
      </c>
      <c r="B56" t="s">
        <v>92</v>
      </c>
      <c r="C56" s="10">
        <v>286669</v>
      </c>
    </row>
    <row r="57" spans="1:3">
      <c r="A57">
        <v>159009</v>
      </c>
      <c r="B57" t="s">
        <v>1364</v>
      </c>
      <c r="C57" s="11"/>
    </row>
    <row r="58" spans="1:3">
      <c r="A58">
        <v>141574</v>
      </c>
      <c r="B58" t="s">
        <v>98</v>
      </c>
      <c r="C58" s="10">
        <v>1579035</v>
      </c>
    </row>
    <row r="59" spans="1:3">
      <c r="A59">
        <v>225511</v>
      </c>
      <c r="B59" t="s">
        <v>101</v>
      </c>
      <c r="C59" s="10">
        <v>22185</v>
      </c>
    </row>
    <row r="60" spans="1:3">
      <c r="A60">
        <v>142285</v>
      </c>
      <c r="B60" t="s">
        <v>1279</v>
      </c>
      <c r="C60" s="12">
        <v>517524</v>
      </c>
    </row>
    <row r="61" spans="1:3">
      <c r="A61">
        <v>142276</v>
      </c>
      <c r="B61" t="s">
        <v>1365</v>
      </c>
      <c r="C61" s="9">
        <v>319042</v>
      </c>
    </row>
    <row r="62" spans="1:3">
      <c r="A62">
        <v>145637</v>
      </c>
      <c r="B62" t="s">
        <v>105</v>
      </c>
      <c r="C62" s="10">
        <v>1338993</v>
      </c>
    </row>
    <row r="63" spans="1:3">
      <c r="A63">
        <v>145600</v>
      </c>
      <c r="B63" t="s">
        <v>1366</v>
      </c>
      <c r="C63">
        <v>428628</v>
      </c>
    </row>
    <row r="64" spans="1:3">
      <c r="A64">
        <v>145813</v>
      </c>
      <c r="B64" t="s">
        <v>1367</v>
      </c>
      <c r="C64">
        <v>347732</v>
      </c>
    </row>
    <row r="65" spans="1:3">
      <c r="A65">
        <v>151351</v>
      </c>
      <c r="B65" t="s">
        <v>108</v>
      </c>
      <c r="C65" s="10">
        <v>63573</v>
      </c>
    </row>
    <row r="66" spans="1:3">
      <c r="A66">
        <v>151324</v>
      </c>
      <c r="B66" t="s">
        <v>1368</v>
      </c>
      <c r="C66">
        <v>460106</v>
      </c>
    </row>
    <row r="67" spans="1:3">
      <c r="A67">
        <v>153658</v>
      </c>
      <c r="B67" t="s">
        <v>111</v>
      </c>
      <c r="C67" s="10">
        <v>165628</v>
      </c>
    </row>
    <row r="68" spans="1:3">
      <c r="A68">
        <v>153603</v>
      </c>
      <c r="B68" t="s">
        <v>1369</v>
      </c>
      <c r="C68" s="10">
        <v>251376</v>
      </c>
    </row>
    <row r="69" spans="1:3">
      <c r="A69">
        <v>151111</v>
      </c>
      <c r="B69" t="s">
        <v>113</v>
      </c>
      <c r="C69">
        <v>10526</v>
      </c>
    </row>
    <row r="70" spans="1:3">
      <c r="A70">
        <v>232423</v>
      </c>
      <c r="B70" t="s">
        <v>117</v>
      </c>
      <c r="C70">
        <v>766133</v>
      </c>
    </row>
    <row r="71" spans="1:3">
      <c r="A71">
        <v>155317</v>
      </c>
      <c r="B71" t="s">
        <v>118</v>
      </c>
      <c r="C71" s="10">
        <v>175038</v>
      </c>
    </row>
    <row r="72" spans="1:3">
      <c r="A72">
        <v>155399</v>
      </c>
      <c r="B72" t="s">
        <v>1370</v>
      </c>
      <c r="C72" s="10">
        <v>51297</v>
      </c>
    </row>
    <row r="73" spans="1:3">
      <c r="A73">
        <v>486840</v>
      </c>
      <c r="B73" t="s">
        <v>1371</v>
      </c>
      <c r="C73">
        <v>168780</v>
      </c>
    </row>
    <row r="74" spans="1:3">
      <c r="A74">
        <v>203517</v>
      </c>
      <c r="B74" t="s">
        <v>1372</v>
      </c>
      <c r="C74" s="10">
        <v>118930</v>
      </c>
    </row>
    <row r="75" spans="1:3">
      <c r="A75">
        <v>157085</v>
      </c>
      <c r="B75" t="s">
        <v>121</v>
      </c>
      <c r="C75" s="10">
        <v>219786</v>
      </c>
    </row>
    <row r="76" spans="1:3">
      <c r="A76">
        <v>226091</v>
      </c>
      <c r="B76" t="s">
        <v>1373</v>
      </c>
      <c r="C76" s="8">
        <v>539662</v>
      </c>
    </row>
    <row r="77" spans="1:3">
      <c r="A77">
        <v>110583</v>
      </c>
      <c r="B77" t="s">
        <v>1374</v>
      </c>
      <c r="C77">
        <v>424728</v>
      </c>
    </row>
    <row r="78" spans="1:3">
      <c r="A78">
        <v>160658</v>
      </c>
      <c r="B78" t="s">
        <v>1375</v>
      </c>
      <c r="C78" s="10">
        <v>507283</v>
      </c>
    </row>
    <row r="79" spans="1:3">
      <c r="A79">
        <v>159993</v>
      </c>
      <c r="B79" t="s">
        <v>1376</v>
      </c>
      <c r="C79" s="10">
        <v>62054</v>
      </c>
    </row>
    <row r="80" spans="1:3">
      <c r="A80">
        <v>159647</v>
      </c>
      <c r="B80" t="s">
        <v>133</v>
      </c>
      <c r="C80" s="10">
        <v>589798</v>
      </c>
    </row>
    <row r="81" spans="1:3">
      <c r="A81">
        <v>157289</v>
      </c>
      <c r="B81" t="s">
        <v>134</v>
      </c>
      <c r="C81" s="10">
        <v>103074</v>
      </c>
    </row>
    <row r="82" spans="1:3">
      <c r="A82">
        <v>159391</v>
      </c>
      <c r="B82" t="s">
        <v>136</v>
      </c>
      <c r="C82" s="10">
        <v>41601</v>
      </c>
    </row>
    <row r="83" spans="1:3">
      <c r="A83">
        <v>237525</v>
      </c>
      <c r="B83" t="s">
        <v>140</v>
      </c>
      <c r="C83" s="10">
        <v>481126</v>
      </c>
    </row>
    <row r="84" spans="1:3">
      <c r="A84">
        <v>163286</v>
      </c>
      <c r="B84" t="s">
        <v>141</v>
      </c>
      <c r="C84" s="10">
        <v>495841</v>
      </c>
    </row>
    <row r="85" spans="1:3">
      <c r="A85">
        <v>163338</v>
      </c>
      <c r="B85" t="s">
        <v>1377</v>
      </c>
      <c r="C85">
        <v>413931</v>
      </c>
    </row>
    <row r="86" spans="1:3">
      <c r="A86">
        <v>166513</v>
      </c>
      <c r="B86" t="s">
        <v>1378</v>
      </c>
      <c r="C86">
        <v>390346</v>
      </c>
    </row>
    <row r="87" spans="1:3">
      <c r="A87">
        <v>159717</v>
      </c>
      <c r="B87" t="s">
        <v>1379</v>
      </c>
      <c r="C87">
        <v>383111</v>
      </c>
    </row>
    <row r="88" spans="1:3">
      <c r="A88">
        <v>220862</v>
      </c>
      <c r="B88" t="s">
        <v>144</v>
      </c>
      <c r="C88" s="10">
        <v>5848</v>
      </c>
    </row>
    <row r="89" spans="1:3">
      <c r="A89">
        <v>204024</v>
      </c>
      <c r="B89" t="s">
        <v>1380</v>
      </c>
      <c r="C89" s="10">
        <v>743358</v>
      </c>
    </row>
    <row r="90" spans="1:3">
      <c r="A90">
        <v>170976</v>
      </c>
      <c r="B90" t="s">
        <v>147</v>
      </c>
      <c r="C90" s="10">
        <v>143770</v>
      </c>
    </row>
    <row r="91" spans="1:3">
      <c r="A91">
        <v>171100</v>
      </c>
      <c r="B91" t="s">
        <v>1381</v>
      </c>
      <c r="C91" s="10">
        <v>581326</v>
      </c>
    </row>
    <row r="92" spans="1:3">
      <c r="A92">
        <v>220978</v>
      </c>
      <c r="B92" t="s">
        <v>1382</v>
      </c>
      <c r="C92">
        <v>906938</v>
      </c>
    </row>
    <row r="93" spans="1:3">
      <c r="A93">
        <v>174066</v>
      </c>
      <c r="B93" t="s">
        <v>150</v>
      </c>
      <c r="C93" s="10">
        <v>635040</v>
      </c>
    </row>
    <row r="94" spans="1:3">
      <c r="A94">
        <v>176017</v>
      </c>
      <c r="B94" t="s">
        <v>1383</v>
      </c>
      <c r="C94" s="10">
        <v>83316</v>
      </c>
    </row>
    <row r="95" spans="1:3">
      <c r="A95">
        <v>176080</v>
      </c>
      <c r="B95" t="s">
        <v>1384</v>
      </c>
      <c r="C95" s="10">
        <v>19248</v>
      </c>
    </row>
    <row r="96" spans="1:3">
      <c r="A96">
        <v>178396</v>
      </c>
      <c r="B96" t="s">
        <v>153</v>
      </c>
      <c r="C96" s="10">
        <v>343992</v>
      </c>
    </row>
    <row r="97" spans="1:3">
      <c r="A97">
        <v>179566</v>
      </c>
      <c r="B97" t="s">
        <v>1385</v>
      </c>
      <c r="C97" s="8">
        <v>665530</v>
      </c>
    </row>
    <row r="98" spans="1:3">
      <c r="A98">
        <v>180489</v>
      </c>
      <c r="B98" t="s">
        <v>156</v>
      </c>
      <c r="C98">
        <v>355064</v>
      </c>
    </row>
    <row r="99" spans="1:3">
      <c r="A99">
        <v>180461</v>
      </c>
      <c r="B99" t="s">
        <v>1386</v>
      </c>
      <c r="C99">
        <v>783090</v>
      </c>
    </row>
    <row r="100" spans="1:3">
      <c r="A100">
        <v>157386</v>
      </c>
      <c r="B100" t="s">
        <v>1387</v>
      </c>
      <c r="C100">
        <v>655606</v>
      </c>
    </row>
    <row r="101" spans="1:3">
      <c r="A101">
        <v>163453</v>
      </c>
      <c r="B101" t="s">
        <v>1388</v>
      </c>
      <c r="C101" s="8">
        <v>6075</v>
      </c>
    </row>
    <row r="102" spans="1:3">
      <c r="A102">
        <v>157401</v>
      </c>
      <c r="B102" t="s">
        <v>1389</v>
      </c>
      <c r="C102">
        <v>2500</v>
      </c>
    </row>
    <row r="103" spans="1:3">
      <c r="A103">
        <v>500000</v>
      </c>
      <c r="B103" t="s">
        <v>1289</v>
      </c>
      <c r="C103" s="9">
        <v>281145</v>
      </c>
    </row>
    <row r="104" spans="1:3">
      <c r="A104">
        <v>181464</v>
      </c>
      <c r="B104" t="s">
        <v>164</v>
      </c>
      <c r="C104" s="10">
        <v>2970391</v>
      </c>
    </row>
    <row r="105" spans="1:3">
      <c r="A105">
        <v>181394</v>
      </c>
      <c r="B105" t="s">
        <v>1390</v>
      </c>
      <c r="C105">
        <v>637015</v>
      </c>
    </row>
    <row r="106" spans="1:3">
      <c r="A106">
        <v>182290</v>
      </c>
      <c r="B106" t="s">
        <v>165</v>
      </c>
      <c r="C106" s="8">
        <v>90010</v>
      </c>
    </row>
    <row r="107" spans="1:3">
      <c r="A107">
        <v>183044</v>
      </c>
      <c r="B107" t="s">
        <v>1290</v>
      </c>
      <c r="C107">
        <v>466592</v>
      </c>
    </row>
    <row r="108" spans="1:3">
      <c r="A108">
        <v>187985</v>
      </c>
      <c r="B108" t="s">
        <v>166</v>
      </c>
      <c r="C108" s="10">
        <v>182845</v>
      </c>
    </row>
    <row r="109" spans="1:3">
      <c r="A109">
        <v>188030</v>
      </c>
      <c r="B109" t="s">
        <v>1391</v>
      </c>
      <c r="C109">
        <v>333182</v>
      </c>
    </row>
    <row r="110" spans="1:3">
      <c r="A110">
        <v>159939</v>
      </c>
      <c r="B110" t="s">
        <v>1291</v>
      </c>
      <c r="C110" s="9">
        <v>11250</v>
      </c>
    </row>
    <row r="111" spans="1:3">
      <c r="A111">
        <v>159966</v>
      </c>
      <c r="B111" t="s">
        <v>1392</v>
      </c>
      <c r="C111">
        <v>379085</v>
      </c>
    </row>
    <row r="112" spans="1:3">
      <c r="A112">
        <v>185828</v>
      </c>
      <c r="B112" t="s">
        <v>1292</v>
      </c>
      <c r="C112">
        <v>489557</v>
      </c>
    </row>
    <row r="113" spans="1:3">
      <c r="A113">
        <v>232937</v>
      </c>
      <c r="B113" t="s">
        <v>1393</v>
      </c>
      <c r="C113">
        <v>513128</v>
      </c>
    </row>
    <row r="114" spans="1:3">
      <c r="A114">
        <v>199120</v>
      </c>
      <c r="B114" t="s">
        <v>171</v>
      </c>
      <c r="C114">
        <v>516581</v>
      </c>
    </row>
    <row r="115" spans="1:3">
      <c r="A115">
        <v>199102</v>
      </c>
      <c r="B115" t="s">
        <v>1394</v>
      </c>
      <c r="C115" s="9">
        <v>333778</v>
      </c>
    </row>
    <row r="116" spans="1:3">
      <c r="A116">
        <v>199111</v>
      </c>
      <c r="B116" t="s">
        <v>1395</v>
      </c>
      <c r="C116">
        <v>66368</v>
      </c>
    </row>
    <row r="117" spans="1:3">
      <c r="A117">
        <v>199157</v>
      </c>
      <c r="B117" t="s">
        <v>1396</v>
      </c>
      <c r="C117">
        <v>1378</v>
      </c>
    </row>
    <row r="118" spans="1:3">
      <c r="A118">
        <v>199148</v>
      </c>
      <c r="B118" t="s">
        <v>1397</v>
      </c>
      <c r="C118">
        <v>538704</v>
      </c>
    </row>
    <row r="119" spans="1:3">
      <c r="A119">
        <v>199193</v>
      </c>
      <c r="B119" t="s">
        <v>1398</v>
      </c>
      <c r="C119">
        <v>574913</v>
      </c>
    </row>
    <row r="120" spans="1:3">
      <c r="A120">
        <v>199218</v>
      </c>
      <c r="B120" t="s">
        <v>1399</v>
      </c>
      <c r="C120">
        <v>42564</v>
      </c>
    </row>
    <row r="121" spans="1:3">
      <c r="A121">
        <v>200280</v>
      </c>
      <c r="B121" t="s">
        <v>172</v>
      </c>
      <c r="C121" s="8">
        <v>90655</v>
      </c>
    </row>
    <row r="122" spans="1:3">
      <c r="A122">
        <v>200332</v>
      </c>
      <c r="B122" t="s">
        <v>1400</v>
      </c>
      <c r="C122">
        <v>304344</v>
      </c>
    </row>
    <row r="123" spans="1:3">
      <c r="A123">
        <v>136172</v>
      </c>
      <c r="B123" t="s">
        <v>174</v>
      </c>
      <c r="C123">
        <v>119387</v>
      </c>
    </row>
    <row r="124" spans="1:3">
      <c r="A124">
        <v>227216</v>
      </c>
      <c r="B124" t="s">
        <v>175</v>
      </c>
      <c r="C124">
        <v>684234</v>
      </c>
    </row>
    <row r="125" spans="1:3">
      <c r="A125">
        <v>105330</v>
      </c>
      <c r="B125" t="s">
        <v>1401</v>
      </c>
      <c r="C125">
        <v>753111</v>
      </c>
    </row>
    <row r="126" spans="1:3">
      <c r="A126">
        <v>127741</v>
      </c>
      <c r="B126" t="s">
        <v>1402</v>
      </c>
      <c r="C126">
        <v>735809</v>
      </c>
    </row>
    <row r="127" spans="1:3">
      <c r="A127">
        <v>154095</v>
      </c>
      <c r="B127" t="s">
        <v>1403</v>
      </c>
      <c r="C127">
        <v>484960</v>
      </c>
    </row>
    <row r="128" spans="1:3">
      <c r="A128">
        <v>160038</v>
      </c>
      <c r="B128" t="s">
        <v>1404</v>
      </c>
      <c r="C128" s="8">
        <v>500165</v>
      </c>
    </row>
    <row r="129" spans="1:3">
      <c r="A129">
        <v>171571</v>
      </c>
      <c r="B129" t="s">
        <v>182</v>
      </c>
      <c r="C129">
        <v>449909</v>
      </c>
    </row>
    <row r="130" spans="1:3">
      <c r="A130">
        <v>204857</v>
      </c>
      <c r="B130" t="s">
        <v>183</v>
      </c>
      <c r="C130">
        <v>970374</v>
      </c>
    </row>
    <row r="131" spans="1:3">
      <c r="A131">
        <v>204796</v>
      </c>
      <c r="B131" t="s">
        <v>1405</v>
      </c>
      <c r="C131">
        <v>246128</v>
      </c>
    </row>
    <row r="132" spans="1:3">
      <c r="A132">
        <v>207500</v>
      </c>
      <c r="B132" t="s">
        <v>185</v>
      </c>
      <c r="C132">
        <v>190404</v>
      </c>
    </row>
    <row r="133" spans="1:3">
      <c r="A133">
        <v>209551</v>
      </c>
      <c r="B133" t="s">
        <v>189</v>
      </c>
      <c r="C133">
        <v>387633</v>
      </c>
    </row>
    <row r="134" spans="1:3">
      <c r="A134">
        <v>209542</v>
      </c>
      <c r="B134" t="s">
        <v>1406</v>
      </c>
      <c r="C134">
        <v>254847</v>
      </c>
    </row>
    <row r="135" spans="1:3">
      <c r="A135">
        <v>214777</v>
      </c>
      <c r="B135" t="s">
        <v>1407</v>
      </c>
      <c r="C135">
        <v>837723</v>
      </c>
    </row>
    <row r="136" spans="1:3">
      <c r="A136">
        <v>209807</v>
      </c>
      <c r="B136" t="s">
        <v>1408</v>
      </c>
      <c r="C136" s="8">
        <v>474763</v>
      </c>
    </row>
    <row r="137" spans="1:3">
      <c r="A137">
        <v>227526</v>
      </c>
      <c r="B137" t="s">
        <v>1409</v>
      </c>
      <c r="C137">
        <v>203025</v>
      </c>
    </row>
    <row r="138" spans="1:3">
      <c r="A138">
        <v>243780</v>
      </c>
      <c r="B138" t="s">
        <v>200</v>
      </c>
      <c r="C138">
        <v>446578</v>
      </c>
    </row>
    <row r="139" spans="1:3">
      <c r="A139">
        <v>151102</v>
      </c>
      <c r="B139" t="s">
        <v>201</v>
      </c>
      <c r="C139">
        <v>478735</v>
      </c>
    </row>
    <row r="140" spans="1:3">
      <c r="A140">
        <v>233277</v>
      </c>
      <c r="B140" t="s">
        <v>203</v>
      </c>
      <c r="C140">
        <v>15519</v>
      </c>
    </row>
    <row r="141" spans="1:3">
      <c r="A141">
        <v>217484</v>
      </c>
      <c r="B141" t="s">
        <v>204</v>
      </c>
      <c r="C141">
        <v>763852</v>
      </c>
    </row>
    <row r="142" spans="1:3">
      <c r="A142">
        <v>186380</v>
      </c>
      <c r="B142" t="s">
        <v>207</v>
      </c>
      <c r="C142">
        <v>1002080</v>
      </c>
    </row>
    <row r="143" spans="1:3">
      <c r="A143">
        <v>110617</v>
      </c>
      <c r="B143" t="s">
        <v>1410</v>
      </c>
      <c r="C143" s="9">
        <v>572645</v>
      </c>
    </row>
    <row r="144" spans="1:3">
      <c r="A144">
        <v>227881</v>
      </c>
      <c r="B144" t="s">
        <v>1411</v>
      </c>
      <c r="C144">
        <v>18421</v>
      </c>
    </row>
    <row r="145" spans="1:3">
      <c r="A145">
        <v>122409</v>
      </c>
      <c r="B145" t="s">
        <v>1412</v>
      </c>
      <c r="C145">
        <v>749534</v>
      </c>
    </row>
    <row r="146" spans="1:3">
      <c r="A146">
        <v>122755</v>
      </c>
      <c r="B146" t="s">
        <v>1413</v>
      </c>
      <c r="C146">
        <v>16756</v>
      </c>
    </row>
    <row r="147" spans="1:3">
      <c r="A147">
        <v>140960</v>
      </c>
      <c r="B147" t="s">
        <v>1414</v>
      </c>
      <c r="C147" s="9">
        <v>30709</v>
      </c>
    </row>
    <row r="148" spans="1:3">
      <c r="A148">
        <v>102094</v>
      </c>
      <c r="B148" t="s">
        <v>226</v>
      </c>
      <c r="C148">
        <v>705994</v>
      </c>
    </row>
    <row r="149" spans="1:3">
      <c r="A149">
        <v>218663</v>
      </c>
      <c r="B149" t="s">
        <v>227</v>
      </c>
      <c r="C149">
        <v>116317</v>
      </c>
    </row>
    <row r="150" spans="1:3">
      <c r="A150">
        <v>218742</v>
      </c>
      <c r="B150" t="s">
        <v>1415</v>
      </c>
      <c r="C150">
        <v>321994</v>
      </c>
    </row>
    <row r="151" spans="1:3">
      <c r="A151">
        <v>219471</v>
      </c>
      <c r="B151" t="s">
        <v>229</v>
      </c>
      <c r="C151" s="8">
        <v>507268</v>
      </c>
    </row>
    <row r="152" spans="1:3">
      <c r="A152">
        <v>219356</v>
      </c>
      <c r="B152" t="s">
        <v>1416</v>
      </c>
      <c r="C152">
        <v>7497</v>
      </c>
    </row>
    <row r="153" spans="1:3">
      <c r="A153">
        <v>137351</v>
      </c>
      <c r="B153" t="s">
        <v>1417</v>
      </c>
      <c r="C153">
        <v>88942</v>
      </c>
    </row>
    <row r="154" spans="1:3">
      <c r="A154">
        <v>179557</v>
      </c>
      <c r="B154" t="s">
        <v>1418</v>
      </c>
      <c r="C154">
        <v>285872</v>
      </c>
    </row>
    <row r="155" spans="1:3">
      <c r="A155">
        <v>160621</v>
      </c>
      <c r="B155" t="s">
        <v>1419</v>
      </c>
      <c r="C155">
        <v>27737</v>
      </c>
    </row>
    <row r="156" spans="1:3">
      <c r="A156">
        <v>149222</v>
      </c>
      <c r="B156" t="s">
        <v>1420</v>
      </c>
      <c r="C156">
        <v>204777.16</v>
      </c>
    </row>
    <row r="157" spans="1:3">
      <c r="A157">
        <v>149231</v>
      </c>
      <c r="B157" t="s">
        <v>1421</v>
      </c>
      <c r="C157">
        <v>440708</v>
      </c>
    </row>
    <row r="158" spans="1:3">
      <c r="A158">
        <v>176372</v>
      </c>
      <c r="B158" t="s">
        <v>1422</v>
      </c>
      <c r="C158">
        <v>44296</v>
      </c>
    </row>
    <row r="159" spans="1:3">
      <c r="A159">
        <v>230603</v>
      </c>
      <c r="B159" t="s">
        <v>237</v>
      </c>
      <c r="C159">
        <v>498698</v>
      </c>
    </row>
    <row r="160" spans="1:3">
      <c r="A160">
        <v>228431</v>
      </c>
      <c r="B160" t="s">
        <v>1423</v>
      </c>
      <c r="C160">
        <v>517461</v>
      </c>
    </row>
    <row r="161" spans="1:3">
      <c r="A161">
        <v>196097</v>
      </c>
      <c r="B161" t="s">
        <v>242</v>
      </c>
      <c r="C161" s="8">
        <v>118638</v>
      </c>
    </row>
    <row r="162" spans="1:3">
      <c r="A162">
        <v>221759</v>
      </c>
      <c r="B162" t="s">
        <v>244</v>
      </c>
      <c r="C162">
        <v>513727</v>
      </c>
    </row>
    <row r="163" spans="1:3">
      <c r="A163">
        <v>221740</v>
      </c>
      <c r="B163" t="s">
        <v>1424</v>
      </c>
      <c r="C163">
        <v>635184</v>
      </c>
    </row>
    <row r="164" spans="1:3">
      <c r="A164">
        <v>221768</v>
      </c>
      <c r="B164" t="s">
        <v>1425</v>
      </c>
      <c r="C164">
        <v>460407</v>
      </c>
    </row>
    <row r="165" spans="1:3">
      <c r="A165">
        <v>221847</v>
      </c>
      <c r="B165" t="s">
        <v>246</v>
      </c>
      <c r="C165">
        <v>16691</v>
      </c>
    </row>
    <row r="166" spans="1:3">
      <c r="A166">
        <v>228778</v>
      </c>
      <c r="B166" t="s">
        <v>247</v>
      </c>
      <c r="C166">
        <v>1576393</v>
      </c>
    </row>
    <row r="167" spans="1:3">
      <c r="A167">
        <v>228723</v>
      </c>
      <c r="B167" t="s">
        <v>248</v>
      </c>
      <c r="C167" s="13">
        <v>592994.85999999987</v>
      </c>
    </row>
    <row r="168" spans="1:3">
      <c r="A168">
        <v>224147</v>
      </c>
      <c r="B168" t="s">
        <v>1426</v>
      </c>
      <c r="C168">
        <v>561786</v>
      </c>
    </row>
    <row r="169" spans="1:3">
      <c r="A169">
        <v>228769</v>
      </c>
      <c r="B169" t="s">
        <v>1427</v>
      </c>
      <c r="C169">
        <v>76072</v>
      </c>
    </row>
    <row r="170" spans="1:3" ht="16">
      <c r="A170">
        <v>229063</v>
      </c>
      <c r="B170" t="s">
        <v>249</v>
      </c>
      <c r="C170" s="14">
        <v>7681</v>
      </c>
    </row>
    <row r="171" spans="1:3">
      <c r="A171">
        <v>228459</v>
      </c>
      <c r="B171" t="s">
        <v>1428</v>
      </c>
      <c r="C171">
        <v>167683</v>
      </c>
    </row>
    <row r="172" spans="1:3">
      <c r="A172">
        <v>229115</v>
      </c>
      <c r="B172" t="s">
        <v>251</v>
      </c>
      <c r="C172">
        <v>126106</v>
      </c>
    </row>
    <row r="173" spans="1:3">
      <c r="A173">
        <v>206084</v>
      </c>
      <c r="B173" t="s">
        <v>252</v>
      </c>
      <c r="C173">
        <v>29461</v>
      </c>
    </row>
    <row r="174" spans="1:3">
      <c r="A174">
        <v>164076</v>
      </c>
      <c r="B174" t="s">
        <v>253</v>
      </c>
      <c r="C174">
        <v>175811</v>
      </c>
    </row>
    <row r="175" spans="1:3">
      <c r="A175">
        <v>102368</v>
      </c>
      <c r="B175" t="s">
        <v>254</v>
      </c>
      <c r="C175">
        <v>1314452</v>
      </c>
    </row>
    <row r="176" spans="1:3">
      <c r="A176">
        <v>100663</v>
      </c>
      <c r="B176" t="s">
        <v>256</v>
      </c>
      <c r="C176">
        <v>811301</v>
      </c>
    </row>
    <row r="177" spans="1:3">
      <c r="A177">
        <v>110644</v>
      </c>
      <c r="B177" t="s">
        <v>257</v>
      </c>
      <c r="C177">
        <v>347852</v>
      </c>
    </row>
    <row r="178" spans="1:3">
      <c r="A178">
        <v>110653</v>
      </c>
      <c r="B178" t="s">
        <v>1310</v>
      </c>
      <c r="C178">
        <v>701372</v>
      </c>
    </row>
    <row r="179" spans="1:3">
      <c r="A179">
        <v>110671</v>
      </c>
      <c r="B179" t="s">
        <v>258</v>
      </c>
      <c r="C179">
        <v>876876</v>
      </c>
    </row>
    <row r="180" spans="1:3">
      <c r="A180">
        <v>110705</v>
      </c>
      <c r="B180" t="s">
        <v>259</v>
      </c>
      <c r="C180">
        <v>732338</v>
      </c>
    </row>
    <row r="181" spans="1:3">
      <c r="A181">
        <v>132903</v>
      </c>
      <c r="B181" t="s">
        <v>260</v>
      </c>
      <c r="C181">
        <v>352531</v>
      </c>
    </row>
    <row r="182" spans="1:3">
      <c r="A182">
        <v>110662</v>
      </c>
      <c r="B182" t="s">
        <v>261</v>
      </c>
      <c r="C182">
        <v>438313</v>
      </c>
    </row>
    <row r="183" spans="1:3">
      <c r="A183">
        <v>182281</v>
      </c>
      <c r="B183" t="s">
        <v>271</v>
      </c>
      <c r="C183">
        <v>81473</v>
      </c>
    </row>
    <row r="184" spans="1:3">
      <c r="A184">
        <v>230764</v>
      </c>
      <c r="B184" t="s">
        <v>275</v>
      </c>
      <c r="C184" s="10">
        <v>170437</v>
      </c>
    </row>
    <row r="185" spans="1:3">
      <c r="A185">
        <v>230728</v>
      </c>
      <c r="B185" t="s">
        <v>1429</v>
      </c>
      <c r="C185">
        <v>285673</v>
      </c>
    </row>
    <row r="186" spans="1:3">
      <c r="A186">
        <v>230737</v>
      </c>
      <c r="B186" t="s">
        <v>277</v>
      </c>
      <c r="C186">
        <v>11024</v>
      </c>
    </row>
    <row r="187" spans="1:3">
      <c r="A187">
        <v>228796</v>
      </c>
      <c r="B187" t="s">
        <v>278</v>
      </c>
      <c r="C187">
        <v>1319598</v>
      </c>
    </row>
    <row r="188" spans="1:3">
      <c r="A188">
        <v>229027</v>
      </c>
      <c r="B188" t="s">
        <v>279</v>
      </c>
      <c r="C188">
        <v>115426</v>
      </c>
    </row>
    <row r="189" spans="1:3">
      <c r="A189">
        <v>234030</v>
      </c>
      <c r="B189" t="s">
        <v>1314</v>
      </c>
      <c r="C189" s="9">
        <v>5129</v>
      </c>
    </row>
    <row r="190" spans="1:3">
      <c r="A190">
        <v>234076</v>
      </c>
      <c r="B190" t="s">
        <v>282</v>
      </c>
      <c r="C190">
        <v>857790</v>
      </c>
    </row>
    <row r="191" spans="1:3">
      <c r="A191">
        <v>233921</v>
      </c>
      <c r="B191" t="s">
        <v>283</v>
      </c>
      <c r="C191">
        <v>573176</v>
      </c>
    </row>
    <row r="192" spans="1:3">
      <c r="A192">
        <v>236948</v>
      </c>
      <c r="B192" t="s">
        <v>284</v>
      </c>
      <c r="C192">
        <v>768811</v>
      </c>
    </row>
    <row r="193" spans="1:3">
      <c r="A193">
        <v>236939</v>
      </c>
      <c r="B193" t="s">
        <v>1430</v>
      </c>
      <c r="C193">
        <v>75554</v>
      </c>
    </row>
    <row r="194" spans="1:3">
      <c r="A194">
        <v>230782</v>
      </c>
      <c r="B194" t="s">
        <v>1431</v>
      </c>
      <c r="C194">
        <v>308371</v>
      </c>
    </row>
    <row r="195" spans="1:3">
      <c r="A195">
        <v>238032</v>
      </c>
      <c r="B195" t="s">
        <v>1319</v>
      </c>
      <c r="C195">
        <v>98367</v>
      </c>
    </row>
    <row r="196" spans="1:3">
      <c r="A196">
        <v>200004</v>
      </c>
      <c r="B196" t="s">
        <v>1432</v>
      </c>
      <c r="C196" s="8">
        <v>19700</v>
      </c>
    </row>
    <row r="197" spans="1:3">
      <c r="A197">
        <v>149772</v>
      </c>
      <c r="B197" t="s">
        <v>1433</v>
      </c>
      <c r="C197" s="9">
        <v>232812</v>
      </c>
    </row>
    <row r="198" spans="1:3">
      <c r="A198">
        <v>157951</v>
      </c>
      <c r="B198" t="s">
        <v>1434</v>
      </c>
      <c r="C198">
        <v>758205</v>
      </c>
    </row>
    <row r="199" spans="1:3">
      <c r="A199">
        <v>172699</v>
      </c>
      <c r="B199" t="s">
        <v>1435</v>
      </c>
      <c r="C199">
        <v>180420</v>
      </c>
    </row>
    <row r="200" spans="1:3">
      <c r="A200">
        <v>156125</v>
      </c>
      <c r="B200" t="s">
        <v>1436</v>
      </c>
      <c r="C200">
        <v>407630</v>
      </c>
    </row>
    <row r="201" spans="1:3">
      <c r="A201">
        <v>231624</v>
      </c>
      <c r="B201" t="s">
        <v>1320</v>
      </c>
      <c r="C201">
        <v>167676</v>
      </c>
    </row>
    <row r="202" spans="1:3">
      <c r="A202">
        <v>218964</v>
      </c>
      <c r="B202" t="s">
        <v>291</v>
      </c>
      <c r="C202">
        <v>265408</v>
      </c>
    </row>
    <row r="203" spans="1:3">
      <c r="A203">
        <v>240444</v>
      </c>
      <c r="B203" t="s">
        <v>292</v>
      </c>
      <c r="C203" s="8">
        <v>731820</v>
      </c>
    </row>
    <row r="204" spans="1:3">
      <c r="A204">
        <v>240277</v>
      </c>
      <c r="B204" t="s">
        <v>1437</v>
      </c>
      <c r="C204">
        <v>153996</v>
      </c>
    </row>
    <row r="205" spans="1:3">
      <c r="A205">
        <v>240453</v>
      </c>
      <c r="B205" t="s">
        <v>1438</v>
      </c>
      <c r="C205" s="8">
        <v>548378</v>
      </c>
    </row>
    <row r="206" spans="1:3">
      <c r="A206">
        <v>206604</v>
      </c>
      <c r="B206" t="s">
        <v>1439</v>
      </c>
      <c r="C206">
        <v>591027</v>
      </c>
    </row>
    <row r="207" spans="1:3">
      <c r="A207">
        <v>240727</v>
      </c>
      <c r="B207" t="s">
        <v>1322</v>
      </c>
      <c r="C207">
        <v>538841</v>
      </c>
    </row>
    <row r="208" spans="1:3">
      <c r="A208">
        <v>206695</v>
      </c>
      <c r="B208" t="s">
        <v>1440</v>
      </c>
      <c r="C208">
        <v>62487</v>
      </c>
    </row>
    <row r="210" spans="3:3">
      <c r="C210" s="9"/>
    </row>
    <row r="211" spans="3:3">
      <c r="C211" s="9"/>
    </row>
    <row r="213" spans="3:3">
      <c r="C213" s="10"/>
    </row>
    <row r="214" spans="3:3">
      <c r="C214" s="10"/>
    </row>
    <row r="216" spans="3:3">
      <c r="C216" s="10"/>
    </row>
    <row r="217" spans="3:3">
      <c r="C217" s="3"/>
    </row>
    <row r="229" spans="3:3">
      <c r="C229" s="11"/>
    </row>
    <row r="230" spans="3:3">
      <c r="C230" s="3"/>
    </row>
    <row r="233" spans="3:3">
      <c r="C233" s="3"/>
    </row>
    <row r="236" spans="3:3">
      <c r="C236" s="10"/>
    </row>
    <row r="237" spans="3:3">
      <c r="C237" s="10"/>
    </row>
    <row r="238" spans="3:3">
      <c r="C238" s="10"/>
    </row>
    <row r="239" spans="3:3">
      <c r="C239" s="10"/>
    </row>
    <row r="240" spans="3:3">
      <c r="C240" s="10"/>
    </row>
    <row r="241" spans="3:3">
      <c r="C241" s="10"/>
    </row>
    <row r="242" spans="3:3">
      <c r="C242" s="10"/>
    </row>
    <row r="243" spans="3:3">
      <c r="C243" s="10"/>
    </row>
    <row r="244" spans="3:3">
      <c r="C244" s="10"/>
    </row>
    <row r="245" spans="3:3">
      <c r="C245" s="10"/>
    </row>
    <row r="246" spans="3:3">
      <c r="C246" s="3"/>
    </row>
    <row r="247" spans="3:3">
      <c r="C247" s="10"/>
    </row>
    <row r="258" spans="3:3" ht="16" thickBot="1">
      <c r="C258" s="15"/>
    </row>
    <row r="259" spans="3:3" ht="16" thickBot="1">
      <c r="C259" s="15"/>
    </row>
    <row r="260" spans="3:3" ht="16" thickBot="1">
      <c r="C260" s="15"/>
    </row>
    <row r="261" spans="3:3" ht="16" thickBot="1">
      <c r="C261" s="15"/>
    </row>
    <row r="262" spans="3:3" ht="16" thickBot="1">
      <c r="C262" s="15"/>
    </row>
    <row r="263" spans="3:3" ht="16" thickBot="1">
      <c r="C263" s="15"/>
    </row>
    <row r="264" spans="3:3" ht="16" thickBot="1">
      <c r="C264" s="15"/>
    </row>
    <row r="265" spans="3:3" ht="16" thickBot="1">
      <c r="C265" s="15"/>
    </row>
    <row r="266" spans="3:3" ht="16" thickBot="1">
      <c r="C266" s="15"/>
    </row>
    <row r="267" spans="3:3" ht="16" thickBot="1">
      <c r="C267" s="15"/>
    </row>
    <row r="268" spans="3:3" ht="16" thickBot="1">
      <c r="C268" s="15"/>
    </row>
    <row r="269" spans="3:3" ht="16" thickBot="1">
      <c r="C26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AE09-2B58-4CF5-AA01-E62D6A9F8A27}">
  <dimension ref="A1:H349"/>
  <sheetViews>
    <sheetView workbookViewId="0"/>
  </sheetViews>
  <sheetFormatPr baseColWidth="10" defaultColWidth="8.83203125" defaultRowHeight="15"/>
  <cols>
    <col min="1" max="1" width="7" bestFit="1" customWidth="1"/>
  </cols>
  <sheetData>
    <row r="1" spans="1:8">
      <c r="A1" s="23" t="s">
        <v>1450</v>
      </c>
      <c r="B1" s="23" t="s">
        <v>1451</v>
      </c>
      <c r="C1" s="23" t="s">
        <v>1452</v>
      </c>
      <c r="D1" s="23" t="s">
        <v>1453</v>
      </c>
      <c r="E1" s="23" t="s">
        <v>1454</v>
      </c>
      <c r="F1" s="23" t="s">
        <v>1327</v>
      </c>
      <c r="G1" s="23" t="s">
        <v>1455</v>
      </c>
      <c r="H1" s="23" t="s">
        <v>1456</v>
      </c>
    </row>
    <row r="2" spans="1:8">
      <c r="A2" s="24">
        <v>1</v>
      </c>
      <c r="B2" s="24" t="s">
        <v>164</v>
      </c>
      <c r="C2" s="24" t="s">
        <v>1457</v>
      </c>
      <c r="D2" s="25">
        <v>145493</v>
      </c>
      <c r="E2" s="25">
        <v>8083</v>
      </c>
      <c r="F2" s="25">
        <v>7907</v>
      </c>
      <c r="G2" s="24">
        <v>102.23</v>
      </c>
      <c r="H2" s="24">
        <v>18</v>
      </c>
    </row>
    <row r="3" spans="1:8">
      <c r="A3" s="24">
        <v>2</v>
      </c>
      <c r="B3" s="24" t="s">
        <v>98</v>
      </c>
      <c r="C3" s="24" t="s">
        <v>1458</v>
      </c>
      <c r="D3" s="25">
        <v>120776</v>
      </c>
      <c r="E3" s="25">
        <v>6357</v>
      </c>
      <c r="F3" s="25">
        <v>10300</v>
      </c>
      <c r="G3" s="24">
        <v>61.71</v>
      </c>
      <c r="H3" s="24">
        <v>19</v>
      </c>
    </row>
    <row r="4" spans="1:8">
      <c r="A4" s="24">
        <v>3</v>
      </c>
      <c r="B4" s="24" t="s">
        <v>292</v>
      </c>
      <c r="C4" s="24" t="s">
        <v>1457</v>
      </c>
      <c r="D4" s="25">
        <v>73999</v>
      </c>
      <c r="E4" s="25">
        <v>4933</v>
      </c>
      <c r="F4" s="25">
        <v>6000</v>
      </c>
      <c r="G4" s="24">
        <v>82.22</v>
      </c>
      <c r="H4" s="24">
        <v>15</v>
      </c>
    </row>
    <row r="5" spans="1:8">
      <c r="A5" s="24">
        <v>4</v>
      </c>
      <c r="B5" s="24" t="s">
        <v>284</v>
      </c>
      <c r="C5" s="24" t="s">
        <v>1459</v>
      </c>
      <c r="D5" s="25">
        <v>60829</v>
      </c>
      <c r="E5" s="25">
        <v>3379</v>
      </c>
      <c r="F5" s="25">
        <v>10000</v>
      </c>
      <c r="G5" s="24">
        <v>33.79</v>
      </c>
      <c r="H5" s="24">
        <v>18</v>
      </c>
    </row>
    <row r="6" spans="1:8">
      <c r="A6" s="24">
        <v>5</v>
      </c>
      <c r="B6" s="24" t="s">
        <v>193</v>
      </c>
      <c r="C6" s="24" t="s">
        <v>1457</v>
      </c>
      <c r="D6" s="25">
        <v>56977</v>
      </c>
      <c r="E6" s="25">
        <v>2999</v>
      </c>
      <c r="F6" s="25">
        <v>5812</v>
      </c>
      <c r="G6" s="24">
        <v>51.6</v>
      </c>
      <c r="H6" s="24">
        <v>19</v>
      </c>
    </row>
    <row r="7" spans="1:8">
      <c r="A7" s="24">
        <v>6</v>
      </c>
      <c r="B7" s="24" t="s">
        <v>52</v>
      </c>
      <c r="C7" s="24" t="s">
        <v>1460</v>
      </c>
      <c r="D7" s="25">
        <v>54926</v>
      </c>
      <c r="E7" s="25">
        <v>3231</v>
      </c>
      <c r="F7" s="25">
        <v>8745</v>
      </c>
      <c r="G7" s="24">
        <v>36.950000000000003</v>
      </c>
      <c r="H7" s="24">
        <v>17</v>
      </c>
    </row>
    <row r="8" spans="1:8">
      <c r="A8" s="24">
        <v>7</v>
      </c>
      <c r="B8" s="24" t="s">
        <v>150</v>
      </c>
      <c r="C8" s="24" t="s">
        <v>1457</v>
      </c>
      <c r="D8" s="25">
        <v>50149</v>
      </c>
      <c r="E8" s="25">
        <v>3343</v>
      </c>
      <c r="F8" s="25">
        <v>5840</v>
      </c>
      <c r="G8" s="24">
        <v>57.25</v>
      </c>
      <c r="H8" s="24">
        <v>15</v>
      </c>
    </row>
    <row r="9" spans="1:8">
      <c r="A9" s="24">
        <v>8</v>
      </c>
      <c r="B9" s="24" t="s">
        <v>105</v>
      </c>
      <c r="C9" s="24" t="s">
        <v>1457</v>
      </c>
      <c r="D9" s="25">
        <v>45410</v>
      </c>
      <c r="E9" s="25">
        <v>3027</v>
      </c>
      <c r="F9" s="25">
        <v>4536</v>
      </c>
      <c r="G9" s="24">
        <v>66.739999999999995</v>
      </c>
      <c r="H9" s="24">
        <v>15</v>
      </c>
    </row>
    <row r="10" spans="1:8">
      <c r="A10" s="24">
        <v>9</v>
      </c>
      <c r="B10" s="24" t="s">
        <v>148</v>
      </c>
      <c r="C10" s="24" t="s">
        <v>1457</v>
      </c>
      <c r="D10" s="25">
        <v>43918</v>
      </c>
      <c r="E10" s="25">
        <v>2928</v>
      </c>
      <c r="F10" s="25">
        <v>5017</v>
      </c>
      <c r="G10" s="24">
        <v>58.36</v>
      </c>
      <c r="H10" s="24">
        <v>15</v>
      </c>
    </row>
    <row r="11" spans="1:8">
      <c r="A11" s="24">
        <v>10</v>
      </c>
      <c r="B11" s="24" t="s">
        <v>79</v>
      </c>
      <c r="C11" s="24" t="s">
        <v>1461</v>
      </c>
      <c r="D11" s="25">
        <v>40833</v>
      </c>
      <c r="E11" s="25">
        <v>2402</v>
      </c>
      <c r="F11" s="25">
        <v>9777</v>
      </c>
      <c r="G11" s="24">
        <v>24.57</v>
      </c>
      <c r="H11" s="24">
        <v>17</v>
      </c>
    </row>
    <row r="12" spans="1:8">
      <c r="A12" s="24">
        <v>11</v>
      </c>
      <c r="B12" s="24" t="s">
        <v>270</v>
      </c>
      <c r="C12" s="24" t="s">
        <v>1462</v>
      </c>
      <c r="D12" s="25">
        <v>40537</v>
      </c>
      <c r="E12" s="25">
        <v>3118</v>
      </c>
      <c r="F12" s="25">
        <v>6650</v>
      </c>
      <c r="G12" s="24">
        <v>46.89</v>
      </c>
      <c r="H12" s="24">
        <v>13</v>
      </c>
    </row>
    <row r="13" spans="1:8">
      <c r="A13" s="24">
        <v>12</v>
      </c>
      <c r="B13" s="24" t="s">
        <v>247</v>
      </c>
      <c r="C13" s="24" t="s">
        <v>1463</v>
      </c>
      <c r="D13" s="25">
        <v>40378</v>
      </c>
      <c r="E13" s="25">
        <v>2884</v>
      </c>
      <c r="F13" s="25">
        <v>4000</v>
      </c>
      <c r="G13" s="24">
        <v>72.099999999999994</v>
      </c>
      <c r="H13" s="24">
        <v>14</v>
      </c>
    </row>
    <row r="14" spans="1:8">
      <c r="A14" s="24">
        <v>13</v>
      </c>
      <c r="B14" s="24" t="s">
        <v>200</v>
      </c>
      <c r="C14" s="24" t="s">
        <v>1457</v>
      </c>
      <c r="D14" s="25">
        <v>40230</v>
      </c>
      <c r="E14" s="25">
        <v>2514</v>
      </c>
      <c r="F14" s="25">
        <v>2288</v>
      </c>
      <c r="G14" s="24">
        <v>109.89</v>
      </c>
      <c r="H14" s="24">
        <v>16</v>
      </c>
    </row>
    <row r="15" spans="1:8">
      <c r="A15" s="24">
        <v>14</v>
      </c>
      <c r="B15" s="24" t="s">
        <v>240</v>
      </c>
      <c r="C15" s="24" t="s">
        <v>1459</v>
      </c>
      <c r="D15" s="25">
        <v>36136</v>
      </c>
      <c r="E15" s="25">
        <v>2126</v>
      </c>
      <c r="F15" s="25">
        <v>7500</v>
      </c>
      <c r="G15" s="24">
        <v>28.34</v>
      </c>
      <c r="H15" s="24">
        <v>17</v>
      </c>
    </row>
    <row r="16" spans="1:8">
      <c r="A16" s="24">
        <v>15</v>
      </c>
      <c r="B16" s="24" t="s">
        <v>112</v>
      </c>
      <c r="C16" s="24" t="s">
        <v>1463</v>
      </c>
      <c r="D16" s="25">
        <v>34172</v>
      </c>
      <c r="E16" s="25">
        <v>2441</v>
      </c>
      <c r="F16" s="25">
        <v>14020</v>
      </c>
      <c r="G16" s="24">
        <v>17.41</v>
      </c>
      <c r="H16" s="24">
        <v>14</v>
      </c>
    </row>
    <row r="17" spans="1:8">
      <c r="A17" s="24">
        <v>16</v>
      </c>
      <c r="B17" s="24" t="s">
        <v>171</v>
      </c>
      <c r="C17" s="24" t="s">
        <v>1464</v>
      </c>
      <c r="D17" s="25">
        <v>31939</v>
      </c>
      <c r="E17" s="25">
        <v>1996</v>
      </c>
      <c r="F17" s="25">
        <v>6800</v>
      </c>
      <c r="G17" s="24">
        <v>29.36</v>
      </c>
      <c r="H17" s="24">
        <v>16</v>
      </c>
    </row>
    <row r="18" spans="1:8">
      <c r="A18" s="24">
        <v>17</v>
      </c>
      <c r="B18" s="24" t="s">
        <v>189</v>
      </c>
      <c r="C18" s="24" t="s">
        <v>1459</v>
      </c>
      <c r="D18" s="25">
        <v>31475</v>
      </c>
      <c r="E18" s="25">
        <v>1749</v>
      </c>
      <c r="F18" s="25">
        <v>12541</v>
      </c>
      <c r="G18" s="24">
        <v>13.94</v>
      </c>
      <c r="H18" s="24">
        <v>18</v>
      </c>
    </row>
    <row r="19" spans="1:8">
      <c r="A19" s="24">
        <v>18</v>
      </c>
      <c r="B19" s="24" t="s">
        <v>1280</v>
      </c>
      <c r="C19" s="24" t="s">
        <v>1463</v>
      </c>
      <c r="D19" s="25">
        <v>30759</v>
      </c>
      <c r="E19" s="25">
        <v>2366</v>
      </c>
      <c r="F19" s="25">
        <v>5000</v>
      </c>
      <c r="G19" s="24">
        <v>47.32</v>
      </c>
      <c r="H19" s="24">
        <v>13</v>
      </c>
    </row>
    <row r="20" spans="1:8">
      <c r="A20" s="24">
        <v>19</v>
      </c>
      <c r="B20" s="24" t="s">
        <v>121</v>
      </c>
      <c r="C20" s="24" t="s">
        <v>1461</v>
      </c>
      <c r="D20" s="25">
        <v>30453</v>
      </c>
      <c r="E20" s="25">
        <v>1523</v>
      </c>
      <c r="F20" s="25">
        <v>8500</v>
      </c>
      <c r="G20" s="24">
        <v>17.91</v>
      </c>
      <c r="H20" s="24">
        <v>20</v>
      </c>
    </row>
    <row r="21" spans="1:8">
      <c r="A21" s="24">
        <v>20</v>
      </c>
      <c r="B21" s="24" t="s">
        <v>290</v>
      </c>
      <c r="C21" s="24" t="s">
        <v>1462</v>
      </c>
      <c r="D21" s="25">
        <v>27706</v>
      </c>
      <c r="E21" s="25">
        <v>3078</v>
      </c>
      <c r="F21" s="25">
        <v>10400</v>
      </c>
      <c r="G21" s="24">
        <v>29.6</v>
      </c>
      <c r="H21" s="24">
        <v>9</v>
      </c>
    </row>
    <row r="22" spans="1:8">
      <c r="A22" s="24">
        <v>21</v>
      </c>
      <c r="B22" s="24" t="s">
        <v>13</v>
      </c>
      <c r="C22" s="24" t="s">
        <v>1459</v>
      </c>
      <c r="D22" s="25">
        <v>27266</v>
      </c>
      <c r="E22" s="25">
        <v>1515</v>
      </c>
      <c r="F22" s="25">
        <v>14545</v>
      </c>
      <c r="G22" s="24">
        <v>10.41</v>
      </c>
      <c r="H22" s="24">
        <v>18</v>
      </c>
    </row>
    <row r="23" spans="1:8">
      <c r="A23" s="24">
        <v>22</v>
      </c>
      <c r="B23" s="24" t="s">
        <v>153</v>
      </c>
      <c r="C23" s="24" t="s">
        <v>1461</v>
      </c>
      <c r="D23" s="25">
        <v>26505</v>
      </c>
      <c r="E23" s="25">
        <v>1893</v>
      </c>
      <c r="F23" s="25">
        <v>13343</v>
      </c>
      <c r="G23" s="24">
        <v>14.19</v>
      </c>
      <c r="H23" s="24">
        <v>14</v>
      </c>
    </row>
    <row r="24" spans="1:8">
      <c r="A24" s="24">
        <v>23</v>
      </c>
      <c r="B24" s="24" t="s">
        <v>134</v>
      </c>
      <c r="C24" s="24" t="s">
        <v>1464</v>
      </c>
      <c r="D24" s="25">
        <v>26352</v>
      </c>
      <c r="E24" s="25">
        <v>2027</v>
      </c>
      <c r="F24" s="24">
        <v>950</v>
      </c>
      <c r="G24" s="24">
        <v>213.38</v>
      </c>
      <c r="H24" s="24">
        <v>13</v>
      </c>
    </row>
    <row r="25" spans="1:8">
      <c r="A25" s="24">
        <v>24</v>
      </c>
      <c r="B25" s="24" t="s">
        <v>183</v>
      </c>
      <c r="C25" s="24" t="s">
        <v>1465</v>
      </c>
      <c r="D25" s="25">
        <v>23783</v>
      </c>
      <c r="E25" s="25">
        <v>1982</v>
      </c>
      <c r="F25" s="25">
        <v>13080</v>
      </c>
      <c r="G25" s="24">
        <v>15.15</v>
      </c>
      <c r="H25" s="24">
        <v>12</v>
      </c>
    </row>
    <row r="26" spans="1:8">
      <c r="A26" s="24">
        <v>25</v>
      </c>
      <c r="B26" s="24" t="s">
        <v>184</v>
      </c>
      <c r="C26" s="24" t="s">
        <v>1457</v>
      </c>
      <c r="D26" s="25">
        <v>23544</v>
      </c>
      <c r="E26" s="25">
        <v>1811</v>
      </c>
      <c r="F26" s="25">
        <v>13276</v>
      </c>
      <c r="G26" s="24">
        <v>13.64</v>
      </c>
      <c r="H26" s="24">
        <v>13</v>
      </c>
    </row>
    <row r="27" spans="1:8">
      <c r="A27" s="24">
        <v>26</v>
      </c>
      <c r="B27" s="24" t="s">
        <v>14</v>
      </c>
      <c r="C27" s="24" t="s">
        <v>1459</v>
      </c>
      <c r="D27" s="25">
        <v>22373</v>
      </c>
      <c r="E27" s="25">
        <v>1398</v>
      </c>
      <c r="F27" s="25">
        <v>10734</v>
      </c>
      <c r="G27" s="24">
        <v>13.03</v>
      </c>
      <c r="H27" s="24">
        <v>16</v>
      </c>
    </row>
    <row r="28" spans="1:8">
      <c r="A28" s="24">
        <v>27</v>
      </c>
      <c r="B28" s="24" t="s">
        <v>166</v>
      </c>
      <c r="C28" s="24" t="s">
        <v>1460</v>
      </c>
      <c r="D28" s="25">
        <v>21085</v>
      </c>
      <c r="E28" s="25">
        <v>1318</v>
      </c>
      <c r="F28" s="24">
        <v>0</v>
      </c>
      <c r="G28" s="24" t="s">
        <v>1466</v>
      </c>
      <c r="H28" s="24">
        <v>16</v>
      </c>
    </row>
    <row r="29" spans="1:8">
      <c r="A29" s="24">
        <v>28</v>
      </c>
      <c r="B29" s="24" t="s">
        <v>35</v>
      </c>
      <c r="C29" s="24" t="s">
        <v>1467</v>
      </c>
      <c r="D29" s="25">
        <v>20649</v>
      </c>
      <c r="E29" s="25">
        <v>1588</v>
      </c>
      <c r="F29" s="25">
        <v>5000</v>
      </c>
      <c r="G29" s="24">
        <v>31.77</v>
      </c>
      <c r="H29" s="24">
        <v>13</v>
      </c>
    </row>
    <row r="30" spans="1:8">
      <c r="A30" s="24">
        <v>29</v>
      </c>
      <c r="B30" s="24" t="s">
        <v>67</v>
      </c>
      <c r="C30" s="24" t="s">
        <v>1464</v>
      </c>
      <c r="D30" s="25">
        <v>19943</v>
      </c>
      <c r="E30" s="25">
        <v>1330</v>
      </c>
      <c r="F30" s="25">
        <v>9314</v>
      </c>
      <c r="G30" s="24">
        <v>14.27</v>
      </c>
      <c r="H30" s="24">
        <v>15</v>
      </c>
    </row>
    <row r="31" spans="1:8">
      <c r="A31" s="24">
        <v>30</v>
      </c>
      <c r="B31" s="24" t="s">
        <v>248</v>
      </c>
      <c r="C31" s="24" t="s">
        <v>1461</v>
      </c>
      <c r="D31" s="25">
        <v>19635</v>
      </c>
      <c r="E31" s="25">
        <v>1309</v>
      </c>
      <c r="F31" s="25">
        <v>12989</v>
      </c>
      <c r="G31" s="24">
        <v>10.08</v>
      </c>
      <c r="H31" s="24">
        <v>15</v>
      </c>
    </row>
    <row r="32" spans="1:8">
      <c r="A32" s="24">
        <v>31</v>
      </c>
      <c r="B32" s="24" t="s">
        <v>118</v>
      </c>
      <c r="C32" s="24" t="s">
        <v>1463</v>
      </c>
      <c r="D32" s="25">
        <v>19283</v>
      </c>
      <c r="E32" s="25">
        <v>1205</v>
      </c>
      <c r="F32" s="25">
        <v>1300</v>
      </c>
      <c r="G32" s="24">
        <v>92.71</v>
      </c>
      <c r="H32" s="24">
        <v>16</v>
      </c>
    </row>
    <row r="33" spans="1:8">
      <c r="A33" s="24">
        <v>32</v>
      </c>
      <c r="B33" s="24" t="s">
        <v>56</v>
      </c>
      <c r="C33" s="24" t="s">
        <v>1468</v>
      </c>
      <c r="D33" s="25">
        <v>19239</v>
      </c>
      <c r="E33" s="25">
        <v>1283</v>
      </c>
      <c r="F33" s="25">
        <v>2500</v>
      </c>
      <c r="G33" s="24">
        <v>51.3</v>
      </c>
      <c r="H33" s="24">
        <v>15</v>
      </c>
    </row>
    <row r="34" spans="1:8">
      <c r="A34" s="24">
        <v>33</v>
      </c>
      <c r="B34" s="24" t="s">
        <v>147</v>
      </c>
      <c r="C34" s="24" t="s">
        <v>1457</v>
      </c>
      <c r="D34" s="25">
        <v>19040</v>
      </c>
      <c r="E34" s="25">
        <v>1269</v>
      </c>
      <c r="F34" s="25">
        <v>1850</v>
      </c>
      <c r="G34" s="24">
        <v>68.61</v>
      </c>
      <c r="H34" s="24">
        <v>15</v>
      </c>
    </row>
    <row r="35" spans="1:8">
      <c r="A35" s="24">
        <v>34</v>
      </c>
      <c r="B35" s="24" t="s">
        <v>227</v>
      </c>
      <c r="C35" s="24" t="s">
        <v>1461</v>
      </c>
      <c r="D35" s="25">
        <v>18581</v>
      </c>
      <c r="E35" s="25">
        <v>1239</v>
      </c>
      <c r="F35" s="25">
        <v>1200</v>
      </c>
      <c r="G35" s="24">
        <v>103.23</v>
      </c>
      <c r="H35" s="24">
        <v>15</v>
      </c>
    </row>
    <row r="36" spans="1:8">
      <c r="A36" s="24">
        <v>35</v>
      </c>
      <c r="B36" s="24" t="s">
        <v>1270</v>
      </c>
      <c r="C36" s="24" t="s">
        <v>1459</v>
      </c>
      <c r="D36" s="25">
        <v>18378</v>
      </c>
      <c r="E36" s="25">
        <v>1149</v>
      </c>
      <c r="F36" s="25">
        <v>11196</v>
      </c>
      <c r="G36" s="24">
        <v>10.26</v>
      </c>
      <c r="H36" s="24">
        <v>16</v>
      </c>
    </row>
    <row r="37" spans="1:8">
      <c r="A37" s="24">
        <v>36</v>
      </c>
      <c r="B37" s="24" t="s">
        <v>130</v>
      </c>
      <c r="C37" s="24" t="s">
        <v>1458</v>
      </c>
      <c r="D37" s="25">
        <v>17708</v>
      </c>
      <c r="E37" s="25">
        <v>1107</v>
      </c>
      <c r="F37" s="25">
        <v>4200</v>
      </c>
      <c r="G37" s="24">
        <v>26.35</v>
      </c>
      <c r="H37" s="24">
        <v>16</v>
      </c>
    </row>
    <row r="38" spans="1:8">
      <c r="A38" s="24">
        <v>37</v>
      </c>
      <c r="B38" s="24" t="s">
        <v>1305</v>
      </c>
      <c r="C38" s="24" t="s">
        <v>1463</v>
      </c>
      <c r="D38" s="25">
        <v>16856</v>
      </c>
      <c r="E38" s="25">
        <v>1054</v>
      </c>
      <c r="F38" s="25">
        <v>1350</v>
      </c>
      <c r="G38" s="24">
        <v>78.040000000000006</v>
      </c>
      <c r="H38" s="24">
        <v>16</v>
      </c>
    </row>
    <row r="39" spans="1:8">
      <c r="A39" s="24">
        <v>38</v>
      </c>
      <c r="B39" s="24" t="s">
        <v>181</v>
      </c>
      <c r="C39" s="24" t="s">
        <v>1464</v>
      </c>
      <c r="D39" s="25">
        <v>16483</v>
      </c>
      <c r="E39" s="25">
        <v>1099</v>
      </c>
      <c r="F39" s="25">
        <v>9149</v>
      </c>
      <c r="G39" s="24">
        <v>12.01</v>
      </c>
      <c r="H39" s="24">
        <v>15</v>
      </c>
    </row>
    <row r="40" spans="1:8">
      <c r="A40" s="24">
        <v>39</v>
      </c>
      <c r="B40" s="24" t="s">
        <v>81</v>
      </c>
      <c r="C40" s="24" t="s">
        <v>1464</v>
      </c>
      <c r="D40" s="25">
        <v>16268</v>
      </c>
      <c r="E40" s="24">
        <v>957</v>
      </c>
      <c r="F40" s="25">
        <v>1162</v>
      </c>
      <c r="G40" s="24">
        <v>82.35</v>
      </c>
      <c r="H40" s="24">
        <v>17</v>
      </c>
    </row>
    <row r="41" spans="1:8">
      <c r="A41" s="24">
        <v>40</v>
      </c>
      <c r="B41" s="24" t="s">
        <v>141</v>
      </c>
      <c r="C41" s="24" t="s">
        <v>1457</v>
      </c>
      <c r="D41" s="25">
        <v>15387</v>
      </c>
      <c r="E41" s="25">
        <v>1539</v>
      </c>
      <c r="F41" s="25">
        <v>1500</v>
      </c>
      <c r="G41" s="24">
        <v>102.58</v>
      </c>
      <c r="H41" s="24">
        <v>10</v>
      </c>
    </row>
    <row r="42" spans="1:8">
      <c r="A42" s="24">
        <v>41</v>
      </c>
      <c r="B42" s="24" t="s">
        <v>16</v>
      </c>
      <c r="C42" s="24" t="s">
        <v>1461</v>
      </c>
      <c r="D42" s="25">
        <v>15265</v>
      </c>
      <c r="E42" s="24">
        <v>954</v>
      </c>
      <c r="F42" s="25">
        <v>8500</v>
      </c>
      <c r="G42" s="24">
        <v>11.22</v>
      </c>
      <c r="H42" s="24">
        <v>16</v>
      </c>
    </row>
    <row r="43" spans="1:8">
      <c r="A43" s="24">
        <v>42</v>
      </c>
      <c r="B43" s="24" t="s">
        <v>90</v>
      </c>
      <c r="C43" s="24" t="s">
        <v>1461</v>
      </c>
      <c r="D43" s="25">
        <v>15264</v>
      </c>
      <c r="E43" s="24">
        <v>954</v>
      </c>
      <c r="F43" s="25">
        <v>1925</v>
      </c>
      <c r="G43" s="24">
        <v>49.56</v>
      </c>
      <c r="H43" s="24">
        <v>16</v>
      </c>
    </row>
    <row r="44" spans="1:8">
      <c r="A44" s="24">
        <v>43</v>
      </c>
      <c r="B44" s="24" t="s">
        <v>47</v>
      </c>
      <c r="C44" s="24" t="s">
        <v>1464</v>
      </c>
      <c r="D44" s="25">
        <v>14559</v>
      </c>
      <c r="E44" s="24">
        <v>856</v>
      </c>
      <c r="F44" s="25">
        <v>2000</v>
      </c>
      <c r="G44" s="24">
        <v>42.82</v>
      </c>
      <c r="H44" s="24">
        <v>17</v>
      </c>
    </row>
    <row r="45" spans="1:8">
      <c r="A45" s="24">
        <v>44</v>
      </c>
      <c r="B45" s="24" t="s">
        <v>190</v>
      </c>
      <c r="C45" s="24" t="s">
        <v>1459</v>
      </c>
      <c r="D45" s="25">
        <v>13807</v>
      </c>
      <c r="E45" s="25">
        <v>1151</v>
      </c>
      <c r="F45" s="25">
        <v>9604</v>
      </c>
      <c r="G45" s="24">
        <v>11.98</v>
      </c>
      <c r="H45" s="24">
        <v>12</v>
      </c>
    </row>
    <row r="46" spans="1:8">
      <c r="A46" s="24">
        <v>45</v>
      </c>
      <c r="B46" s="24" t="s">
        <v>179</v>
      </c>
      <c r="C46" s="24" t="s">
        <v>1457</v>
      </c>
      <c r="D46" s="25">
        <v>13764</v>
      </c>
      <c r="E46" s="24">
        <v>918</v>
      </c>
      <c r="F46" s="25">
        <v>8117</v>
      </c>
      <c r="G46" s="24">
        <v>11.3</v>
      </c>
      <c r="H46" s="24">
        <v>15</v>
      </c>
    </row>
    <row r="47" spans="1:8">
      <c r="A47" s="24">
        <v>46</v>
      </c>
      <c r="B47" s="24" t="s">
        <v>111</v>
      </c>
      <c r="C47" s="24" t="s">
        <v>1457</v>
      </c>
      <c r="D47" s="25">
        <v>13752</v>
      </c>
      <c r="E47" s="25">
        <v>1375</v>
      </c>
      <c r="F47" s="25">
        <v>8715</v>
      </c>
      <c r="G47" s="24">
        <v>15.78</v>
      </c>
      <c r="H47" s="24">
        <v>10</v>
      </c>
    </row>
    <row r="48" spans="1:8">
      <c r="A48" s="24">
        <v>47</v>
      </c>
      <c r="B48" s="24" t="s">
        <v>250</v>
      </c>
      <c r="C48" s="24" t="s">
        <v>1469</v>
      </c>
      <c r="D48" s="25">
        <v>13750</v>
      </c>
      <c r="E48" s="24">
        <v>764</v>
      </c>
      <c r="F48" s="25">
        <v>7200</v>
      </c>
      <c r="G48" s="24">
        <v>10.61</v>
      </c>
      <c r="H48" s="24">
        <v>18</v>
      </c>
    </row>
    <row r="49" spans="1:8">
      <c r="A49" s="24">
        <v>48</v>
      </c>
      <c r="B49" s="24" t="s">
        <v>108</v>
      </c>
      <c r="C49" s="24" t="s">
        <v>1457</v>
      </c>
      <c r="D49" s="25">
        <v>13510</v>
      </c>
      <c r="E49" s="24">
        <v>844</v>
      </c>
      <c r="F49" s="25">
        <v>2000</v>
      </c>
      <c r="G49" s="24">
        <v>42.22</v>
      </c>
      <c r="H49" s="24">
        <v>16</v>
      </c>
    </row>
    <row r="50" spans="1:8">
      <c r="A50" s="24">
        <v>49</v>
      </c>
      <c r="B50" s="24" t="s">
        <v>275</v>
      </c>
      <c r="C50" s="24" t="s">
        <v>1459</v>
      </c>
      <c r="D50" s="25">
        <v>13446</v>
      </c>
      <c r="E50" s="24">
        <v>960</v>
      </c>
      <c r="F50" s="25">
        <v>15000</v>
      </c>
      <c r="G50" s="24">
        <v>6.4</v>
      </c>
      <c r="H50" s="24">
        <v>14</v>
      </c>
    </row>
    <row r="51" spans="1:8">
      <c r="A51" s="24">
        <v>50</v>
      </c>
      <c r="B51" s="24" t="s">
        <v>276</v>
      </c>
      <c r="C51" s="24" t="s">
        <v>1460</v>
      </c>
      <c r="D51" s="25">
        <v>13144</v>
      </c>
      <c r="E51" s="25">
        <v>1011</v>
      </c>
      <c r="F51" s="25">
        <v>1400</v>
      </c>
      <c r="G51" s="24">
        <v>72.22</v>
      </c>
      <c r="H51" s="24">
        <v>13</v>
      </c>
    </row>
    <row r="52" spans="1:8">
      <c r="A52" s="24">
        <v>51</v>
      </c>
      <c r="B52" s="24" t="s">
        <v>1303</v>
      </c>
      <c r="C52" s="24" t="s">
        <v>1459</v>
      </c>
      <c r="D52" s="25">
        <v>12640</v>
      </c>
      <c r="E52" s="25">
        <v>1149</v>
      </c>
      <c r="F52" s="25">
        <v>10258</v>
      </c>
      <c r="G52" s="24">
        <v>11.2</v>
      </c>
      <c r="H52" s="24">
        <v>11</v>
      </c>
    </row>
    <row r="53" spans="1:8">
      <c r="A53" s="24">
        <v>52</v>
      </c>
      <c r="B53" s="24" t="s">
        <v>176</v>
      </c>
      <c r="C53" s="24" t="s">
        <v>1470</v>
      </c>
      <c r="D53" s="25">
        <v>12548</v>
      </c>
      <c r="E53" s="24">
        <v>837</v>
      </c>
      <c r="F53" s="25">
        <v>2977</v>
      </c>
      <c r="G53" s="24">
        <v>28.1</v>
      </c>
      <c r="H53" s="24">
        <v>15</v>
      </c>
    </row>
    <row r="54" spans="1:8">
      <c r="A54" s="24">
        <v>53</v>
      </c>
      <c r="B54" s="24" t="s">
        <v>172</v>
      </c>
      <c r="C54" s="24" t="s">
        <v>1470</v>
      </c>
      <c r="D54" s="25">
        <v>12458</v>
      </c>
      <c r="E54" s="25">
        <v>1038</v>
      </c>
      <c r="F54" s="25">
        <v>3800</v>
      </c>
      <c r="G54" s="24">
        <v>27.32</v>
      </c>
      <c r="H54" s="24">
        <v>12</v>
      </c>
    </row>
    <row r="55" spans="1:8">
      <c r="A55" s="24">
        <v>54</v>
      </c>
      <c r="B55" s="24" t="s">
        <v>7</v>
      </c>
      <c r="C55" s="24" t="s">
        <v>1461</v>
      </c>
      <c r="D55" s="25">
        <v>12289</v>
      </c>
      <c r="E55" s="24">
        <v>945</v>
      </c>
      <c r="F55" s="25">
        <v>3800</v>
      </c>
      <c r="G55" s="24">
        <v>24.88</v>
      </c>
      <c r="H55" s="24">
        <v>13</v>
      </c>
    </row>
    <row r="56" spans="1:8">
      <c r="A56" s="24">
        <v>55</v>
      </c>
      <c r="B56" s="24" t="s">
        <v>185</v>
      </c>
      <c r="C56" s="24" t="s">
        <v>1463</v>
      </c>
      <c r="D56" s="25">
        <v>12246</v>
      </c>
      <c r="E56" s="24">
        <v>942</v>
      </c>
      <c r="F56" s="25">
        <v>2000</v>
      </c>
      <c r="G56" s="24">
        <v>47.1</v>
      </c>
      <c r="H56" s="24">
        <v>13</v>
      </c>
    </row>
    <row r="57" spans="1:8">
      <c r="A57" s="24">
        <v>56</v>
      </c>
      <c r="B57" s="24" t="s">
        <v>18</v>
      </c>
      <c r="C57" s="24" t="s">
        <v>1461</v>
      </c>
      <c r="D57" s="25">
        <v>11835</v>
      </c>
      <c r="E57" s="24">
        <v>789</v>
      </c>
      <c r="F57" s="25">
        <v>2000</v>
      </c>
      <c r="G57" s="24">
        <v>39.450000000000003</v>
      </c>
      <c r="H57" s="24">
        <v>15</v>
      </c>
    </row>
    <row r="58" spans="1:8">
      <c r="A58" s="24">
        <v>57</v>
      </c>
      <c r="B58" s="24" t="s">
        <v>106</v>
      </c>
      <c r="C58" s="24" t="s">
        <v>1462</v>
      </c>
      <c r="D58" s="25">
        <v>10638</v>
      </c>
      <c r="E58" s="25">
        <v>1064</v>
      </c>
      <c r="F58" s="25">
        <v>10200</v>
      </c>
      <c r="G58" s="24">
        <v>10.43</v>
      </c>
      <c r="H58" s="24">
        <v>10</v>
      </c>
    </row>
    <row r="59" spans="1:8">
      <c r="A59" s="24">
        <v>58</v>
      </c>
      <c r="B59" s="24" t="s">
        <v>60</v>
      </c>
      <c r="C59" s="24" t="s">
        <v>1471</v>
      </c>
      <c r="D59" s="25">
        <v>10567</v>
      </c>
      <c r="E59" s="24">
        <v>755</v>
      </c>
      <c r="F59" s="25">
        <v>5000</v>
      </c>
      <c r="G59" s="24">
        <v>15.1</v>
      </c>
      <c r="H59" s="24">
        <v>14</v>
      </c>
    </row>
    <row r="60" spans="1:8">
      <c r="A60" s="24">
        <v>59</v>
      </c>
      <c r="B60" s="24" t="s">
        <v>261</v>
      </c>
      <c r="C60" s="24" t="s">
        <v>1459</v>
      </c>
      <c r="D60" s="25">
        <v>10536</v>
      </c>
      <c r="E60" s="24">
        <v>810</v>
      </c>
      <c r="F60" s="25">
        <v>13800</v>
      </c>
      <c r="G60" s="24">
        <v>5.87</v>
      </c>
      <c r="H60" s="24">
        <v>13</v>
      </c>
    </row>
    <row r="61" spans="1:8">
      <c r="A61" s="24">
        <v>60</v>
      </c>
      <c r="B61" s="24" t="s">
        <v>1284</v>
      </c>
      <c r="C61" s="24" t="s">
        <v>1468</v>
      </c>
      <c r="D61" s="25">
        <v>10487</v>
      </c>
      <c r="E61" s="24">
        <v>749</v>
      </c>
      <c r="F61" s="25">
        <v>4000</v>
      </c>
      <c r="G61" s="24">
        <v>18.73</v>
      </c>
      <c r="H61" s="24">
        <v>14</v>
      </c>
    </row>
    <row r="62" spans="1:8">
      <c r="A62" s="24">
        <v>61</v>
      </c>
      <c r="B62" s="24" t="s">
        <v>244</v>
      </c>
      <c r="C62" s="24" t="s">
        <v>1461</v>
      </c>
      <c r="D62" s="25">
        <v>10406</v>
      </c>
      <c r="E62" s="24">
        <v>800</v>
      </c>
      <c r="F62" s="25">
        <v>7500</v>
      </c>
      <c r="G62" s="24">
        <v>10.67</v>
      </c>
      <c r="H62" s="24">
        <v>13</v>
      </c>
    </row>
    <row r="63" spans="1:8">
      <c r="A63" s="24">
        <v>62</v>
      </c>
      <c r="B63" s="24" t="s">
        <v>266</v>
      </c>
      <c r="C63" s="24" t="s">
        <v>1472</v>
      </c>
      <c r="D63" s="25">
        <v>10168</v>
      </c>
      <c r="E63" s="24">
        <v>678</v>
      </c>
      <c r="F63" s="25">
        <v>5500</v>
      </c>
      <c r="G63" s="24">
        <v>12.32</v>
      </c>
      <c r="H63" s="24">
        <v>15</v>
      </c>
    </row>
    <row r="64" spans="1:8">
      <c r="A64" s="24">
        <v>63</v>
      </c>
      <c r="B64" s="24" t="s">
        <v>1322</v>
      </c>
      <c r="C64" s="24" t="s">
        <v>1460</v>
      </c>
      <c r="D64" s="25">
        <v>9879</v>
      </c>
      <c r="E64" s="24">
        <v>659</v>
      </c>
      <c r="F64" s="25">
        <v>1200</v>
      </c>
      <c r="G64" s="24">
        <v>54.88</v>
      </c>
      <c r="H64" s="24">
        <v>15</v>
      </c>
    </row>
    <row r="65" spans="1:8">
      <c r="A65" s="24">
        <v>63</v>
      </c>
      <c r="B65" s="24" t="s">
        <v>163</v>
      </c>
      <c r="C65" s="24" t="s">
        <v>1464</v>
      </c>
      <c r="D65" s="25">
        <v>9879</v>
      </c>
      <c r="E65" s="24">
        <v>659</v>
      </c>
      <c r="F65" s="25">
        <v>12400</v>
      </c>
      <c r="G65" s="24">
        <v>5.31</v>
      </c>
      <c r="H65" s="24">
        <v>15</v>
      </c>
    </row>
    <row r="66" spans="1:8">
      <c r="A66" s="24">
        <v>65</v>
      </c>
      <c r="B66" s="24" t="s">
        <v>21</v>
      </c>
      <c r="C66" s="24" t="s">
        <v>1463</v>
      </c>
      <c r="D66" s="25">
        <v>9660</v>
      </c>
      <c r="E66" s="24">
        <v>690</v>
      </c>
      <c r="F66" s="25">
        <v>10080</v>
      </c>
      <c r="G66" s="24">
        <v>6.85</v>
      </c>
      <c r="H66" s="24">
        <v>14</v>
      </c>
    </row>
    <row r="67" spans="1:8">
      <c r="A67" s="24">
        <v>66</v>
      </c>
      <c r="B67" s="24" t="s">
        <v>92</v>
      </c>
      <c r="C67" s="24" t="s">
        <v>1464</v>
      </c>
      <c r="D67" s="25">
        <v>9565</v>
      </c>
      <c r="E67" s="24">
        <v>736</v>
      </c>
      <c r="F67" s="25">
        <v>2000</v>
      </c>
      <c r="G67" s="24">
        <v>36.79</v>
      </c>
      <c r="H67" s="24">
        <v>13</v>
      </c>
    </row>
    <row r="68" spans="1:8">
      <c r="A68" s="24">
        <v>67</v>
      </c>
      <c r="B68" s="24" t="s">
        <v>273</v>
      </c>
      <c r="C68" s="24" t="s">
        <v>1469</v>
      </c>
      <c r="D68" s="25">
        <v>9505</v>
      </c>
      <c r="E68" s="24">
        <v>559</v>
      </c>
      <c r="F68" s="25">
        <v>7000</v>
      </c>
      <c r="G68" s="24">
        <v>7.99</v>
      </c>
      <c r="H68" s="24">
        <v>17</v>
      </c>
    </row>
    <row r="69" spans="1:8">
      <c r="A69" s="24">
        <v>68</v>
      </c>
      <c r="B69" s="24" t="s">
        <v>288</v>
      </c>
      <c r="C69" s="24" t="s">
        <v>1473</v>
      </c>
      <c r="D69" s="25">
        <v>9435</v>
      </c>
      <c r="E69" s="24">
        <v>726</v>
      </c>
      <c r="F69" s="25">
        <v>7326</v>
      </c>
      <c r="G69" s="24">
        <v>9.91</v>
      </c>
      <c r="H69" s="24">
        <v>13</v>
      </c>
    </row>
    <row r="70" spans="1:8">
      <c r="A70" s="24">
        <v>69</v>
      </c>
      <c r="B70" s="24" t="s">
        <v>167</v>
      </c>
      <c r="C70" s="24" t="s">
        <v>1474</v>
      </c>
      <c r="D70" s="25">
        <v>9299</v>
      </c>
      <c r="E70" s="24">
        <v>775</v>
      </c>
      <c r="F70" s="25">
        <v>13007</v>
      </c>
      <c r="G70" s="24">
        <v>5.96</v>
      </c>
      <c r="H70" s="24">
        <v>12</v>
      </c>
    </row>
    <row r="71" spans="1:8">
      <c r="A71" s="24">
        <v>70</v>
      </c>
      <c r="B71" s="24" t="s">
        <v>251</v>
      </c>
      <c r="C71" s="24" t="s">
        <v>1463</v>
      </c>
      <c r="D71" s="25">
        <v>9202</v>
      </c>
      <c r="E71" s="24">
        <v>657</v>
      </c>
      <c r="F71" s="25">
        <v>15050</v>
      </c>
      <c r="G71" s="24">
        <v>4.37</v>
      </c>
      <c r="H71" s="24">
        <v>14</v>
      </c>
    </row>
    <row r="72" spans="1:8">
      <c r="A72" s="24">
        <v>71</v>
      </c>
      <c r="B72" s="24" t="s">
        <v>38</v>
      </c>
      <c r="C72" s="24" t="s">
        <v>1459</v>
      </c>
      <c r="D72" s="25">
        <v>9197</v>
      </c>
      <c r="E72" s="24">
        <v>707</v>
      </c>
      <c r="F72" s="25">
        <v>11877</v>
      </c>
      <c r="G72" s="24">
        <v>5.96</v>
      </c>
      <c r="H72" s="24">
        <v>13</v>
      </c>
    </row>
    <row r="73" spans="1:8">
      <c r="A73" s="24">
        <v>72</v>
      </c>
      <c r="B73" s="24" t="s">
        <v>144</v>
      </c>
      <c r="C73" s="24" t="s">
        <v>1266</v>
      </c>
      <c r="D73" s="25">
        <v>9108</v>
      </c>
      <c r="E73" s="24">
        <v>701</v>
      </c>
      <c r="F73" s="25">
        <v>2565</v>
      </c>
      <c r="G73" s="24">
        <v>27.31</v>
      </c>
      <c r="H73" s="24">
        <v>13</v>
      </c>
    </row>
    <row r="74" spans="1:8">
      <c r="A74" s="24">
        <v>73</v>
      </c>
      <c r="B74" s="24" t="s">
        <v>1317</v>
      </c>
      <c r="C74" s="24" t="s">
        <v>1464</v>
      </c>
      <c r="D74" s="25">
        <v>9069</v>
      </c>
      <c r="E74" s="24">
        <v>533</v>
      </c>
      <c r="F74" s="25">
        <v>2000</v>
      </c>
      <c r="G74" s="24">
        <v>26.67</v>
      </c>
      <c r="H74" s="24">
        <v>17</v>
      </c>
    </row>
    <row r="75" spans="1:8">
      <c r="A75" s="24">
        <v>74</v>
      </c>
      <c r="B75" s="24" t="s">
        <v>136</v>
      </c>
      <c r="C75" s="24" t="s">
        <v>1461</v>
      </c>
      <c r="D75" s="25">
        <v>9027</v>
      </c>
      <c r="E75" s="25">
        <v>1003</v>
      </c>
      <c r="F75" s="25">
        <v>13215</v>
      </c>
      <c r="G75" s="24">
        <v>7.59</v>
      </c>
      <c r="H75" s="24">
        <v>9</v>
      </c>
    </row>
    <row r="76" spans="1:8">
      <c r="A76" s="24">
        <v>75</v>
      </c>
      <c r="B76" s="24" t="s">
        <v>157</v>
      </c>
      <c r="C76" s="24" t="s">
        <v>1475</v>
      </c>
      <c r="D76" s="25">
        <v>8974</v>
      </c>
      <c r="E76" s="24">
        <v>641</v>
      </c>
      <c r="F76" s="25">
        <v>3500</v>
      </c>
      <c r="G76" s="24">
        <v>18.309999999999999</v>
      </c>
      <c r="H76" s="24">
        <v>14</v>
      </c>
    </row>
    <row r="77" spans="1:8">
      <c r="A77" s="24">
        <v>76</v>
      </c>
      <c r="B77" s="24" t="s">
        <v>104</v>
      </c>
      <c r="C77" s="24" t="s">
        <v>1470</v>
      </c>
      <c r="D77" s="25">
        <v>8859</v>
      </c>
      <c r="E77" s="24">
        <v>738</v>
      </c>
      <c r="F77" s="24">
        <v>0</v>
      </c>
      <c r="G77" s="24" t="s">
        <v>1466</v>
      </c>
      <c r="H77" s="24">
        <v>12</v>
      </c>
    </row>
    <row r="78" spans="1:8">
      <c r="A78" s="24">
        <v>77</v>
      </c>
      <c r="B78" s="24" t="s">
        <v>1318</v>
      </c>
      <c r="C78" s="24" t="s">
        <v>1459</v>
      </c>
      <c r="D78" s="25">
        <v>8740</v>
      </c>
      <c r="E78" s="24">
        <v>672</v>
      </c>
      <c r="F78" s="25">
        <v>3000</v>
      </c>
      <c r="G78" s="24">
        <v>22.41</v>
      </c>
      <c r="H78" s="24">
        <v>13</v>
      </c>
    </row>
    <row r="79" spans="1:8">
      <c r="A79" s="24">
        <v>78</v>
      </c>
      <c r="B79" s="24" t="s">
        <v>1319</v>
      </c>
      <c r="C79" s="24" t="s">
        <v>1463</v>
      </c>
      <c r="D79" s="25">
        <v>8714</v>
      </c>
      <c r="E79" s="24">
        <v>581</v>
      </c>
      <c r="F79" s="25">
        <v>14000</v>
      </c>
      <c r="G79" s="24">
        <v>4.1500000000000004</v>
      </c>
      <c r="H79" s="24">
        <v>15</v>
      </c>
    </row>
    <row r="80" spans="1:8">
      <c r="A80" s="24">
        <v>79</v>
      </c>
      <c r="B80" s="24" t="s">
        <v>1323</v>
      </c>
      <c r="C80" s="24" t="s">
        <v>1468</v>
      </c>
      <c r="D80" s="25">
        <v>8681</v>
      </c>
      <c r="E80" s="24">
        <v>543</v>
      </c>
      <c r="F80" s="25">
        <v>10250</v>
      </c>
      <c r="G80" s="24">
        <v>5.29</v>
      </c>
      <c r="H80" s="24">
        <v>16</v>
      </c>
    </row>
    <row r="81" spans="1:8">
      <c r="A81" s="24">
        <v>80</v>
      </c>
      <c r="B81" s="24" t="s">
        <v>191</v>
      </c>
      <c r="C81" s="24" t="s">
        <v>1467</v>
      </c>
      <c r="D81" s="25">
        <v>8626</v>
      </c>
      <c r="E81" s="24">
        <v>719</v>
      </c>
      <c r="F81" s="25">
        <v>6150</v>
      </c>
      <c r="G81" s="24">
        <v>11.69</v>
      </c>
      <c r="H81" s="24">
        <v>12</v>
      </c>
    </row>
    <row r="82" spans="1:8">
      <c r="A82" s="24">
        <v>81</v>
      </c>
      <c r="B82" s="24" t="s">
        <v>1302</v>
      </c>
      <c r="C82" s="24" t="s">
        <v>1266</v>
      </c>
      <c r="D82" s="25">
        <v>8625</v>
      </c>
      <c r="E82" s="24">
        <v>539</v>
      </c>
      <c r="F82" s="25">
        <v>8998</v>
      </c>
      <c r="G82" s="24">
        <v>5.99</v>
      </c>
      <c r="H82" s="24">
        <v>16</v>
      </c>
    </row>
    <row r="83" spans="1:8">
      <c r="A83" s="24">
        <v>82</v>
      </c>
      <c r="B83" s="24" t="s">
        <v>194</v>
      </c>
      <c r="C83" s="24" t="s">
        <v>1464</v>
      </c>
      <c r="D83" s="25">
        <v>8528</v>
      </c>
      <c r="E83" s="24">
        <v>533</v>
      </c>
      <c r="F83" s="25">
        <v>6798</v>
      </c>
      <c r="G83" s="24">
        <v>7.84</v>
      </c>
      <c r="H83" s="24">
        <v>16</v>
      </c>
    </row>
    <row r="84" spans="1:8">
      <c r="A84" s="24">
        <v>83</v>
      </c>
      <c r="B84" s="24" t="s">
        <v>289</v>
      </c>
      <c r="C84" s="24" t="s">
        <v>1465</v>
      </c>
      <c r="D84" s="25">
        <v>8342</v>
      </c>
      <c r="E84" s="24">
        <v>758</v>
      </c>
      <c r="F84" s="25">
        <v>5421</v>
      </c>
      <c r="G84" s="24">
        <v>13.99</v>
      </c>
      <c r="H84" s="24">
        <v>11</v>
      </c>
    </row>
    <row r="85" spans="1:8">
      <c r="A85" s="24">
        <v>84</v>
      </c>
      <c r="B85" s="24" t="s">
        <v>187</v>
      </c>
      <c r="C85" s="24" t="s">
        <v>1461</v>
      </c>
      <c r="D85" s="25">
        <v>8289</v>
      </c>
      <c r="E85" s="24">
        <v>518</v>
      </c>
      <c r="F85" s="25">
        <v>1000</v>
      </c>
      <c r="G85" s="24">
        <v>51.81</v>
      </c>
      <c r="H85" s="24">
        <v>16</v>
      </c>
    </row>
    <row r="86" spans="1:8">
      <c r="A86" s="24">
        <v>85</v>
      </c>
      <c r="B86" s="24" t="s">
        <v>151</v>
      </c>
      <c r="C86" s="24" t="s">
        <v>1461</v>
      </c>
      <c r="D86" s="25">
        <v>8112</v>
      </c>
      <c r="E86" s="24">
        <v>477</v>
      </c>
      <c r="F86" s="25">
        <v>2000</v>
      </c>
      <c r="G86" s="24">
        <v>23.86</v>
      </c>
      <c r="H86" s="24">
        <v>17</v>
      </c>
    </row>
    <row r="87" spans="1:8">
      <c r="A87" s="24">
        <v>86</v>
      </c>
      <c r="B87" s="24" t="s">
        <v>283</v>
      </c>
      <c r="C87" s="24" t="s">
        <v>1464</v>
      </c>
      <c r="D87" s="25">
        <v>7954</v>
      </c>
      <c r="E87" s="24">
        <v>663</v>
      </c>
      <c r="F87" s="25">
        <v>10052</v>
      </c>
      <c r="G87" s="24">
        <v>6.59</v>
      </c>
      <c r="H87" s="24">
        <v>12</v>
      </c>
    </row>
    <row r="88" spans="1:8">
      <c r="A88" s="24">
        <v>87</v>
      </c>
      <c r="B88" s="24" t="s">
        <v>1266</v>
      </c>
      <c r="C88" s="24" t="s">
        <v>1476</v>
      </c>
      <c r="D88" s="25">
        <v>7923</v>
      </c>
      <c r="E88" s="24">
        <v>495</v>
      </c>
      <c r="F88" s="25">
        <v>2000</v>
      </c>
      <c r="G88" s="24">
        <v>24.76</v>
      </c>
      <c r="H88" s="24">
        <v>16</v>
      </c>
    </row>
    <row r="89" spans="1:8">
      <c r="A89" s="24">
        <v>88</v>
      </c>
      <c r="B89" s="24" t="s">
        <v>154</v>
      </c>
      <c r="C89" s="24" t="s">
        <v>1462</v>
      </c>
      <c r="D89" s="25">
        <v>7804</v>
      </c>
      <c r="E89" s="24">
        <v>600</v>
      </c>
      <c r="F89" s="25">
        <v>8846</v>
      </c>
      <c r="G89" s="24">
        <v>6.79</v>
      </c>
      <c r="H89" s="24">
        <v>13</v>
      </c>
    </row>
    <row r="90" spans="1:8">
      <c r="A90" s="24">
        <v>89</v>
      </c>
      <c r="B90" s="24" t="s">
        <v>83</v>
      </c>
      <c r="C90" s="24" t="s">
        <v>1460</v>
      </c>
      <c r="D90" s="25">
        <v>7773</v>
      </c>
      <c r="E90" s="24">
        <v>864</v>
      </c>
      <c r="F90" s="25">
        <v>2024</v>
      </c>
      <c r="G90" s="24">
        <v>42.67</v>
      </c>
      <c r="H90" s="24">
        <v>9</v>
      </c>
    </row>
    <row r="91" spans="1:8">
      <c r="A91" s="24">
        <v>90</v>
      </c>
      <c r="B91" s="24" t="s">
        <v>271</v>
      </c>
      <c r="C91" s="24" t="s">
        <v>1460</v>
      </c>
      <c r="D91" s="25">
        <v>7768</v>
      </c>
      <c r="E91" s="24">
        <v>518</v>
      </c>
      <c r="F91" s="25">
        <v>2500</v>
      </c>
      <c r="G91" s="24">
        <v>20.71</v>
      </c>
      <c r="H91" s="24">
        <v>15</v>
      </c>
    </row>
    <row r="92" spans="1:8">
      <c r="A92" s="24">
        <v>91</v>
      </c>
      <c r="B92" s="24" t="s">
        <v>28</v>
      </c>
      <c r="C92" s="24" t="s">
        <v>1465</v>
      </c>
      <c r="D92" s="25">
        <v>7651</v>
      </c>
      <c r="E92" s="24">
        <v>696</v>
      </c>
      <c r="F92" s="25">
        <v>4387</v>
      </c>
      <c r="G92" s="24">
        <v>15.85</v>
      </c>
      <c r="H92" s="24">
        <v>11</v>
      </c>
    </row>
    <row r="93" spans="1:8">
      <c r="A93" s="24">
        <v>92</v>
      </c>
      <c r="B93" s="24" t="s">
        <v>1279</v>
      </c>
      <c r="C93" s="24" t="s">
        <v>1470</v>
      </c>
      <c r="D93" s="25">
        <v>7499</v>
      </c>
      <c r="E93" s="24">
        <v>682</v>
      </c>
      <c r="F93" s="25">
        <v>1500</v>
      </c>
      <c r="G93" s="24">
        <v>45.45</v>
      </c>
      <c r="H93" s="24">
        <v>11</v>
      </c>
    </row>
    <row r="94" spans="1:8">
      <c r="A94" s="24">
        <v>93</v>
      </c>
      <c r="B94" s="24" t="s">
        <v>277</v>
      </c>
      <c r="C94" s="24" t="s">
        <v>1474</v>
      </c>
      <c r="D94" s="25">
        <v>7208</v>
      </c>
      <c r="E94" s="24">
        <v>601</v>
      </c>
      <c r="F94" s="25">
        <v>2000</v>
      </c>
      <c r="G94" s="24">
        <v>30.03</v>
      </c>
      <c r="H94" s="24">
        <v>12</v>
      </c>
    </row>
    <row r="95" spans="1:8">
      <c r="A95" s="24">
        <v>94</v>
      </c>
      <c r="B95" s="24" t="s">
        <v>237</v>
      </c>
      <c r="C95" s="24" t="s">
        <v>1470</v>
      </c>
      <c r="D95" s="25">
        <v>7164</v>
      </c>
      <c r="E95" s="24">
        <v>597</v>
      </c>
      <c r="F95" s="25">
        <v>5300</v>
      </c>
      <c r="G95" s="24">
        <v>11.26</v>
      </c>
      <c r="H95" s="24">
        <v>12</v>
      </c>
    </row>
    <row r="96" spans="1:8">
      <c r="A96" s="24">
        <v>95</v>
      </c>
      <c r="B96" s="24" t="s">
        <v>25</v>
      </c>
      <c r="C96" s="24" t="s">
        <v>1460</v>
      </c>
      <c r="D96" s="25">
        <v>7150</v>
      </c>
      <c r="E96" s="24">
        <v>596</v>
      </c>
      <c r="F96" s="25">
        <v>1400</v>
      </c>
      <c r="G96" s="24">
        <v>42.56</v>
      </c>
      <c r="H96" s="24">
        <v>12</v>
      </c>
    </row>
    <row r="97" spans="1:8">
      <c r="A97" s="24">
        <v>96</v>
      </c>
      <c r="B97" s="24" t="s">
        <v>280</v>
      </c>
      <c r="C97" s="24" t="s">
        <v>1477</v>
      </c>
      <c r="D97" s="25">
        <v>6997</v>
      </c>
      <c r="E97" s="24">
        <v>583</v>
      </c>
      <c r="F97" s="25">
        <v>5000</v>
      </c>
      <c r="G97" s="24">
        <v>11.66</v>
      </c>
      <c r="H97" s="24">
        <v>12</v>
      </c>
    </row>
    <row r="98" spans="1:8">
      <c r="A98" s="24">
        <v>97</v>
      </c>
      <c r="B98" s="24" t="s">
        <v>175</v>
      </c>
      <c r="C98" s="24" t="s">
        <v>1473</v>
      </c>
      <c r="D98" s="25">
        <v>6986</v>
      </c>
      <c r="E98" s="24">
        <v>466</v>
      </c>
      <c r="F98" s="24">
        <v>600</v>
      </c>
      <c r="G98" s="24">
        <v>77.62</v>
      </c>
      <c r="H98" s="24">
        <v>15</v>
      </c>
    </row>
    <row r="99" spans="1:8">
      <c r="A99" s="24">
        <v>98</v>
      </c>
      <c r="B99" s="24" t="s">
        <v>182</v>
      </c>
      <c r="C99" s="24" t="s">
        <v>1477</v>
      </c>
      <c r="D99" s="25">
        <v>6980</v>
      </c>
      <c r="E99" s="24">
        <v>537</v>
      </c>
      <c r="F99" s="25">
        <v>3000</v>
      </c>
      <c r="G99" s="24">
        <v>17.899999999999999</v>
      </c>
      <c r="H99" s="24">
        <v>13</v>
      </c>
    </row>
    <row r="100" spans="1:8">
      <c r="A100" s="24">
        <v>99</v>
      </c>
      <c r="B100" s="24" t="s">
        <v>282</v>
      </c>
      <c r="C100" s="24" t="s">
        <v>1464</v>
      </c>
      <c r="D100" s="25">
        <v>6977</v>
      </c>
      <c r="E100" s="24">
        <v>581</v>
      </c>
      <c r="F100" s="24">
        <v>744</v>
      </c>
      <c r="G100" s="24">
        <v>78.150000000000006</v>
      </c>
      <c r="H100" s="24">
        <v>12</v>
      </c>
    </row>
    <row r="101" spans="1:8">
      <c r="A101" s="24">
        <v>100</v>
      </c>
      <c r="B101" s="24" t="s">
        <v>268</v>
      </c>
      <c r="C101" s="24" t="s">
        <v>1478</v>
      </c>
      <c r="D101" s="25">
        <v>6956</v>
      </c>
      <c r="E101" s="24">
        <v>535</v>
      </c>
      <c r="F101" s="25">
        <v>1833</v>
      </c>
      <c r="G101" s="24">
        <v>29.19</v>
      </c>
      <c r="H101" s="24">
        <v>13</v>
      </c>
    </row>
    <row r="102" spans="1:8">
      <c r="A102" s="24">
        <v>101</v>
      </c>
      <c r="B102" s="24" t="s">
        <v>76</v>
      </c>
      <c r="C102" s="24" t="s">
        <v>1479</v>
      </c>
      <c r="D102" s="25">
        <v>6940</v>
      </c>
      <c r="E102" s="24">
        <v>534</v>
      </c>
      <c r="F102" s="25">
        <v>4500</v>
      </c>
      <c r="G102" s="24">
        <v>11.86</v>
      </c>
      <c r="H102" s="24">
        <v>13</v>
      </c>
    </row>
    <row r="103" spans="1:8">
      <c r="A103" s="24">
        <v>102</v>
      </c>
      <c r="B103" s="24" t="s">
        <v>50</v>
      </c>
      <c r="C103" s="24" t="s">
        <v>1480</v>
      </c>
      <c r="D103" s="25">
        <v>6929</v>
      </c>
      <c r="E103" s="24">
        <v>408</v>
      </c>
      <c r="F103" s="25">
        <v>5100</v>
      </c>
      <c r="G103" s="24">
        <v>7.99</v>
      </c>
      <c r="H103" s="24">
        <v>17</v>
      </c>
    </row>
    <row r="104" spans="1:8">
      <c r="A104" s="24">
        <v>103</v>
      </c>
      <c r="B104" s="24" t="s">
        <v>173</v>
      </c>
      <c r="C104" s="24" t="s">
        <v>1481</v>
      </c>
      <c r="D104" s="25">
        <v>6835</v>
      </c>
      <c r="E104" s="24">
        <v>759</v>
      </c>
      <c r="F104" s="25">
        <v>1206</v>
      </c>
      <c r="G104" s="24">
        <v>62.97</v>
      </c>
      <c r="H104" s="24">
        <v>9</v>
      </c>
    </row>
    <row r="105" spans="1:8">
      <c r="A105" s="24">
        <v>104</v>
      </c>
      <c r="B105" s="24" t="s">
        <v>4</v>
      </c>
      <c r="C105" s="24" t="s">
        <v>1482</v>
      </c>
      <c r="D105" s="25">
        <v>6833</v>
      </c>
      <c r="E105" s="24">
        <v>526</v>
      </c>
      <c r="F105" s="25">
        <v>1200</v>
      </c>
      <c r="G105" s="24">
        <v>43.8</v>
      </c>
      <c r="H105" s="24">
        <v>13</v>
      </c>
    </row>
    <row r="106" spans="1:8">
      <c r="A106" s="24">
        <v>105</v>
      </c>
      <c r="B106" s="24" t="s">
        <v>230</v>
      </c>
      <c r="C106" s="24" t="s">
        <v>1481</v>
      </c>
      <c r="D106" s="25">
        <v>6660</v>
      </c>
      <c r="E106" s="24">
        <v>416</v>
      </c>
      <c r="F106" s="25">
        <v>6100</v>
      </c>
      <c r="G106" s="24">
        <v>6.82</v>
      </c>
      <c r="H106" s="24">
        <v>16</v>
      </c>
    </row>
    <row r="107" spans="1:8">
      <c r="A107" s="24">
        <v>106</v>
      </c>
      <c r="B107" s="24" t="s">
        <v>140</v>
      </c>
      <c r="C107" s="24" t="s">
        <v>1473</v>
      </c>
      <c r="D107" s="25">
        <v>6642</v>
      </c>
      <c r="E107" s="24">
        <v>511</v>
      </c>
      <c r="F107" s="25">
        <v>9043</v>
      </c>
      <c r="G107" s="24">
        <v>5.65</v>
      </c>
      <c r="H107" s="24">
        <v>13</v>
      </c>
    </row>
    <row r="108" spans="1:8">
      <c r="A108" s="24">
        <v>107</v>
      </c>
      <c r="B108" s="24" t="s">
        <v>1269</v>
      </c>
      <c r="C108" s="24" t="s">
        <v>1266</v>
      </c>
      <c r="D108" s="25">
        <v>6470</v>
      </c>
      <c r="E108" s="24">
        <v>431</v>
      </c>
      <c r="F108" s="25">
        <v>13176</v>
      </c>
      <c r="G108" s="24">
        <v>3.27</v>
      </c>
      <c r="H108" s="24">
        <v>15</v>
      </c>
    </row>
    <row r="109" spans="1:8">
      <c r="A109" s="24">
        <v>108</v>
      </c>
      <c r="B109" s="24" t="s">
        <v>1278</v>
      </c>
      <c r="C109" s="24" t="s">
        <v>1483</v>
      </c>
      <c r="D109" s="25">
        <v>6450</v>
      </c>
      <c r="E109" s="24">
        <v>645</v>
      </c>
      <c r="F109" s="25">
        <v>1750</v>
      </c>
      <c r="G109" s="24">
        <v>36.86</v>
      </c>
      <c r="H109" s="24">
        <v>10</v>
      </c>
    </row>
    <row r="110" spans="1:8">
      <c r="A110" s="24">
        <v>109</v>
      </c>
      <c r="B110" s="24" t="s">
        <v>279</v>
      </c>
      <c r="C110" s="24" t="s">
        <v>1473</v>
      </c>
      <c r="D110" s="25">
        <v>6440</v>
      </c>
      <c r="E110" s="24">
        <v>585</v>
      </c>
      <c r="F110" s="25">
        <v>4080</v>
      </c>
      <c r="G110" s="24">
        <v>14.35</v>
      </c>
      <c r="H110" s="24">
        <v>11</v>
      </c>
    </row>
    <row r="111" spans="1:8">
      <c r="A111" s="24">
        <v>110</v>
      </c>
      <c r="B111" s="24" t="s">
        <v>45</v>
      </c>
      <c r="C111" s="24" t="s">
        <v>1473</v>
      </c>
      <c r="D111" s="25">
        <v>6439</v>
      </c>
      <c r="E111" s="24">
        <v>495</v>
      </c>
      <c r="F111" s="25">
        <v>9105</v>
      </c>
      <c r="G111" s="24">
        <v>5.44</v>
      </c>
      <c r="H111" s="24">
        <v>13</v>
      </c>
    </row>
    <row r="112" spans="1:8">
      <c r="A112" s="24">
        <v>111</v>
      </c>
      <c r="B112" s="24" t="s">
        <v>20</v>
      </c>
      <c r="C112" s="24" t="s">
        <v>1465</v>
      </c>
      <c r="D112" s="25">
        <v>6403</v>
      </c>
      <c r="E112" s="24">
        <v>582</v>
      </c>
      <c r="F112" s="25">
        <v>11500</v>
      </c>
      <c r="G112" s="24">
        <v>5.0599999999999996</v>
      </c>
      <c r="H112" s="24">
        <v>11</v>
      </c>
    </row>
    <row r="113" spans="1:8">
      <c r="A113" s="24">
        <v>112</v>
      </c>
      <c r="B113" s="24" t="s">
        <v>217</v>
      </c>
      <c r="C113" s="24" t="s">
        <v>1467</v>
      </c>
      <c r="D113" s="25">
        <v>6282</v>
      </c>
      <c r="E113" s="24">
        <v>419</v>
      </c>
      <c r="F113" s="25">
        <v>5100</v>
      </c>
      <c r="G113" s="24">
        <v>8.2100000000000009</v>
      </c>
      <c r="H113" s="24">
        <v>15</v>
      </c>
    </row>
    <row r="114" spans="1:8">
      <c r="A114" s="24">
        <v>113</v>
      </c>
      <c r="B114" s="24" t="s">
        <v>231</v>
      </c>
      <c r="C114" s="24" t="s">
        <v>1266</v>
      </c>
      <c r="D114" s="25">
        <v>6281</v>
      </c>
      <c r="E114" s="24">
        <v>483</v>
      </c>
      <c r="F114" s="25">
        <v>1000</v>
      </c>
      <c r="G114" s="24">
        <v>48.32</v>
      </c>
      <c r="H114" s="24">
        <v>13</v>
      </c>
    </row>
    <row r="115" spans="1:8">
      <c r="A115" s="24">
        <v>114</v>
      </c>
      <c r="B115" s="24" t="s">
        <v>201</v>
      </c>
      <c r="C115" s="24" t="s">
        <v>1481</v>
      </c>
      <c r="D115" s="25">
        <v>6268</v>
      </c>
      <c r="E115" s="24">
        <v>570</v>
      </c>
      <c r="F115" s="25">
        <v>1800</v>
      </c>
      <c r="G115" s="24">
        <v>31.66</v>
      </c>
      <c r="H115" s="24">
        <v>11</v>
      </c>
    </row>
    <row r="116" spans="1:8">
      <c r="A116" s="24">
        <v>115</v>
      </c>
      <c r="B116" s="24" t="s">
        <v>260</v>
      </c>
      <c r="C116" s="24" t="s">
        <v>1266</v>
      </c>
      <c r="D116" s="25">
        <v>6227</v>
      </c>
      <c r="E116" s="24">
        <v>415</v>
      </c>
      <c r="F116" s="25">
        <v>2000</v>
      </c>
      <c r="G116" s="24">
        <v>20.76</v>
      </c>
      <c r="H116" s="24">
        <v>15</v>
      </c>
    </row>
    <row r="117" spans="1:8">
      <c r="A117" s="24">
        <v>116</v>
      </c>
      <c r="B117" s="24" t="s">
        <v>36</v>
      </c>
      <c r="C117" s="24" t="s">
        <v>1458</v>
      </c>
      <c r="D117" s="25">
        <v>6217</v>
      </c>
      <c r="E117" s="24">
        <v>478</v>
      </c>
      <c r="F117" s="25">
        <v>3032</v>
      </c>
      <c r="G117" s="24">
        <v>15.77</v>
      </c>
      <c r="H117" s="24">
        <v>13</v>
      </c>
    </row>
    <row r="118" spans="1:8">
      <c r="A118" s="24">
        <v>117</v>
      </c>
      <c r="B118" s="24" t="s">
        <v>1276</v>
      </c>
      <c r="C118" s="24" t="s">
        <v>1467</v>
      </c>
      <c r="D118" s="25">
        <v>6150</v>
      </c>
      <c r="E118" s="24">
        <v>513</v>
      </c>
      <c r="F118" s="25">
        <v>4000</v>
      </c>
      <c r="G118" s="24">
        <v>12.81</v>
      </c>
      <c r="H118" s="24">
        <v>12</v>
      </c>
    </row>
    <row r="119" spans="1:8">
      <c r="A119" s="24">
        <v>118</v>
      </c>
      <c r="B119" s="24" t="s">
        <v>1248</v>
      </c>
      <c r="C119" s="24" t="s">
        <v>1465</v>
      </c>
      <c r="D119" s="25">
        <v>6142</v>
      </c>
      <c r="E119" s="24">
        <v>512</v>
      </c>
      <c r="F119" s="24">
        <v>800</v>
      </c>
      <c r="G119" s="24">
        <v>63.98</v>
      </c>
      <c r="H119" s="24">
        <v>12</v>
      </c>
    </row>
    <row r="120" spans="1:8">
      <c r="A120" s="24">
        <v>119</v>
      </c>
      <c r="B120" s="24" t="s">
        <v>269</v>
      </c>
      <c r="C120" s="24" t="s">
        <v>1480</v>
      </c>
      <c r="D120" s="25">
        <v>6115</v>
      </c>
      <c r="E120" s="24">
        <v>437</v>
      </c>
      <c r="F120" s="25">
        <v>1000</v>
      </c>
      <c r="G120" s="24">
        <v>43.68</v>
      </c>
      <c r="H120" s="24">
        <v>14</v>
      </c>
    </row>
    <row r="121" spans="1:8">
      <c r="A121" s="24">
        <v>120</v>
      </c>
      <c r="B121" s="24" t="s">
        <v>156</v>
      </c>
      <c r="C121" s="24" t="s">
        <v>1470</v>
      </c>
      <c r="D121" s="25">
        <v>6079</v>
      </c>
      <c r="E121" s="24">
        <v>468</v>
      </c>
      <c r="F121" s="25">
        <v>1200</v>
      </c>
      <c r="G121" s="24">
        <v>38.97</v>
      </c>
      <c r="H121" s="24">
        <v>13</v>
      </c>
    </row>
    <row r="122" spans="1:8">
      <c r="A122" s="24">
        <v>121</v>
      </c>
      <c r="B122" s="24" t="s">
        <v>1288</v>
      </c>
      <c r="C122" s="24" t="s">
        <v>1470</v>
      </c>
      <c r="D122" s="25">
        <v>6053</v>
      </c>
      <c r="E122" s="24">
        <v>757</v>
      </c>
      <c r="F122" s="25">
        <v>2000</v>
      </c>
      <c r="G122" s="24">
        <v>37.83</v>
      </c>
      <c r="H122" s="24">
        <v>8</v>
      </c>
    </row>
    <row r="123" spans="1:8">
      <c r="A123" s="24">
        <v>122</v>
      </c>
      <c r="B123" s="24" t="s">
        <v>61</v>
      </c>
      <c r="C123" s="24" t="s">
        <v>1480</v>
      </c>
      <c r="D123" s="25">
        <v>6038</v>
      </c>
      <c r="E123" s="24">
        <v>377</v>
      </c>
      <c r="F123" s="25">
        <v>5000</v>
      </c>
      <c r="G123" s="24">
        <v>7.55</v>
      </c>
      <c r="H123" s="24">
        <v>16</v>
      </c>
    </row>
    <row r="124" spans="1:8">
      <c r="A124" s="24">
        <v>123</v>
      </c>
      <c r="B124" s="24" t="s">
        <v>101</v>
      </c>
      <c r="C124" s="24" t="s">
        <v>1266</v>
      </c>
      <c r="D124" s="25">
        <v>5973</v>
      </c>
      <c r="E124" s="24">
        <v>373</v>
      </c>
      <c r="F124" s="25">
        <v>1000</v>
      </c>
      <c r="G124" s="24">
        <v>37.33</v>
      </c>
      <c r="H124" s="24">
        <v>16</v>
      </c>
    </row>
    <row r="125" spans="1:8">
      <c r="A125" s="24">
        <v>124</v>
      </c>
      <c r="B125" s="24" t="s">
        <v>1285</v>
      </c>
      <c r="C125" s="24" t="s">
        <v>1464</v>
      </c>
      <c r="D125" s="25">
        <v>5875</v>
      </c>
      <c r="E125" s="24">
        <v>420</v>
      </c>
      <c r="F125" s="25">
        <v>1200</v>
      </c>
      <c r="G125" s="24">
        <v>34.97</v>
      </c>
      <c r="H125" s="24">
        <v>14</v>
      </c>
    </row>
    <row r="126" spans="1:8">
      <c r="A126" s="24">
        <v>125</v>
      </c>
      <c r="B126" s="24" t="s">
        <v>212</v>
      </c>
      <c r="C126" s="24" t="s">
        <v>1471</v>
      </c>
      <c r="D126" s="25">
        <v>5718</v>
      </c>
      <c r="E126" s="24">
        <v>381</v>
      </c>
      <c r="F126" s="24">
        <v>800</v>
      </c>
      <c r="G126" s="24">
        <v>47.65</v>
      </c>
      <c r="H126" s="24">
        <v>15</v>
      </c>
    </row>
    <row r="127" spans="1:8">
      <c r="A127" s="24">
        <v>126</v>
      </c>
      <c r="B127" s="24" t="s">
        <v>1243</v>
      </c>
      <c r="C127" s="24" t="s">
        <v>1482</v>
      </c>
      <c r="D127" s="25">
        <v>5678</v>
      </c>
      <c r="E127" s="24">
        <v>473</v>
      </c>
      <c r="F127" s="25">
        <v>1000</v>
      </c>
      <c r="G127" s="24">
        <v>47.32</v>
      </c>
      <c r="H127" s="24">
        <v>12</v>
      </c>
    </row>
    <row r="128" spans="1:8">
      <c r="A128" s="24">
        <v>127</v>
      </c>
      <c r="B128" s="24" t="s">
        <v>257</v>
      </c>
      <c r="C128" s="24" t="s">
        <v>1458</v>
      </c>
      <c r="D128" s="25">
        <v>5637</v>
      </c>
      <c r="E128" s="24">
        <v>564</v>
      </c>
      <c r="F128" s="25">
        <v>5931</v>
      </c>
      <c r="G128" s="24">
        <v>9.5</v>
      </c>
      <c r="H128" s="24">
        <v>10</v>
      </c>
    </row>
    <row r="129" spans="1:8">
      <c r="A129" s="24">
        <v>128</v>
      </c>
      <c r="B129" s="24" t="s">
        <v>1275</v>
      </c>
      <c r="C129" s="24" t="s">
        <v>1470</v>
      </c>
      <c r="D129" s="25">
        <v>5568</v>
      </c>
      <c r="E129" s="24">
        <v>619</v>
      </c>
      <c r="F129" s="25">
        <v>6000</v>
      </c>
      <c r="G129" s="24">
        <v>10.31</v>
      </c>
      <c r="H129" s="24">
        <v>9</v>
      </c>
    </row>
    <row r="130" spans="1:8">
      <c r="A130" s="24">
        <v>129</v>
      </c>
      <c r="B130" s="24" t="s">
        <v>160</v>
      </c>
      <c r="C130" s="24" t="s">
        <v>1475</v>
      </c>
      <c r="D130" s="25">
        <v>5566</v>
      </c>
      <c r="E130" s="24">
        <v>506</v>
      </c>
      <c r="F130" s="25">
        <v>5550</v>
      </c>
      <c r="G130" s="24">
        <v>9.1199999999999992</v>
      </c>
      <c r="H130" s="24">
        <v>11</v>
      </c>
    </row>
    <row r="131" spans="1:8">
      <c r="A131" s="24">
        <v>130</v>
      </c>
      <c r="B131" s="24" t="s">
        <v>68</v>
      </c>
      <c r="C131" s="24" t="s">
        <v>1266</v>
      </c>
      <c r="D131" s="25">
        <v>5546</v>
      </c>
      <c r="E131" s="24">
        <v>347</v>
      </c>
      <c r="F131" s="25">
        <v>8000</v>
      </c>
      <c r="G131" s="24">
        <v>4.33</v>
      </c>
      <c r="H131" s="24">
        <v>16</v>
      </c>
    </row>
    <row r="132" spans="1:8">
      <c r="A132" s="24">
        <v>131</v>
      </c>
      <c r="B132" s="24" t="s">
        <v>1265</v>
      </c>
      <c r="C132" s="24" t="s">
        <v>1460</v>
      </c>
      <c r="D132" s="25">
        <v>5422</v>
      </c>
      <c r="E132" s="24">
        <v>319</v>
      </c>
      <c r="F132" s="25">
        <v>1000</v>
      </c>
      <c r="G132" s="24">
        <v>31.89</v>
      </c>
      <c r="H132" s="24">
        <v>17</v>
      </c>
    </row>
    <row r="133" spans="1:8">
      <c r="A133" s="24">
        <v>132</v>
      </c>
      <c r="B133" s="24" t="s">
        <v>216</v>
      </c>
      <c r="C133" s="24" t="s">
        <v>1478</v>
      </c>
      <c r="D133" s="25">
        <v>5408</v>
      </c>
      <c r="E133" s="24">
        <v>416</v>
      </c>
      <c r="F133" s="25">
        <v>5000</v>
      </c>
      <c r="G133" s="24">
        <v>8.32</v>
      </c>
      <c r="H133" s="24">
        <v>13</v>
      </c>
    </row>
    <row r="134" spans="1:8">
      <c r="A134" s="24">
        <v>133</v>
      </c>
      <c r="B134" s="24" t="s">
        <v>1312</v>
      </c>
      <c r="C134" s="24" t="s">
        <v>1474</v>
      </c>
      <c r="D134" s="25">
        <v>5389</v>
      </c>
      <c r="E134" s="24">
        <v>490</v>
      </c>
      <c r="F134" s="25">
        <v>2500</v>
      </c>
      <c r="G134" s="24">
        <v>19.600000000000001</v>
      </c>
      <c r="H134" s="24">
        <v>11</v>
      </c>
    </row>
    <row r="135" spans="1:8">
      <c r="A135" s="24">
        <v>134</v>
      </c>
      <c r="B135" s="24" t="s">
        <v>39</v>
      </c>
      <c r="C135" s="24" t="s">
        <v>1483</v>
      </c>
      <c r="D135" s="25">
        <v>5375</v>
      </c>
      <c r="E135" s="24">
        <v>448</v>
      </c>
      <c r="F135" s="25">
        <v>3095</v>
      </c>
      <c r="G135" s="24">
        <v>14.47</v>
      </c>
      <c r="H135" s="24">
        <v>12</v>
      </c>
    </row>
    <row r="136" spans="1:8">
      <c r="A136" s="24">
        <v>135</v>
      </c>
      <c r="B136" s="24" t="s">
        <v>278</v>
      </c>
      <c r="C136" s="24" t="s">
        <v>1473</v>
      </c>
      <c r="D136" s="25">
        <v>5361</v>
      </c>
      <c r="E136" s="24">
        <v>447</v>
      </c>
      <c r="F136" s="25">
        <v>5000</v>
      </c>
      <c r="G136" s="24">
        <v>8.94</v>
      </c>
      <c r="H136" s="24">
        <v>12</v>
      </c>
    </row>
    <row r="137" spans="1:8">
      <c r="A137" s="24">
        <v>136</v>
      </c>
      <c r="B137" s="24" t="s">
        <v>1290</v>
      </c>
      <c r="C137" s="24" t="s">
        <v>1484</v>
      </c>
      <c r="D137" s="25">
        <v>5357</v>
      </c>
      <c r="E137" s="24">
        <v>383</v>
      </c>
      <c r="F137" s="25">
        <v>3500</v>
      </c>
      <c r="G137" s="24">
        <v>10.93</v>
      </c>
      <c r="H137" s="24">
        <v>14</v>
      </c>
    </row>
    <row r="138" spans="1:8">
      <c r="A138" s="24">
        <v>137</v>
      </c>
      <c r="B138" s="24" t="s">
        <v>1299</v>
      </c>
      <c r="C138" s="24" t="s">
        <v>1473</v>
      </c>
      <c r="D138" s="25">
        <v>5312</v>
      </c>
      <c r="E138" s="24">
        <v>354</v>
      </c>
      <c r="F138" s="25">
        <v>5750</v>
      </c>
      <c r="G138" s="24">
        <v>6.16</v>
      </c>
      <c r="H138" s="24">
        <v>15</v>
      </c>
    </row>
    <row r="139" spans="1:8">
      <c r="A139" s="24">
        <v>138</v>
      </c>
      <c r="B139" s="24" t="s">
        <v>1296</v>
      </c>
      <c r="C139" s="24" t="s">
        <v>1481</v>
      </c>
      <c r="D139" s="25">
        <v>5283</v>
      </c>
      <c r="E139" s="24">
        <v>660</v>
      </c>
      <c r="F139" s="24">
        <v>500</v>
      </c>
      <c r="G139" s="24">
        <v>132.08000000000001</v>
      </c>
      <c r="H139" s="24">
        <v>8</v>
      </c>
    </row>
    <row r="140" spans="1:8">
      <c r="A140" s="24">
        <v>139</v>
      </c>
      <c r="B140" s="24" t="s">
        <v>86</v>
      </c>
      <c r="C140" s="24" t="s">
        <v>1483</v>
      </c>
      <c r="D140" s="25">
        <v>5229</v>
      </c>
      <c r="E140" s="24">
        <v>475</v>
      </c>
      <c r="F140" s="25">
        <v>3500</v>
      </c>
      <c r="G140" s="24">
        <v>13.58</v>
      </c>
      <c r="H140" s="24">
        <v>11</v>
      </c>
    </row>
    <row r="141" spans="1:8">
      <c r="A141" s="24">
        <v>140</v>
      </c>
      <c r="B141" s="24" t="s">
        <v>119</v>
      </c>
      <c r="C141" s="24" t="s">
        <v>1479</v>
      </c>
      <c r="D141" s="25">
        <v>5176</v>
      </c>
      <c r="E141" s="24">
        <v>518</v>
      </c>
      <c r="F141" s="24">
        <v>0</v>
      </c>
      <c r="G141" s="24" t="s">
        <v>1466</v>
      </c>
      <c r="H141" s="24">
        <v>10</v>
      </c>
    </row>
    <row r="142" spans="1:8">
      <c r="A142" s="24">
        <v>141</v>
      </c>
      <c r="B142" s="24" t="s">
        <v>1240</v>
      </c>
      <c r="C142" s="24" t="s">
        <v>1469</v>
      </c>
      <c r="D142" s="25">
        <v>5174</v>
      </c>
      <c r="E142" s="24">
        <v>323</v>
      </c>
      <c r="F142" s="25">
        <v>8325</v>
      </c>
      <c r="G142" s="24">
        <v>3.88</v>
      </c>
      <c r="H142" s="24">
        <v>16</v>
      </c>
    </row>
    <row r="143" spans="1:8">
      <c r="A143" s="24">
        <v>142</v>
      </c>
      <c r="B143" s="24" t="s">
        <v>58</v>
      </c>
      <c r="C143" s="24" t="s">
        <v>1458</v>
      </c>
      <c r="D143" s="25">
        <v>5134</v>
      </c>
      <c r="E143" s="24">
        <v>642</v>
      </c>
      <c r="F143" s="25">
        <v>1600</v>
      </c>
      <c r="G143" s="24">
        <v>40.11</v>
      </c>
      <c r="H143" s="24">
        <v>8</v>
      </c>
    </row>
    <row r="144" spans="1:8">
      <c r="A144" s="24">
        <v>143</v>
      </c>
      <c r="B144" s="24" t="s">
        <v>37</v>
      </c>
      <c r="C144" s="24" t="s">
        <v>1458</v>
      </c>
      <c r="D144" s="25">
        <v>5110</v>
      </c>
      <c r="E144" s="24">
        <v>365</v>
      </c>
      <c r="F144" s="25">
        <v>4000</v>
      </c>
      <c r="G144" s="24">
        <v>9.1300000000000008</v>
      </c>
      <c r="H144" s="24">
        <v>14</v>
      </c>
    </row>
    <row r="145" spans="1:8">
      <c r="A145" s="24">
        <v>144</v>
      </c>
      <c r="B145" s="24" t="s">
        <v>132</v>
      </c>
      <c r="C145" s="24" t="s">
        <v>1469</v>
      </c>
      <c r="D145" s="25">
        <v>5060</v>
      </c>
      <c r="E145" s="24">
        <v>337</v>
      </c>
      <c r="F145" s="25">
        <v>1121</v>
      </c>
      <c r="G145" s="24">
        <v>30.09</v>
      </c>
      <c r="H145" s="24">
        <v>15</v>
      </c>
    </row>
    <row r="146" spans="1:8">
      <c r="A146" s="24">
        <v>145</v>
      </c>
      <c r="B146" s="24" t="s">
        <v>254</v>
      </c>
      <c r="C146" s="24" t="s">
        <v>1469</v>
      </c>
      <c r="D146" s="25">
        <v>4989</v>
      </c>
      <c r="E146" s="24">
        <v>356</v>
      </c>
      <c r="F146" s="25">
        <v>5200</v>
      </c>
      <c r="G146" s="24">
        <v>6.85</v>
      </c>
      <c r="H146" s="24">
        <v>14</v>
      </c>
    </row>
    <row r="147" spans="1:8">
      <c r="A147" s="24">
        <v>146</v>
      </c>
      <c r="B147" s="24" t="s">
        <v>22</v>
      </c>
      <c r="C147" s="24" t="s">
        <v>1475</v>
      </c>
      <c r="D147" s="25">
        <v>4978</v>
      </c>
      <c r="E147" s="24">
        <v>356</v>
      </c>
      <c r="F147" s="25">
        <v>5000</v>
      </c>
      <c r="G147" s="24">
        <v>7.11</v>
      </c>
      <c r="H147" s="24">
        <v>14</v>
      </c>
    </row>
    <row r="148" spans="1:8">
      <c r="A148" s="24">
        <v>147</v>
      </c>
      <c r="B148" s="24" t="s">
        <v>255</v>
      </c>
      <c r="C148" s="24" t="s">
        <v>1266</v>
      </c>
      <c r="D148" s="25">
        <v>4947</v>
      </c>
      <c r="E148" s="24">
        <v>412</v>
      </c>
      <c r="F148" s="24">
        <v>26</v>
      </c>
      <c r="G148" s="24">
        <v>1585.58</v>
      </c>
      <c r="H148" s="24">
        <v>12</v>
      </c>
    </row>
    <row r="149" spans="1:8">
      <c r="A149" s="24">
        <v>148</v>
      </c>
      <c r="B149" s="24" t="s">
        <v>246</v>
      </c>
      <c r="C149" s="24" t="s">
        <v>1475</v>
      </c>
      <c r="D149" s="25">
        <v>4917</v>
      </c>
      <c r="E149" s="24">
        <v>615</v>
      </c>
      <c r="F149" s="25">
        <v>9282</v>
      </c>
      <c r="G149" s="24">
        <v>6.62</v>
      </c>
      <c r="H149" s="24">
        <v>8</v>
      </c>
    </row>
    <row r="150" spans="1:8">
      <c r="A150" s="24">
        <v>149</v>
      </c>
      <c r="B150" s="24" t="s">
        <v>1485</v>
      </c>
      <c r="C150" s="24" t="s">
        <v>1481</v>
      </c>
      <c r="D150" s="25">
        <v>4902</v>
      </c>
      <c r="E150" s="24">
        <v>409</v>
      </c>
      <c r="F150" s="24">
        <v>0</v>
      </c>
      <c r="G150" s="24" t="s">
        <v>1466</v>
      </c>
      <c r="H150" s="24">
        <v>12</v>
      </c>
    </row>
    <row r="151" spans="1:8">
      <c r="A151" s="24">
        <v>150</v>
      </c>
      <c r="B151" s="24" t="s">
        <v>1287</v>
      </c>
      <c r="C151" s="24" t="s">
        <v>1477</v>
      </c>
      <c r="D151" s="25">
        <v>4883</v>
      </c>
      <c r="E151" s="24">
        <v>407</v>
      </c>
      <c r="F151" s="25">
        <v>2500</v>
      </c>
      <c r="G151" s="24">
        <v>16.28</v>
      </c>
      <c r="H151" s="24">
        <v>12</v>
      </c>
    </row>
    <row r="152" spans="1:8">
      <c r="A152" s="24">
        <v>151</v>
      </c>
      <c r="B152" s="24" t="s">
        <v>41</v>
      </c>
      <c r="C152" s="24" t="s">
        <v>1482</v>
      </c>
      <c r="D152" s="25">
        <v>4821</v>
      </c>
      <c r="E152" s="24">
        <v>344</v>
      </c>
      <c r="F152" s="24">
        <v>350</v>
      </c>
      <c r="G152" s="24">
        <v>98.39</v>
      </c>
      <c r="H152" s="24">
        <v>14</v>
      </c>
    </row>
    <row r="153" spans="1:8">
      <c r="A153" s="24">
        <v>152</v>
      </c>
      <c r="B153" s="24" t="s">
        <v>149</v>
      </c>
      <c r="C153" s="24" t="s">
        <v>1473</v>
      </c>
      <c r="D153" s="25">
        <v>4800</v>
      </c>
      <c r="E153" s="24">
        <v>400</v>
      </c>
      <c r="F153" s="25">
        <v>2000</v>
      </c>
      <c r="G153" s="24">
        <v>20</v>
      </c>
      <c r="H153" s="24">
        <v>12</v>
      </c>
    </row>
    <row r="154" spans="1:8">
      <c r="A154" s="24">
        <v>153</v>
      </c>
      <c r="B154" s="24" t="s">
        <v>218</v>
      </c>
      <c r="C154" s="24" t="s">
        <v>1460</v>
      </c>
      <c r="D154" s="25">
        <v>4794</v>
      </c>
      <c r="E154" s="24">
        <v>342</v>
      </c>
      <c r="F154" s="25">
        <v>2500</v>
      </c>
      <c r="G154" s="24">
        <v>13.7</v>
      </c>
      <c r="H154" s="24">
        <v>14</v>
      </c>
    </row>
    <row r="155" spans="1:8">
      <c r="A155" s="24">
        <v>154</v>
      </c>
      <c r="B155" s="24" t="s">
        <v>129</v>
      </c>
      <c r="C155" s="24" t="s">
        <v>1467</v>
      </c>
      <c r="D155" s="25">
        <v>4708</v>
      </c>
      <c r="E155" s="24">
        <v>336</v>
      </c>
      <c r="F155" s="25">
        <v>4156</v>
      </c>
      <c r="G155" s="24">
        <v>8.09</v>
      </c>
      <c r="H155" s="24">
        <v>14</v>
      </c>
    </row>
    <row r="156" spans="1:8">
      <c r="A156" s="24">
        <v>155</v>
      </c>
      <c r="B156" s="24" t="s">
        <v>126</v>
      </c>
      <c r="C156" s="24" t="s">
        <v>1483</v>
      </c>
      <c r="D156" s="25">
        <v>4678</v>
      </c>
      <c r="E156" s="24">
        <v>360</v>
      </c>
      <c r="F156" s="25">
        <v>9443</v>
      </c>
      <c r="G156" s="24">
        <v>3.81</v>
      </c>
      <c r="H156" s="24">
        <v>13</v>
      </c>
    </row>
    <row r="157" spans="1:8">
      <c r="A157" s="24">
        <v>156</v>
      </c>
      <c r="B157" s="24" t="s">
        <v>73</v>
      </c>
      <c r="C157" s="24" t="s">
        <v>1462</v>
      </c>
      <c r="D157" s="25">
        <v>4666</v>
      </c>
      <c r="E157" s="24">
        <v>333</v>
      </c>
      <c r="F157" s="25">
        <v>1000</v>
      </c>
      <c r="G157" s="24">
        <v>33.33</v>
      </c>
      <c r="H157" s="24">
        <v>14</v>
      </c>
    </row>
    <row r="158" spans="1:8">
      <c r="A158" s="24">
        <v>157</v>
      </c>
      <c r="B158" s="24" t="s">
        <v>281</v>
      </c>
      <c r="C158" s="24" t="s">
        <v>1468</v>
      </c>
      <c r="D158" s="25">
        <v>4660</v>
      </c>
      <c r="E158" s="24">
        <v>333</v>
      </c>
      <c r="F158" s="25">
        <v>1500</v>
      </c>
      <c r="G158" s="24">
        <v>22.19</v>
      </c>
      <c r="H158" s="24">
        <v>14</v>
      </c>
    </row>
    <row r="159" spans="1:8">
      <c r="A159" s="24">
        <v>158</v>
      </c>
      <c r="B159" s="24" t="s">
        <v>1282</v>
      </c>
      <c r="C159" s="24" t="s">
        <v>1469</v>
      </c>
      <c r="D159" s="25">
        <v>4634</v>
      </c>
      <c r="E159" s="24">
        <v>421</v>
      </c>
      <c r="F159" s="24">
        <v>0</v>
      </c>
      <c r="G159" s="24" t="s">
        <v>1466</v>
      </c>
      <c r="H159" s="24">
        <v>11</v>
      </c>
    </row>
    <row r="160" spans="1:8">
      <c r="A160" s="24">
        <v>159</v>
      </c>
      <c r="B160" s="24" t="s">
        <v>234</v>
      </c>
      <c r="C160" s="24" t="s">
        <v>1462</v>
      </c>
      <c r="D160" s="25">
        <v>4592</v>
      </c>
      <c r="E160" s="24">
        <v>383</v>
      </c>
      <c r="F160" s="25">
        <v>1250</v>
      </c>
      <c r="G160" s="24">
        <v>30.61</v>
      </c>
      <c r="H160" s="24">
        <v>12</v>
      </c>
    </row>
    <row r="161" spans="1:8">
      <c r="A161" s="24">
        <v>160</v>
      </c>
      <c r="B161" s="24" t="s">
        <v>203</v>
      </c>
      <c r="C161" s="24" t="s">
        <v>1483</v>
      </c>
      <c r="D161" s="25">
        <v>4538</v>
      </c>
      <c r="E161" s="24">
        <v>504</v>
      </c>
      <c r="F161" s="25">
        <v>3215</v>
      </c>
      <c r="G161" s="24">
        <v>15.68</v>
      </c>
      <c r="H161" s="24">
        <v>9</v>
      </c>
    </row>
    <row r="162" spans="1:8">
      <c r="A162" s="24">
        <v>161</v>
      </c>
      <c r="B162" s="24" t="s">
        <v>293</v>
      </c>
      <c r="C162" s="24" t="s">
        <v>1478</v>
      </c>
      <c r="D162" s="25">
        <v>4531</v>
      </c>
      <c r="E162" s="24">
        <v>378</v>
      </c>
      <c r="F162" s="25">
        <v>3000</v>
      </c>
      <c r="G162" s="24">
        <v>12.59</v>
      </c>
      <c r="H162" s="24">
        <v>12</v>
      </c>
    </row>
    <row r="163" spans="1:8">
      <c r="A163" s="24">
        <v>162</v>
      </c>
      <c r="B163" s="24" t="s">
        <v>63</v>
      </c>
      <c r="C163" s="24" t="s">
        <v>1468</v>
      </c>
      <c r="D163" s="25">
        <v>4520</v>
      </c>
      <c r="E163" s="24">
        <v>377</v>
      </c>
      <c r="F163" s="25">
        <v>3000</v>
      </c>
      <c r="G163" s="24">
        <v>12.56</v>
      </c>
      <c r="H163" s="24">
        <v>12</v>
      </c>
    </row>
    <row r="164" spans="1:8">
      <c r="A164" s="24">
        <v>163</v>
      </c>
      <c r="B164" s="24" t="s">
        <v>1294</v>
      </c>
      <c r="C164" s="24" t="s">
        <v>1470</v>
      </c>
      <c r="D164" s="25">
        <v>4505</v>
      </c>
      <c r="E164" s="24">
        <v>410</v>
      </c>
      <c r="F164" s="25">
        <v>1210</v>
      </c>
      <c r="G164" s="24">
        <v>33.85</v>
      </c>
      <c r="H164" s="24">
        <v>11</v>
      </c>
    </row>
    <row r="165" spans="1:8">
      <c r="A165" s="24">
        <v>164</v>
      </c>
      <c r="B165" s="24" t="s">
        <v>294</v>
      </c>
      <c r="C165" s="24" t="s">
        <v>1486</v>
      </c>
      <c r="D165" s="25">
        <v>4479</v>
      </c>
      <c r="E165" s="24">
        <v>407</v>
      </c>
      <c r="F165" s="25">
        <v>2532</v>
      </c>
      <c r="G165" s="24">
        <v>16.079999999999998</v>
      </c>
      <c r="H165" s="24">
        <v>11</v>
      </c>
    </row>
    <row r="166" spans="1:8">
      <c r="A166" s="24">
        <v>165</v>
      </c>
      <c r="B166" s="24" t="s">
        <v>165</v>
      </c>
      <c r="C166" s="24" t="s">
        <v>1460</v>
      </c>
      <c r="D166" s="25">
        <v>4382</v>
      </c>
      <c r="E166" s="24">
        <v>438</v>
      </c>
      <c r="F166" s="25">
        <v>1800</v>
      </c>
      <c r="G166" s="24">
        <v>24.34</v>
      </c>
      <c r="H166" s="24">
        <v>10</v>
      </c>
    </row>
    <row r="167" spans="1:8">
      <c r="A167" s="24">
        <v>166</v>
      </c>
      <c r="B167" s="24" t="s">
        <v>274</v>
      </c>
      <c r="C167" s="24" t="s">
        <v>1475</v>
      </c>
      <c r="D167" s="25">
        <v>4359</v>
      </c>
      <c r="E167" s="24">
        <v>335</v>
      </c>
      <c r="F167" s="25">
        <v>3000</v>
      </c>
      <c r="G167" s="24">
        <v>11.18</v>
      </c>
      <c r="H167" s="24">
        <v>13</v>
      </c>
    </row>
    <row r="168" spans="1:8">
      <c r="A168" s="24">
        <v>167</v>
      </c>
      <c r="B168" s="24" t="s">
        <v>34</v>
      </c>
      <c r="C168" s="24" t="s">
        <v>1468</v>
      </c>
      <c r="D168" s="25">
        <v>4356</v>
      </c>
      <c r="E168" s="24">
        <v>484</v>
      </c>
      <c r="F168" s="25">
        <v>10000</v>
      </c>
      <c r="G168" s="24">
        <v>4.84</v>
      </c>
      <c r="H168" s="24">
        <v>9</v>
      </c>
    </row>
    <row r="169" spans="1:8">
      <c r="A169" s="24">
        <v>168</v>
      </c>
      <c r="B169" s="24" t="s">
        <v>117</v>
      </c>
      <c r="C169" s="24" t="s">
        <v>1480</v>
      </c>
      <c r="D169" s="25">
        <v>4338</v>
      </c>
      <c r="E169" s="24">
        <v>289</v>
      </c>
      <c r="F169" s="25">
        <v>5000</v>
      </c>
      <c r="G169" s="24">
        <v>5.78</v>
      </c>
      <c r="H169" s="24">
        <v>15</v>
      </c>
    </row>
    <row r="170" spans="1:8">
      <c r="A170" s="24">
        <v>169</v>
      </c>
      <c r="B170" s="24" t="s">
        <v>1271</v>
      </c>
      <c r="C170" s="24" t="s">
        <v>1471</v>
      </c>
      <c r="D170" s="25">
        <v>4320</v>
      </c>
      <c r="E170" s="24">
        <v>432</v>
      </c>
      <c r="F170" s="24">
        <v>0</v>
      </c>
      <c r="G170" s="24" t="s">
        <v>1466</v>
      </c>
      <c r="H170" s="24">
        <v>10</v>
      </c>
    </row>
    <row r="171" spans="1:8">
      <c r="A171" s="24">
        <v>170</v>
      </c>
      <c r="B171" s="24" t="s">
        <v>222</v>
      </c>
      <c r="C171" s="24" t="s">
        <v>1468</v>
      </c>
      <c r="D171" s="25">
        <v>4250</v>
      </c>
      <c r="E171" s="24">
        <v>250</v>
      </c>
      <c r="F171" s="25">
        <v>2600</v>
      </c>
      <c r="G171" s="24">
        <v>9.6199999999999992</v>
      </c>
      <c r="H171" s="24">
        <v>17</v>
      </c>
    </row>
    <row r="172" spans="1:8">
      <c r="A172" s="24">
        <v>171</v>
      </c>
      <c r="B172" s="24" t="s">
        <v>204</v>
      </c>
      <c r="C172" s="24" t="s">
        <v>1471</v>
      </c>
      <c r="D172" s="25">
        <v>4161</v>
      </c>
      <c r="E172" s="24">
        <v>416</v>
      </c>
      <c r="F172" s="25">
        <v>5000</v>
      </c>
      <c r="G172" s="24">
        <v>8.32</v>
      </c>
      <c r="H172" s="24">
        <v>10</v>
      </c>
    </row>
    <row r="173" spans="1:8">
      <c r="A173" s="24">
        <v>172</v>
      </c>
      <c r="B173" s="24" t="s">
        <v>1249</v>
      </c>
      <c r="C173" s="24" t="s">
        <v>1482</v>
      </c>
      <c r="D173" s="25">
        <v>4158</v>
      </c>
      <c r="E173" s="24">
        <v>347</v>
      </c>
      <c r="F173" s="25">
        <v>6100</v>
      </c>
      <c r="G173" s="24">
        <v>5.68</v>
      </c>
      <c r="H173" s="24">
        <v>12</v>
      </c>
    </row>
    <row r="174" spans="1:8">
      <c r="A174" s="24">
        <v>173</v>
      </c>
      <c r="B174" s="24" t="s">
        <v>31</v>
      </c>
      <c r="C174" s="24" t="s">
        <v>1487</v>
      </c>
      <c r="D174" s="25">
        <v>4157</v>
      </c>
      <c r="E174" s="24">
        <v>297</v>
      </c>
      <c r="F174" s="25">
        <v>2800</v>
      </c>
      <c r="G174" s="24">
        <v>10.6</v>
      </c>
      <c r="H174" s="24">
        <v>14</v>
      </c>
    </row>
    <row r="175" spans="1:8">
      <c r="A175" s="24">
        <v>174</v>
      </c>
      <c r="B175" s="24" t="s">
        <v>174</v>
      </c>
      <c r="C175" s="24" t="s">
        <v>1479</v>
      </c>
      <c r="D175" s="25">
        <v>4119</v>
      </c>
      <c r="E175" s="24">
        <v>275</v>
      </c>
      <c r="F175" s="24">
        <v>0</v>
      </c>
      <c r="G175" s="24" t="s">
        <v>1466</v>
      </c>
      <c r="H175" s="24">
        <v>15</v>
      </c>
    </row>
    <row r="176" spans="1:8">
      <c r="A176" s="24">
        <v>175</v>
      </c>
      <c r="B176" s="24" t="s">
        <v>29</v>
      </c>
      <c r="C176" s="24" t="s">
        <v>1462</v>
      </c>
      <c r="D176" s="25">
        <v>4115</v>
      </c>
      <c r="E176" s="24">
        <v>343</v>
      </c>
      <c r="F176" s="25">
        <v>4200</v>
      </c>
      <c r="G176" s="24">
        <v>8.16</v>
      </c>
      <c r="H176" s="24">
        <v>12</v>
      </c>
    </row>
    <row r="177" spans="1:8">
      <c r="A177" s="24">
        <v>176</v>
      </c>
      <c r="B177" s="24" t="s">
        <v>1291</v>
      </c>
      <c r="C177" s="24" t="s">
        <v>1482</v>
      </c>
      <c r="D177" s="25">
        <v>4106</v>
      </c>
      <c r="E177" s="24">
        <v>342</v>
      </c>
      <c r="F177" s="25">
        <v>10000</v>
      </c>
      <c r="G177" s="24">
        <v>3.42</v>
      </c>
      <c r="H177" s="24">
        <v>12</v>
      </c>
    </row>
    <row r="178" spans="1:8">
      <c r="A178" s="24">
        <v>177</v>
      </c>
      <c r="B178" s="24" t="s">
        <v>97</v>
      </c>
      <c r="C178" s="24" t="s">
        <v>1486</v>
      </c>
      <c r="D178" s="25">
        <v>4101</v>
      </c>
      <c r="E178" s="24">
        <v>342</v>
      </c>
      <c r="F178" s="25">
        <v>1000</v>
      </c>
      <c r="G178" s="24">
        <v>34.18</v>
      </c>
      <c r="H178" s="24">
        <v>12</v>
      </c>
    </row>
    <row r="179" spans="1:8">
      <c r="A179" s="24">
        <v>178</v>
      </c>
      <c r="B179" s="24" t="s">
        <v>195</v>
      </c>
      <c r="C179" s="24" t="s">
        <v>1470</v>
      </c>
      <c r="D179" s="25">
        <v>4082</v>
      </c>
      <c r="E179" s="24">
        <v>454</v>
      </c>
      <c r="F179" s="25">
        <v>1500</v>
      </c>
      <c r="G179" s="24">
        <v>30.24</v>
      </c>
      <c r="H179" s="24">
        <v>9</v>
      </c>
    </row>
    <row r="180" spans="1:8">
      <c r="A180" s="24">
        <v>179</v>
      </c>
      <c r="B180" s="24" t="s">
        <v>1310</v>
      </c>
      <c r="C180" s="24" t="s">
        <v>1458</v>
      </c>
      <c r="D180" s="25">
        <v>4071</v>
      </c>
      <c r="E180" s="24">
        <v>339</v>
      </c>
      <c r="F180" s="25">
        <v>5000</v>
      </c>
      <c r="G180" s="24">
        <v>6.78</v>
      </c>
      <c r="H180" s="24">
        <v>12</v>
      </c>
    </row>
    <row r="181" spans="1:8">
      <c r="A181" s="24">
        <v>180</v>
      </c>
      <c r="B181" s="24" t="s">
        <v>1314</v>
      </c>
      <c r="C181" s="24" t="s">
        <v>1471</v>
      </c>
      <c r="D181" s="25">
        <v>4024</v>
      </c>
      <c r="E181" s="24">
        <v>402</v>
      </c>
      <c r="F181" s="25">
        <v>7500</v>
      </c>
      <c r="G181" s="24">
        <v>5.37</v>
      </c>
      <c r="H181" s="24">
        <v>10</v>
      </c>
    </row>
    <row r="182" spans="1:8">
      <c r="A182" s="24">
        <v>181</v>
      </c>
      <c r="B182" s="24" t="s">
        <v>84</v>
      </c>
      <c r="C182" s="24" t="s">
        <v>1478</v>
      </c>
      <c r="D182" s="25">
        <v>4004</v>
      </c>
      <c r="E182" s="24">
        <v>445</v>
      </c>
      <c r="F182" s="25">
        <v>1000</v>
      </c>
      <c r="G182" s="24">
        <v>44.49</v>
      </c>
      <c r="H182" s="24">
        <v>9</v>
      </c>
    </row>
    <row r="183" spans="1:8">
      <c r="A183" s="24">
        <v>182</v>
      </c>
      <c r="B183" s="24" t="s">
        <v>262</v>
      </c>
      <c r="C183" s="24" t="s">
        <v>1266</v>
      </c>
      <c r="D183" s="25">
        <v>3997</v>
      </c>
      <c r="E183" s="24">
        <v>250</v>
      </c>
      <c r="F183" s="25">
        <v>10241</v>
      </c>
      <c r="G183" s="24">
        <v>2.44</v>
      </c>
      <c r="H183" s="24">
        <v>16</v>
      </c>
    </row>
    <row r="184" spans="1:8">
      <c r="A184" s="24">
        <v>182</v>
      </c>
      <c r="B184" s="24" t="s">
        <v>1241</v>
      </c>
      <c r="C184" s="24" t="s">
        <v>1483</v>
      </c>
      <c r="D184" s="25">
        <v>3997</v>
      </c>
      <c r="E184" s="24">
        <v>266</v>
      </c>
      <c r="F184" s="25">
        <v>3212</v>
      </c>
      <c r="G184" s="24">
        <v>8.3000000000000007</v>
      </c>
      <c r="H184" s="24">
        <v>15</v>
      </c>
    </row>
    <row r="185" spans="1:8">
      <c r="A185" s="24">
        <v>184</v>
      </c>
      <c r="B185" s="24" t="s">
        <v>120</v>
      </c>
      <c r="C185" s="24" t="s">
        <v>1465</v>
      </c>
      <c r="D185" s="25">
        <v>3968</v>
      </c>
      <c r="E185" s="24">
        <v>331</v>
      </c>
      <c r="F185" s="25">
        <v>6327</v>
      </c>
      <c r="G185" s="24">
        <v>5.23</v>
      </c>
      <c r="H185" s="24">
        <v>12</v>
      </c>
    </row>
    <row r="186" spans="1:8">
      <c r="A186" s="24">
        <v>185</v>
      </c>
      <c r="B186" s="24" t="s">
        <v>26</v>
      </c>
      <c r="C186" s="24" t="s">
        <v>1464</v>
      </c>
      <c r="D186" s="25">
        <v>3921</v>
      </c>
      <c r="E186" s="24">
        <v>327</v>
      </c>
      <c r="F186" s="25">
        <v>1000</v>
      </c>
      <c r="G186" s="24">
        <v>32.68</v>
      </c>
      <c r="H186" s="24">
        <v>12</v>
      </c>
    </row>
    <row r="187" spans="1:8">
      <c r="A187" s="24">
        <v>186</v>
      </c>
      <c r="B187" s="24" t="s">
        <v>99</v>
      </c>
      <c r="C187" s="24" t="s">
        <v>1480</v>
      </c>
      <c r="D187" s="25">
        <v>3887</v>
      </c>
      <c r="E187" s="24">
        <v>229</v>
      </c>
      <c r="F187" s="25">
        <v>1200</v>
      </c>
      <c r="G187" s="24">
        <v>19.05</v>
      </c>
      <c r="H187" s="24">
        <v>17</v>
      </c>
    </row>
    <row r="188" spans="1:8">
      <c r="A188" s="24">
        <v>187</v>
      </c>
      <c r="B188" s="24" t="s">
        <v>5</v>
      </c>
      <c r="C188" s="24" t="s">
        <v>1482</v>
      </c>
      <c r="D188" s="25">
        <v>3859</v>
      </c>
      <c r="E188" s="24">
        <v>429</v>
      </c>
      <c r="F188" s="25">
        <v>4600</v>
      </c>
      <c r="G188" s="24">
        <v>9.32</v>
      </c>
      <c r="H188" s="24">
        <v>9</v>
      </c>
    </row>
    <row r="189" spans="1:8">
      <c r="A189" s="24">
        <v>188</v>
      </c>
      <c r="B189" s="24" t="s">
        <v>180</v>
      </c>
      <c r="C189" s="24" t="s">
        <v>1482</v>
      </c>
      <c r="D189" s="25">
        <v>3857</v>
      </c>
      <c r="E189" s="24">
        <v>351</v>
      </c>
      <c r="F189" s="25">
        <v>3900</v>
      </c>
      <c r="G189" s="24">
        <v>8.99</v>
      </c>
      <c r="H189" s="24">
        <v>11</v>
      </c>
    </row>
    <row r="190" spans="1:8">
      <c r="A190" s="24">
        <v>189</v>
      </c>
      <c r="B190" s="24" t="s">
        <v>1272</v>
      </c>
      <c r="C190" s="24" t="s">
        <v>1481</v>
      </c>
      <c r="D190" s="25">
        <v>3836</v>
      </c>
      <c r="E190" s="24">
        <v>274</v>
      </c>
      <c r="F190" s="25">
        <v>1800</v>
      </c>
      <c r="G190" s="24">
        <v>15.22</v>
      </c>
      <c r="H190" s="24">
        <v>14</v>
      </c>
    </row>
    <row r="191" spans="1:8">
      <c r="A191" s="24">
        <v>190</v>
      </c>
      <c r="B191" s="24" t="s">
        <v>188</v>
      </c>
      <c r="C191" s="24" t="s">
        <v>1481</v>
      </c>
      <c r="D191" s="25">
        <v>3826</v>
      </c>
      <c r="E191" s="24">
        <v>348</v>
      </c>
      <c r="F191" s="25">
        <v>2500</v>
      </c>
      <c r="G191" s="24">
        <v>13.91</v>
      </c>
      <c r="H191" s="24">
        <v>11</v>
      </c>
    </row>
    <row r="192" spans="1:8">
      <c r="A192" s="24">
        <v>191</v>
      </c>
      <c r="B192" s="24" t="s">
        <v>1250</v>
      </c>
      <c r="C192" s="24" t="s">
        <v>1474</v>
      </c>
      <c r="D192" s="25">
        <v>3796</v>
      </c>
      <c r="E192" s="24">
        <v>422</v>
      </c>
      <c r="F192" s="25">
        <v>1504</v>
      </c>
      <c r="G192" s="24">
        <v>28.04</v>
      </c>
      <c r="H192" s="24">
        <v>9</v>
      </c>
    </row>
    <row r="193" spans="1:8">
      <c r="A193" s="24">
        <v>192</v>
      </c>
      <c r="B193" s="24" t="s">
        <v>94</v>
      </c>
      <c r="C193" s="24" t="s">
        <v>1474</v>
      </c>
      <c r="D193" s="25">
        <v>3779</v>
      </c>
      <c r="E193" s="24">
        <v>291</v>
      </c>
      <c r="F193" s="25">
        <v>7000</v>
      </c>
      <c r="G193" s="24">
        <v>4.1500000000000004</v>
      </c>
      <c r="H193" s="24">
        <v>13</v>
      </c>
    </row>
    <row r="194" spans="1:8">
      <c r="A194" s="24">
        <v>193</v>
      </c>
      <c r="B194" s="24" t="s">
        <v>57</v>
      </c>
      <c r="C194" s="24" t="s">
        <v>1474</v>
      </c>
      <c r="D194" s="25">
        <v>3766</v>
      </c>
      <c r="E194" s="24">
        <v>290</v>
      </c>
      <c r="F194" s="25">
        <v>3880</v>
      </c>
      <c r="G194" s="24">
        <v>7.47</v>
      </c>
      <c r="H194" s="24">
        <v>13</v>
      </c>
    </row>
    <row r="195" spans="1:8">
      <c r="A195" s="24">
        <v>194</v>
      </c>
      <c r="B195" s="24" t="s">
        <v>88</v>
      </c>
      <c r="C195" s="24" t="s">
        <v>1471</v>
      </c>
      <c r="D195" s="25">
        <v>3753</v>
      </c>
      <c r="E195" s="24">
        <v>268</v>
      </c>
      <c r="F195" s="25">
        <v>4338</v>
      </c>
      <c r="G195" s="24">
        <v>6.18</v>
      </c>
      <c r="H195" s="24">
        <v>14</v>
      </c>
    </row>
    <row r="196" spans="1:8">
      <c r="A196" s="24">
        <v>195</v>
      </c>
      <c r="B196" s="24" t="s">
        <v>1267</v>
      </c>
      <c r="C196" s="24" t="s">
        <v>1469</v>
      </c>
      <c r="D196" s="25">
        <v>3742</v>
      </c>
      <c r="E196" s="24">
        <v>374</v>
      </c>
      <c r="F196" s="25">
        <v>10563</v>
      </c>
      <c r="G196" s="24">
        <v>3.54</v>
      </c>
      <c r="H196" s="24">
        <v>10</v>
      </c>
    </row>
    <row r="197" spans="1:8">
      <c r="A197" s="24">
        <v>196</v>
      </c>
      <c r="B197" s="24" t="s">
        <v>223</v>
      </c>
      <c r="C197" s="24" t="s">
        <v>1482</v>
      </c>
      <c r="D197" s="25">
        <v>3728</v>
      </c>
      <c r="E197" s="24">
        <v>373</v>
      </c>
      <c r="F197" s="24">
        <v>600</v>
      </c>
      <c r="G197" s="24">
        <v>62.13</v>
      </c>
      <c r="H197" s="24">
        <v>10</v>
      </c>
    </row>
    <row r="198" spans="1:8">
      <c r="A198" s="24">
        <v>197</v>
      </c>
      <c r="B198" s="24" t="s">
        <v>285</v>
      </c>
      <c r="C198" s="24" t="s">
        <v>1470</v>
      </c>
      <c r="D198" s="25">
        <v>3696</v>
      </c>
      <c r="E198" s="24">
        <v>462</v>
      </c>
      <c r="F198" s="25">
        <v>1000</v>
      </c>
      <c r="G198" s="24">
        <v>46.2</v>
      </c>
      <c r="H198" s="24">
        <v>8</v>
      </c>
    </row>
    <row r="199" spans="1:8">
      <c r="A199" s="24">
        <v>198</v>
      </c>
      <c r="B199" s="24" t="s">
        <v>235</v>
      </c>
      <c r="C199" s="24" t="s">
        <v>1473</v>
      </c>
      <c r="D199" s="25">
        <v>3686</v>
      </c>
      <c r="E199" s="24">
        <v>307</v>
      </c>
      <c r="F199" s="25">
        <v>8095</v>
      </c>
      <c r="G199" s="24">
        <v>3.79</v>
      </c>
      <c r="H199" s="24">
        <v>12</v>
      </c>
    </row>
    <row r="200" spans="1:8">
      <c r="A200" s="24">
        <v>199</v>
      </c>
      <c r="B200" s="24" t="s">
        <v>252</v>
      </c>
      <c r="C200" s="24" t="s">
        <v>1465</v>
      </c>
      <c r="D200" s="25">
        <v>3656</v>
      </c>
      <c r="E200" s="24">
        <v>305</v>
      </c>
      <c r="F200" s="25">
        <v>7014</v>
      </c>
      <c r="G200" s="24">
        <v>4.34</v>
      </c>
      <c r="H200" s="24">
        <v>12</v>
      </c>
    </row>
    <row r="201" spans="1:8">
      <c r="A201" s="24">
        <v>200</v>
      </c>
      <c r="B201" s="24" t="s">
        <v>109</v>
      </c>
      <c r="C201" s="24" t="s">
        <v>1462</v>
      </c>
      <c r="D201" s="25">
        <v>3555</v>
      </c>
      <c r="E201" s="24">
        <v>273</v>
      </c>
      <c r="F201" s="24">
        <v>500</v>
      </c>
      <c r="G201" s="24">
        <v>54.69</v>
      </c>
      <c r="H201" s="24">
        <v>13</v>
      </c>
    </row>
    <row r="202" spans="1:8">
      <c r="A202" s="24">
        <v>201</v>
      </c>
      <c r="B202" s="24" t="s">
        <v>65</v>
      </c>
      <c r="C202" s="24" t="s">
        <v>1462</v>
      </c>
      <c r="D202" s="25">
        <v>3542</v>
      </c>
      <c r="E202" s="24">
        <v>354</v>
      </c>
      <c r="F202" s="25">
        <v>7000</v>
      </c>
      <c r="G202" s="24">
        <v>5.0599999999999996</v>
      </c>
      <c r="H202" s="24">
        <v>10</v>
      </c>
    </row>
    <row r="203" spans="1:8">
      <c r="A203" s="24">
        <v>202</v>
      </c>
      <c r="B203" s="24" t="s">
        <v>43</v>
      </c>
      <c r="C203" s="24" t="s">
        <v>1465</v>
      </c>
      <c r="D203" s="25">
        <v>3540</v>
      </c>
      <c r="E203" s="24">
        <v>322</v>
      </c>
      <c r="F203" s="25">
        <v>5500</v>
      </c>
      <c r="G203" s="24">
        <v>5.85</v>
      </c>
      <c r="H203" s="24">
        <v>11</v>
      </c>
    </row>
    <row r="204" spans="1:8">
      <c r="A204" s="24">
        <v>203</v>
      </c>
      <c r="B204" s="24" t="s">
        <v>1321</v>
      </c>
      <c r="C204" s="24" t="s">
        <v>1477</v>
      </c>
      <c r="D204" s="25">
        <v>3534</v>
      </c>
      <c r="E204" s="24">
        <v>321</v>
      </c>
      <c r="F204" s="24">
        <v>500</v>
      </c>
      <c r="G204" s="24">
        <v>64.25</v>
      </c>
      <c r="H204" s="24">
        <v>11</v>
      </c>
    </row>
    <row r="205" spans="1:8">
      <c r="A205" s="24">
        <v>204</v>
      </c>
      <c r="B205" s="24" t="s">
        <v>239</v>
      </c>
      <c r="C205" s="24" t="s">
        <v>1468</v>
      </c>
      <c r="D205" s="25">
        <v>3527</v>
      </c>
      <c r="E205" s="24">
        <v>235</v>
      </c>
      <c r="F205" s="25">
        <v>5602</v>
      </c>
      <c r="G205" s="24">
        <v>4.2</v>
      </c>
      <c r="H205" s="24">
        <v>15</v>
      </c>
    </row>
    <row r="206" spans="1:8">
      <c r="A206" s="24">
        <v>205</v>
      </c>
      <c r="B206" s="24" t="s">
        <v>1297</v>
      </c>
      <c r="C206" s="24" t="s">
        <v>1467</v>
      </c>
      <c r="D206" s="25">
        <v>3525</v>
      </c>
      <c r="E206" s="24">
        <v>294</v>
      </c>
      <c r="F206" s="25">
        <v>3104</v>
      </c>
      <c r="G206" s="24">
        <v>9.4600000000000009</v>
      </c>
      <c r="H206" s="24">
        <v>12</v>
      </c>
    </row>
    <row r="207" spans="1:8">
      <c r="A207" s="24">
        <v>206</v>
      </c>
      <c r="B207" s="24" t="s">
        <v>9</v>
      </c>
      <c r="C207" s="24" t="s">
        <v>1488</v>
      </c>
      <c r="D207" s="25">
        <v>3495</v>
      </c>
      <c r="E207" s="24">
        <v>218</v>
      </c>
      <c r="F207" s="24">
        <v>700</v>
      </c>
      <c r="G207" s="24">
        <v>31.21</v>
      </c>
      <c r="H207" s="24">
        <v>16</v>
      </c>
    </row>
    <row r="208" spans="1:8">
      <c r="A208" s="24">
        <v>207</v>
      </c>
      <c r="B208" s="24" t="s">
        <v>225</v>
      </c>
      <c r="C208" s="24" t="s">
        <v>1475</v>
      </c>
      <c r="D208" s="25">
        <v>3487</v>
      </c>
      <c r="E208" s="24">
        <v>291</v>
      </c>
      <c r="F208" s="25">
        <v>4000</v>
      </c>
      <c r="G208" s="24">
        <v>7.26</v>
      </c>
      <c r="H208" s="24">
        <v>12</v>
      </c>
    </row>
    <row r="209" spans="1:8">
      <c r="A209" s="24">
        <v>208</v>
      </c>
      <c r="B209" s="24" t="s">
        <v>95</v>
      </c>
      <c r="C209" s="24" t="s">
        <v>1477</v>
      </c>
      <c r="D209" s="25">
        <v>3484</v>
      </c>
      <c r="E209" s="24">
        <v>348</v>
      </c>
      <c r="F209" s="25">
        <v>4018</v>
      </c>
      <c r="G209" s="24">
        <v>8.67</v>
      </c>
      <c r="H209" s="24">
        <v>10</v>
      </c>
    </row>
    <row r="210" spans="1:8">
      <c r="A210" s="24">
        <v>209</v>
      </c>
      <c r="B210" s="24" t="s">
        <v>44</v>
      </c>
      <c r="C210" s="24" t="s">
        <v>1483</v>
      </c>
      <c r="D210" s="25">
        <v>3413</v>
      </c>
      <c r="E210" s="24">
        <v>244</v>
      </c>
      <c r="F210" s="24">
        <v>881</v>
      </c>
      <c r="G210" s="24">
        <v>27.67</v>
      </c>
      <c r="H210" s="24">
        <v>14</v>
      </c>
    </row>
    <row r="211" spans="1:8">
      <c r="A211" s="24">
        <v>210</v>
      </c>
      <c r="B211" s="24" t="s">
        <v>127</v>
      </c>
      <c r="C211" s="24" t="s">
        <v>1479</v>
      </c>
      <c r="D211" s="25">
        <v>3410</v>
      </c>
      <c r="E211" s="24">
        <v>284</v>
      </c>
      <c r="F211" s="25">
        <v>5028</v>
      </c>
      <c r="G211" s="24">
        <v>5.65</v>
      </c>
      <c r="H211" s="24">
        <v>12</v>
      </c>
    </row>
    <row r="212" spans="1:8">
      <c r="A212" s="24">
        <v>211</v>
      </c>
      <c r="B212" s="24" t="s">
        <v>116</v>
      </c>
      <c r="C212" s="24" t="s">
        <v>1475</v>
      </c>
      <c r="D212" s="25">
        <v>3384</v>
      </c>
      <c r="E212" s="24">
        <v>338</v>
      </c>
      <c r="F212" s="25">
        <v>5500</v>
      </c>
      <c r="G212" s="24">
        <v>6.15</v>
      </c>
      <c r="H212" s="24">
        <v>10</v>
      </c>
    </row>
    <row r="213" spans="1:8">
      <c r="A213" s="24">
        <v>212</v>
      </c>
      <c r="B213" s="24" t="s">
        <v>1289</v>
      </c>
      <c r="C213" s="24" t="s">
        <v>1476</v>
      </c>
      <c r="D213" s="25">
        <v>3377</v>
      </c>
      <c r="E213" s="24">
        <v>307</v>
      </c>
      <c r="F213" s="24">
        <v>750</v>
      </c>
      <c r="G213" s="24">
        <v>40.93</v>
      </c>
      <c r="H213" s="24">
        <v>11</v>
      </c>
    </row>
    <row r="214" spans="1:8">
      <c r="A214" s="24">
        <v>213</v>
      </c>
      <c r="B214" s="24" t="s">
        <v>242</v>
      </c>
      <c r="C214" s="24" t="s">
        <v>1484</v>
      </c>
      <c r="D214" s="25">
        <v>3365</v>
      </c>
      <c r="E214" s="24">
        <v>280</v>
      </c>
      <c r="F214" s="25">
        <v>1680</v>
      </c>
      <c r="G214" s="24">
        <v>16.690000000000001</v>
      </c>
      <c r="H214" s="24">
        <v>12</v>
      </c>
    </row>
    <row r="215" spans="1:8">
      <c r="A215" s="24">
        <v>214</v>
      </c>
      <c r="B215" s="24" t="s">
        <v>287</v>
      </c>
      <c r="C215" s="24" t="s">
        <v>1481</v>
      </c>
      <c r="D215" s="25">
        <v>3362</v>
      </c>
      <c r="E215" s="24">
        <v>280</v>
      </c>
      <c r="F215" s="25">
        <v>1500</v>
      </c>
      <c r="G215" s="24">
        <v>18.68</v>
      </c>
      <c r="H215" s="24">
        <v>12</v>
      </c>
    </row>
    <row r="216" spans="1:8">
      <c r="A216" s="24">
        <v>215</v>
      </c>
      <c r="B216" s="24" t="s">
        <v>259</v>
      </c>
      <c r="C216" s="24" t="s">
        <v>1458</v>
      </c>
      <c r="D216" s="25">
        <v>3359</v>
      </c>
      <c r="E216" s="24">
        <v>336</v>
      </c>
      <c r="F216" s="25">
        <v>6000</v>
      </c>
      <c r="G216" s="24">
        <v>5.6</v>
      </c>
      <c r="H216" s="24">
        <v>10</v>
      </c>
    </row>
    <row r="217" spans="1:8">
      <c r="A217" s="24">
        <v>216</v>
      </c>
      <c r="B217" s="24" t="s">
        <v>91</v>
      </c>
      <c r="C217" s="24" t="s">
        <v>1469</v>
      </c>
      <c r="D217" s="25">
        <v>3350</v>
      </c>
      <c r="E217" s="24">
        <v>305</v>
      </c>
      <c r="F217" s="25">
        <v>3800</v>
      </c>
      <c r="G217" s="24">
        <v>8.01</v>
      </c>
      <c r="H217" s="24">
        <v>11</v>
      </c>
    </row>
    <row r="218" spans="1:8">
      <c r="A218" s="24">
        <v>217</v>
      </c>
      <c r="B218" s="24" t="s">
        <v>33</v>
      </c>
      <c r="C218" s="24" t="s">
        <v>1465</v>
      </c>
      <c r="D218" s="25">
        <v>3338</v>
      </c>
      <c r="E218" s="24">
        <v>238</v>
      </c>
      <c r="F218" s="25">
        <v>6100</v>
      </c>
      <c r="G218" s="24">
        <v>3.91</v>
      </c>
      <c r="H218" s="24">
        <v>14</v>
      </c>
    </row>
    <row r="219" spans="1:8">
      <c r="A219" s="24">
        <v>218</v>
      </c>
      <c r="B219" s="24" t="s">
        <v>114</v>
      </c>
      <c r="C219" s="24" t="s">
        <v>1488</v>
      </c>
      <c r="D219" s="25">
        <v>3291</v>
      </c>
      <c r="E219" s="24">
        <v>470</v>
      </c>
      <c r="F219" s="24">
        <v>500</v>
      </c>
      <c r="G219" s="24">
        <v>94.03</v>
      </c>
      <c r="H219" s="24">
        <v>7</v>
      </c>
    </row>
    <row r="220" spans="1:8">
      <c r="A220" s="24">
        <v>219</v>
      </c>
      <c r="B220" s="24" t="s">
        <v>232</v>
      </c>
      <c r="C220" s="24" t="s">
        <v>1475</v>
      </c>
      <c r="D220" s="25">
        <v>3277</v>
      </c>
      <c r="E220" s="24">
        <v>328</v>
      </c>
      <c r="F220" s="25">
        <v>1000</v>
      </c>
      <c r="G220" s="24">
        <v>32.770000000000003</v>
      </c>
      <c r="H220" s="24">
        <v>10</v>
      </c>
    </row>
    <row r="221" spans="1:8">
      <c r="A221" s="24">
        <v>220</v>
      </c>
      <c r="B221" s="24" t="s">
        <v>48</v>
      </c>
      <c r="C221" s="24" t="s">
        <v>1477</v>
      </c>
      <c r="D221" s="25">
        <v>3266</v>
      </c>
      <c r="E221" s="24">
        <v>297</v>
      </c>
      <c r="F221" s="25">
        <v>3000</v>
      </c>
      <c r="G221" s="24">
        <v>9.9</v>
      </c>
      <c r="H221" s="24">
        <v>11</v>
      </c>
    </row>
    <row r="222" spans="1:8">
      <c r="A222" s="24">
        <v>221</v>
      </c>
      <c r="B222" s="24" t="s">
        <v>1293</v>
      </c>
      <c r="C222" s="24" t="s">
        <v>1480</v>
      </c>
      <c r="D222" s="25">
        <v>3246</v>
      </c>
      <c r="E222" s="24">
        <v>295</v>
      </c>
      <c r="F222" s="25">
        <v>2500</v>
      </c>
      <c r="G222" s="24">
        <v>11.8</v>
      </c>
      <c r="H222" s="24">
        <v>11</v>
      </c>
    </row>
    <row r="223" spans="1:8">
      <c r="A223" s="24">
        <v>222</v>
      </c>
      <c r="B223" s="24" t="s">
        <v>96</v>
      </c>
      <c r="C223" s="24" t="s">
        <v>1472</v>
      </c>
      <c r="D223" s="25">
        <v>3220</v>
      </c>
      <c r="E223" s="24">
        <v>322</v>
      </c>
      <c r="F223" s="25">
        <v>2870</v>
      </c>
      <c r="G223" s="24">
        <v>11.22</v>
      </c>
      <c r="H223" s="24">
        <v>10</v>
      </c>
    </row>
    <row r="224" spans="1:8">
      <c r="A224" s="24">
        <v>223</v>
      </c>
      <c r="B224" s="24" t="s">
        <v>291</v>
      </c>
      <c r="C224" s="24" t="s">
        <v>1483</v>
      </c>
      <c r="D224" s="25">
        <v>3209</v>
      </c>
      <c r="E224" s="24">
        <v>267</v>
      </c>
      <c r="F224" s="25">
        <v>6000</v>
      </c>
      <c r="G224" s="24">
        <v>4.46</v>
      </c>
      <c r="H224" s="24">
        <v>12</v>
      </c>
    </row>
    <row r="225" spans="1:8">
      <c r="A225" s="24">
        <v>224</v>
      </c>
      <c r="B225" s="24" t="s">
        <v>87</v>
      </c>
      <c r="C225" s="24" t="s">
        <v>1471</v>
      </c>
      <c r="D225" s="25">
        <v>3200</v>
      </c>
      <c r="E225" s="24">
        <v>246</v>
      </c>
      <c r="F225" s="25">
        <v>1500</v>
      </c>
      <c r="G225" s="24">
        <v>16.41</v>
      </c>
      <c r="H225" s="24">
        <v>13</v>
      </c>
    </row>
    <row r="226" spans="1:8">
      <c r="A226" s="24">
        <v>225</v>
      </c>
      <c r="B226" s="24" t="s">
        <v>1311</v>
      </c>
      <c r="C226" s="24" t="s">
        <v>1483</v>
      </c>
      <c r="D226" s="25">
        <v>3159</v>
      </c>
      <c r="E226" s="24">
        <v>351</v>
      </c>
      <c r="F226" s="25">
        <v>1100</v>
      </c>
      <c r="G226" s="24">
        <v>31.91</v>
      </c>
      <c r="H226" s="24">
        <v>9</v>
      </c>
    </row>
    <row r="227" spans="1:8">
      <c r="A227" s="24">
        <v>225</v>
      </c>
      <c r="B227" s="24" t="s">
        <v>263</v>
      </c>
      <c r="C227" s="24" t="s">
        <v>1477</v>
      </c>
      <c r="D227" s="25">
        <v>3159</v>
      </c>
      <c r="E227" s="24">
        <v>263</v>
      </c>
      <c r="F227" s="24">
        <v>500</v>
      </c>
      <c r="G227" s="24">
        <v>52.65</v>
      </c>
      <c r="H227" s="24">
        <v>12</v>
      </c>
    </row>
    <row r="228" spans="1:8">
      <c r="A228" s="24">
        <v>227</v>
      </c>
      <c r="B228" s="24" t="s">
        <v>72</v>
      </c>
      <c r="C228" s="24" t="s">
        <v>1478</v>
      </c>
      <c r="D228" s="25">
        <v>3149</v>
      </c>
      <c r="E228" s="24">
        <v>315</v>
      </c>
      <c r="F228" s="25">
        <v>3500</v>
      </c>
      <c r="G228" s="24">
        <v>9</v>
      </c>
      <c r="H228" s="24">
        <v>10</v>
      </c>
    </row>
    <row r="229" spans="1:8">
      <c r="A229" s="24">
        <v>228</v>
      </c>
      <c r="B229" s="24" t="s">
        <v>1306</v>
      </c>
      <c r="C229" s="24" t="s">
        <v>1266</v>
      </c>
      <c r="D229" s="25">
        <v>3145</v>
      </c>
      <c r="E229" s="24">
        <v>242</v>
      </c>
      <c r="F229" s="25">
        <v>3900</v>
      </c>
      <c r="G229" s="24">
        <v>6.2</v>
      </c>
      <c r="H229" s="24">
        <v>13</v>
      </c>
    </row>
    <row r="230" spans="1:8">
      <c r="A230" s="24">
        <v>229</v>
      </c>
      <c r="B230" s="24" t="s">
        <v>256</v>
      </c>
      <c r="C230" s="24" t="s">
        <v>1473</v>
      </c>
      <c r="D230" s="25">
        <v>3115</v>
      </c>
      <c r="E230" s="24">
        <v>260</v>
      </c>
      <c r="F230" s="25">
        <v>8500</v>
      </c>
      <c r="G230" s="24">
        <v>3.05</v>
      </c>
      <c r="H230" s="24">
        <v>12</v>
      </c>
    </row>
    <row r="231" spans="1:8">
      <c r="A231" s="24">
        <v>230</v>
      </c>
      <c r="B231" s="24" t="s">
        <v>253</v>
      </c>
      <c r="C231" s="24" t="s">
        <v>1480</v>
      </c>
      <c r="D231" s="25">
        <v>3100</v>
      </c>
      <c r="E231" s="24">
        <v>207</v>
      </c>
      <c r="F231" s="25">
        <v>5200</v>
      </c>
      <c r="G231" s="24">
        <v>3.97</v>
      </c>
      <c r="H231" s="24">
        <v>15</v>
      </c>
    </row>
    <row r="232" spans="1:8">
      <c r="A232" s="24">
        <v>231</v>
      </c>
      <c r="B232" s="24" t="s">
        <v>1244</v>
      </c>
      <c r="C232" s="24" t="s">
        <v>1482</v>
      </c>
      <c r="D232" s="25">
        <v>3063</v>
      </c>
      <c r="E232" s="24">
        <v>340</v>
      </c>
      <c r="F232" s="25">
        <v>2000</v>
      </c>
      <c r="G232" s="24">
        <v>17.02</v>
      </c>
      <c r="H232" s="24">
        <v>9</v>
      </c>
    </row>
    <row r="233" spans="1:8">
      <c r="A233" s="24">
        <v>232</v>
      </c>
      <c r="B233" s="24" t="s">
        <v>213</v>
      </c>
      <c r="C233" s="24" t="s">
        <v>1467</v>
      </c>
      <c r="D233" s="25">
        <v>3044</v>
      </c>
      <c r="E233" s="24">
        <v>234</v>
      </c>
      <c r="F233" s="25">
        <v>3500</v>
      </c>
      <c r="G233" s="24">
        <v>6.69</v>
      </c>
      <c r="H233" s="24">
        <v>13</v>
      </c>
    </row>
    <row r="234" spans="1:8">
      <c r="A234" s="24">
        <v>233</v>
      </c>
      <c r="B234" s="24" t="s">
        <v>1298</v>
      </c>
      <c r="C234" s="24" t="s">
        <v>1467</v>
      </c>
      <c r="D234" s="25">
        <v>3042</v>
      </c>
      <c r="E234" s="24">
        <v>304</v>
      </c>
      <c r="F234" s="25">
        <v>5000</v>
      </c>
      <c r="G234" s="24">
        <v>6.08</v>
      </c>
      <c r="H234" s="24">
        <v>10</v>
      </c>
    </row>
    <row r="235" spans="1:8">
      <c r="A235" s="24">
        <v>234</v>
      </c>
      <c r="B235" s="24" t="s">
        <v>1301</v>
      </c>
      <c r="C235" s="24" t="s">
        <v>1467</v>
      </c>
      <c r="D235" s="25">
        <v>3004</v>
      </c>
      <c r="E235" s="24">
        <v>250</v>
      </c>
      <c r="F235" s="25">
        <v>5300</v>
      </c>
      <c r="G235" s="24">
        <v>4.72</v>
      </c>
      <c r="H235" s="24">
        <v>12</v>
      </c>
    </row>
    <row r="236" spans="1:8">
      <c r="A236" s="24">
        <v>235</v>
      </c>
      <c r="B236" s="24" t="s">
        <v>208</v>
      </c>
      <c r="C236" s="24" t="s">
        <v>1470</v>
      </c>
      <c r="D236" s="25">
        <v>2995</v>
      </c>
      <c r="E236" s="24">
        <v>250</v>
      </c>
      <c r="F236" s="25">
        <v>1200</v>
      </c>
      <c r="G236" s="24">
        <v>20.8</v>
      </c>
      <c r="H236" s="24">
        <v>12</v>
      </c>
    </row>
    <row r="237" spans="1:8">
      <c r="A237" s="24">
        <v>236</v>
      </c>
      <c r="B237" s="24" t="s">
        <v>146</v>
      </c>
      <c r="C237" s="24" t="s">
        <v>1465</v>
      </c>
      <c r="D237" s="25">
        <v>2984</v>
      </c>
      <c r="E237" s="24">
        <v>271</v>
      </c>
      <c r="F237" s="25">
        <v>6400</v>
      </c>
      <c r="G237" s="24">
        <v>4.24</v>
      </c>
      <c r="H237" s="24">
        <v>11</v>
      </c>
    </row>
    <row r="238" spans="1:8">
      <c r="A238" s="24">
        <v>237</v>
      </c>
      <c r="B238" s="24" t="s">
        <v>229</v>
      </c>
      <c r="C238" s="24" t="s">
        <v>1481</v>
      </c>
      <c r="D238" s="25">
        <v>2893</v>
      </c>
      <c r="E238" s="24">
        <v>321</v>
      </c>
      <c r="F238" s="25">
        <v>10000</v>
      </c>
      <c r="G238" s="24">
        <v>3.21</v>
      </c>
      <c r="H238" s="24">
        <v>9</v>
      </c>
    </row>
    <row r="239" spans="1:8">
      <c r="A239" s="24">
        <v>238</v>
      </c>
      <c r="B239" s="24" t="s">
        <v>6</v>
      </c>
      <c r="C239" s="24" t="s">
        <v>1465</v>
      </c>
      <c r="D239" s="25">
        <v>2889</v>
      </c>
      <c r="E239" s="24">
        <v>222</v>
      </c>
      <c r="F239" s="25">
        <v>5500</v>
      </c>
      <c r="G239" s="24">
        <v>4.04</v>
      </c>
      <c r="H239" s="24">
        <v>13</v>
      </c>
    </row>
    <row r="240" spans="1:8">
      <c r="A240" s="24">
        <v>239</v>
      </c>
      <c r="B240" s="24" t="s">
        <v>78</v>
      </c>
      <c r="C240" s="24" t="s">
        <v>1473</v>
      </c>
      <c r="D240" s="25">
        <v>2883</v>
      </c>
      <c r="E240" s="24">
        <v>262</v>
      </c>
      <c r="F240" s="25">
        <v>2980</v>
      </c>
      <c r="G240" s="24">
        <v>8.7899999999999991</v>
      </c>
      <c r="H240" s="24">
        <v>11</v>
      </c>
    </row>
    <row r="241" spans="1:8">
      <c r="A241" s="24">
        <v>240</v>
      </c>
      <c r="B241" s="24" t="s">
        <v>19</v>
      </c>
      <c r="C241" s="24" t="s">
        <v>1475</v>
      </c>
      <c r="D241" s="25">
        <v>2860</v>
      </c>
      <c r="E241" s="24">
        <v>318</v>
      </c>
      <c r="F241" s="25">
        <v>7257</v>
      </c>
      <c r="G241" s="24">
        <v>4.38</v>
      </c>
      <c r="H241" s="24">
        <v>9</v>
      </c>
    </row>
    <row r="242" spans="1:8">
      <c r="A242" s="24">
        <v>241</v>
      </c>
      <c r="B242" s="24" t="s">
        <v>220</v>
      </c>
      <c r="C242" s="24" t="s">
        <v>1467</v>
      </c>
      <c r="D242" s="25">
        <v>2848</v>
      </c>
      <c r="E242" s="24">
        <v>259</v>
      </c>
      <c r="F242" s="25">
        <v>4200</v>
      </c>
      <c r="G242" s="24">
        <v>6.16</v>
      </c>
      <c r="H242" s="24">
        <v>11</v>
      </c>
    </row>
    <row r="243" spans="1:8">
      <c r="A243" s="24">
        <v>242</v>
      </c>
      <c r="B243" s="24" t="s">
        <v>143</v>
      </c>
      <c r="C243" s="24" t="s">
        <v>1482</v>
      </c>
      <c r="D243" s="25">
        <v>2825</v>
      </c>
      <c r="E243" s="24">
        <v>177</v>
      </c>
      <c r="F243" s="24">
        <v>315</v>
      </c>
      <c r="G243" s="24">
        <v>56.05</v>
      </c>
      <c r="H243" s="24">
        <v>16</v>
      </c>
    </row>
    <row r="244" spans="1:8">
      <c r="A244" s="24">
        <v>243</v>
      </c>
      <c r="B244" s="24" t="s">
        <v>135</v>
      </c>
      <c r="C244" s="24" t="s">
        <v>1462</v>
      </c>
      <c r="D244" s="25">
        <v>2772</v>
      </c>
      <c r="E244" s="24">
        <v>308</v>
      </c>
      <c r="F244" s="25">
        <v>4486</v>
      </c>
      <c r="G244" s="24">
        <v>6.87</v>
      </c>
      <c r="H244" s="24">
        <v>9</v>
      </c>
    </row>
    <row r="245" spans="1:8">
      <c r="A245" s="24">
        <v>243</v>
      </c>
      <c r="B245" s="24" t="s">
        <v>245</v>
      </c>
      <c r="C245" s="24" t="s">
        <v>1475</v>
      </c>
      <c r="D245" s="25">
        <v>2772</v>
      </c>
      <c r="E245" s="24">
        <v>277</v>
      </c>
      <c r="F245" s="25">
        <v>2500</v>
      </c>
      <c r="G245" s="24">
        <v>11.09</v>
      </c>
      <c r="H245" s="24">
        <v>10</v>
      </c>
    </row>
    <row r="246" spans="1:8">
      <c r="A246" s="24">
        <v>245</v>
      </c>
      <c r="B246" s="24" t="s">
        <v>258</v>
      </c>
      <c r="C246" s="24" t="s">
        <v>1458</v>
      </c>
      <c r="D246" s="25">
        <v>2730</v>
      </c>
      <c r="E246" s="24">
        <v>341</v>
      </c>
      <c r="F246" s="25">
        <v>1922</v>
      </c>
      <c r="G246" s="24">
        <v>17.75</v>
      </c>
      <c r="H246" s="24">
        <v>8</v>
      </c>
    </row>
    <row r="247" spans="1:8">
      <c r="A247" s="24">
        <v>246</v>
      </c>
      <c r="B247" s="24" t="s">
        <v>192</v>
      </c>
      <c r="C247" s="24" t="s">
        <v>1486</v>
      </c>
      <c r="D247" s="25">
        <v>2721</v>
      </c>
      <c r="E247" s="24">
        <v>194</v>
      </c>
      <c r="F247" s="25">
        <v>8700</v>
      </c>
      <c r="G247" s="24">
        <v>2.23</v>
      </c>
      <c r="H247" s="24">
        <v>14</v>
      </c>
    </row>
    <row r="248" spans="1:8">
      <c r="A248" s="24">
        <v>247</v>
      </c>
      <c r="B248" s="24" t="s">
        <v>1246</v>
      </c>
      <c r="C248" s="24" t="s">
        <v>1487</v>
      </c>
      <c r="D248" s="25">
        <v>2705</v>
      </c>
      <c r="E248" s="24">
        <v>208</v>
      </c>
      <c r="F248" s="25">
        <v>2000</v>
      </c>
      <c r="G248" s="24">
        <v>10.4</v>
      </c>
      <c r="H248" s="24">
        <v>13</v>
      </c>
    </row>
    <row r="249" spans="1:8">
      <c r="A249" s="24">
        <v>248</v>
      </c>
      <c r="B249" s="24" t="s">
        <v>162</v>
      </c>
      <c r="C249" s="24" t="s">
        <v>1472</v>
      </c>
      <c r="D249" s="25">
        <v>2702</v>
      </c>
      <c r="E249" s="24">
        <v>246</v>
      </c>
      <c r="F249" s="25">
        <v>3056</v>
      </c>
      <c r="G249" s="24">
        <v>8.0399999999999991</v>
      </c>
      <c r="H249" s="24">
        <v>11</v>
      </c>
    </row>
    <row r="250" spans="1:8">
      <c r="A250" s="24">
        <v>249</v>
      </c>
      <c r="B250" s="24" t="s">
        <v>219</v>
      </c>
      <c r="C250" s="24" t="s">
        <v>1460</v>
      </c>
      <c r="D250" s="25">
        <v>2641</v>
      </c>
      <c r="E250" s="24">
        <v>264</v>
      </c>
      <c r="F250" s="25">
        <v>1200</v>
      </c>
      <c r="G250" s="24">
        <v>22.01</v>
      </c>
      <c r="H250" s="24">
        <v>10</v>
      </c>
    </row>
    <row r="251" spans="1:8">
      <c r="A251" s="24">
        <v>250</v>
      </c>
      <c r="B251" s="24" t="s">
        <v>46</v>
      </c>
      <c r="C251" s="24" t="s">
        <v>1478</v>
      </c>
      <c r="D251" s="25">
        <v>2625</v>
      </c>
      <c r="E251" s="24">
        <v>175</v>
      </c>
      <c r="F251" s="25">
        <v>4177</v>
      </c>
      <c r="G251" s="24">
        <v>4.1900000000000004</v>
      </c>
      <c r="H251" s="24">
        <v>15</v>
      </c>
    </row>
    <row r="252" spans="1:8">
      <c r="A252" s="24">
        <v>251</v>
      </c>
      <c r="B252" s="24" t="s">
        <v>178</v>
      </c>
      <c r="C252" s="24" t="s">
        <v>1479</v>
      </c>
      <c r="D252" s="25">
        <v>2574</v>
      </c>
      <c r="E252" s="24">
        <v>215</v>
      </c>
      <c r="F252" s="25">
        <v>1685</v>
      </c>
      <c r="G252" s="24">
        <v>12.73</v>
      </c>
      <c r="H252" s="24">
        <v>12</v>
      </c>
    </row>
    <row r="253" spans="1:8">
      <c r="A253" s="24">
        <v>251</v>
      </c>
      <c r="B253" s="24" t="s">
        <v>249</v>
      </c>
      <c r="C253" s="24" t="s">
        <v>1488</v>
      </c>
      <c r="D253" s="25">
        <v>2574</v>
      </c>
      <c r="E253" s="24">
        <v>184</v>
      </c>
      <c r="F253" s="25">
        <v>8100</v>
      </c>
      <c r="G253" s="24">
        <v>2.27</v>
      </c>
      <c r="H253" s="24">
        <v>14</v>
      </c>
    </row>
    <row r="254" spans="1:8">
      <c r="A254" s="24">
        <v>253</v>
      </c>
      <c r="B254" s="24" t="s">
        <v>205</v>
      </c>
      <c r="C254" s="24" t="s">
        <v>1489</v>
      </c>
      <c r="D254" s="25">
        <v>2539</v>
      </c>
      <c r="E254" s="24">
        <v>212</v>
      </c>
      <c r="F254" s="25">
        <v>1650</v>
      </c>
      <c r="G254" s="24">
        <v>12.82</v>
      </c>
      <c r="H254" s="24">
        <v>12</v>
      </c>
    </row>
    <row r="255" spans="1:8">
      <c r="A255" s="24">
        <v>254</v>
      </c>
      <c r="B255" s="24" t="s">
        <v>207</v>
      </c>
      <c r="C255" s="24" t="s">
        <v>1457</v>
      </c>
      <c r="D255" s="25">
        <v>2526</v>
      </c>
      <c r="E255" s="24">
        <v>180</v>
      </c>
      <c r="F255" s="25">
        <v>1200</v>
      </c>
      <c r="G255" s="24">
        <v>15.04</v>
      </c>
      <c r="H255" s="24">
        <v>14</v>
      </c>
    </row>
    <row r="256" spans="1:8">
      <c r="A256" s="24">
        <v>255</v>
      </c>
      <c r="B256" s="24" t="s">
        <v>1292</v>
      </c>
      <c r="C256" s="24" t="s">
        <v>1490</v>
      </c>
      <c r="D256" s="25">
        <v>2514</v>
      </c>
      <c r="E256" s="24">
        <v>279</v>
      </c>
      <c r="F256" s="25">
        <v>1500</v>
      </c>
      <c r="G256" s="24">
        <v>18.62</v>
      </c>
      <c r="H256" s="24">
        <v>9</v>
      </c>
    </row>
    <row r="257" spans="1:8">
      <c r="A257" s="24">
        <v>256</v>
      </c>
      <c r="B257" s="24" t="s">
        <v>1309</v>
      </c>
      <c r="C257" s="24" t="s">
        <v>1266</v>
      </c>
      <c r="D257" s="25">
        <v>2502</v>
      </c>
      <c r="E257" s="24">
        <v>192</v>
      </c>
      <c r="F257" s="25">
        <v>3600</v>
      </c>
      <c r="G257" s="24">
        <v>5.35</v>
      </c>
      <c r="H257" s="24">
        <v>13</v>
      </c>
    </row>
    <row r="258" spans="1:8">
      <c r="A258" s="24">
        <v>256</v>
      </c>
      <c r="B258" s="24" t="s">
        <v>265</v>
      </c>
      <c r="C258" s="24" t="s">
        <v>1484</v>
      </c>
      <c r="D258" s="25">
        <v>2502</v>
      </c>
      <c r="E258" s="24">
        <v>313</v>
      </c>
      <c r="F258" s="25">
        <v>3824</v>
      </c>
      <c r="G258" s="24">
        <v>8.18</v>
      </c>
      <c r="H258" s="24">
        <v>8</v>
      </c>
    </row>
    <row r="259" spans="1:8">
      <c r="A259" s="24">
        <v>258</v>
      </c>
      <c r="B259" s="24" t="s">
        <v>53</v>
      </c>
      <c r="C259" s="24" t="s">
        <v>1486</v>
      </c>
      <c r="D259" s="25">
        <v>2477</v>
      </c>
      <c r="E259" s="24">
        <v>248</v>
      </c>
      <c r="F259" s="25">
        <v>3408</v>
      </c>
      <c r="G259" s="24">
        <v>7.27</v>
      </c>
      <c r="H259" s="24">
        <v>10</v>
      </c>
    </row>
    <row r="260" spans="1:8">
      <c r="A260" s="24">
        <v>259</v>
      </c>
      <c r="B260" s="24" t="s">
        <v>139</v>
      </c>
      <c r="C260" s="24" t="s">
        <v>1489</v>
      </c>
      <c r="D260" s="25">
        <v>2472</v>
      </c>
      <c r="E260" s="24">
        <v>247</v>
      </c>
      <c r="F260" s="25">
        <v>3200</v>
      </c>
      <c r="G260" s="24">
        <v>7.73</v>
      </c>
      <c r="H260" s="24">
        <v>10</v>
      </c>
    </row>
    <row r="261" spans="1:8">
      <c r="A261" s="24">
        <v>260</v>
      </c>
      <c r="B261" s="24" t="s">
        <v>69</v>
      </c>
      <c r="C261" s="24" t="s">
        <v>1475</v>
      </c>
      <c r="D261" s="25">
        <v>2471</v>
      </c>
      <c r="E261" s="24">
        <v>309</v>
      </c>
      <c r="F261" s="25">
        <v>4200</v>
      </c>
      <c r="G261" s="24">
        <v>7.35</v>
      </c>
      <c r="H261" s="24">
        <v>8</v>
      </c>
    </row>
    <row r="262" spans="1:8">
      <c r="A262" s="24">
        <v>261</v>
      </c>
      <c r="B262" s="24" t="s">
        <v>243</v>
      </c>
      <c r="C262" s="24" t="s">
        <v>1464</v>
      </c>
      <c r="D262" s="25">
        <v>2437</v>
      </c>
      <c r="E262" s="24">
        <v>162</v>
      </c>
      <c r="F262" s="25">
        <v>3000</v>
      </c>
      <c r="G262" s="24">
        <v>5.42</v>
      </c>
      <c r="H262" s="24">
        <v>15</v>
      </c>
    </row>
    <row r="263" spans="1:8">
      <c r="A263" s="24">
        <v>262</v>
      </c>
      <c r="B263" s="24" t="s">
        <v>1245</v>
      </c>
      <c r="C263" s="24" t="s">
        <v>1469</v>
      </c>
      <c r="D263" s="25">
        <v>2425</v>
      </c>
      <c r="E263" s="24">
        <v>220</v>
      </c>
      <c r="F263" s="24">
        <v>500</v>
      </c>
      <c r="G263" s="24">
        <v>44.09</v>
      </c>
      <c r="H263" s="24">
        <v>11</v>
      </c>
    </row>
    <row r="264" spans="1:8">
      <c r="A264" s="24">
        <v>263</v>
      </c>
      <c r="B264" s="24" t="s">
        <v>226</v>
      </c>
      <c r="C264" s="24" t="s">
        <v>1469</v>
      </c>
      <c r="D264" s="25">
        <v>2417</v>
      </c>
      <c r="E264" s="24">
        <v>242</v>
      </c>
      <c r="F264" s="24">
        <v>800</v>
      </c>
      <c r="G264" s="24">
        <v>30.21</v>
      </c>
      <c r="H264" s="24">
        <v>10</v>
      </c>
    </row>
    <row r="265" spans="1:8">
      <c r="A265" s="24">
        <v>264</v>
      </c>
      <c r="B265" s="24" t="s">
        <v>89</v>
      </c>
      <c r="C265" s="24" t="s">
        <v>1468</v>
      </c>
      <c r="D265" s="25">
        <v>2400</v>
      </c>
      <c r="E265" s="24">
        <v>240</v>
      </c>
      <c r="F265" s="25">
        <v>2200</v>
      </c>
      <c r="G265" s="24">
        <v>10.91</v>
      </c>
      <c r="H265" s="24">
        <v>10</v>
      </c>
    </row>
    <row r="266" spans="1:8">
      <c r="A266" s="24">
        <v>265</v>
      </c>
      <c r="B266" s="24" t="s">
        <v>206</v>
      </c>
      <c r="C266" s="24" t="s">
        <v>1487</v>
      </c>
      <c r="D266" s="25">
        <v>2382</v>
      </c>
      <c r="E266" s="24">
        <v>217</v>
      </c>
      <c r="F266" s="25">
        <v>3056</v>
      </c>
      <c r="G266" s="24">
        <v>7.09</v>
      </c>
      <c r="H266" s="24">
        <v>11</v>
      </c>
    </row>
    <row r="267" spans="1:8">
      <c r="A267" s="24">
        <v>266</v>
      </c>
      <c r="B267" s="24" t="s">
        <v>54</v>
      </c>
      <c r="C267" s="24" t="s">
        <v>1472</v>
      </c>
      <c r="D267" s="25">
        <v>2375</v>
      </c>
      <c r="E267" s="24">
        <v>297</v>
      </c>
      <c r="F267" s="25">
        <v>3000</v>
      </c>
      <c r="G267" s="24">
        <v>9.9</v>
      </c>
      <c r="H267" s="24">
        <v>8</v>
      </c>
    </row>
    <row r="268" spans="1:8">
      <c r="A268" s="24">
        <v>267</v>
      </c>
      <c r="B268" s="24" t="s">
        <v>1247</v>
      </c>
      <c r="C268" s="24" t="s">
        <v>1482</v>
      </c>
      <c r="D268" s="25">
        <v>2349</v>
      </c>
      <c r="E268" s="24">
        <v>294</v>
      </c>
      <c r="F268" s="25">
        <v>3800</v>
      </c>
      <c r="G268" s="24">
        <v>7.73</v>
      </c>
      <c r="H268" s="24">
        <v>8</v>
      </c>
    </row>
    <row r="269" spans="1:8">
      <c r="A269" s="24">
        <v>268</v>
      </c>
      <c r="B269" s="24" t="s">
        <v>286</v>
      </c>
      <c r="C269" s="24" t="s">
        <v>1478</v>
      </c>
      <c r="D269" s="25">
        <v>2323</v>
      </c>
      <c r="E269" s="24">
        <v>232</v>
      </c>
      <c r="F269" s="25">
        <v>7826</v>
      </c>
      <c r="G269" s="24">
        <v>2.97</v>
      </c>
      <c r="H269" s="24">
        <v>10</v>
      </c>
    </row>
    <row r="270" spans="1:8">
      <c r="A270" s="24">
        <v>269</v>
      </c>
      <c r="B270" s="24" t="s">
        <v>133</v>
      </c>
      <c r="C270" s="24" t="s">
        <v>1473</v>
      </c>
      <c r="D270" s="25">
        <v>2314</v>
      </c>
      <c r="E270" s="24">
        <v>193</v>
      </c>
      <c r="F270" s="25">
        <v>8000</v>
      </c>
      <c r="G270" s="24">
        <v>2.41</v>
      </c>
      <c r="H270" s="24">
        <v>12</v>
      </c>
    </row>
    <row r="271" spans="1:8">
      <c r="A271" s="24">
        <v>270</v>
      </c>
      <c r="B271" s="24" t="s">
        <v>125</v>
      </c>
      <c r="C271" s="24" t="s">
        <v>1476</v>
      </c>
      <c r="D271" s="25">
        <v>2293</v>
      </c>
      <c r="E271" s="24">
        <v>191</v>
      </c>
      <c r="F271" s="24">
        <v>0</v>
      </c>
      <c r="G271" s="24" t="s">
        <v>1466</v>
      </c>
      <c r="H271" s="24">
        <v>12</v>
      </c>
    </row>
    <row r="272" spans="1:8">
      <c r="A272" s="24">
        <v>271</v>
      </c>
      <c r="B272" s="24" t="s">
        <v>23</v>
      </c>
      <c r="C272" s="24" t="s">
        <v>1472</v>
      </c>
      <c r="D272" s="25">
        <v>2281</v>
      </c>
      <c r="E272" s="24">
        <v>253</v>
      </c>
      <c r="F272" s="25">
        <v>3000</v>
      </c>
      <c r="G272" s="24">
        <v>8.4499999999999993</v>
      </c>
      <c r="H272" s="24">
        <v>9</v>
      </c>
    </row>
    <row r="273" spans="1:8">
      <c r="A273" s="24">
        <v>272</v>
      </c>
      <c r="B273" s="24" t="s">
        <v>198</v>
      </c>
      <c r="C273" s="24" t="s">
        <v>1486</v>
      </c>
      <c r="D273" s="25">
        <v>2257</v>
      </c>
      <c r="E273" s="24">
        <v>322</v>
      </c>
      <c r="F273" s="25">
        <v>1500</v>
      </c>
      <c r="G273" s="24">
        <v>21.5</v>
      </c>
      <c r="H273" s="24">
        <v>7</v>
      </c>
    </row>
    <row r="274" spans="1:8">
      <c r="A274" s="24">
        <v>273</v>
      </c>
      <c r="B274" s="24" t="s">
        <v>1320</v>
      </c>
      <c r="C274" s="24" t="s">
        <v>1480</v>
      </c>
      <c r="D274" s="25">
        <v>2209</v>
      </c>
      <c r="E274" s="24">
        <v>221</v>
      </c>
      <c r="F274" s="25">
        <v>8600</v>
      </c>
      <c r="G274" s="24">
        <v>2.57</v>
      </c>
      <c r="H274" s="24">
        <v>10</v>
      </c>
    </row>
    <row r="275" spans="1:8">
      <c r="A275" s="24">
        <v>274</v>
      </c>
      <c r="B275" s="24" t="s">
        <v>236</v>
      </c>
      <c r="C275" s="24" t="s">
        <v>1488</v>
      </c>
      <c r="D275" s="25">
        <v>2194</v>
      </c>
      <c r="E275" s="24">
        <v>244</v>
      </c>
      <c r="F275" s="24">
        <v>800</v>
      </c>
      <c r="G275" s="24">
        <v>30.47</v>
      </c>
      <c r="H275" s="24">
        <v>9</v>
      </c>
    </row>
    <row r="276" spans="1:8">
      <c r="A276" s="24">
        <v>275</v>
      </c>
      <c r="B276" s="24" t="s">
        <v>209</v>
      </c>
      <c r="C276" s="24" t="s">
        <v>1487</v>
      </c>
      <c r="D276" s="25">
        <v>2181</v>
      </c>
      <c r="E276" s="24">
        <v>198</v>
      </c>
      <c r="F276" s="25">
        <v>2100</v>
      </c>
      <c r="G276" s="24">
        <v>9.44</v>
      </c>
      <c r="H276" s="24">
        <v>11</v>
      </c>
    </row>
    <row r="277" spans="1:8">
      <c r="A277" s="24">
        <v>276</v>
      </c>
      <c r="B277" s="24" t="s">
        <v>124</v>
      </c>
      <c r="C277" s="24" t="s">
        <v>1482</v>
      </c>
      <c r="D277" s="25">
        <v>2167</v>
      </c>
      <c r="E277" s="24">
        <v>271</v>
      </c>
      <c r="F277" s="24">
        <v>500</v>
      </c>
      <c r="G277" s="24">
        <v>54.18</v>
      </c>
      <c r="H277" s="24">
        <v>8</v>
      </c>
    </row>
    <row r="278" spans="1:8">
      <c r="A278" s="24">
        <v>277</v>
      </c>
      <c r="B278" s="24" t="s">
        <v>152</v>
      </c>
      <c r="C278" s="24" t="s">
        <v>1488</v>
      </c>
      <c r="D278" s="25">
        <v>2152</v>
      </c>
      <c r="E278" s="24">
        <v>269</v>
      </c>
      <c r="F278" s="25">
        <v>6000</v>
      </c>
      <c r="G278" s="24">
        <v>4.4800000000000004</v>
      </c>
      <c r="H278" s="24">
        <v>8</v>
      </c>
    </row>
    <row r="279" spans="1:8">
      <c r="A279" s="24">
        <v>278</v>
      </c>
      <c r="B279" s="24" t="s">
        <v>110</v>
      </c>
      <c r="C279" s="24" t="s">
        <v>1489</v>
      </c>
      <c r="D279" s="25">
        <v>2139</v>
      </c>
      <c r="E279" s="24">
        <v>165</v>
      </c>
      <c r="F279" s="25">
        <v>2611</v>
      </c>
      <c r="G279" s="24">
        <v>6.3</v>
      </c>
      <c r="H279" s="24">
        <v>13</v>
      </c>
    </row>
    <row r="280" spans="1:8">
      <c r="A280" s="24">
        <v>279</v>
      </c>
      <c r="B280" s="24" t="s">
        <v>115</v>
      </c>
      <c r="C280" s="24" t="s">
        <v>1479</v>
      </c>
      <c r="D280" s="25">
        <v>2075</v>
      </c>
      <c r="E280" s="24">
        <v>148</v>
      </c>
      <c r="F280" s="24">
        <v>0</v>
      </c>
      <c r="G280" s="24" t="s">
        <v>1466</v>
      </c>
      <c r="H280" s="24">
        <v>14</v>
      </c>
    </row>
    <row r="281" spans="1:8">
      <c r="A281" s="24">
        <v>280</v>
      </c>
      <c r="B281" s="24" t="s">
        <v>1274</v>
      </c>
      <c r="C281" s="24" t="s">
        <v>1465</v>
      </c>
      <c r="D281" s="25">
        <v>2072</v>
      </c>
      <c r="E281" s="24">
        <v>207</v>
      </c>
      <c r="F281" s="25">
        <v>8824</v>
      </c>
      <c r="G281" s="24">
        <v>2.35</v>
      </c>
      <c r="H281" s="24">
        <v>10</v>
      </c>
    </row>
    <row r="282" spans="1:8">
      <c r="A282" s="24">
        <v>280</v>
      </c>
      <c r="B282" s="24" t="s">
        <v>221</v>
      </c>
      <c r="C282" s="24" t="s">
        <v>1474</v>
      </c>
      <c r="D282" s="25">
        <v>2072</v>
      </c>
      <c r="E282" s="24">
        <v>173</v>
      </c>
      <c r="F282" s="25">
        <v>1000</v>
      </c>
      <c r="G282" s="24">
        <v>17.27</v>
      </c>
      <c r="H282" s="24">
        <v>12</v>
      </c>
    </row>
    <row r="283" spans="1:8">
      <c r="A283" s="24">
        <v>282</v>
      </c>
      <c r="B283" s="24" t="s">
        <v>233</v>
      </c>
      <c r="C283" s="24" t="s">
        <v>1482</v>
      </c>
      <c r="D283" s="25">
        <v>2000</v>
      </c>
      <c r="E283" s="24">
        <v>200</v>
      </c>
      <c r="F283" s="25">
        <v>7500</v>
      </c>
      <c r="G283" s="24">
        <v>2.67</v>
      </c>
      <c r="H283" s="24">
        <v>10</v>
      </c>
    </row>
    <row r="284" spans="1:8">
      <c r="A284" s="24">
        <v>283</v>
      </c>
      <c r="B284" s="24" t="s">
        <v>1268</v>
      </c>
      <c r="C284" s="24" t="s">
        <v>1474</v>
      </c>
      <c r="D284" s="25">
        <v>1988</v>
      </c>
      <c r="E284" s="24">
        <v>105</v>
      </c>
      <c r="F284" s="25">
        <v>2500</v>
      </c>
      <c r="G284" s="24">
        <v>4.1900000000000004</v>
      </c>
      <c r="H284" s="24">
        <v>19</v>
      </c>
    </row>
    <row r="285" spans="1:8">
      <c r="A285" s="24">
        <v>284</v>
      </c>
      <c r="B285" s="24" t="s">
        <v>85</v>
      </c>
      <c r="C285" s="24" t="s">
        <v>1469</v>
      </c>
      <c r="D285" s="25">
        <v>1977</v>
      </c>
      <c r="E285" s="24">
        <v>180</v>
      </c>
      <c r="F285" s="25">
        <v>4358</v>
      </c>
      <c r="G285" s="24">
        <v>4.12</v>
      </c>
      <c r="H285" s="24">
        <v>11</v>
      </c>
    </row>
    <row r="286" spans="1:8">
      <c r="A286" s="24">
        <v>285</v>
      </c>
      <c r="B286" s="24" t="s">
        <v>138</v>
      </c>
      <c r="C286" s="24" t="s">
        <v>1489</v>
      </c>
      <c r="D286" s="25">
        <v>1966</v>
      </c>
      <c r="E286" s="24">
        <v>164</v>
      </c>
      <c r="F286" s="25">
        <v>2500</v>
      </c>
      <c r="G286" s="24">
        <v>6.55</v>
      </c>
      <c r="H286" s="24">
        <v>12</v>
      </c>
    </row>
    <row r="287" spans="1:8">
      <c r="A287" s="24">
        <v>286</v>
      </c>
      <c r="B287" s="24" t="s">
        <v>202</v>
      </c>
      <c r="C287" s="24" t="s">
        <v>1489</v>
      </c>
      <c r="D287" s="25">
        <v>1939</v>
      </c>
      <c r="E287" s="24">
        <v>176</v>
      </c>
      <c r="F287" s="25">
        <v>2000</v>
      </c>
      <c r="G287" s="24">
        <v>8.81</v>
      </c>
      <c r="H287" s="24">
        <v>11</v>
      </c>
    </row>
    <row r="288" spans="1:8">
      <c r="A288" s="24">
        <v>287</v>
      </c>
      <c r="B288" s="24" t="s">
        <v>1277</v>
      </c>
      <c r="C288" s="24" t="s">
        <v>1484</v>
      </c>
      <c r="D288" s="25">
        <v>1935</v>
      </c>
      <c r="E288" s="24">
        <v>242</v>
      </c>
      <c r="F288" s="25">
        <v>1000</v>
      </c>
      <c r="G288" s="24">
        <v>24.19</v>
      </c>
      <c r="H288" s="24">
        <v>8</v>
      </c>
    </row>
    <row r="289" spans="1:8">
      <c r="A289" s="24">
        <v>288</v>
      </c>
      <c r="B289" s="24" t="s">
        <v>17</v>
      </c>
      <c r="C289" s="24" t="s">
        <v>1476</v>
      </c>
      <c r="D289" s="25">
        <v>1921</v>
      </c>
      <c r="E289" s="24">
        <v>160</v>
      </c>
      <c r="F289" s="24">
        <v>500</v>
      </c>
      <c r="G289" s="24">
        <v>32.020000000000003</v>
      </c>
      <c r="H289" s="24">
        <v>12</v>
      </c>
    </row>
    <row r="290" spans="1:8">
      <c r="A290" s="24">
        <v>289</v>
      </c>
      <c r="B290" s="24" t="s">
        <v>40</v>
      </c>
      <c r="C290" s="24" t="s">
        <v>1489</v>
      </c>
      <c r="D290" s="25">
        <v>1888</v>
      </c>
      <c r="E290" s="24">
        <v>210</v>
      </c>
      <c r="F290" s="25">
        <v>1800</v>
      </c>
      <c r="G290" s="24">
        <v>11.65</v>
      </c>
      <c r="H290" s="24">
        <v>9</v>
      </c>
    </row>
    <row r="291" spans="1:8">
      <c r="A291" s="24">
        <v>290</v>
      </c>
      <c r="B291" s="24" t="s">
        <v>1242</v>
      </c>
      <c r="C291" s="24" t="s">
        <v>1487</v>
      </c>
      <c r="D291" s="25">
        <v>1828</v>
      </c>
      <c r="E291" s="24">
        <v>203</v>
      </c>
      <c r="F291" s="24">
        <v>500</v>
      </c>
      <c r="G291" s="24">
        <v>40.619999999999997</v>
      </c>
      <c r="H291" s="24">
        <v>9</v>
      </c>
    </row>
    <row r="292" spans="1:8">
      <c r="A292" s="24">
        <v>291</v>
      </c>
      <c r="B292" s="24" t="s">
        <v>55</v>
      </c>
      <c r="C292" s="24" t="s">
        <v>1486</v>
      </c>
      <c r="D292" s="25">
        <v>1814</v>
      </c>
      <c r="E292" s="24">
        <v>227</v>
      </c>
      <c r="F292" s="25">
        <v>4473</v>
      </c>
      <c r="G292" s="24">
        <v>5.07</v>
      </c>
      <c r="H292" s="24">
        <v>8</v>
      </c>
    </row>
    <row r="293" spans="1:8">
      <c r="A293" s="24">
        <v>292</v>
      </c>
      <c r="B293" s="24" t="s">
        <v>100</v>
      </c>
      <c r="C293" s="24" t="s">
        <v>1476</v>
      </c>
      <c r="D293" s="25">
        <v>1800</v>
      </c>
      <c r="E293" s="24">
        <v>180</v>
      </c>
      <c r="F293" s="24">
        <v>600</v>
      </c>
      <c r="G293" s="24">
        <v>30</v>
      </c>
      <c r="H293" s="24">
        <v>10</v>
      </c>
    </row>
    <row r="294" spans="1:8">
      <c r="A294" s="24">
        <v>292</v>
      </c>
      <c r="B294" s="24" t="s">
        <v>32</v>
      </c>
      <c r="C294" s="24" t="s">
        <v>1476</v>
      </c>
      <c r="D294" s="25">
        <v>1800</v>
      </c>
      <c r="E294" s="24">
        <v>164</v>
      </c>
      <c r="F294" s="25">
        <v>2300</v>
      </c>
      <c r="G294" s="24">
        <v>7.11</v>
      </c>
      <c r="H294" s="24">
        <v>11</v>
      </c>
    </row>
    <row r="295" spans="1:8">
      <c r="A295" s="24">
        <v>294</v>
      </c>
      <c r="B295" s="24" t="s">
        <v>71</v>
      </c>
      <c r="C295" s="24" t="s">
        <v>1480</v>
      </c>
      <c r="D295" s="25">
        <v>1795</v>
      </c>
      <c r="E295" s="24">
        <v>138</v>
      </c>
      <c r="F295" s="25">
        <v>1544</v>
      </c>
      <c r="G295" s="24">
        <v>8.94</v>
      </c>
      <c r="H295" s="24">
        <v>13</v>
      </c>
    </row>
    <row r="296" spans="1:8">
      <c r="A296" s="24">
        <v>295</v>
      </c>
      <c r="B296" s="24" t="s">
        <v>1273</v>
      </c>
      <c r="C296" s="24" t="s">
        <v>1471</v>
      </c>
      <c r="D296" s="25">
        <v>1762</v>
      </c>
      <c r="E296" s="24">
        <v>160</v>
      </c>
      <c r="F296" s="25">
        <v>4406</v>
      </c>
      <c r="G296" s="24">
        <v>3.64</v>
      </c>
      <c r="H296" s="24">
        <v>11</v>
      </c>
    </row>
    <row r="297" spans="1:8">
      <c r="A297" s="24">
        <v>296</v>
      </c>
      <c r="B297" s="24" t="s">
        <v>241</v>
      </c>
      <c r="C297" s="24" t="s">
        <v>1479</v>
      </c>
      <c r="D297" s="25">
        <v>1746</v>
      </c>
      <c r="E297" s="24">
        <v>218</v>
      </c>
      <c r="F297" s="25">
        <v>4000</v>
      </c>
      <c r="G297" s="24">
        <v>5.46</v>
      </c>
      <c r="H297" s="24">
        <v>8</v>
      </c>
    </row>
    <row r="298" spans="1:8">
      <c r="A298" s="24">
        <v>297</v>
      </c>
      <c r="B298" s="24" t="s">
        <v>82</v>
      </c>
      <c r="C298" s="24" t="s">
        <v>1471</v>
      </c>
      <c r="D298" s="25">
        <v>1723</v>
      </c>
      <c r="E298" s="24">
        <v>172</v>
      </c>
      <c r="F298" s="25">
        <v>3200</v>
      </c>
      <c r="G298" s="24">
        <v>5.38</v>
      </c>
      <c r="H298" s="24">
        <v>10</v>
      </c>
    </row>
    <row r="299" spans="1:8">
      <c r="A299" s="24">
        <v>298</v>
      </c>
      <c r="B299" s="24" t="s">
        <v>197</v>
      </c>
      <c r="C299" s="24" t="s">
        <v>1483</v>
      </c>
      <c r="D299" s="25">
        <v>1719</v>
      </c>
      <c r="E299" s="24">
        <v>191</v>
      </c>
      <c r="F299" s="25">
        <v>3000</v>
      </c>
      <c r="G299" s="24">
        <v>6.37</v>
      </c>
      <c r="H299" s="24">
        <v>9</v>
      </c>
    </row>
    <row r="300" spans="1:8">
      <c r="A300" s="24">
        <v>299</v>
      </c>
      <c r="B300" s="24" t="s">
        <v>145</v>
      </c>
      <c r="C300" s="24" t="s">
        <v>1478</v>
      </c>
      <c r="D300" s="25">
        <v>1718</v>
      </c>
      <c r="E300" s="24">
        <v>191</v>
      </c>
      <c r="F300" s="25">
        <v>3100</v>
      </c>
      <c r="G300" s="24">
        <v>6.16</v>
      </c>
      <c r="H300" s="24">
        <v>9</v>
      </c>
    </row>
    <row r="301" spans="1:8">
      <c r="A301" s="24">
        <v>300</v>
      </c>
      <c r="B301" s="24" t="s">
        <v>123</v>
      </c>
      <c r="C301" s="24" t="s">
        <v>1476</v>
      </c>
      <c r="D301" s="25">
        <v>1710</v>
      </c>
      <c r="E301" s="24">
        <v>132</v>
      </c>
      <c r="F301" s="25">
        <v>3500</v>
      </c>
      <c r="G301" s="24">
        <v>3.76</v>
      </c>
      <c r="H301" s="24">
        <v>13</v>
      </c>
    </row>
    <row r="302" spans="1:8">
      <c r="A302" s="24">
        <v>301</v>
      </c>
      <c r="B302" s="24" t="s">
        <v>74</v>
      </c>
      <c r="C302" s="24" t="s">
        <v>1489</v>
      </c>
      <c r="D302" s="25">
        <v>1672</v>
      </c>
      <c r="E302" s="24">
        <v>186</v>
      </c>
      <c r="F302" s="25">
        <v>2479</v>
      </c>
      <c r="G302" s="24">
        <v>7.49</v>
      </c>
      <c r="H302" s="24">
        <v>9</v>
      </c>
    </row>
    <row r="303" spans="1:8">
      <c r="A303" s="24">
        <v>302</v>
      </c>
      <c r="B303" s="24" t="s">
        <v>196</v>
      </c>
      <c r="C303" s="24" t="s">
        <v>1488</v>
      </c>
      <c r="D303" s="25">
        <v>1668</v>
      </c>
      <c r="E303" s="24">
        <v>185</v>
      </c>
      <c r="F303" s="25">
        <v>6600</v>
      </c>
      <c r="G303" s="24">
        <v>2.81</v>
      </c>
      <c r="H303" s="24">
        <v>9</v>
      </c>
    </row>
    <row r="304" spans="1:8">
      <c r="A304" s="24">
        <v>303</v>
      </c>
      <c r="B304" s="24" t="s">
        <v>30</v>
      </c>
      <c r="C304" s="24" t="s">
        <v>1486</v>
      </c>
      <c r="D304" s="25">
        <v>1631</v>
      </c>
      <c r="E304" s="24">
        <v>136</v>
      </c>
      <c r="F304" s="25">
        <v>3100</v>
      </c>
      <c r="G304" s="24">
        <v>4.38</v>
      </c>
      <c r="H304" s="24">
        <v>12</v>
      </c>
    </row>
    <row r="305" spans="1:8">
      <c r="A305" s="24">
        <v>304</v>
      </c>
      <c r="B305" s="24" t="s">
        <v>51</v>
      </c>
      <c r="C305" s="24" t="s">
        <v>1476</v>
      </c>
      <c r="D305" s="25">
        <v>1593</v>
      </c>
      <c r="E305" s="24">
        <v>177</v>
      </c>
      <c r="F305" s="25">
        <v>3000</v>
      </c>
      <c r="G305" s="24">
        <v>5.9</v>
      </c>
      <c r="H305" s="24">
        <v>9</v>
      </c>
    </row>
    <row r="306" spans="1:8">
      <c r="A306" s="24">
        <v>305</v>
      </c>
      <c r="B306" s="24" t="s">
        <v>93</v>
      </c>
      <c r="C306" s="24" t="s">
        <v>1488</v>
      </c>
      <c r="D306" s="25">
        <v>1583</v>
      </c>
      <c r="E306" s="24">
        <v>158</v>
      </c>
      <c r="F306" s="25">
        <v>4500</v>
      </c>
      <c r="G306" s="24">
        <v>3.52</v>
      </c>
      <c r="H306" s="24">
        <v>10</v>
      </c>
    </row>
    <row r="307" spans="1:8">
      <c r="A307" s="24">
        <v>306</v>
      </c>
      <c r="B307" s="24" t="s">
        <v>42</v>
      </c>
      <c r="C307" s="24" t="s">
        <v>1487</v>
      </c>
      <c r="D307" s="25">
        <v>1580</v>
      </c>
      <c r="E307" s="24">
        <v>158</v>
      </c>
      <c r="F307" s="25">
        <v>2654</v>
      </c>
      <c r="G307" s="24">
        <v>5.95</v>
      </c>
      <c r="H307" s="24">
        <v>10</v>
      </c>
    </row>
    <row r="308" spans="1:8">
      <c r="A308" s="24">
        <v>307</v>
      </c>
      <c r="B308" s="24" t="s">
        <v>1283</v>
      </c>
      <c r="C308" s="24" t="s">
        <v>1476</v>
      </c>
      <c r="D308" s="25">
        <v>1558</v>
      </c>
      <c r="E308" s="24">
        <v>130</v>
      </c>
      <c r="F308" s="25">
        <v>2000</v>
      </c>
      <c r="G308" s="24">
        <v>6.49</v>
      </c>
      <c r="H308" s="24">
        <v>12</v>
      </c>
    </row>
    <row r="309" spans="1:8">
      <c r="A309" s="24">
        <v>308</v>
      </c>
      <c r="B309" s="24" t="s">
        <v>168</v>
      </c>
      <c r="C309" s="24" t="s">
        <v>1489</v>
      </c>
      <c r="D309" s="25">
        <v>1552</v>
      </c>
      <c r="E309" s="24">
        <v>129</v>
      </c>
      <c r="F309" s="25">
        <v>2400</v>
      </c>
      <c r="G309" s="24">
        <v>5.39</v>
      </c>
      <c r="H309" s="24">
        <v>12</v>
      </c>
    </row>
    <row r="310" spans="1:8">
      <c r="A310" s="24">
        <v>309</v>
      </c>
      <c r="B310" s="24" t="s">
        <v>77</v>
      </c>
      <c r="C310" s="24" t="s">
        <v>1473</v>
      </c>
      <c r="D310" s="25">
        <v>1545</v>
      </c>
      <c r="E310" s="24">
        <v>193</v>
      </c>
      <c r="F310" s="25">
        <v>5000</v>
      </c>
      <c r="G310" s="24">
        <v>3.86</v>
      </c>
      <c r="H310" s="24">
        <v>8</v>
      </c>
    </row>
    <row r="311" spans="1:8">
      <c r="A311" s="24">
        <v>310</v>
      </c>
      <c r="B311" s="24" t="s">
        <v>228</v>
      </c>
      <c r="C311" s="24" t="s">
        <v>1472</v>
      </c>
      <c r="D311" s="25">
        <v>1541</v>
      </c>
      <c r="E311" s="24">
        <v>193</v>
      </c>
      <c r="F311" s="25">
        <v>3200</v>
      </c>
      <c r="G311" s="24">
        <v>6.02</v>
      </c>
      <c r="H311" s="24">
        <v>8</v>
      </c>
    </row>
    <row r="312" spans="1:8">
      <c r="A312" s="24">
        <v>311</v>
      </c>
      <c r="B312" s="24" t="s">
        <v>70</v>
      </c>
      <c r="C312" s="24" t="s">
        <v>1475</v>
      </c>
      <c r="D312" s="25">
        <v>1510</v>
      </c>
      <c r="E312" s="24">
        <v>137</v>
      </c>
      <c r="F312" s="25">
        <v>6500</v>
      </c>
      <c r="G312" s="24">
        <v>2.11</v>
      </c>
      <c r="H312" s="24">
        <v>11</v>
      </c>
    </row>
    <row r="313" spans="1:8">
      <c r="A313" s="24">
        <v>312</v>
      </c>
      <c r="B313" s="24" t="s">
        <v>199</v>
      </c>
      <c r="C313" s="24" t="s">
        <v>1468</v>
      </c>
      <c r="D313" s="25">
        <v>1439</v>
      </c>
      <c r="E313" s="24">
        <v>120</v>
      </c>
      <c r="F313" s="25">
        <v>3400</v>
      </c>
      <c r="G313" s="24">
        <v>3.53</v>
      </c>
      <c r="H313" s="24">
        <v>12</v>
      </c>
    </row>
    <row r="314" spans="1:8">
      <c r="A314" s="24">
        <v>313</v>
      </c>
      <c r="B314" s="24" t="s">
        <v>272</v>
      </c>
      <c r="C314" s="24" t="s">
        <v>1479</v>
      </c>
      <c r="D314" s="25">
        <v>1410</v>
      </c>
      <c r="E314" s="24">
        <v>201</v>
      </c>
      <c r="F314" s="24">
        <v>818</v>
      </c>
      <c r="G314" s="24">
        <v>24.62</v>
      </c>
      <c r="H314" s="24">
        <v>7</v>
      </c>
    </row>
    <row r="315" spans="1:8">
      <c r="A315" s="24">
        <v>314</v>
      </c>
      <c r="B315" s="24" t="s">
        <v>24</v>
      </c>
      <c r="C315" s="24" t="s">
        <v>1484</v>
      </c>
      <c r="D315" s="25">
        <v>1382</v>
      </c>
      <c r="E315" s="24">
        <v>230</v>
      </c>
      <c r="F315" s="25">
        <v>1135</v>
      </c>
      <c r="G315" s="24">
        <v>20.29</v>
      </c>
      <c r="H315" s="24">
        <v>6</v>
      </c>
    </row>
    <row r="316" spans="1:8">
      <c r="A316" s="24">
        <v>315</v>
      </c>
      <c r="B316" s="24" t="s">
        <v>8</v>
      </c>
      <c r="C316" s="24" t="s">
        <v>1488</v>
      </c>
      <c r="D316" s="25">
        <v>1335</v>
      </c>
      <c r="E316" s="24">
        <v>148</v>
      </c>
      <c r="F316" s="25">
        <v>5500</v>
      </c>
      <c r="G316" s="24">
        <v>2.7</v>
      </c>
      <c r="H316" s="24">
        <v>9</v>
      </c>
    </row>
    <row r="317" spans="1:8">
      <c r="A317" s="24">
        <v>316</v>
      </c>
      <c r="B317" s="24" t="s">
        <v>264</v>
      </c>
      <c r="C317" s="24" t="s">
        <v>1484</v>
      </c>
      <c r="D317" s="25">
        <v>1334</v>
      </c>
      <c r="E317" s="24">
        <v>191</v>
      </c>
      <c r="F317" s="25">
        <v>2100</v>
      </c>
      <c r="G317" s="24">
        <v>9.07</v>
      </c>
      <c r="H317" s="24">
        <v>7</v>
      </c>
    </row>
    <row r="318" spans="1:8">
      <c r="A318" s="24">
        <v>317</v>
      </c>
      <c r="B318" s="24" t="s">
        <v>59</v>
      </c>
      <c r="C318" s="24" t="s">
        <v>1486</v>
      </c>
      <c r="D318" s="25">
        <v>1298</v>
      </c>
      <c r="E318" s="24">
        <v>162</v>
      </c>
      <c r="F318" s="25">
        <v>2100</v>
      </c>
      <c r="G318" s="24">
        <v>7.73</v>
      </c>
      <c r="H318" s="24">
        <v>8</v>
      </c>
    </row>
    <row r="319" spans="1:8">
      <c r="A319" s="24">
        <v>318</v>
      </c>
      <c r="B319" s="24" t="s">
        <v>158</v>
      </c>
      <c r="C319" s="24" t="s">
        <v>1472</v>
      </c>
      <c r="D319" s="25">
        <v>1232</v>
      </c>
      <c r="E319" s="24">
        <v>205</v>
      </c>
      <c r="F319" s="25">
        <v>4250</v>
      </c>
      <c r="G319" s="24">
        <v>4.83</v>
      </c>
      <c r="H319" s="24">
        <v>6</v>
      </c>
    </row>
    <row r="320" spans="1:8">
      <c r="A320" s="24">
        <v>319</v>
      </c>
      <c r="B320" s="24" t="s">
        <v>1304</v>
      </c>
      <c r="C320" s="24" t="s">
        <v>1487</v>
      </c>
      <c r="D320" s="25">
        <v>1220</v>
      </c>
      <c r="E320" s="24">
        <v>111</v>
      </c>
      <c r="F320" s="24">
        <v>500</v>
      </c>
      <c r="G320" s="24">
        <v>22.18</v>
      </c>
      <c r="H320" s="24">
        <v>11</v>
      </c>
    </row>
    <row r="321" spans="1:8">
      <c r="A321" s="24">
        <v>320</v>
      </c>
      <c r="B321" s="24" t="s">
        <v>1239</v>
      </c>
      <c r="C321" s="24" t="s">
        <v>1484</v>
      </c>
      <c r="D321" s="25">
        <v>1216</v>
      </c>
      <c r="E321" s="24">
        <v>203</v>
      </c>
      <c r="F321" s="25">
        <v>2600</v>
      </c>
      <c r="G321" s="24">
        <v>7.79</v>
      </c>
      <c r="H321" s="24">
        <v>6</v>
      </c>
    </row>
    <row r="322" spans="1:8">
      <c r="A322" s="24">
        <v>321</v>
      </c>
      <c r="B322" s="24" t="s">
        <v>1308</v>
      </c>
      <c r="C322" s="24" t="s">
        <v>1478</v>
      </c>
      <c r="D322" s="25">
        <v>1184</v>
      </c>
      <c r="E322" s="24">
        <v>91</v>
      </c>
      <c r="F322" s="25">
        <v>6600</v>
      </c>
      <c r="G322" s="24">
        <v>1.38</v>
      </c>
      <c r="H322" s="24">
        <v>13</v>
      </c>
    </row>
    <row r="323" spans="1:8">
      <c r="A323" s="24">
        <v>321</v>
      </c>
      <c r="B323" s="24" t="s">
        <v>1281</v>
      </c>
      <c r="C323" s="24" t="s">
        <v>1471</v>
      </c>
      <c r="D323" s="25">
        <v>1184</v>
      </c>
      <c r="E323" s="24">
        <v>91</v>
      </c>
      <c r="F323" s="25">
        <v>1000</v>
      </c>
      <c r="G323" s="24">
        <v>9.11</v>
      </c>
      <c r="H323" s="24">
        <v>13</v>
      </c>
    </row>
    <row r="324" spans="1:8">
      <c r="A324" s="24">
        <v>323</v>
      </c>
      <c r="B324" s="24" t="s">
        <v>214</v>
      </c>
      <c r="C324" s="24" t="s">
        <v>1489</v>
      </c>
      <c r="D324" s="25">
        <v>1139</v>
      </c>
      <c r="E324" s="24">
        <v>114</v>
      </c>
      <c r="F324" s="25">
        <v>3200</v>
      </c>
      <c r="G324" s="24">
        <v>3.56</v>
      </c>
      <c r="H324" s="24">
        <v>10</v>
      </c>
    </row>
    <row r="325" spans="1:8">
      <c r="A325" s="24">
        <v>324</v>
      </c>
      <c r="B325" s="24" t="s">
        <v>295</v>
      </c>
      <c r="C325" s="24" t="s">
        <v>1477</v>
      </c>
      <c r="D325" s="25">
        <v>1100</v>
      </c>
      <c r="E325" s="24">
        <v>157</v>
      </c>
      <c r="F325" s="25">
        <v>6000</v>
      </c>
      <c r="G325" s="24">
        <v>2.62</v>
      </c>
      <c r="H325" s="24">
        <v>7</v>
      </c>
    </row>
    <row r="326" spans="1:8">
      <c r="A326" s="24">
        <v>325</v>
      </c>
      <c r="B326" s="24" t="s">
        <v>161</v>
      </c>
      <c r="C326" s="24" t="s">
        <v>1472</v>
      </c>
      <c r="D326" s="25">
        <v>1082</v>
      </c>
      <c r="E326" s="24">
        <v>155</v>
      </c>
      <c r="F326" s="25">
        <v>1200</v>
      </c>
      <c r="G326" s="24">
        <v>12.88</v>
      </c>
      <c r="H326" s="24">
        <v>7</v>
      </c>
    </row>
    <row r="327" spans="1:8">
      <c r="A327" s="24">
        <v>326</v>
      </c>
      <c r="B327" s="24" t="s">
        <v>224</v>
      </c>
      <c r="C327" s="24" t="s">
        <v>1489</v>
      </c>
      <c r="D327" s="25">
        <v>1080</v>
      </c>
      <c r="E327" s="24">
        <v>98</v>
      </c>
      <c r="F327" s="25">
        <v>4000</v>
      </c>
      <c r="G327" s="24">
        <v>2.4500000000000002</v>
      </c>
      <c r="H327" s="24">
        <v>11</v>
      </c>
    </row>
    <row r="328" spans="1:8">
      <c r="A328" s="24">
        <v>327</v>
      </c>
      <c r="B328" s="24" t="s">
        <v>1491</v>
      </c>
      <c r="C328" s="24" t="s">
        <v>1487</v>
      </c>
      <c r="D328" s="25">
        <v>1079</v>
      </c>
      <c r="E328" s="24">
        <v>98</v>
      </c>
      <c r="F328" s="25">
        <v>3500</v>
      </c>
      <c r="G328" s="24">
        <v>2.8</v>
      </c>
      <c r="H328" s="24">
        <v>11</v>
      </c>
    </row>
    <row r="329" spans="1:8">
      <c r="A329" s="24">
        <v>328</v>
      </c>
      <c r="B329" s="24" t="s">
        <v>11</v>
      </c>
      <c r="C329" s="24" t="s">
        <v>1488</v>
      </c>
      <c r="D329" s="25">
        <v>1053</v>
      </c>
      <c r="E329" s="24">
        <v>117</v>
      </c>
      <c r="F329" s="25">
        <v>10000</v>
      </c>
      <c r="G329" s="24">
        <v>1.17</v>
      </c>
      <c r="H329" s="24">
        <v>9</v>
      </c>
    </row>
    <row r="330" spans="1:8">
      <c r="A330" s="24">
        <v>329</v>
      </c>
      <c r="B330" s="24" t="s">
        <v>103</v>
      </c>
      <c r="C330" s="24" t="s">
        <v>1472</v>
      </c>
      <c r="D330" s="24">
        <v>939</v>
      </c>
      <c r="E330" s="24">
        <v>134</v>
      </c>
      <c r="F330" s="25">
        <v>2700</v>
      </c>
      <c r="G330" s="24">
        <v>4.97</v>
      </c>
      <c r="H330" s="24">
        <v>7</v>
      </c>
    </row>
    <row r="331" spans="1:8">
      <c r="A331" s="24">
        <v>330</v>
      </c>
      <c r="B331" s="24" t="s">
        <v>170</v>
      </c>
      <c r="C331" s="24" t="s">
        <v>1472</v>
      </c>
      <c r="D331" s="24">
        <v>913</v>
      </c>
      <c r="E331" s="24">
        <v>152</v>
      </c>
      <c r="F331" s="25">
        <v>4500</v>
      </c>
      <c r="G331" s="24">
        <v>3.38</v>
      </c>
      <c r="H331" s="24">
        <v>6</v>
      </c>
    </row>
    <row r="332" spans="1:8">
      <c r="A332" s="24">
        <v>331</v>
      </c>
      <c r="B332" s="24" t="s">
        <v>62</v>
      </c>
      <c r="C332" s="24" t="s">
        <v>1472</v>
      </c>
      <c r="D332" s="24">
        <v>875</v>
      </c>
      <c r="E332" s="24">
        <v>88</v>
      </c>
      <c r="F332" s="25">
        <v>2000</v>
      </c>
      <c r="G332" s="24">
        <v>4.38</v>
      </c>
      <c r="H332" s="24">
        <v>10</v>
      </c>
    </row>
    <row r="333" spans="1:8">
      <c r="A333" s="24">
        <v>332</v>
      </c>
      <c r="B333" s="24" t="s">
        <v>80</v>
      </c>
      <c r="C333" s="24" t="s">
        <v>1472</v>
      </c>
      <c r="D333" s="24">
        <v>804</v>
      </c>
      <c r="E333" s="24">
        <v>115</v>
      </c>
      <c r="F333" s="25">
        <v>8500</v>
      </c>
      <c r="G333" s="24">
        <v>1.35</v>
      </c>
      <c r="H333" s="24">
        <v>7</v>
      </c>
    </row>
    <row r="334" spans="1:8">
      <c r="A334" s="24">
        <v>333</v>
      </c>
      <c r="B334" s="24" t="s">
        <v>15</v>
      </c>
      <c r="C334" s="24" t="s">
        <v>1488</v>
      </c>
      <c r="D334" s="24">
        <v>774</v>
      </c>
      <c r="E334" s="24">
        <v>111</v>
      </c>
      <c r="F334" s="25">
        <v>4500</v>
      </c>
      <c r="G334" s="24">
        <v>2.46</v>
      </c>
      <c r="H334" s="24">
        <v>7</v>
      </c>
    </row>
    <row r="335" spans="1:8">
      <c r="A335" s="24">
        <v>334</v>
      </c>
      <c r="B335" s="24" t="s">
        <v>1492</v>
      </c>
      <c r="C335" s="24" t="s">
        <v>1472</v>
      </c>
      <c r="D335" s="24">
        <v>651</v>
      </c>
      <c r="E335" s="24">
        <v>54</v>
      </c>
      <c r="F335" s="24">
        <v>600</v>
      </c>
      <c r="G335" s="24">
        <v>9.0399999999999991</v>
      </c>
      <c r="H335" s="24">
        <v>12</v>
      </c>
    </row>
    <row r="349" spans="1:1">
      <c r="A34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E836-78A8-44C3-A5B8-7DA0E7CF3E7E}">
  <dimension ref="A1:H350"/>
  <sheetViews>
    <sheetView zoomScale="95" workbookViewId="0"/>
  </sheetViews>
  <sheetFormatPr baseColWidth="10" defaultColWidth="8.83203125" defaultRowHeight="15"/>
  <sheetData>
    <row r="1" spans="1:8">
      <c r="A1" s="23" t="s">
        <v>1450</v>
      </c>
      <c r="B1" s="23" t="s">
        <v>1451</v>
      </c>
      <c r="C1" s="23" t="s">
        <v>1452</v>
      </c>
      <c r="D1" s="23" t="s">
        <v>1453</v>
      </c>
      <c r="E1" s="23" t="s">
        <v>1454</v>
      </c>
      <c r="F1" s="23" t="s">
        <v>1327</v>
      </c>
      <c r="G1" s="23" t="s">
        <v>1455</v>
      </c>
      <c r="H1" s="23" t="s">
        <v>1456</v>
      </c>
    </row>
    <row r="2" spans="1:8">
      <c r="A2" s="24">
        <v>1</v>
      </c>
      <c r="B2" s="24" t="s">
        <v>164</v>
      </c>
      <c r="C2" s="24" t="s">
        <v>1457</v>
      </c>
      <c r="D2" s="25">
        <v>147714</v>
      </c>
      <c r="E2" s="25">
        <v>8206</v>
      </c>
      <c r="F2" s="25">
        <v>7907</v>
      </c>
      <c r="G2" s="24">
        <v>103.79</v>
      </c>
      <c r="H2" s="24">
        <v>18</v>
      </c>
    </row>
    <row r="3" spans="1:8">
      <c r="A3" s="24">
        <v>2</v>
      </c>
      <c r="B3" s="24" t="s">
        <v>98</v>
      </c>
      <c r="C3" s="24" t="s">
        <v>1458</v>
      </c>
      <c r="D3" s="25">
        <v>131187</v>
      </c>
      <c r="E3" s="25">
        <v>6905</v>
      </c>
      <c r="F3" s="25">
        <v>10300</v>
      </c>
      <c r="G3" s="24">
        <v>67.03</v>
      </c>
      <c r="H3" s="24">
        <v>19</v>
      </c>
    </row>
    <row r="4" spans="1:8">
      <c r="A4" s="24">
        <v>3</v>
      </c>
      <c r="B4" s="24" t="s">
        <v>292</v>
      </c>
      <c r="C4" s="24" t="s">
        <v>1457</v>
      </c>
      <c r="D4" s="25">
        <v>85774</v>
      </c>
      <c r="E4" s="25">
        <v>5046</v>
      </c>
      <c r="F4" s="25">
        <v>6000</v>
      </c>
      <c r="G4" s="24">
        <v>84.09</v>
      </c>
      <c r="H4" s="24">
        <v>17</v>
      </c>
    </row>
    <row r="5" spans="1:8">
      <c r="A5" s="24">
        <v>4</v>
      </c>
      <c r="B5" s="24" t="s">
        <v>193</v>
      </c>
      <c r="C5" s="24" t="s">
        <v>1457</v>
      </c>
      <c r="D5" s="25">
        <v>66672</v>
      </c>
      <c r="E5" s="25">
        <v>3922</v>
      </c>
      <c r="F5" s="25">
        <v>5812</v>
      </c>
      <c r="G5" s="24">
        <v>67.48</v>
      </c>
      <c r="H5" s="24">
        <v>17</v>
      </c>
    </row>
    <row r="6" spans="1:8">
      <c r="A6" s="24">
        <v>5</v>
      </c>
      <c r="B6" s="24" t="s">
        <v>150</v>
      </c>
      <c r="C6" s="24" t="s">
        <v>1457</v>
      </c>
      <c r="D6" s="25">
        <v>62574</v>
      </c>
      <c r="E6" s="25">
        <v>4172</v>
      </c>
      <c r="F6" s="25">
        <v>5840</v>
      </c>
      <c r="G6" s="24">
        <v>71.430000000000007</v>
      </c>
      <c r="H6" s="24">
        <v>15</v>
      </c>
    </row>
    <row r="7" spans="1:8">
      <c r="A7" s="24">
        <v>6</v>
      </c>
      <c r="B7" s="24" t="s">
        <v>247</v>
      </c>
      <c r="C7" s="24" t="s">
        <v>1463</v>
      </c>
      <c r="D7" s="25">
        <v>56257</v>
      </c>
      <c r="E7" s="25">
        <v>2813</v>
      </c>
      <c r="F7" s="25">
        <v>4000</v>
      </c>
      <c r="G7" s="24">
        <v>70.319999999999993</v>
      </c>
      <c r="H7" s="24">
        <v>20</v>
      </c>
    </row>
    <row r="8" spans="1:8">
      <c r="A8" s="24">
        <v>7</v>
      </c>
      <c r="B8" s="24" t="s">
        <v>284</v>
      </c>
      <c r="C8" s="24" t="s">
        <v>1459</v>
      </c>
      <c r="D8" s="25">
        <v>44680</v>
      </c>
      <c r="E8" s="25">
        <v>2628</v>
      </c>
      <c r="F8" s="25">
        <v>10000</v>
      </c>
      <c r="G8" s="24">
        <v>26.28</v>
      </c>
      <c r="H8" s="24">
        <v>17</v>
      </c>
    </row>
    <row r="9" spans="1:8">
      <c r="A9" s="24">
        <v>8</v>
      </c>
      <c r="B9" s="24" t="s">
        <v>200</v>
      </c>
      <c r="C9" s="24" t="s">
        <v>1457</v>
      </c>
      <c r="D9" s="25">
        <v>40379</v>
      </c>
      <c r="E9" s="25">
        <v>2524</v>
      </c>
      <c r="F9" s="25">
        <v>2288</v>
      </c>
      <c r="G9" s="24">
        <v>110.3</v>
      </c>
      <c r="H9" s="24">
        <v>16</v>
      </c>
    </row>
    <row r="10" spans="1:8">
      <c r="A10" s="24">
        <v>9</v>
      </c>
      <c r="B10" s="24" t="s">
        <v>105</v>
      </c>
      <c r="C10" s="24" t="s">
        <v>1457</v>
      </c>
      <c r="D10" s="25">
        <v>39260</v>
      </c>
      <c r="E10" s="25">
        <v>3020</v>
      </c>
      <c r="F10" s="25">
        <v>4536</v>
      </c>
      <c r="G10" s="24">
        <v>66.58</v>
      </c>
      <c r="H10" s="24">
        <v>13</v>
      </c>
    </row>
    <row r="11" spans="1:8">
      <c r="A11" s="24">
        <v>10</v>
      </c>
      <c r="B11" s="24" t="s">
        <v>52</v>
      </c>
      <c r="C11" s="24" t="s">
        <v>1460</v>
      </c>
      <c r="D11" s="25">
        <v>38584</v>
      </c>
      <c r="E11" s="25">
        <v>2270</v>
      </c>
      <c r="F11" s="25">
        <v>8745</v>
      </c>
      <c r="G11" s="24">
        <v>25.95</v>
      </c>
      <c r="H11" s="24">
        <v>17</v>
      </c>
    </row>
    <row r="12" spans="1:8">
      <c r="A12" s="24">
        <v>11</v>
      </c>
      <c r="B12" s="24" t="s">
        <v>148</v>
      </c>
      <c r="C12" s="24" t="s">
        <v>1457</v>
      </c>
      <c r="D12" s="25">
        <v>37333</v>
      </c>
      <c r="E12" s="25">
        <v>2872</v>
      </c>
      <c r="F12" s="25">
        <v>5017</v>
      </c>
      <c r="G12" s="24">
        <v>57.24</v>
      </c>
      <c r="H12" s="24">
        <v>13</v>
      </c>
    </row>
    <row r="13" spans="1:8">
      <c r="A13" s="24">
        <v>12</v>
      </c>
      <c r="B13" s="24" t="s">
        <v>134</v>
      </c>
      <c r="C13" s="24" t="s">
        <v>1464</v>
      </c>
      <c r="D13" s="25">
        <v>34334</v>
      </c>
      <c r="E13" s="25">
        <v>2020</v>
      </c>
      <c r="F13" s="24">
        <v>950</v>
      </c>
      <c r="G13" s="24">
        <v>212.59</v>
      </c>
      <c r="H13" s="24">
        <v>17</v>
      </c>
    </row>
    <row r="14" spans="1:8">
      <c r="A14" s="24">
        <v>13</v>
      </c>
      <c r="B14" s="24" t="s">
        <v>112</v>
      </c>
      <c r="C14" s="24" t="s">
        <v>1463</v>
      </c>
      <c r="D14" s="25">
        <v>34113</v>
      </c>
      <c r="E14" s="25">
        <v>2624</v>
      </c>
      <c r="F14" s="25">
        <v>14020</v>
      </c>
      <c r="G14" s="24">
        <v>18.72</v>
      </c>
      <c r="H14" s="24">
        <v>13</v>
      </c>
    </row>
    <row r="15" spans="1:8">
      <c r="A15" s="24">
        <v>14</v>
      </c>
      <c r="B15" s="24" t="s">
        <v>153</v>
      </c>
      <c r="C15" s="24" t="s">
        <v>1461</v>
      </c>
      <c r="D15" s="25">
        <v>32477</v>
      </c>
      <c r="E15" s="25">
        <v>2952</v>
      </c>
      <c r="F15" s="25">
        <v>13343</v>
      </c>
      <c r="G15" s="24">
        <v>22.13</v>
      </c>
      <c r="H15" s="24">
        <v>11</v>
      </c>
    </row>
    <row r="16" spans="1:8">
      <c r="A16" s="24">
        <v>15</v>
      </c>
      <c r="B16" s="24" t="s">
        <v>1303</v>
      </c>
      <c r="C16" s="24" t="s">
        <v>1459</v>
      </c>
      <c r="D16" s="25">
        <v>32400</v>
      </c>
      <c r="E16" s="25">
        <v>1705</v>
      </c>
      <c r="F16" s="25">
        <v>10258</v>
      </c>
      <c r="G16" s="24">
        <v>16.62</v>
      </c>
      <c r="H16" s="24">
        <v>19</v>
      </c>
    </row>
    <row r="17" spans="1:8">
      <c r="A17" s="24">
        <v>16</v>
      </c>
      <c r="B17" s="24" t="s">
        <v>290</v>
      </c>
      <c r="C17" s="24" t="s">
        <v>1462</v>
      </c>
      <c r="D17" s="25">
        <v>31650</v>
      </c>
      <c r="E17" s="25">
        <v>2261</v>
      </c>
      <c r="F17" s="25">
        <v>10400</v>
      </c>
      <c r="G17" s="24">
        <v>21.74</v>
      </c>
      <c r="H17" s="24">
        <v>14</v>
      </c>
    </row>
    <row r="18" spans="1:8">
      <c r="A18" s="24">
        <v>17</v>
      </c>
      <c r="B18" s="24" t="s">
        <v>183</v>
      </c>
      <c r="C18" s="24" t="s">
        <v>1465</v>
      </c>
      <c r="D18" s="25">
        <v>30906</v>
      </c>
      <c r="E18" s="25">
        <v>2208</v>
      </c>
      <c r="F18" s="25">
        <v>13080</v>
      </c>
      <c r="G18" s="24">
        <v>16.88</v>
      </c>
      <c r="H18" s="24">
        <v>14</v>
      </c>
    </row>
    <row r="19" spans="1:8">
      <c r="A19" s="24">
        <v>18</v>
      </c>
      <c r="B19" s="24" t="s">
        <v>240</v>
      </c>
      <c r="C19" s="24" t="s">
        <v>1459</v>
      </c>
      <c r="D19" s="25">
        <v>30528</v>
      </c>
      <c r="E19" s="25">
        <v>1908</v>
      </c>
      <c r="F19" s="25">
        <v>7500</v>
      </c>
      <c r="G19" s="24">
        <v>25.44</v>
      </c>
      <c r="H19" s="24">
        <v>16</v>
      </c>
    </row>
    <row r="20" spans="1:8">
      <c r="A20" s="24">
        <v>19</v>
      </c>
      <c r="B20" s="24" t="s">
        <v>56</v>
      </c>
      <c r="C20" s="24" t="s">
        <v>1468</v>
      </c>
      <c r="D20" s="25">
        <v>29905</v>
      </c>
      <c r="E20" s="25">
        <v>1661</v>
      </c>
      <c r="F20" s="25">
        <v>2500</v>
      </c>
      <c r="G20" s="24">
        <v>66.459999999999994</v>
      </c>
      <c r="H20" s="24">
        <v>18</v>
      </c>
    </row>
    <row r="21" spans="1:8">
      <c r="A21" s="24">
        <v>20</v>
      </c>
      <c r="B21" s="24" t="s">
        <v>79</v>
      </c>
      <c r="C21" s="24" t="s">
        <v>1461</v>
      </c>
      <c r="D21" s="25">
        <v>29267</v>
      </c>
      <c r="E21" s="25">
        <v>2091</v>
      </c>
      <c r="F21" s="25">
        <v>9777</v>
      </c>
      <c r="G21" s="24">
        <v>21.38</v>
      </c>
      <c r="H21" s="24">
        <v>14</v>
      </c>
    </row>
    <row r="22" spans="1:8">
      <c r="A22" s="24">
        <v>21</v>
      </c>
      <c r="B22" s="24" t="s">
        <v>14</v>
      </c>
      <c r="C22" s="24" t="s">
        <v>1459</v>
      </c>
      <c r="D22" s="25">
        <v>28182</v>
      </c>
      <c r="E22" s="25">
        <v>1879</v>
      </c>
      <c r="F22" s="25">
        <v>10734</v>
      </c>
      <c r="G22" s="24">
        <v>17.5</v>
      </c>
      <c r="H22" s="24">
        <v>15</v>
      </c>
    </row>
    <row r="23" spans="1:8">
      <c r="A23" s="24">
        <v>22</v>
      </c>
      <c r="B23" s="24" t="s">
        <v>270</v>
      </c>
      <c r="C23" s="24" t="s">
        <v>1462</v>
      </c>
      <c r="D23" s="25">
        <v>27329</v>
      </c>
      <c r="E23" s="25">
        <v>2277</v>
      </c>
      <c r="F23" s="25">
        <v>6650</v>
      </c>
      <c r="G23" s="24">
        <v>34.25</v>
      </c>
      <c r="H23" s="24">
        <v>12</v>
      </c>
    </row>
    <row r="24" spans="1:8">
      <c r="A24" s="24">
        <v>23</v>
      </c>
      <c r="B24" s="24" t="s">
        <v>184</v>
      </c>
      <c r="C24" s="24" t="s">
        <v>1457</v>
      </c>
      <c r="D24" s="25">
        <v>27263</v>
      </c>
      <c r="E24" s="25">
        <v>1818</v>
      </c>
      <c r="F24" s="25">
        <v>13276</v>
      </c>
      <c r="G24" s="24">
        <v>13.69</v>
      </c>
      <c r="H24" s="24">
        <v>15</v>
      </c>
    </row>
    <row r="25" spans="1:8">
      <c r="A25" s="24">
        <v>24</v>
      </c>
      <c r="B25" s="24" t="s">
        <v>35</v>
      </c>
      <c r="C25" s="24" t="s">
        <v>1467</v>
      </c>
      <c r="D25" s="25">
        <v>26205</v>
      </c>
      <c r="E25" s="25">
        <v>1872</v>
      </c>
      <c r="F25" s="25">
        <v>5000</v>
      </c>
      <c r="G25" s="24">
        <v>37.44</v>
      </c>
      <c r="H25" s="24">
        <v>14</v>
      </c>
    </row>
    <row r="26" spans="1:8">
      <c r="A26" s="24">
        <v>25</v>
      </c>
      <c r="B26" s="24" t="s">
        <v>248</v>
      </c>
      <c r="C26" s="24" t="s">
        <v>1461</v>
      </c>
      <c r="D26" s="25">
        <v>25053</v>
      </c>
      <c r="E26" s="25">
        <v>1670</v>
      </c>
      <c r="F26" s="25">
        <v>12989</v>
      </c>
      <c r="G26" s="24">
        <v>12.86</v>
      </c>
      <c r="H26" s="24">
        <v>15</v>
      </c>
    </row>
    <row r="27" spans="1:8">
      <c r="A27" s="24">
        <v>26</v>
      </c>
      <c r="B27" s="24" t="s">
        <v>121</v>
      </c>
      <c r="C27" s="24" t="s">
        <v>1461</v>
      </c>
      <c r="D27" s="25">
        <v>24334</v>
      </c>
      <c r="E27" s="25">
        <v>1738</v>
      </c>
      <c r="F27" s="25">
        <v>8500</v>
      </c>
      <c r="G27" s="24">
        <v>20.45</v>
      </c>
      <c r="H27" s="24">
        <v>14</v>
      </c>
    </row>
    <row r="28" spans="1:8">
      <c r="A28" s="24">
        <v>27</v>
      </c>
      <c r="B28" s="24" t="s">
        <v>171</v>
      </c>
      <c r="C28" s="24" t="s">
        <v>1464</v>
      </c>
      <c r="D28" s="25">
        <v>23629</v>
      </c>
      <c r="E28" s="25">
        <v>1477</v>
      </c>
      <c r="F28" s="25">
        <v>6822</v>
      </c>
      <c r="G28" s="24">
        <v>21.65</v>
      </c>
      <c r="H28" s="24">
        <v>16</v>
      </c>
    </row>
    <row r="29" spans="1:8">
      <c r="A29" s="24">
        <v>28</v>
      </c>
      <c r="B29" s="24" t="s">
        <v>13</v>
      </c>
      <c r="C29" s="24" t="s">
        <v>1459</v>
      </c>
      <c r="D29" s="25">
        <v>23391</v>
      </c>
      <c r="E29" s="25">
        <v>1462</v>
      </c>
      <c r="F29" s="25">
        <v>14545</v>
      </c>
      <c r="G29" s="24">
        <v>10.050000000000001</v>
      </c>
      <c r="H29" s="24">
        <v>16</v>
      </c>
    </row>
    <row r="30" spans="1:8">
      <c r="A30" s="24">
        <v>29</v>
      </c>
      <c r="B30" s="24" t="s">
        <v>147</v>
      </c>
      <c r="C30" s="24" t="s">
        <v>1457</v>
      </c>
      <c r="D30" s="25">
        <v>23021</v>
      </c>
      <c r="E30" s="25">
        <v>1439</v>
      </c>
      <c r="F30" s="25">
        <v>1850</v>
      </c>
      <c r="G30" s="24">
        <v>77.77</v>
      </c>
      <c r="H30" s="24">
        <v>16</v>
      </c>
    </row>
    <row r="31" spans="1:8">
      <c r="A31" s="24">
        <v>30</v>
      </c>
      <c r="B31" s="24" t="s">
        <v>111</v>
      </c>
      <c r="C31" s="24" t="s">
        <v>1457</v>
      </c>
      <c r="D31" s="25">
        <v>22754</v>
      </c>
      <c r="E31" s="25">
        <v>1338</v>
      </c>
      <c r="F31" s="25">
        <v>8715</v>
      </c>
      <c r="G31" s="24">
        <v>15.36</v>
      </c>
      <c r="H31" s="24">
        <v>17</v>
      </c>
    </row>
    <row r="32" spans="1:8">
      <c r="A32" s="24">
        <v>31</v>
      </c>
      <c r="B32" s="24" t="s">
        <v>1280</v>
      </c>
      <c r="C32" s="24" t="s">
        <v>1463</v>
      </c>
      <c r="D32" s="25">
        <v>22362</v>
      </c>
      <c r="E32" s="25">
        <v>2033</v>
      </c>
      <c r="F32" s="25">
        <v>5000</v>
      </c>
      <c r="G32" s="24">
        <v>40.659999999999997</v>
      </c>
      <c r="H32" s="24">
        <v>11</v>
      </c>
    </row>
    <row r="33" spans="1:8">
      <c r="A33" s="24">
        <v>32</v>
      </c>
      <c r="B33" s="24" t="s">
        <v>118</v>
      </c>
      <c r="C33" s="24" t="s">
        <v>1463</v>
      </c>
      <c r="D33" s="25">
        <v>22324</v>
      </c>
      <c r="E33" s="25">
        <v>1395</v>
      </c>
      <c r="F33" s="25">
        <v>1300</v>
      </c>
      <c r="G33" s="24">
        <v>107.33</v>
      </c>
      <c r="H33" s="24">
        <v>16</v>
      </c>
    </row>
    <row r="34" spans="1:8">
      <c r="A34" s="24">
        <v>33</v>
      </c>
      <c r="B34" s="24" t="s">
        <v>1270</v>
      </c>
      <c r="C34" s="24" t="s">
        <v>1459</v>
      </c>
      <c r="D34" s="25">
        <v>21244</v>
      </c>
      <c r="E34" s="25">
        <v>1250</v>
      </c>
      <c r="F34" s="25">
        <v>11196</v>
      </c>
      <c r="G34" s="24">
        <v>11.16</v>
      </c>
      <c r="H34" s="24">
        <v>17</v>
      </c>
    </row>
    <row r="35" spans="1:8">
      <c r="A35" s="24">
        <v>34</v>
      </c>
      <c r="B35" s="24" t="s">
        <v>141</v>
      </c>
      <c r="C35" s="24" t="s">
        <v>1457</v>
      </c>
      <c r="D35" s="25">
        <v>20027</v>
      </c>
      <c r="E35" s="25">
        <v>1252</v>
      </c>
      <c r="F35" s="25">
        <v>1500</v>
      </c>
      <c r="G35" s="24">
        <v>83.45</v>
      </c>
      <c r="H35" s="24">
        <v>16</v>
      </c>
    </row>
    <row r="36" spans="1:8">
      <c r="A36" s="24">
        <v>35</v>
      </c>
      <c r="B36" s="24" t="s">
        <v>1305</v>
      </c>
      <c r="C36" s="24" t="s">
        <v>1463</v>
      </c>
      <c r="D36" s="25">
        <v>19164</v>
      </c>
      <c r="E36" s="25">
        <v>1742</v>
      </c>
      <c r="F36" s="25">
        <v>1350</v>
      </c>
      <c r="G36" s="24">
        <v>129.05000000000001</v>
      </c>
      <c r="H36" s="24">
        <v>11</v>
      </c>
    </row>
    <row r="37" spans="1:8">
      <c r="A37" s="24">
        <v>36</v>
      </c>
      <c r="B37" s="24" t="s">
        <v>67</v>
      </c>
      <c r="C37" s="24" t="s">
        <v>1464</v>
      </c>
      <c r="D37" s="25">
        <v>18318</v>
      </c>
      <c r="E37" s="25">
        <v>1308</v>
      </c>
      <c r="F37" s="25">
        <v>9314</v>
      </c>
      <c r="G37" s="24">
        <v>14.05</v>
      </c>
      <c r="H37" s="24">
        <v>14</v>
      </c>
    </row>
    <row r="38" spans="1:8">
      <c r="A38" s="24">
        <v>37</v>
      </c>
      <c r="B38" s="24" t="s">
        <v>261</v>
      </c>
      <c r="C38" s="24" t="s">
        <v>1459</v>
      </c>
      <c r="D38" s="25">
        <v>17435</v>
      </c>
      <c r="E38" s="25">
        <v>1245</v>
      </c>
      <c r="F38" s="25">
        <v>13800</v>
      </c>
      <c r="G38" s="24">
        <v>9.02</v>
      </c>
      <c r="H38" s="24">
        <v>14</v>
      </c>
    </row>
    <row r="39" spans="1:8">
      <c r="A39" s="24">
        <v>38</v>
      </c>
      <c r="B39" s="24" t="s">
        <v>227</v>
      </c>
      <c r="C39" s="24" t="s">
        <v>1461</v>
      </c>
      <c r="D39" s="25">
        <v>17423</v>
      </c>
      <c r="E39" s="25">
        <v>1089</v>
      </c>
      <c r="F39" s="25">
        <v>1200</v>
      </c>
      <c r="G39" s="24">
        <v>90.74</v>
      </c>
      <c r="H39" s="24">
        <v>16</v>
      </c>
    </row>
    <row r="40" spans="1:8">
      <c r="A40" s="24">
        <v>39</v>
      </c>
      <c r="B40" s="24" t="s">
        <v>130</v>
      </c>
      <c r="C40" s="24" t="s">
        <v>1458</v>
      </c>
      <c r="D40" s="25">
        <v>17291</v>
      </c>
      <c r="E40" s="24">
        <v>910</v>
      </c>
      <c r="F40" s="25">
        <v>4200</v>
      </c>
      <c r="G40" s="24">
        <v>21.67</v>
      </c>
      <c r="H40" s="24">
        <v>19</v>
      </c>
    </row>
    <row r="41" spans="1:8">
      <c r="A41" s="24">
        <v>40</v>
      </c>
      <c r="B41" s="24" t="s">
        <v>166</v>
      </c>
      <c r="C41" s="24" t="s">
        <v>1460</v>
      </c>
      <c r="D41" s="25">
        <v>16494</v>
      </c>
      <c r="E41" s="25">
        <v>1100</v>
      </c>
      <c r="F41" s="24">
        <v>0</v>
      </c>
      <c r="G41" s="24" t="s">
        <v>1466</v>
      </c>
      <c r="H41" s="24">
        <v>15</v>
      </c>
    </row>
    <row r="42" spans="1:8">
      <c r="A42" s="24">
        <v>41</v>
      </c>
      <c r="B42" s="24" t="s">
        <v>189</v>
      </c>
      <c r="C42" s="24" t="s">
        <v>1459</v>
      </c>
      <c r="D42" s="25">
        <v>15874</v>
      </c>
      <c r="E42" s="25">
        <v>1587</v>
      </c>
      <c r="F42" s="25">
        <v>12541</v>
      </c>
      <c r="G42" s="24">
        <v>12.66</v>
      </c>
      <c r="H42" s="24">
        <v>10</v>
      </c>
    </row>
    <row r="43" spans="1:8">
      <c r="A43" s="24">
        <v>42</v>
      </c>
      <c r="B43" s="24" t="s">
        <v>1322</v>
      </c>
      <c r="C43" s="24" t="s">
        <v>1460</v>
      </c>
      <c r="D43" s="25">
        <v>15500</v>
      </c>
      <c r="E43" s="24">
        <v>861</v>
      </c>
      <c r="F43" s="25">
        <v>1200</v>
      </c>
      <c r="G43" s="24">
        <v>71.760000000000005</v>
      </c>
      <c r="H43" s="24">
        <v>18</v>
      </c>
    </row>
    <row r="44" spans="1:8">
      <c r="A44" s="24">
        <v>43</v>
      </c>
      <c r="B44" s="24" t="s">
        <v>90</v>
      </c>
      <c r="C44" s="24" t="s">
        <v>1461</v>
      </c>
      <c r="D44" s="25">
        <v>15472</v>
      </c>
      <c r="E44" s="24">
        <v>967</v>
      </c>
      <c r="F44" s="25">
        <v>1925</v>
      </c>
      <c r="G44" s="24">
        <v>50.23</v>
      </c>
      <c r="H44" s="24">
        <v>16</v>
      </c>
    </row>
    <row r="45" spans="1:8">
      <c r="A45" s="24">
        <v>44</v>
      </c>
      <c r="B45" s="24" t="s">
        <v>167</v>
      </c>
      <c r="C45" s="24" t="s">
        <v>1474</v>
      </c>
      <c r="D45" s="25">
        <v>15299</v>
      </c>
      <c r="E45" s="25">
        <v>1093</v>
      </c>
      <c r="F45" s="25">
        <v>13007</v>
      </c>
      <c r="G45" s="24">
        <v>8.4</v>
      </c>
      <c r="H45" s="24">
        <v>14</v>
      </c>
    </row>
    <row r="46" spans="1:8">
      <c r="A46" s="24">
        <v>45</v>
      </c>
      <c r="B46" s="24" t="s">
        <v>7</v>
      </c>
      <c r="C46" s="24" t="s">
        <v>1461</v>
      </c>
      <c r="D46" s="25">
        <v>15003</v>
      </c>
      <c r="E46" s="24">
        <v>883</v>
      </c>
      <c r="F46" s="25">
        <v>3800</v>
      </c>
      <c r="G46" s="24">
        <v>23.22</v>
      </c>
      <c r="H46" s="24">
        <v>17</v>
      </c>
    </row>
    <row r="47" spans="1:8">
      <c r="A47" s="24">
        <v>46</v>
      </c>
      <c r="B47" s="24" t="s">
        <v>16</v>
      </c>
      <c r="C47" s="24" t="s">
        <v>1461</v>
      </c>
      <c r="D47" s="25">
        <v>14697</v>
      </c>
      <c r="E47" s="24">
        <v>980</v>
      </c>
      <c r="F47" s="25">
        <v>8500</v>
      </c>
      <c r="G47" s="24">
        <v>11.53</v>
      </c>
      <c r="H47" s="24">
        <v>15</v>
      </c>
    </row>
    <row r="48" spans="1:8">
      <c r="A48" s="24">
        <v>47</v>
      </c>
      <c r="B48" s="24" t="s">
        <v>181</v>
      </c>
      <c r="C48" s="24" t="s">
        <v>1464</v>
      </c>
      <c r="D48" s="25">
        <v>14002</v>
      </c>
      <c r="E48" s="25">
        <v>1077</v>
      </c>
      <c r="F48" s="25">
        <v>9149</v>
      </c>
      <c r="G48" s="24">
        <v>11.77</v>
      </c>
      <c r="H48" s="24">
        <v>13</v>
      </c>
    </row>
    <row r="49" spans="1:8">
      <c r="A49" s="24">
        <v>48</v>
      </c>
      <c r="B49" s="24" t="s">
        <v>275</v>
      </c>
      <c r="C49" s="24" t="s">
        <v>1459</v>
      </c>
      <c r="D49" s="25">
        <v>13917</v>
      </c>
      <c r="E49" s="24">
        <v>994</v>
      </c>
      <c r="F49" s="25">
        <v>15000</v>
      </c>
      <c r="G49" s="24">
        <v>6.63</v>
      </c>
      <c r="H49" s="24">
        <v>14</v>
      </c>
    </row>
    <row r="50" spans="1:8">
      <c r="A50" s="24">
        <v>49</v>
      </c>
      <c r="B50" s="24" t="s">
        <v>172</v>
      </c>
      <c r="C50" s="24" t="s">
        <v>1470</v>
      </c>
      <c r="D50" s="25">
        <v>13562</v>
      </c>
      <c r="E50" s="24">
        <v>969</v>
      </c>
      <c r="F50" s="25">
        <v>3800</v>
      </c>
      <c r="G50" s="24">
        <v>25.49</v>
      </c>
      <c r="H50" s="24">
        <v>14</v>
      </c>
    </row>
    <row r="51" spans="1:8">
      <c r="A51" s="24">
        <v>50</v>
      </c>
      <c r="B51" s="24" t="s">
        <v>81</v>
      </c>
      <c r="C51" s="24" t="s">
        <v>1464</v>
      </c>
      <c r="D51" s="25">
        <v>13076</v>
      </c>
      <c r="E51" s="25">
        <v>1006</v>
      </c>
      <c r="F51" s="25">
        <v>1250</v>
      </c>
      <c r="G51" s="24">
        <v>80.47</v>
      </c>
      <c r="H51" s="24">
        <v>13</v>
      </c>
    </row>
    <row r="52" spans="1:8">
      <c r="A52" s="24">
        <v>51</v>
      </c>
      <c r="B52" s="24" t="s">
        <v>136</v>
      </c>
      <c r="C52" s="24" t="s">
        <v>1461</v>
      </c>
      <c r="D52" s="25">
        <v>12673</v>
      </c>
      <c r="E52" s="25">
        <v>1152</v>
      </c>
      <c r="F52" s="25">
        <v>13215</v>
      </c>
      <c r="G52" s="24">
        <v>8.7200000000000006</v>
      </c>
      <c r="H52" s="24">
        <v>11</v>
      </c>
    </row>
    <row r="53" spans="1:8">
      <c r="A53" s="24">
        <v>52</v>
      </c>
      <c r="B53" s="24" t="s">
        <v>276</v>
      </c>
      <c r="C53" s="24" t="s">
        <v>1460</v>
      </c>
      <c r="D53" s="25">
        <v>12569</v>
      </c>
      <c r="E53" s="24">
        <v>898</v>
      </c>
      <c r="F53" s="25">
        <v>1400</v>
      </c>
      <c r="G53" s="24">
        <v>64.13</v>
      </c>
      <c r="H53" s="24">
        <v>14</v>
      </c>
    </row>
    <row r="54" spans="1:8">
      <c r="A54" s="24">
        <v>53</v>
      </c>
      <c r="B54" s="24" t="s">
        <v>176</v>
      </c>
      <c r="C54" s="24" t="s">
        <v>1470</v>
      </c>
      <c r="D54" s="25">
        <v>12288</v>
      </c>
      <c r="E54" s="24">
        <v>945</v>
      </c>
      <c r="F54" s="25">
        <v>2500</v>
      </c>
      <c r="G54" s="24">
        <v>37.81</v>
      </c>
      <c r="H54" s="24">
        <v>13</v>
      </c>
    </row>
    <row r="55" spans="1:8">
      <c r="A55" s="24">
        <v>54</v>
      </c>
      <c r="B55" s="24" t="s">
        <v>92</v>
      </c>
      <c r="C55" s="24" t="s">
        <v>1464</v>
      </c>
      <c r="D55" s="25">
        <v>12095</v>
      </c>
      <c r="E55" s="24">
        <v>806</v>
      </c>
      <c r="F55" s="25">
        <v>2000</v>
      </c>
      <c r="G55" s="24">
        <v>40.32</v>
      </c>
      <c r="H55" s="24">
        <v>15</v>
      </c>
    </row>
    <row r="56" spans="1:8">
      <c r="A56" s="24">
        <v>55</v>
      </c>
      <c r="B56" s="24" t="s">
        <v>190</v>
      </c>
      <c r="C56" s="24" t="s">
        <v>1459</v>
      </c>
      <c r="D56" s="25">
        <v>11984</v>
      </c>
      <c r="E56" s="25">
        <v>1198</v>
      </c>
      <c r="F56" s="25">
        <v>9604</v>
      </c>
      <c r="G56" s="24">
        <v>12.48</v>
      </c>
      <c r="H56" s="24">
        <v>10</v>
      </c>
    </row>
    <row r="57" spans="1:8">
      <c r="A57" s="24">
        <v>56</v>
      </c>
      <c r="B57" s="24" t="s">
        <v>244</v>
      </c>
      <c r="C57" s="24" t="s">
        <v>1461</v>
      </c>
      <c r="D57" s="25">
        <v>11754</v>
      </c>
      <c r="E57" s="24">
        <v>840</v>
      </c>
      <c r="F57" s="25">
        <v>7500</v>
      </c>
      <c r="G57" s="24">
        <v>11.19</v>
      </c>
      <c r="H57" s="24">
        <v>14</v>
      </c>
    </row>
    <row r="58" spans="1:8">
      <c r="A58" s="24">
        <v>57</v>
      </c>
      <c r="B58" s="24" t="s">
        <v>47</v>
      </c>
      <c r="C58" s="24" t="s">
        <v>1464</v>
      </c>
      <c r="D58" s="25">
        <v>11735</v>
      </c>
      <c r="E58" s="24">
        <v>733</v>
      </c>
      <c r="F58" s="25">
        <v>2000</v>
      </c>
      <c r="G58" s="24">
        <v>36.67</v>
      </c>
      <c r="H58" s="24">
        <v>16</v>
      </c>
    </row>
    <row r="59" spans="1:8">
      <c r="A59" s="24">
        <v>58</v>
      </c>
      <c r="B59" s="24" t="s">
        <v>108</v>
      </c>
      <c r="C59" s="24" t="s">
        <v>1457</v>
      </c>
      <c r="D59" s="25">
        <v>11687</v>
      </c>
      <c r="E59" s="24">
        <v>899</v>
      </c>
      <c r="F59" s="25">
        <v>2000</v>
      </c>
      <c r="G59" s="24">
        <v>44.95</v>
      </c>
      <c r="H59" s="24">
        <v>13</v>
      </c>
    </row>
    <row r="60" spans="1:8">
      <c r="A60" s="24">
        <v>59</v>
      </c>
      <c r="B60" s="24" t="s">
        <v>106</v>
      </c>
      <c r="C60" s="24" t="s">
        <v>1462</v>
      </c>
      <c r="D60" s="25">
        <v>11674</v>
      </c>
      <c r="E60" s="24">
        <v>973</v>
      </c>
      <c r="F60" s="25">
        <v>10200</v>
      </c>
      <c r="G60" s="24">
        <v>9.5399999999999991</v>
      </c>
      <c r="H60" s="24">
        <v>12</v>
      </c>
    </row>
    <row r="61" spans="1:8">
      <c r="A61" s="24">
        <v>60</v>
      </c>
      <c r="B61" s="24" t="s">
        <v>250</v>
      </c>
      <c r="C61" s="24" t="s">
        <v>1469</v>
      </c>
      <c r="D61" s="25">
        <v>11151</v>
      </c>
      <c r="E61" s="24">
        <v>858</v>
      </c>
      <c r="F61" s="25">
        <v>7200</v>
      </c>
      <c r="G61" s="24">
        <v>11.91</v>
      </c>
      <c r="H61" s="24">
        <v>13</v>
      </c>
    </row>
    <row r="62" spans="1:8">
      <c r="A62" s="24">
        <v>61</v>
      </c>
      <c r="B62" s="24" t="s">
        <v>185</v>
      </c>
      <c r="C62" s="24" t="s">
        <v>1463</v>
      </c>
      <c r="D62" s="25">
        <v>11034</v>
      </c>
      <c r="E62" s="24">
        <v>736</v>
      </c>
      <c r="F62" s="25">
        <v>2000</v>
      </c>
      <c r="G62" s="24">
        <v>36.78</v>
      </c>
      <c r="H62" s="24">
        <v>15</v>
      </c>
    </row>
    <row r="63" spans="1:8">
      <c r="A63" s="24">
        <v>62</v>
      </c>
      <c r="B63" s="24" t="s">
        <v>21</v>
      </c>
      <c r="C63" s="24" t="s">
        <v>1463</v>
      </c>
      <c r="D63" s="25">
        <v>10757</v>
      </c>
      <c r="E63" s="24">
        <v>717</v>
      </c>
      <c r="F63" s="25">
        <v>10080</v>
      </c>
      <c r="G63" s="24">
        <v>7.11</v>
      </c>
      <c r="H63" s="24">
        <v>15</v>
      </c>
    </row>
    <row r="64" spans="1:8">
      <c r="A64" s="24">
        <v>63</v>
      </c>
      <c r="B64" s="24" t="s">
        <v>83</v>
      </c>
      <c r="C64" s="24" t="s">
        <v>1460</v>
      </c>
      <c r="D64" s="25">
        <v>10574</v>
      </c>
      <c r="E64" s="24">
        <v>622</v>
      </c>
      <c r="F64" s="25">
        <v>2024</v>
      </c>
      <c r="G64" s="24">
        <v>30.73</v>
      </c>
      <c r="H64" s="24">
        <v>17</v>
      </c>
    </row>
    <row r="65" spans="1:8">
      <c r="A65" s="24">
        <v>64</v>
      </c>
      <c r="B65" s="24" t="s">
        <v>1317</v>
      </c>
      <c r="C65" s="24" t="s">
        <v>1464</v>
      </c>
      <c r="D65" s="25">
        <v>10561</v>
      </c>
      <c r="E65" s="24">
        <v>812</v>
      </c>
      <c r="F65" s="25">
        <v>2000</v>
      </c>
      <c r="G65" s="24">
        <v>40.619999999999997</v>
      </c>
      <c r="H65" s="24">
        <v>13</v>
      </c>
    </row>
    <row r="66" spans="1:8">
      <c r="A66" s="24">
        <v>65</v>
      </c>
      <c r="B66" s="24" t="s">
        <v>273</v>
      </c>
      <c r="C66" s="24" t="s">
        <v>1469</v>
      </c>
      <c r="D66" s="25">
        <v>10176</v>
      </c>
      <c r="E66" s="24">
        <v>783</v>
      </c>
      <c r="F66" s="25">
        <v>7000</v>
      </c>
      <c r="G66" s="24">
        <v>11.18</v>
      </c>
      <c r="H66" s="24">
        <v>13</v>
      </c>
    </row>
    <row r="67" spans="1:8">
      <c r="A67" s="24">
        <v>66</v>
      </c>
      <c r="B67" s="24" t="s">
        <v>266</v>
      </c>
      <c r="C67" s="24" t="s">
        <v>1472</v>
      </c>
      <c r="D67" s="25">
        <v>10059</v>
      </c>
      <c r="E67" s="24">
        <v>529</v>
      </c>
      <c r="F67" s="25">
        <v>5500</v>
      </c>
      <c r="G67" s="24">
        <v>9.6300000000000008</v>
      </c>
      <c r="H67" s="24">
        <v>19</v>
      </c>
    </row>
    <row r="68" spans="1:8">
      <c r="A68" s="24">
        <v>67</v>
      </c>
      <c r="B68" s="24" t="s">
        <v>4</v>
      </c>
      <c r="C68" s="24" t="s">
        <v>1482</v>
      </c>
      <c r="D68" s="25">
        <v>9856</v>
      </c>
      <c r="E68" s="24">
        <v>704</v>
      </c>
      <c r="F68" s="25">
        <v>1200</v>
      </c>
      <c r="G68" s="24">
        <v>58.67</v>
      </c>
      <c r="H68" s="24">
        <v>14</v>
      </c>
    </row>
    <row r="69" spans="1:8">
      <c r="A69" s="24">
        <v>68</v>
      </c>
      <c r="B69" s="24" t="s">
        <v>1306</v>
      </c>
      <c r="C69" s="24" t="s">
        <v>1266</v>
      </c>
      <c r="D69" s="25">
        <v>9776</v>
      </c>
      <c r="E69" s="24">
        <v>543</v>
      </c>
      <c r="F69" s="25">
        <v>3900</v>
      </c>
      <c r="G69" s="24">
        <v>13.93</v>
      </c>
      <c r="H69" s="24">
        <v>18</v>
      </c>
    </row>
    <row r="70" spans="1:8">
      <c r="A70" s="24">
        <v>69</v>
      </c>
      <c r="B70" s="24" t="s">
        <v>283</v>
      </c>
      <c r="C70" s="24" t="s">
        <v>1464</v>
      </c>
      <c r="D70" s="25">
        <v>9718</v>
      </c>
      <c r="E70" s="24">
        <v>607</v>
      </c>
      <c r="F70" s="25">
        <v>10052</v>
      </c>
      <c r="G70" s="24">
        <v>6.04</v>
      </c>
      <c r="H70" s="24">
        <v>16</v>
      </c>
    </row>
    <row r="71" spans="1:8">
      <c r="A71" s="24">
        <v>70</v>
      </c>
      <c r="B71" s="24" t="s">
        <v>179</v>
      </c>
      <c r="C71" s="24" t="s">
        <v>1457</v>
      </c>
      <c r="D71" s="25">
        <v>9716</v>
      </c>
      <c r="E71" s="24">
        <v>810</v>
      </c>
      <c r="F71" s="25">
        <v>8117</v>
      </c>
      <c r="G71" s="24">
        <v>9.9700000000000006</v>
      </c>
      <c r="H71" s="24">
        <v>12</v>
      </c>
    </row>
    <row r="72" spans="1:8">
      <c r="A72" s="24">
        <v>71</v>
      </c>
      <c r="B72" s="24" t="s">
        <v>38</v>
      </c>
      <c r="C72" s="24" t="s">
        <v>1459</v>
      </c>
      <c r="D72" s="25">
        <v>9642</v>
      </c>
      <c r="E72" s="24">
        <v>643</v>
      </c>
      <c r="F72" s="25">
        <v>11877</v>
      </c>
      <c r="G72" s="24">
        <v>5.41</v>
      </c>
      <c r="H72" s="24">
        <v>15</v>
      </c>
    </row>
    <row r="73" spans="1:8">
      <c r="A73" s="24">
        <v>72</v>
      </c>
      <c r="B73" s="24" t="s">
        <v>1318</v>
      </c>
      <c r="C73" s="24" t="s">
        <v>1459</v>
      </c>
      <c r="D73" s="25">
        <v>9639</v>
      </c>
      <c r="E73" s="24">
        <v>741</v>
      </c>
      <c r="F73" s="25">
        <v>3000</v>
      </c>
      <c r="G73" s="24">
        <v>24.72</v>
      </c>
      <c r="H73" s="24">
        <v>13</v>
      </c>
    </row>
    <row r="74" spans="1:8">
      <c r="A74" s="24">
        <v>73</v>
      </c>
      <c r="B74" s="24" t="s">
        <v>187</v>
      </c>
      <c r="C74" s="24" t="s">
        <v>1461</v>
      </c>
      <c r="D74" s="25">
        <v>9588</v>
      </c>
      <c r="E74" s="24">
        <v>533</v>
      </c>
      <c r="F74" s="25">
        <v>1000</v>
      </c>
      <c r="G74" s="24">
        <v>53.27</v>
      </c>
      <c r="H74" s="24">
        <v>18</v>
      </c>
    </row>
    <row r="75" spans="1:8">
      <c r="A75" s="24">
        <v>74</v>
      </c>
      <c r="B75" s="24" t="s">
        <v>278</v>
      </c>
      <c r="C75" s="24" t="s">
        <v>1473</v>
      </c>
      <c r="D75" s="25">
        <v>9458</v>
      </c>
      <c r="E75" s="24">
        <v>676</v>
      </c>
      <c r="F75" s="25">
        <v>5000</v>
      </c>
      <c r="G75" s="24">
        <v>13.51</v>
      </c>
      <c r="H75" s="24">
        <v>14</v>
      </c>
    </row>
    <row r="76" spans="1:8">
      <c r="A76" s="24">
        <v>75</v>
      </c>
      <c r="B76" s="24" t="s">
        <v>18</v>
      </c>
      <c r="C76" s="24" t="s">
        <v>1461</v>
      </c>
      <c r="D76" s="25">
        <v>9436</v>
      </c>
      <c r="E76" s="24">
        <v>674</v>
      </c>
      <c r="F76" s="25">
        <v>9121</v>
      </c>
      <c r="G76" s="24">
        <v>7.39</v>
      </c>
      <c r="H76" s="24">
        <v>14</v>
      </c>
    </row>
    <row r="77" spans="1:8">
      <c r="A77" s="24">
        <v>76</v>
      </c>
      <c r="B77" s="24" t="s">
        <v>1323</v>
      </c>
      <c r="C77" s="24" t="s">
        <v>1468</v>
      </c>
      <c r="D77" s="25">
        <v>9232</v>
      </c>
      <c r="E77" s="24">
        <v>710</v>
      </c>
      <c r="F77" s="25">
        <v>10250</v>
      </c>
      <c r="G77" s="24">
        <v>6.93</v>
      </c>
      <c r="H77" s="24">
        <v>13</v>
      </c>
    </row>
    <row r="78" spans="1:8">
      <c r="A78" s="24">
        <v>77</v>
      </c>
      <c r="B78" s="24" t="s">
        <v>154</v>
      </c>
      <c r="C78" s="24" t="s">
        <v>1462</v>
      </c>
      <c r="D78" s="25">
        <v>9214</v>
      </c>
      <c r="E78" s="24">
        <v>576</v>
      </c>
      <c r="F78" s="25">
        <v>8846</v>
      </c>
      <c r="G78" s="24">
        <v>6.51</v>
      </c>
      <c r="H78" s="24">
        <v>16</v>
      </c>
    </row>
    <row r="79" spans="1:8">
      <c r="A79" s="24">
        <v>78</v>
      </c>
      <c r="B79" s="24" t="s">
        <v>1294</v>
      </c>
      <c r="C79" s="24" t="s">
        <v>1470</v>
      </c>
      <c r="D79" s="25">
        <v>9190</v>
      </c>
      <c r="E79" s="24">
        <v>656</v>
      </c>
      <c r="F79" s="25">
        <v>1210</v>
      </c>
      <c r="G79" s="24">
        <v>54.25</v>
      </c>
      <c r="H79" s="24">
        <v>14</v>
      </c>
    </row>
    <row r="80" spans="1:8">
      <c r="A80" s="24">
        <v>79</v>
      </c>
      <c r="B80" s="24" t="s">
        <v>151</v>
      </c>
      <c r="C80" s="24" t="s">
        <v>1461</v>
      </c>
      <c r="D80" s="25">
        <v>9161</v>
      </c>
      <c r="E80" s="24">
        <v>573</v>
      </c>
      <c r="F80" s="25">
        <v>2000</v>
      </c>
      <c r="G80" s="24">
        <v>28.63</v>
      </c>
      <c r="H80" s="24">
        <v>16</v>
      </c>
    </row>
    <row r="81" spans="1:8">
      <c r="A81" s="24">
        <v>80</v>
      </c>
      <c r="B81" s="24" t="s">
        <v>282</v>
      </c>
      <c r="C81" s="24" t="s">
        <v>1464</v>
      </c>
      <c r="D81" s="25">
        <v>9110</v>
      </c>
      <c r="E81" s="24">
        <v>701</v>
      </c>
      <c r="F81" s="24">
        <v>744</v>
      </c>
      <c r="G81" s="24">
        <v>94.19</v>
      </c>
      <c r="H81" s="24">
        <v>13</v>
      </c>
    </row>
    <row r="82" spans="1:8">
      <c r="A82" s="24">
        <v>81</v>
      </c>
      <c r="B82" s="24" t="s">
        <v>60</v>
      </c>
      <c r="C82" s="24" t="s">
        <v>1471</v>
      </c>
      <c r="D82" s="25">
        <v>9104</v>
      </c>
      <c r="E82" s="24">
        <v>650</v>
      </c>
      <c r="F82" s="25">
        <v>5000</v>
      </c>
      <c r="G82" s="24">
        <v>13.01</v>
      </c>
      <c r="H82" s="24">
        <v>14</v>
      </c>
    </row>
    <row r="83" spans="1:8">
      <c r="A83" s="24">
        <v>82</v>
      </c>
      <c r="B83" s="24" t="s">
        <v>144</v>
      </c>
      <c r="C83" s="24" t="s">
        <v>1266</v>
      </c>
      <c r="D83" s="25">
        <v>8964</v>
      </c>
      <c r="E83" s="24">
        <v>527</v>
      </c>
      <c r="F83" s="25">
        <v>2565</v>
      </c>
      <c r="G83" s="24">
        <v>20.56</v>
      </c>
      <c r="H83" s="24">
        <v>17</v>
      </c>
    </row>
    <row r="84" spans="1:8">
      <c r="A84" s="24">
        <v>83</v>
      </c>
      <c r="B84" s="24" t="s">
        <v>288</v>
      </c>
      <c r="C84" s="24" t="s">
        <v>1473</v>
      </c>
      <c r="D84" s="25">
        <v>8887</v>
      </c>
      <c r="E84" s="24">
        <v>684</v>
      </c>
      <c r="F84" s="25">
        <v>7326</v>
      </c>
      <c r="G84" s="24">
        <v>9.33</v>
      </c>
      <c r="H84" s="24">
        <v>13</v>
      </c>
    </row>
    <row r="85" spans="1:8">
      <c r="A85" s="24">
        <v>84</v>
      </c>
      <c r="B85" s="24" t="s">
        <v>163</v>
      </c>
      <c r="C85" s="24" t="s">
        <v>1464</v>
      </c>
      <c r="D85" s="25">
        <v>8712</v>
      </c>
      <c r="E85" s="24">
        <v>545</v>
      </c>
      <c r="F85" s="25">
        <v>12400</v>
      </c>
      <c r="G85" s="24">
        <v>4.3899999999999997</v>
      </c>
      <c r="H85" s="24">
        <v>16</v>
      </c>
    </row>
    <row r="86" spans="1:8">
      <c r="A86" s="24">
        <v>85</v>
      </c>
      <c r="B86" s="24" t="s">
        <v>1276</v>
      </c>
      <c r="C86" s="24" t="s">
        <v>1467</v>
      </c>
      <c r="D86" s="25">
        <v>8695</v>
      </c>
      <c r="E86" s="24">
        <v>580</v>
      </c>
      <c r="F86" s="25">
        <v>2000</v>
      </c>
      <c r="G86" s="24">
        <v>28.98</v>
      </c>
      <c r="H86" s="24">
        <v>15</v>
      </c>
    </row>
    <row r="87" spans="1:8">
      <c r="A87" s="24">
        <v>86</v>
      </c>
      <c r="B87" s="24" t="s">
        <v>231</v>
      </c>
      <c r="C87" s="24" t="s">
        <v>1266</v>
      </c>
      <c r="D87" s="25">
        <v>8507</v>
      </c>
      <c r="E87" s="24">
        <v>532</v>
      </c>
      <c r="F87" s="25">
        <v>1000</v>
      </c>
      <c r="G87" s="24">
        <v>53.17</v>
      </c>
      <c r="H87" s="24">
        <v>16</v>
      </c>
    </row>
    <row r="88" spans="1:8">
      <c r="A88" s="24">
        <v>87</v>
      </c>
      <c r="B88" s="24" t="s">
        <v>25</v>
      </c>
      <c r="C88" s="24" t="s">
        <v>1460</v>
      </c>
      <c r="D88" s="25">
        <v>8079</v>
      </c>
      <c r="E88" s="24">
        <v>673</v>
      </c>
      <c r="F88" s="25">
        <v>1400</v>
      </c>
      <c r="G88" s="24">
        <v>48.09</v>
      </c>
      <c r="H88" s="24">
        <v>12</v>
      </c>
    </row>
    <row r="89" spans="1:8">
      <c r="A89" s="24">
        <v>88</v>
      </c>
      <c r="B89" s="24" t="s">
        <v>173</v>
      </c>
      <c r="C89" s="24" t="s">
        <v>1481</v>
      </c>
      <c r="D89" s="25">
        <v>7905</v>
      </c>
      <c r="E89" s="24">
        <v>719</v>
      </c>
      <c r="F89" s="25">
        <v>1206</v>
      </c>
      <c r="G89" s="24">
        <v>59.59</v>
      </c>
      <c r="H89" s="24">
        <v>11</v>
      </c>
    </row>
    <row r="90" spans="1:8">
      <c r="A90" s="24">
        <v>89</v>
      </c>
      <c r="B90" s="24" t="s">
        <v>94</v>
      </c>
      <c r="C90" s="24" t="s">
        <v>1474</v>
      </c>
      <c r="D90" s="25">
        <v>7814</v>
      </c>
      <c r="E90" s="24">
        <v>521</v>
      </c>
      <c r="F90" s="25">
        <v>7000</v>
      </c>
      <c r="G90" s="24">
        <v>7.44</v>
      </c>
      <c r="H90" s="24">
        <v>15</v>
      </c>
    </row>
    <row r="91" spans="1:8">
      <c r="A91" s="24">
        <v>90</v>
      </c>
      <c r="B91" s="24" t="s">
        <v>34</v>
      </c>
      <c r="C91" s="24" t="s">
        <v>1468</v>
      </c>
      <c r="D91" s="25">
        <v>7804</v>
      </c>
      <c r="E91" s="24">
        <v>488</v>
      </c>
      <c r="F91" s="25">
        <v>9100</v>
      </c>
      <c r="G91" s="24">
        <v>5.36</v>
      </c>
      <c r="H91" s="24">
        <v>16</v>
      </c>
    </row>
    <row r="92" spans="1:8">
      <c r="A92" s="24">
        <v>91</v>
      </c>
      <c r="B92" s="24" t="s">
        <v>45</v>
      </c>
      <c r="C92" s="24" t="s">
        <v>1473</v>
      </c>
      <c r="D92" s="25">
        <v>7765</v>
      </c>
      <c r="E92" s="24">
        <v>647</v>
      </c>
      <c r="F92" s="25">
        <v>9105</v>
      </c>
      <c r="G92" s="24">
        <v>7.11</v>
      </c>
      <c r="H92" s="24">
        <v>12</v>
      </c>
    </row>
    <row r="93" spans="1:8">
      <c r="A93" s="24">
        <v>92</v>
      </c>
      <c r="B93" s="24" t="s">
        <v>76</v>
      </c>
      <c r="C93" s="24" t="s">
        <v>1479</v>
      </c>
      <c r="D93" s="25">
        <v>7650</v>
      </c>
      <c r="E93" s="24">
        <v>546</v>
      </c>
      <c r="F93" s="25">
        <v>4500</v>
      </c>
      <c r="G93" s="24">
        <v>12.14</v>
      </c>
      <c r="H93" s="24">
        <v>14</v>
      </c>
    </row>
    <row r="94" spans="1:8">
      <c r="A94" s="24">
        <v>93</v>
      </c>
      <c r="B94" s="24" t="s">
        <v>1284</v>
      </c>
      <c r="C94" s="24" t="s">
        <v>1468</v>
      </c>
      <c r="D94" s="25">
        <v>7579</v>
      </c>
      <c r="E94" s="24">
        <v>583</v>
      </c>
      <c r="F94" s="25">
        <v>4000</v>
      </c>
      <c r="G94" s="24">
        <v>14.58</v>
      </c>
      <c r="H94" s="24">
        <v>13</v>
      </c>
    </row>
    <row r="95" spans="1:8">
      <c r="A95" s="24">
        <v>94</v>
      </c>
      <c r="B95" s="24" t="s">
        <v>1285</v>
      </c>
      <c r="C95" s="24" t="s">
        <v>1464</v>
      </c>
      <c r="D95" s="25">
        <v>7544</v>
      </c>
      <c r="E95" s="24">
        <v>503</v>
      </c>
      <c r="F95" s="25">
        <v>1200</v>
      </c>
      <c r="G95" s="24">
        <v>41.91</v>
      </c>
      <c r="H95" s="24">
        <v>15</v>
      </c>
    </row>
    <row r="96" spans="1:8">
      <c r="A96" s="24">
        <v>95</v>
      </c>
      <c r="B96" s="24" t="s">
        <v>1269</v>
      </c>
      <c r="C96" s="24" t="s">
        <v>1266</v>
      </c>
      <c r="D96" s="25">
        <v>7538</v>
      </c>
      <c r="E96" s="24">
        <v>503</v>
      </c>
      <c r="F96" s="25">
        <v>13176</v>
      </c>
      <c r="G96" s="24">
        <v>3.81</v>
      </c>
      <c r="H96" s="24">
        <v>15</v>
      </c>
    </row>
    <row r="97" spans="1:8">
      <c r="A97" s="24">
        <v>96</v>
      </c>
      <c r="B97" s="24" t="s">
        <v>20</v>
      </c>
      <c r="C97" s="24" t="s">
        <v>1465</v>
      </c>
      <c r="D97" s="25">
        <v>7504</v>
      </c>
      <c r="E97" s="24">
        <v>625</v>
      </c>
      <c r="F97" s="25">
        <v>11500</v>
      </c>
      <c r="G97" s="24">
        <v>5.44</v>
      </c>
      <c r="H97" s="24">
        <v>12</v>
      </c>
    </row>
    <row r="98" spans="1:8">
      <c r="A98" s="24">
        <v>97</v>
      </c>
      <c r="B98" s="24" t="s">
        <v>191</v>
      </c>
      <c r="C98" s="24" t="s">
        <v>1467</v>
      </c>
      <c r="D98" s="25">
        <v>7428</v>
      </c>
      <c r="E98" s="24">
        <v>825</v>
      </c>
      <c r="F98" s="25">
        <v>6150</v>
      </c>
      <c r="G98" s="24">
        <v>13.42</v>
      </c>
      <c r="H98" s="24">
        <v>9</v>
      </c>
    </row>
    <row r="99" spans="1:8">
      <c r="A99" s="24">
        <v>98</v>
      </c>
      <c r="B99" s="24" t="s">
        <v>291</v>
      </c>
      <c r="C99" s="24" t="s">
        <v>1483</v>
      </c>
      <c r="D99" s="25">
        <v>7404</v>
      </c>
      <c r="E99" s="24">
        <v>570</v>
      </c>
      <c r="F99" s="25">
        <v>6000</v>
      </c>
      <c r="G99" s="24">
        <v>9.49</v>
      </c>
      <c r="H99" s="24">
        <v>13</v>
      </c>
    </row>
    <row r="100" spans="1:8">
      <c r="A100" s="24">
        <v>99</v>
      </c>
      <c r="B100" s="24" t="s">
        <v>50</v>
      </c>
      <c r="C100" s="24" t="s">
        <v>1480</v>
      </c>
      <c r="D100" s="25">
        <v>7263</v>
      </c>
      <c r="E100" s="24">
        <v>484</v>
      </c>
      <c r="F100" s="25">
        <v>5100</v>
      </c>
      <c r="G100" s="24">
        <v>9.49</v>
      </c>
      <c r="H100" s="24">
        <v>15</v>
      </c>
    </row>
    <row r="101" spans="1:8">
      <c r="A101" s="24">
        <v>100</v>
      </c>
      <c r="B101" s="24" t="s">
        <v>36</v>
      </c>
      <c r="C101" s="24" t="s">
        <v>1458</v>
      </c>
      <c r="D101" s="25">
        <v>7218</v>
      </c>
      <c r="E101" s="24">
        <v>722</v>
      </c>
      <c r="F101" s="25">
        <v>3032</v>
      </c>
      <c r="G101" s="24">
        <v>23.81</v>
      </c>
      <c r="H101" s="24">
        <v>10</v>
      </c>
    </row>
    <row r="102" spans="1:8">
      <c r="A102" s="24">
        <v>101</v>
      </c>
      <c r="B102" s="24" t="s">
        <v>279</v>
      </c>
      <c r="C102" s="24" t="s">
        <v>1473</v>
      </c>
      <c r="D102" s="25">
        <v>7197</v>
      </c>
      <c r="E102" s="24">
        <v>600</v>
      </c>
      <c r="F102" s="25">
        <v>4080</v>
      </c>
      <c r="G102" s="24">
        <v>14.7</v>
      </c>
      <c r="H102" s="24">
        <v>12</v>
      </c>
    </row>
    <row r="103" spans="1:8">
      <c r="A103" s="24">
        <v>102</v>
      </c>
      <c r="B103" s="24" t="s">
        <v>212</v>
      </c>
      <c r="C103" s="24" t="s">
        <v>1471</v>
      </c>
      <c r="D103" s="25">
        <v>7092</v>
      </c>
      <c r="E103" s="24">
        <v>417</v>
      </c>
      <c r="F103" s="24">
        <v>800</v>
      </c>
      <c r="G103" s="24">
        <v>52.15</v>
      </c>
      <c r="H103" s="24">
        <v>17</v>
      </c>
    </row>
    <row r="104" spans="1:8">
      <c r="A104" s="24">
        <v>103</v>
      </c>
      <c r="B104" s="24" t="s">
        <v>1288</v>
      </c>
      <c r="C104" s="24" t="s">
        <v>1470</v>
      </c>
      <c r="D104" s="25">
        <v>7044</v>
      </c>
      <c r="E104" s="24">
        <v>881</v>
      </c>
      <c r="F104" s="25">
        <v>2000</v>
      </c>
      <c r="G104" s="24">
        <v>44.03</v>
      </c>
      <c r="H104" s="24">
        <v>8</v>
      </c>
    </row>
    <row r="105" spans="1:8">
      <c r="A105" s="24">
        <v>104</v>
      </c>
      <c r="B105" s="24" t="s">
        <v>119</v>
      </c>
      <c r="C105" s="24" t="s">
        <v>1479</v>
      </c>
      <c r="D105" s="25">
        <v>7023</v>
      </c>
      <c r="E105" s="24">
        <v>585</v>
      </c>
      <c r="F105" s="24">
        <v>0</v>
      </c>
      <c r="G105" s="24" t="s">
        <v>1466</v>
      </c>
      <c r="H105" s="24">
        <v>12</v>
      </c>
    </row>
    <row r="106" spans="1:8">
      <c r="A106" s="24">
        <v>105</v>
      </c>
      <c r="B106" s="24" t="s">
        <v>254</v>
      </c>
      <c r="C106" s="24" t="s">
        <v>1469</v>
      </c>
      <c r="D106" s="25">
        <v>7015</v>
      </c>
      <c r="E106" s="24">
        <v>468</v>
      </c>
      <c r="F106" s="25">
        <v>5200</v>
      </c>
      <c r="G106" s="24">
        <v>8.99</v>
      </c>
      <c r="H106" s="24">
        <v>15</v>
      </c>
    </row>
    <row r="107" spans="1:8">
      <c r="A107" s="24">
        <v>106</v>
      </c>
      <c r="B107" s="24" t="s">
        <v>68</v>
      </c>
      <c r="C107" s="24" t="s">
        <v>1266</v>
      </c>
      <c r="D107" s="25">
        <v>6987</v>
      </c>
      <c r="E107" s="24">
        <v>537</v>
      </c>
      <c r="F107" s="25">
        <v>8000</v>
      </c>
      <c r="G107" s="24">
        <v>6.72</v>
      </c>
      <c r="H107" s="24">
        <v>13</v>
      </c>
    </row>
    <row r="108" spans="1:8">
      <c r="A108" s="24">
        <v>107</v>
      </c>
      <c r="B108" s="24" t="s">
        <v>271</v>
      </c>
      <c r="C108" s="24" t="s">
        <v>1460</v>
      </c>
      <c r="D108" s="25">
        <v>6870</v>
      </c>
      <c r="E108" s="24">
        <v>458</v>
      </c>
      <c r="F108" s="25">
        <v>2500</v>
      </c>
      <c r="G108" s="24">
        <v>18.32</v>
      </c>
      <c r="H108" s="24">
        <v>15</v>
      </c>
    </row>
    <row r="109" spans="1:8">
      <c r="A109" s="24">
        <v>108</v>
      </c>
      <c r="B109" s="24" t="s">
        <v>86</v>
      </c>
      <c r="C109" s="24" t="s">
        <v>1483</v>
      </c>
      <c r="D109" s="25">
        <v>6825</v>
      </c>
      <c r="E109" s="24">
        <v>525</v>
      </c>
      <c r="F109" s="25">
        <v>3500</v>
      </c>
      <c r="G109" s="24">
        <v>15</v>
      </c>
      <c r="H109" s="24">
        <v>13</v>
      </c>
    </row>
    <row r="110" spans="1:8">
      <c r="A110" s="24">
        <v>109</v>
      </c>
      <c r="B110" s="24" t="s">
        <v>1278</v>
      </c>
      <c r="C110" s="24" t="s">
        <v>1483</v>
      </c>
      <c r="D110" s="25">
        <v>6769</v>
      </c>
      <c r="E110" s="24">
        <v>423</v>
      </c>
      <c r="F110" s="25">
        <v>1750</v>
      </c>
      <c r="G110" s="24">
        <v>24.18</v>
      </c>
      <c r="H110" s="24">
        <v>16</v>
      </c>
    </row>
    <row r="111" spans="1:8">
      <c r="A111" s="24">
        <v>110</v>
      </c>
      <c r="B111" s="24" t="s">
        <v>1248</v>
      </c>
      <c r="C111" s="24" t="s">
        <v>1465</v>
      </c>
      <c r="D111" s="25">
        <v>6704</v>
      </c>
      <c r="E111" s="24">
        <v>447</v>
      </c>
      <c r="F111" s="24">
        <v>800</v>
      </c>
      <c r="G111" s="24">
        <v>55.87</v>
      </c>
      <c r="H111" s="24">
        <v>15</v>
      </c>
    </row>
    <row r="112" spans="1:8">
      <c r="A112" s="24">
        <v>111</v>
      </c>
      <c r="B112" s="24" t="s">
        <v>1243</v>
      </c>
      <c r="C112" s="24" t="s">
        <v>1482</v>
      </c>
      <c r="D112" s="25">
        <v>6686</v>
      </c>
      <c r="E112" s="24">
        <v>514</v>
      </c>
      <c r="F112" s="25">
        <v>1000</v>
      </c>
      <c r="G112" s="24">
        <v>51.43</v>
      </c>
      <c r="H112" s="24">
        <v>13</v>
      </c>
    </row>
    <row r="113" spans="1:8">
      <c r="A113" s="24">
        <v>112</v>
      </c>
      <c r="B113" s="24" t="s">
        <v>126</v>
      </c>
      <c r="C113" s="24" t="s">
        <v>1483</v>
      </c>
      <c r="D113" s="25">
        <v>6625</v>
      </c>
      <c r="E113" s="24">
        <v>602</v>
      </c>
      <c r="F113" s="25">
        <v>9443</v>
      </c>
      <c r="G113" s="24">
        <v>6.38</v>
      </c>
      <c r="H113" s="24">
        <v>11</v>
      </c>
    </row>
    <row r="114" spans="1:8">
      <c r="A114" s="24">
        <v>113</v>
      </c>
      <c r="B114" s="24" t="s">
        <v>1267</v>
      </c>
      <c r="C114" s="24" t="s">
        <v>1469</v>
      </c>
      <c r="D114" s="25">
        <v>6600</v>
      </c>
      <c r="E114" s="24">
        <v>825</v>
      </c>
      <c r="F114" s="25">
        <v>10563</v>
      </c>
      <c r="G114" s="24">
        <v>7.81</v>
      </c>
      <c r="H114" s="24">
        <v>8</v>
      </c>
    </row>
    <row r="115" spans="1:8">
      <c r="A115" s="24">
        <v>114</v>
      </c>
      <c r="B115" s="24" t="s">
        <v>1249</v>
      </c>
      <c r="C115" s="24" t="s">
        <v>1482</v>
      </c>
      <c r="D115" s="25">
        <v>6589</v>
      </c>
      <c r="E115" s="24">
        <v>507</v>
      </c>
      <c r="F115" s="25">
        <v>6100</v>
      </c>
      <c r="G115" s="24">
        <v>8.31</v>
      </c>
      <c r="H115" s="24">
        <v>13</v>
      </c>
    </row>
    <row r="116" spans="1:8">
      <c r="A116" s="24">
        <v>115</v>
      </c>
      <c r="B116" s="24" t="s">
        <v>194</v>
      </c>
      <c r="C116" s="24" t="s">
        <v>1464</v>
      </c>
      <c r="D116" s="25">
        <v>6528</v>
      </c>
      <c r="E116" s="24">
        <v>435</v>
      </c>
      <c r="F116" s="25">
        <v>6798</v>
      </c>
      <c r="G116" s="24">
        <v>6.4</v>
      </c>
      <c r="H116" s="24">
        <v>15</v>
      </c>
    </row>
    <row r="117" spans="1:8">
      <c r="A117" s="24">
        <v>116</v>
      </c>
      <c r="B117" s="24" t="s">
        <v>157</v>
      </c>
      <c r="C117" s="24" t="s">
        <v>1475</v>
      </c>
      <c r="D117" s="25">
        <v>6393</v>
      </c>
      <c r="E117" s="24">
        <v>492</v>
      </c>
      <c r="F117" s="25">
        <v>3500</v>
      </c>
      <c r="G117" s="24">
        <v>14.05</v>
      </c>
      <c r="H117" s="24">
        <v>13</v>
      </c>
    </row>
    <row r="118" spans="1:8">
      <c r="A118" s="24">
        <v>117</v>
      </c>
      <c r="B118" s="24" t="s">
        <v>104</v>
      </c>
      <c r="C118" s="24" t="s">
        <v>1470</v>
      </c>
      <c r="D118" s="25">
        <v>6392</v>
      </c>
      <c r="E118" s="24">
        <v>710</v>
      </c>
      <c r="F118" s="24">
        <v>0</v>
      </c>
      <c r="G118" s="24" t="s">
        <v>1466</v>
      </c>
      <c r="H118" s="24">
        <v>9</v>
      </c>
    </row>
    <row r="119" spans="1:8">
      <c r="A119" s="24">
        <v>118</v>
      </c>
      <c r="B119" s="24" t="s">
        <v>1266</v>
      </c>
      <c r="C119" s="24" t="s">
        <v>1476</v>
      </c>
      <c r="D119" s="25">
        <v>6366</v>
      </c>
      <c r="E119" s="24">
        <v>398</v>
      </c>
      <c r="F119" s="25">
        <v>2000</v>
      </c>
      <c r="G119" s="24">
        <v>19.89</v>
      </c>
      <c r="H119" s="24">
        <v>16</v>
      </c>
    </row>
    <row r="120" spans="1:8">
      <c r="A120" s="24">
        <v>119</v>
      </c>
      <c r="B120" s="24" t="s">
        <v>280</v>
      </c>
      <c r="C120" s="24" t="s">
        <v>1477</v>
      </c>
      <c r="D120" s="25">
        <v>6328</v>
      </c>
      <c r="E120" s="24">
        <v>422</v>
      </c>
      <c r="F120" s="25">
        <v>5000</v>
      </c>
      <c r="G120" s="24">
        <v>8.44</v>
      </c>
      <c r="H120" s="24">
        <v>15</v>
      </c>
    </row>
    <row r="121" spans="1:8">
      <c r="A121" s="24">
        <v>120</v>
      </c>
      <c r="B121" s="24" t="s">
        <v>1296</v>
      </c>
      <c r="C121" s="24" t="s">
        <v>1481</v>
      </c>
      <c r="D121" s="25">
        <v>6300</v>
      </c>
      <c r="E121" s="24">
        <v>630</v>
      </c>
      <c r="F121" s="24">
        <v>500</v>
      </c>
      <c r="G121" s="24">
        <v>126</v>
      </c>
      <c r="H121" s="24">
        <v>10</v>
      </c>
    </row>
    <row r="122" spans="1:8">
      <c r="A122" s="24">
        <v>121</v>
      </c>
      <c r="B122" s="24" t="s">
        <v>1290</v>
      </c>
      <c r="C122" s="24" t="s">
        <v>1484</v>
      </c>
      <c r="D122" s="25">
        <v>6282</v>
      </c>
      <c r="E122" s="24">
        <v>524</v>
      </c>
      <c r="F122" s="25">
        <v>3500</v>
      </c>
      <c r="G122" s="24">
        <v>14.96</v>
      </c>
      <c r="H122" s="24">
        <v>12</v>
      </c>
    </row>
    <row r="123" spans="1:8">
      <c r="A123" s="24">
        <v>122</v>
      </c>
      <c r="B123" s="24" t="s">
        <v>269</v>
      </c>
      <c r="C123" s="24" t="s">
        <v>1480</v>
      </c>
      <c r="D123" s="25">
        <v>6239</v>
      </c>
      <c r="E123" s="24">
        <v>567</v>
      </c>
      <c r="F123" s="25">
        <v>1000</v>
      </c>
      <c r="G123" s="24">
        <v>56.72</v>
      </c>
      <c r="H123" s="24">
        <v>11</v>
      </c>
    </row>
    <row r="124" spans="1:8">
      <c r="A124" s="24">
        <v>123</v>
      </c>
      <c r="B124" s="24" t="s">
        <v>277</v>
      </c>
      <c r="C124" s="24" t="s">
        <v>1474</v>
      </c>
      <c r="D124" s="25">
        <v>6222</v>
      </c>
      <c r="E124" s="24">
        <v>778</v>
      </c>
      <c r="F124" s="25">
        <v>2000</v>
      </c>
      <c r="G124" s="24">
        <v>38.89</v>
      </c>
      <c r="H124" s="24">
        <v>8</v>
      </c>
    </row>
    <row r="125" spans="1:8">
      <c r="A125" s="24">
        <v>123</v>
      </c>
      <c r="B125" s="24" t="s">
        <v>1302</v>
      </c>
      <c r="C125" s="24" t="s">
        <v>1266</v>
      </c>
      <c r="D125" s="25">
        <v>6222</v>
      </c>
      <c r="E125" s="24">
        <v>389</v>
      </c>
      <c r="F125" s="25">
        <v>8998</v>
      </c>
      <c r="G125" s="24">
        <v>4.32</v>
      </c>
      <c r="H125" s="24">
        <v>16</v>
      </c>
    </row>
    <row r="126" spans="1:8">
      <c r="A126" s="24">
        <v>125</v>
      </c>
      <c r="B126" s="24" t="s">
        <v>237</v>
      </c>
      <c r="C126" s="24" t="s">
        <v>1470</v>
      </c>
      <c r="D126" s="25">
        <v>6165</v>
      </c>
      <c r="E126" s="24">
        <v>771</v>
      </c>
      <c r="F126" s="25">
        <v>5300</v>
      </c>
      <c r="G126" s="24">
        <v>14.54</v>
      </c>
      <c r="H126" s="24">
        <v>8</v>
      </c>
    </row>
    <row r="127" spans="1:8">
      <c r="A127" s="24">
        <v>126</v>
      </c>
      <c r="B127" s="24" t="s">
        <v>201</v>
      </c>
      <c r="C127" s="24" t="s">
        <v>1481</v>
      </c>
      <c r="D127" s="25">
        <v>6144</v>
      </c>
      <c r="E127" s="24">
        <v>512</v>
      </c>
      <c r="F127" s="25">
        <v>1800</v>
      </c>
      <c r="G127" s="24">
        <v>28.44</v>
      </c>
      <c r="H127" s="24">
        <v>12</v>
      </c>
    </row>
    <row r="128" spans="1:8">
      <c r="A128" s="24">
        <v>127</v>
      </c>
      <c r="B128" s="24" t="s">
        <v>88</v>
      </c>
      <c r="C128" s="24" t="s">
        <v>1471</v>
      </c>
      <c r="D128" s="25">
        <v>6104</v>
      </c>
      <c r="E128" s="24">
        <v>436</v>
      </c>
      <c r="F128" s="25">
        <v>4338</v>
      </c>
      <c r="G128" s="24">
        <v>10.050000000000001</v>
      </c>
      <c r="H128" s="24">
        <v>14</v>
      </c>
    </row>
    <row r="129" spans="1:8">
      <c r="A129" s="24">
        <v>128</v>
      </c>
      <c r="B129" s="24" t="s">
        <v>251</v>
      </c>
      <c r="C129" s="24" t="s">
        <v>1463</v>
      </c>
      <c r="D129" s="25">
        <v>5901</v>
      </c>
      <c r="E129" s="24">
        <v>422</v>
      </c>
      <c r="F129" s="25">
        <v>15050</v>
      </c>
      <c r="G129" s="24">
        <v>2.8</v>
      </c>
      <c r="H129" s="24">
        <v>14</v>
      </c>
    </row>
    <row r="130" spans="1:8">
      <c r="A130" s="24">
        <v>129</v>
      </c>
      <c r="B130" s="24" t="s">
        <v>1240</v>
      </c>
      <c r="C130" s="24" t="s">
        <v>1469</v>
      </c>
      <c r="D130" s="25">
        <v>5894</v>
      </c>
      <c r="E130" s="24">
        <v>453</v>
      </c>
      <c r="F130" s="25">
        <v>8325</v>
      </c>
      <c r="G130" s="24">
        <v>5.45</v>
      </c>
      <c r="H130" s="24">
        <v>13</v>
      </c>
    </row>
    <row r="131" spans="1:8">
      <c r="A131" s="24">
        <v>130</v>
      </c>
      <c r="B131" s="24" t="s">
        <v>217</v>
      </c>
      <c r="C131" s="24" t="s">
        <v>1467</v>
      </c>
      <c r="D131" s="25">
        <v>5893</v>
      </c>
      <c r="E131" s="24">
        <v>453</v>
      </c>
      <c r="F131" s="25">
        <v>5100</v>
      </c>
      <c r="G131" s="24">
        <v>8.89</v>
      </c>
      <c r="H131" s="24">
        <v>13</v>
      </c>
    </row>
    <row r="132" spans="1:8">
      <c r="A132" s="24">
        <v>131</v>
      </c>
      <c r="B132" s="24" t="s">
        <v>260</v>
      </c>
      <c r="C132" s="24" t="s">
        <v>1266</v>
      </c>
      <c r="D132" s="25">
        <v>5869</v>
      </c>
      <c r="E132" s="24">
        <v>451</v>
      </c>
      <c r="F132" s="25">
        <v>2000</v>
      </c>
      <c r="G132" s="24">
        <v>22.57</v>
      </c>
      <c r="H132" s="24">
        <v>13</v>
      </c>
    </row>
    <row r="133" spans="1:8">
      <c r="A133" s="24">
        <v>132</v>
      </c>
      <c r="B133" s="24" t="s">
        <v>203</v>
      </c>
      <c r="C133" s="24" t="s">
        <v>1483</v>
      </c>
      <c r="D133" s="25">
        <v>5858</v>
      </c>
      <c r="E133" s="24">
        <v>586</v>
      </c>
      <c r="F133" s="25">
        <v>3215</v>
      </c>
      <c r="G133" s="24">
        <v>18.22</v>
      </c>
      <c r="H133" s="24">
        <v>10</v>
      </c>
    </row>
    <row r="134" spans="1:8">
      <c r="A134" s="24">
        <v>133</v>
      </c>
      <c r="B134" s="24" t="s">
        <v>29</v>
      </c>
      <c r="C134" s="24" t="s">
        <v>1462</v>
      </c>
      <c r="D134" s="25">
        <v>5705</v>
      </c>
      <c r="E134" s="24">
        <v>380</v>
      </c>
      <c r="F134" s="25">
        <v>4200</v>
      </c>
      <c r="G134" s="24">
        <v>9.06</v>
      </c>
      <c r="H134" s="24">
        <v>15</v>
      </c>
    </row>
    <row r="135" spans="1:8">
      <c r="A135" s="24">
        <v>134</v>
      </c>
      <c r="B135" s="24" t="s">
        <v>28</v>
      </c>
      <c r="C135" s="24" t="s">
        <v>1465</v>
      </c>
      <c r="D135" s="25">
        <v>5614</v>
      </c>
      <c r="E135" s="24">
        <v>510</v>
      </c>
      <c r="F135" s="25">
        <v>4387</v>
      </c>
      <c r="G135" s="24">
        <v>11.63</v>
      </c>
      <c r="H135" s="24">
        <v>11</v>
      </c>
    </row>
    <row r="136" spans="1:8">
      <c r="A136" s="24">
        <v>135</v>
      </c>
      <c r="B136" s="24" t="s">
        <v>257</v>
      </c>
      <c r="C136" s="24" t="s">
        <v>1458</v>
      </c>
      <c r="D136" s="25">
        <v>5587</v>
      </c>
      <c r="E136" s="24">
        <v>621</v>
      </c>
      <c r="F136" s="25">
        <v>5931</v>
      </c>
      <c r="G136" s="24">
        <v>10.47</v>
      </c>
      <c r="H136" s="24">
        <v>9</v>
      </c>
    </row>
    <row r="137" spans="1:8">
      <c r="A137" s="24">
        <v>136</v>
      </c>
      <c r="B137" s="24" t="s">
        <v>109</v>
      </c>
      <c r="C137" s="24" t="s">
        <v>1462</v>
      </c>
      <c r="D137" s="25">
        <v>5510</v>
      </c>
      <c r="E137" s="24">
        <v>324</v>
      </c>
      <c r="F137" s="24">
        <v>500</v>
      </c>
      <c r="G137" s="24">
        <v>64.819999999999993</v>
      </c>
      <c r="H137" s="24">
        <v>17</v>
      </c>
    </row>
    <row r="138" spans="1:8">
      <c r="A138" s="24">
        <v>137</v>
      </c>
      <c r="B138" s="24" t="s">
        <v>129</v>
      </c>
      <c r="C138" s="24" t="s">
        <v>1467</v>
      </c>
      <c r="D138" s="25">
        <v>5435</v>
      </c>
      <c r="E138" s="24">
        <v>388</v>
      </c>
      <c r="F138" s="25">
        <v>4156</v>
      </c>
      <c r="G138" s="24">
        <v>9.34</v>
      </c>
      <c r="H138" s="24">
        <v>14</v>
      </c>
    </row>
    <row r="139" spans="1:8">
      <c r="A139" s="24">
        <v>138</v>
      </c>
      <c r="B139" s="24" t="s">
        <v>1297</v>
      </c>
      <c r="C139" s="24" t="s">
        <v>1467</v>
      </c>
      <c r="D139" s="25">
        <v>5394</v>
      </c>
      <c r="E139" s="24">
        <v>415</v>
      </c>
      <c r="F139" s="25">
        <v>3104</v>
      </c>
      <c r="G139" s="24">
        <v>13.37</v>
      </c>
      <c r="H139" s="24">
        <v>13</v>
      </c>
    </row>
    <row r="140" spans="1:8">
      <c r="A140" s="24">
        <v>139</v>
      </c>
      <c r="B140" s="24" t="s">
        <v>268</v>
      </c>
      <c r="C140" s="24" t="s">
        <v>1478</v>
      </c>
      <c r="D140" s="25">
        <v>5363</v>
      </c>
      <c r="E140" s="24">
        <v>488</v>
      </c>
      <c r="F140" s="25">
        <v>1833</v>
      </c>
      <c r="G140" s="24">
        <v>26.6</v>
      </c>
      <c r="H140" s="24">
        <v>11</v>
      </c>
    </row>
    <row r="141" spans="1:8">
      <c r="A141" s="24">
        <v>140</v>
      </c>
      <c r="B141" s="24" t="s">
        <v>294</v>
      </c>
      <c r="C141" s="24" t="s">
        <v>1486</v>
      </c>
      <c r="D141" s="25">
        <v>5282</v>
      </c>
      <c r="E141" s="24">
        <v>528</v>
      </c>
      <c r="F141" s="25">
        <v>2532</v>
      </c>
      <c r="G141" s="24">
        <v>20.86</v>
      </c>
      <c r="H141" s="24">
        <v>10</v>
      </c>
    </row>
    <row r="142" spans="1:8">
      <c r="A142" s="24">
        <v>141</v>
      </c>
      <c r="B142" s="24" t="s">
        <v>160</v>
      </c>
      <c r="C142" s="24" t="s">
        <v>1475</v>
      </c>
      <c r="D142" s="25">
        <v>5207</v>
      </c>
      <c r="E142" s="24">
        <v>473</v>
      </c>
      <c r="F142" s="25">
        <v>5550</v>
      </c>
      <c r="G142" s="24">
        <v>8.5299999999999994</v>
      </c>
      <c r="H142" s="24">
        <v>11</v>
      </c>
    </row>
    <row r="143" spans="1:8">
      <c r="A143" s="24">
        <v>142</v>
      </c>
      <c r="B143" s="24" t="s">
        <v>1312</v>
      </c>
      <c r="C143" s="24" t="s">
        <v>1474</v>
      </c>
      <c r="D143" s="25">
        <v>5147</v>
      </c>
      <c r="E143" s="24">
        <v>468</v>
      </c>
      <c r="F143" s="25">
        <v>2500</v>
      </c>
      <c r="G143" s="24">
        <v>18.72</v>
      </c>
      <c r="H143" s="24">
        <v>11</v>
      </c>
    </row>
    <row r="144" spans="1:8">
      <c r="A144" s="24">
        <v>143</v>
      </c>
      <c r="B144" s="24" t="s">
        <v>239</v>
      </c>
      <c r="C144" s="24" t="s">
        <v>1468</v>
      </c>
      <c r="D144" s="25">
        <v>5054</v>
      </c>
      <c r="E144" s="24">
        <v>337</v>
      </c>
      <c r="F144" s="25">
        <v>5602</v>
      </c>
      <c r="G144" s="24">
        <v>6.01</v>
      </c>
      <c r="H144" s="24">
        <v>15</v>
      </c>
    </row>
    <row r="145" spans="1:8">
      <c r="A145" s="24">
        <v>144</v>
      </c>
      <c r="B145" s="24" t="s">
        <v>234</v>
      </c>
      <c r="C145" s="24" t="s">
        <v>1462</v>
      </c>
      <c r="D145" s="25">
        <v>5036</v>
      </c>
      <c r="E145" s="24">
        <v>387</v>
      </c>
      <c r="F145" s="25">
        <v>1250</v>
      </c>
      <c r="G145" s="24">
        <v>30.99</v>
      </c>
      <c r="H145" s="24">
        <v>13</v>
      </c>
    </row>
    <row r="146" spans="1:8">
      <c r="A146" s="24">
        <v>145</v>
      </c>
      <c r="B146" s="24" t="s">
        <v>1291</v>
      </c>
      <c r="C146" s="24" t="s">
        <v>1482</v>
      </c>
      <c r="D146" s="25">
        <v>4992</v>
      </c>
      <c r="E146" s="24">
        <v>294</v>
      </c>
      <c r="F146" s="25">
        <v>10000</v>
      </c>
      <c r="G146" s="24">
        <v>2.94</v>
      </c>
      <c r="H146" s="24">
        <v>17</v>
      </c>
    </row>
    <row r="147" spans="1:8">
      <c r="A147" s="24">
        <v>146</v>
      </c>
      <c r="B147" s="24" t="s">
        <v>1272</v>
      </c>
      <c r="C147" s="24" t="s">
        <v>1481</v>
      </c>
      <c r="D147" s="25">
        <v>4988</v>
      </c>
      <c r="E147" s="24">
        <v>277</v>
      </c>
      <c r="F147" s="25">
        <v>1800</v>
      </c>
      <c r="G147" s="24">
        <v>15.4</v>
      </c>
      <c r="H147" s="24">
        <v>18</v>
      </c>
    </row>
    <row r="148" spans="1:8">
      <c r="A148" s="24">
        <v>147</v>
      </c>
      <c r="B148" s="24" t="s">
        <v>1279</v>
      </c>
      <c r="C148" s="24" t="s">
        <v>1470</v>
      </c>
      <c r="D148" s="25">
        <v>4938</v>
      </c>
      <c r="E148" s="24">
        <v>449</v>
      </c>
      <c r="F148" s="25">
        <v>1500</v>
      </c>
      <c r="G148" s="24">
        <v>29.93</v>
      </c>
      <c r="H148" s="24">
        <v>11</v>
      </c>
    </row>
    <row r="149" spans="1:8">
      <c r="A149" s="24">
        <v>148</v>
      </c>
      <c r="B149" s="24" t="s">
        <v>43</v>
      </c>
      <c r="C149" s="24" t="s">
        <v>1465</v>
      </c>
      <c r="D149" s="25">
        <v>4928</v>
      </c>
      <c r="E149" s="24">
        <v>448</v>
      </c>
      <c r="F149" s="25">
        <v>5500</v>
      </c>
      <c r="G149" s="24">
        <v>8.15</v>
      </c>
      <c r="H149" s="24">
        <v>11</v>
      </c>
    </row>
    <row r="150" spans="1:8">
      <c r="A150" s="24">
        <v>149</v>
      </c>
      <c r="B150" s="24" t="s">
        <v>289</v>
      </c>
      <c r="C150" s="24" t="s">
        <v>1465</v>
      </c>
      <c r="D150" s="25">
        <v>4917</v>
      </c>
      <c r="E150" s="24">
        <v>615</v>
      </c>
      <c r="F150" s="25">
        <v>5421</v>
      </c>
      <c r="G150" s="24">
        <v>11.34</v>
      </c>
      <c r="H150" s="24">
        <v>8</v>
      </c>
    </row>
    <row r="151" spans="1:8">
      <c r="A151" s="24">
        <v>150</v>
      </c>
      <c r="B151" s="24" t="s">
        <v>1289</v>
      </c>
      <c r="C151" s="24" t="s">
        <v>1476</v>
      </c>
      <c r="D151" s="25">
        <v>4906</v>
      </c>
      <c r="E151" s="24">
        <v>409</v>
      </c>
      <c r="F151" s="24">
        <v>750</v>
      </c>
      <c r="G151" s="24">
        <v>54.51</v>
      </c>
      <c r="H151" s="24">
        <v>12</v>
      </c>
    </row>
    <row r="152" spans="1:8">
      <c r="A152" s="24">
        <v>151</v>
      </c>
      <c r="B152" s="24" t="s">
        <v>1265</v>
      </c>
      <c r="C152" s="24" t="s">
        <v>1460</v>
      </c>
      <c r="D152" s="25">
        <v>4884</v>
      </c>
      <c r="E152" s="24">
        <v>305</v>
      </c>
      <c r="F152" s="25">
        <v>1000</v>
      </c>
      <c r="G152" s="24">
        <v>30.53</v>
      </c>
      <c r="H152" s="24">
        <v>16</v>
      </c>
    </row>
    <row r="153" spans="1:8">
      <c r="A153" s="24">
        <v>152</v>
      </c>
      <c r="B153" s="24" t="s">
        <v>120</v>
      </c>
      <c r="C153" s="24" t="s">
        <v>1465</v>
      </c>
      <c r="D153" s="25">
        <v>4849</v>
      </c>
      <c r="E153" s="24">
        <v>441</v>
      </c>
      <c r="F153" s="25">
        <v>6327</v>
      </c>
      <c r="G153" s="24">
        <v>6.97</v>
      </c>
      <c r="H153" s="24">
        <v>11</v>
      </c>
    </row>
    <row r="154" spans="1:8">
      <c r="A154" s="24">
        <v>153</v>
      </c>
      <c r="B154" s="24" t="s">
        <v>26</v>
      </c>
      <c r="C154" s="24" t="s">
        <v>1464</v>
      </c>
      <c r="D154" s="25">
        <v>4847</v>
      </c>
      <c r="E154" s="24">
        <v>346</v>
      </c>
      <c r="F154" s="25">
        <v>1000</v>
      </c>
      <c r="G154" s="24">
        <v>34.619999999999997</v>
      </c>
      <c r="H154" s="24">
        <v>14</v>
      </c>
    </row>
    <row r="155" spans="1:8">
      <c r="A155" s="24">
        <v>154</v>
      </c>
      <c r="B155" s="24" t="s">
        <v>252</v>
      </c>
      <c r="C155" s="24" t="s">
        <v>1465</v>
      </c>
      <c r="D155" s="25">
        <v>4817</v>
      </c>
      <c r="E155" s="24">
        <v>344</v>
      </c>
      <c r="F155" s="25">
        <v>7014</v>
      </c>
      <c r="G155" s="24">
        <v>4.91</v>
      </c>
      <c r="H155" s="24">
        <v>14</v>
      </c>
    </row>
    <row r="156" spans="1:8">
      <c r="A156" s="24">
        <v>155</v>
      </c>
      <c r="B156" s="24" t="s">
        <v>58</v>
      </c>
      <c r="C156" s="24" t="s">
        <v>1458</v>
      </c>
      <c r="D156" s="25">
        <v>4764</v>
      </c>
      <c r="E156" s="24">
        <v>596</v>
      </c>
      <c r="F156" s="25">
        <v>1600</v>
      </c>
      <c r="G156" s="24">
        <v>37.22</v>
      </c>
      <c r="H156" s="24">
        <v>8</v>
      </c>
    </row>
    <row r="157" spans="1:8">
      <c r="A157" s="24">
        <v>156</v>
      </c>
      <c r="B157" s="24" t="s">
        <v>256</v>
      </c>
      <c r="C157" s="24" t="s">
        <v>1473</v>
      </c>
      <c r="D157" s="25">
        <v>4634</v>
      </c>
      <c r="E157" s="24">
        <v>273</v>
      </c>
      <c r="F157" s="25">
        <v>8500</v>
      </c>
      <c r="G157" s="24">
        <v>3.21</v>
      </c>
      <c r="H157" s="24">
        <v>17</v>
      </c>
    </row>
    <row r="158" spans="1:8">
      <c r="A158" s="24">
        <v>157</v>
      </c>
      <c r="B158" s="24" t="s">
        <v>1287</v>
      </c>
      <c r="C158" s="24" t="s">
        <v>1477</v>
      </c>
      <c r="D158" s="25">
        <v>4626</v>
      </c>
      <c r="E158" s="24">
        <v>421</v>
      </c>
      <c r="F158" s="25">
        <v>2500</v>
      </c>
      <c r="G158" s="24">
        <v>16.82</v>
      </c>
      <c r="H158" s="24">
        <v>11</v>
      </c>
    </row>
    <row r="159" spans="1:8">
      <c r="A159" s="24">
        <v>158</v>
      </c>
      <c r="B159" s="24" t="s">
        <v>101</v>
      </c>
      <c r="C159" s="24" t="s">
        <v>1266</v>
      </c>
      <c r="D159" s="25">
        <v>4591</v>
      </c>
      <c r="E159" s="24">
        <v>353</v>
      </c>
      <c r="F159" s="25">
        <v>1000</v>
      </c>
      <c r="G159" s="24">
        <v>35.32</v>
      </c>
      <c r="H159" s="24">
        <v>13</v>
      </c>
    </row>
    <row r="160" spans="1:8">
      <c r="A160" s="24">
        <v>159</v>
      </c>
      <c r="B160" s="24" t="s">
        <v>188</v>
      </c>
      <c r="C160" s="24" t="s">
        <v>1481</v>
      </c>
      <c r="D160" s="25">
        <v>4579</v>
      </c>
      <c r="E160" s="24">
        <v>382</v>
      </c>
      <c r="F160" s="25">
        <v>2500</v>
      </c>
      <c r="G160" s="24">
        <v>15.26</v>
      </c>
      <c r="H160" s="24">
        <v>12</v>
      </c>
    </row>
    <row r="161" spans="1:8">
      <c r="A161" s="24">
        <v>160</v>
      </c>
      <c r="B161" s="24" t="s">
        <v>174</v>
      </c>
      <c r="C161" s="24" t="s">
        <v>1479</v>
      </c>
      <c r="D161" s="25">
        <v>4517</v>
      </c>
      <c r="E161" s="24">
        <v>411</v>
      </c>
      <c r="F161" s="24">
        <v>0</v>
      </c>
      <c r="G161" s="24" t="s">
        <v>1466</v>
      </c>
      <c r="H161" s="24">
        <v>11</v>
      </c>
    </row>
    <row r="162" spans="1:8">
      <c r="A162" s="24">
        <v>161</v>
      </c>
      <c r="B162" s="24" t="s">
        <v>61</v>
      </c>
      <c r="C162" s="24" t="s">
        <v>1480</v>
      </c>
      <c r="D162" s="25">
        <v>4498</v>
      </c>
      <c r="E162" s="24">
        <v>409</v>
      </c>
      <c r="F162" s="25">
        <v>5000</v>
      </c>
      <c r="G162" s="24">
        <v>8.18</v>
      </c>
      <c r="H162" s="24">
        <v>11</v>
      </c>
    </row>
    <row r="163" spans="1:8">
      <c r="A163" s="24">
        <v>162</v>
      </c>
      <c r="B163" s="24" t="s">
        <v>1271</v>
      </c>
      <c r="C163" s="24" t="s">
        <v>1471</v>
      </c>
      <c r="D163" s="25">
        <v>4471</v>
      </c>
      <c r="E163" s="24">
        <v>406</v>
      </c>
      <c r="F163" s="24">
        <v>0</v>
      </c>
      <c r="G163" s="24" t="s">
        <v>1466</v>
      </c>
      <c r="H163" s="24">
        <v>11</v>
      </c>
    </row>
    <row r="164" spans="1:8">
      <c r="A164" s="24">
        <v>163</v>
      </c>
      <c r="B164" s="24" t="s">
        <v>1301</v>
      </c>
      <c r="C164" s="24" t="s">
        <v>1467</v>
      </c>
      <c r="D164" s="25">
        <v>4462</v>
      </c>
      <c r="E164" s="24">
        <v>297</v>
      </c>
      <c r="F164" s="25">
        <v>5300</v>
      </c>
      <c r="G164" s="24">
        <v>5.61</v>
      </c>
      <c r="H164" s="24">
        <v>15</v>
      </c>
    </row>
    <row r="165" spans="1:8">
      <c r="A165" s="24">
        <v>164</v>
      </c>
      <c r="B165" s="24" t="s">
        <v>1299</v>
      </c>
      <c r="C165" s="24" t="s">
        <v>1473</v>
      </c>
      <c r="D165" s="25">
        <v>4455</v>
      </c>
      <c r="E165" s="24">
        <v>371</v>
      </c>
      <c r="F165" s="25">
        <v>5750</v>
      </c>
      <c r="G165" s="24">
        <v>6.46</v>
      </c>
      <c r="H165" s="24">
        <v>12</v>
      </c>
    </row>
    <row r="166" spans="1:8">
      <c r="A166" s="24">
        <v>165</v>
      </c>
      <c r="B166" s="24" t="s">
        <v>1321</v>
      </c>
      <c r="C166" s="24" t="s">
        <v>1477</v>
      </c>
      <c r="D166" s="25">
        <v>4426</v>
      </c>
      <c r="E166" s="24">
        <v>277</v>
      </c>
      <c r="F166" s="24">
        <v>500</v>
      </c>
      <c r="G166" s="24">
        <v>55.33</v>
      </c>
      <c r="H166" s="24">
        <v>16</v>
      </c>
    </row>
    <row r="167" spans="1:8">
      <c r="A167" s="24">
        <v>166</v>
      </c>
      <c r="B167" s="24" t="s">
        <v>1314</v>
      </c>
      <c r="C167" s="24" t="s">
        <v>1471</v>
      </c>
      <c r="D167" s="25">
        <v>4424</v>
      </c>
      <c r="E167" s="24">
        <v>442</v>
      </c>
      <c r="F167" s="25">
        <v>7500</v>
      </c>
      <c r="G167" s="24">
        <v>5.9</v>
      </c>
      <c r="H167" s="24">
        <v>10</v>
      </c>
    </row>
    <row r="168" spans="1:8">
      <c r="A168" s="24">
        <v>167</v>
      </c>
      <c r="B168" s="24" t="s">
        <v>149</v>
      </c>
      <c r="C168" s="24" t="s">
        <v>1473</v>
      </c>
      <c r="D168" s="25">
        <v>4400</v>
      </c>
      <c r="E168" s="24">
        <v>275</v>
      </c>
      <c r="F168" s="25">
        <v>2000</v>
      </c>
      <c r="G168" s="24">
        <v>13.75</v>
      </c>
      <c r="H168" s="24">
        <v>16</v>
      </c>
    </row>
    <row r="169" spans="1:8">
      <c r="A169" s="24">
        <v>168</v>
      </c>
      <c r="B169" s="24" t="s">
        <v>1311</v>
      </c>
      <c r="C169" s="24" t="s">
        <v>1483</v>
      </c>
      <c r="D169" s="25">
        <v>4399</v>
      </c>
      <c r="E169" s="24">
        <v>367</v>
      </c>
      <c r="F169" s="25">
        <v>1100</v>
      </c>
      <c r="G169" s="24">
        <v>33.33</v>
      </c>
      <c r="H169" s="24">
        <v>12</v>
      </c>
    </row>
    <row r="170" spans="1:8">
      <c r="A170" s="24">
        <v>169</v>
      </c>
      <c r="B170" s="24" t="s">
        <v>41</v>
      </c>
      <c r="C170" s="24" t="s">
        <v>1482</v>
      </c>
      <c r="D170" s="25">
        <v>4299</v>
      </c>
      <c r="E170" s="24">
        <v>391</v>
      </c>
      <c r="F170" s="24">
        <v>350</v>
      </c>
      <c r="G170" s="24">
        <v>111.66</v>
      </c>
      <c r="H170" s="24">
        <v>11</v>
      </c>
    </row>
    <row r="171" spans="1:8">
      <c r="A171" s="24">
        <v>170</v>
      </c>
      <c r="B171" s="24" t="s">
        <v>253</v>
      </c>
      <c r="C171" s="24" t="s">
        <v>1480</v>
      </c>
      <c r="D171" s="25">
        <v>4274</v>
      </c>
      <c r="E171" s="24">
        <v>329</v>
      </c>
      <c r="F171" s="25">
        <v>5200</v>
      </c>
      <c r="G171" s="24">
        <v>6.32</v>
      </c>
      <c r="H171" s="24">
        <v>13</v>
      </c>
    </row>
    <row r="172" spans="1:8">
      <c r="A172" s="24">
        <v>171</v>
      </c>
      <c r="B172" s="24" t="s">
        <v>165</v>
      </c>
      <c r="C172" s="24" t="s">
        <v>1460</v>
      </c>
      <c r="D172" s="25">
        <v>4268</v>
      </c>
      <c r="E172" s="24">
        <v>356</v>
      </c>
      <c r="F172" s="25">
        <v>1800</v>
      </c>
      <c r="G172" s="24">
        <v>19.760000000000002</v>
      </c>
      <c r="H172" s="24">
        <v>12</v>
      </c>
    </row>
    <row r="173" spans="1:8">
      <c r="A173" s="24">
        <v>172</v>
      </c>
      <c r="B173" s="24" t="s">
        <v>235</v>
      </c>
      <c r="C173" s="24" t="s">
        <v>1473</v>
      </c>
      <c r="D173" s="25">
        <v>4256</v>
      </c>
      <c r="E173" s="24">
        <v>304</v>
      </c>
      <c r="F173" s="25">
        <v>8095</v>
      </c>
      <c r="G173" s="24">
        <v>3.76</v>
      </c>
      <c r="H173" s="24">
        <v>14</v>
      </c>
    </row>
    <row r="174" spans="1:8">
      <c r="A174" s="24">
        <v>173</v>
      </c>
      <c r="B174" s="24" t="s">
        <v>1319</v>
      </c>
      <c r="C174" s="24" t="s">
        <v>1463</v>
      </c>
      <c r="D174" s="25">
        <v>4254</v>
      </c>
      <c r="E174" s="24">
        <v>473</v>
      </c>
      <c r="F174" s="25">
        <v>14000</v>
      </c>
      <c r="G174" s="24">
        <v>3.38</v>
      </c>
      <c r="H174" s="24">
        <v>9</v>
      </c>
    </row>
    <row r="175" spans="1:8">
      <c r="A175" s="24">
        <v>174</v>
      </c>
      <c r="B175" s="24" t="s">
        <v>140</v>
      </c>
      <c r="C175" s="24" t="s">
        <v>1473</v>
      </c>
      <c r="D175" s="25">
        <v>4204</v>
      </c>
      <c r="E175" s="24">
        <v>467</v>
      </c>
      <c r="F175" s="25">
        <v>9043</v>
      </c>
      <c r="G175" s="24">
        <v>5.17</v>
      </c>
      <c r="H175" s="24">
        <v>9</v>
      </c>
    </row>
    <row r="176" spans="1:8">
      <c r="A176" s="24">
        <v>175</v>
      </c>
      <c r="B176" s="24" t="s">
        <v>46</v>
      </c>
      <c r="C176" s="24" t="s">
        <v>1478</v>
      </c>
      <c r="D176" s="25">
        <v>4192</v>
      </c>
      <c r="E176" s="24">
        <v>279</v>
      </c>
      <c r="F176" s="25">
        <v>4177</v>
      </c>
      <c r="G176" s="24">
        <v>6.69</v>
      </c>
      <c r="H176" s="24">
        <v>15</v>
      </c>
    </row>
    <row r="177" spans="1:8">
      <c r="A177" s="24">
        <v>176</v>
      </c>
      <c r="B177" s="24" t="s">
        <v>6</v>
      </c>
      <c r="C177" s="24" t="s">
        <v>1465</v>
      </c>
      <c r="D177" s="25">
        <v>4186</v>
      </c>
      <c r="E177" s="24">
        <v>349</v>
      </c>
      <c r="F177" s="25">
        <v>5500</v>
      </c>
      <c r="G177" s="24">
        <v>6.34</v>
      </c>
      <c r="H177" s="24">
        <v>12</v>
      </c>
    </row>
    <row r="178" spans="1:8">
      <c r="A178" s="24">
        <v>177</v>
      </c>
      <c r="B178" s="24" t="s">
        <v>218</v>
      </c>
      <c r="C178" s="24" t="s">
        <v>1460</v>
      </c>
      <c r="D178" s="25">
        <v>4176</v>
      </c>
      <c r="E178" s="24">
        <v>348</v>
      </c>
      <c r="F178" s="25">
        <v>2500</v>
      </c>
      <c r="G178" s="24">
        <v>13.92</v>
      </c>
      <c r="H178" s="24">
        <v>12</v>
      </c>
    </row>
    <row r="179" spans="1:8">
      <c r="A179" s="24">
        <v>178</v>
      </c>
      <c r="B179" s="24" t="s">
        <v>135</v>
      </c>
      <c r="C179" s="24" t="s">
        <v>1462</v>
      </c>
      <c r="D179" s="25">
        <v>4144</v>
      </c>
      <c r="E179" s="24">
        <v>345</v>
      </c>
      <c r="F179" s="25">
        <v>4486</v>
      </c>
      <c r="G179" s="24">
        <v>7.7</v>
      </c>
      <c r="H179" s="24">
        <v>12</v>
      </c>
    </row>
    <row r="180" spans="1:8">
      <c r="A180" s="24">
        <v>179</v>
      </c>
      <c r="B180" s="24" t="s">
        <v>65</v>
      </c>
      <c r="C180" s="24" t="s">
        <v>1462</v>
      </c>
      <c r="D180" s="25">
        <v>4079</v>
      </c>
      <c r="E180" s="24">
        <v>408</v>
      </c>
      <c r="F180" s="25">
        <v>7152</v>
      </c>
      <c r="G180" s="24">
        <v>5.7</v>
      </c>
      <c r="H180" s="24">
        <v>10</v>
      </c>
    </row>
    <row r="181" spans="1:8">
      <c r="A181" s="24">
        <v>180</v>
      </c>
      <c r="B181" s="24" t="s">
        <v>84</v>
      </c>
      <c r="C181" s="24" t="s">
        <v>1478</v>
      </c>
      <c r="D181" s="25">
        <v>4077</v>
      </c>
      <c r="E181" s="24">
        <v>371</v>
      </c>
      <c r="F181" s="25">
        <v>1000</v>
      </c>
      <c r="G181" s="24">
        <v>37.06</v>
      </c>
      <c r="H181" s="24">
        <v>11</v>
      </c>
    </row>
    <row r="182" spans="1:8">
      <c r="A182" s="24">
        <v>181</v>
      </c>
      <c r="B182" s="24" t="s">
        <v>175</v>
      </c>
      <c r="C182" s="24" t="s">
        <v>1473</v>
      </c>
      <c r="D182" s="25">
        <v>4039</v>
      </c>
      <c r="E182" s="24">
        <v>311</v>
      </c>
      <c r="F182" s="24">
        <v>600</v>
      </c>
      <c r="G182" s="24">
        <v>51.78</v>
      </c>
      <c r="H182" s="24">
        <v>13</v>
      </c>
    </row>
    <row r="183" spans="1:8">
      <c r="A183" s="24">
        <v>182</v>
      </c>
      <c r="B183" s="24" t="s">
        <v>63</v>
      </c>
      <c r="C183" s="24" t="s">
        <v>1468</v>
      </c>
      <c r="D183" s="25">
        <v>4031</v>
      </c>
      <c r="E183" s="24">
        <v>310</v>
      </c>
      <c r="F183" s="25">
        <v>3000</v>
      </c>
      <c r="G183" s="24">
        <v>10.34</v>
      </c>
      <c r="H183" s="24">
        <v>13</v>
      </c>
    </row>
    <row r="184" spans="1:8">
      <c r="A184" s="24">
        <v>183</v>
      </c>
      <c r="B184" s="24" t="s">
        <v>97</v>
      </c>
      <c r="C184" s="24" t="s">
        <v>1486</v>
      </c>
      <c r="D184" s="25">
        <v>4011</v>
      </c>
      <c r="E184" s="24">
        <v>267</v>
      </c>
      <c r="F184" s="25">
        <v>1000</v>
      </c>
      <c r="G184" s="24">
        <v>26.74</v>
      </c>
      <c r="H184" s="24">
        <v>15</v>
      </c>
    </row>
    <row r="185" spans="1:8">
      <c r="A185" s="24">
        <v>184</v>
      </c>
      <c r="B185" s="24" t="s">
        <v>19</v>
      </c>
      <c r="C185" s="24" t="s">
        <v>1475</v>
      </c>
      <c r="D185" s="25">
        <v>3990</v>
      </c>
      <c r="E185" s="24">
        <v>399</v>
      </c>
      <c r="F185" s="25">
        <v>7257</v>
      </c>
      <c r="G185" s="24">
        <v>5.5</v>
      </c>
      <c r="H185" s="24">
        <v>10</v>
      </c>
    </row>
    <row r="186" spans="1:8">
      <c r="A186" s="24">
        <v>185</v>
      </c>
      <c r="B186" s="24" t="s">
        <v>208</v>
      </c>
      <c r="C186" s="24" t="s">
        <v>1470</v>
      </c>
      <c r="D186" s="25">
        <v>3928</v>
      </c>
      <c r="E186" s="24">
        <v>327</v>
      </c>
      <c r="F186" s="25">
        <v>1012</v>
      </c>
      <c r="G186" s="24">
        <v>32.35</v>
      </c>
      <c r="H186" s="24">
        <v>12</v>
      </c>
    </row>
    <row r="187" spans="1:8">
      <c r="A187" s="24">
        <v>186</v>
      </c>
      <c r="B187" s="24" t="s">
        <v>48</v>
      </c>
      <c r="C187" s="24" t="s">
        <v>1477</v>
      </c>
      <c r="D187" s="25">
        <v>3924</v>
      </c>
      <c r="E187" s="24">
        <v>302</v>
      </c>
      <c r="F187" s="25">
        <v>3000</v>
      </c>
      <c r="G187" s="24">
        <v>10.06</v>
      </c>
      <c r="H187" s="24">
        <v>13</v>
      </c>
    </row>
    <row r="188" spans="1:8">
      <c r="A188" s="24">
        <v>187</v>
      </c>
      <c r="B188" s="24" t="s">
        <v>262</v>
      </c>
      <c r="C188" s="24" t="s">
        <v>1266</v>
      </c>
      <c r="D188" s="25">
        <v>3923</v>
      </c>
      <c r="E188" s="24">
        <v>280</v>
      </c>
      <c r="F188" s="25">
        <v>10241</v>
      </c>
      <c r="G188" s="24">
        <v>2.74</v>
      </c>
      <c r="H188" s="24">
        <v>14</v>
      </c>
    </row>
    <row r="189" spans="1:8">
      <c r="A189" s="24">
        <v>188</v>
      </c>
      <c r="B189" s="24" t="s">
        <v>156</v>
      </c>
      <c r="C189" s="24" t="s">
        <v>1470</v>
      </c>
      <c r="D189" s="25">
        <v>3898</v>
      </c>
      <c r="E189" s="24">
        <v>487</v>
      </c>
      <c r="F189" s="25">
        <v>1200</v>
      </c>
      <c r="G189" s="24">
        <v>40.6</v>
      </c>
      <c r="H189" s="24">
        <v>8</v>
      </c>
    </row>
    <row r="190" spans="1:8">
      <c r="A190" s="24">
        <v>189</v>
      </c>
      <c r="B190" s="24" t="s">
        <v>223</v>
      </c>
      <c r="C190" s="24" t="s">
        <v>1482</v>
      </c>
      <c r="D190" s="25">
        <v>3893</v>
      </c>
      <c r="E190" s="24">
        <v>278</v>
      </c>
      <c r="F190" s="24">
        <v>600</v>
      </c>
      <c r="G190" s="24">
        <v>46.35</v>
      </c>
      <c r="H190" s="24">
        <v>14</v>
      </c>
    </row>
    <row r="191" spans="1:8">
      <c r="A191" s="24">
        <v>189</v>
      </c>
      <c r="B191" s="24" t="s">
        <v>1309</v>
      </c>
      <c r="C191" s="24" t="s">
        <v>1266</v>
      </c>
      <c r="D191" s="25">
        <v>3893</v>
      </c>
      <c r="E191" s="24">
        <v>260</v>
      </c>
      <c r="F191" s="25">
        <v>3600</v>
      </c>
      <c r="G191" s="24">
        <v>7.21</v>
      </c>
      <c r="H191" s="24">
        <v>15</v>
      </c>
    </row>
    <row r="192" spans="1:8">
      <c r="A192" s="24">
        <v>191</v>
      </c>
      <c r="B192" s="24" t="s">
        <v>219</v>
      </c>
      <c r="C192" s="24" t="s">
        <v>1460</v>
      </c>
      <c r="D192" s="25">
        <v>3867</v>
      </c>
      <c r="E192" s="24">
        <v>297</v>
      </c>
      <c r="F192" s="25">
        <v>1200</v>
      </c>
      <c r="G192" s="24">
        <v>24.79</v>
      </c>
      <c r="H192" s="24">
        <v>13</v>
      </c>
    </row>
    <row r="193" spans="1:8">
      <c r="A193" s="24">
        <v>192</v>
      </c>
      <c r="B193" s="24" t="s">
        <v>1298</v>
      </c>
      <c r="C193" s="24" t="s">
        <v>1467</v>
      </c>
      <c r="D193" s="25">
        <v>3857</v>
      </c>
      <c r="E193" s="24">
        <v>257</v>
      </c>
      <c r="F193" s="25">
        <v>5000</v>
      </c>
      <c r="G193" s="24">
        <v>5.14</v>
      </c>
      <c r="H193" s="24">
        <v>15</v>
      </c>
    </row>
    <row r="194" spans="1:8">
      <c r="A194" s="24">
        <v>193</v>
      </c>
      <c r="B194" s="24" t="s">
        <v>285</v>
      </c>
      <c r="C194" s="24" t="s">
        <v>1470</v>
      </c>
      <c r="D194" s="25">
        <v>3838</v>
      </c>
      <c r="E194" s="24">
        <v>426</v>
      </c>
      <c r="F194" s="25">
        <v>1000</v>
      </c>
      <c r="G194" s="24">
        <v>42.64</v>
      </c>
      <c r="H194" s="24">
        <v>9</v>
      </c>
    </row>
    <row r="195" spans="1:8">
      <c r="A195" s="24">
        <v>194</v>
      </c>
      <c r="B195" s="24" t="s">
        <v>22</v>
      </c>
      <c r="C195" s="24" t="s">
        <v>1475</v>
      </c>
      <c r="D195" s="25">
        <v>3825</v>
      </c>
      <c r="E195" s="24">
        <v>294</v>
      </c>
      <c r="F195" s="25">
        <v>5000</v>
      </c>
      <c r="G195" s="24">
        <v>5.88</v>
      </c>
      <c r="H195" s="24">
        <v>13</v>
      </c>
    </row>
    <row r="196" spans="1:8">
      <c r="A196" s="24">
        <v>195</v>
      </c>
      <c r="B196" s="24" t="s">
        <v>1282</v>
      </c>
      <c r="C196" s="24" t="s">
        <v>1469</v>
      </c>
      <c r="D196" s="25">
        <v>3806</v>
      </c>
      <c r="E196" s="24">
        <v>476</v>
      </c>
      <c r="F196" s="25">
        <v>5600</v>
      </c>
      <c r="G196" s="24">
        <v>8.5</v>
      </c>
      <c r="H196" s="24">
        <v>8</v>
      </c>
    </row>
    <row r="197" spans="1:8">
      <c r="A197" s="24">
        <v>196</v>
      </c>
      <c r="B197" s="24" t="s">
        <v>182</v>
      </c>
      <c r="C197" s="24" t="s">
        <v>1477</v>
      </c>
      <c r="D197" s="25">
        <v>3796</v>
      </c>
      <c r="E197" s="24">
        <v>316</v>
      </c>
      <c r="F197" s="25">
        <v>3000</v>
      </c>
      <c r="G197" s="24">
        <v>10.54</v>
      </c>
      <c r="H197" s="24">
        <v>12</v>
      </c>
    </row>
    <row r="198" spans="1:8">
      <c r="A198" s="24">
        <v>197</v>
      </c>
      <c r="B198" s="24" t="s">
        <v>222</v>
      </c>
      <c r="C198" s="24" t="s">
        <v>1468</v>
      </c>
      <c r="D198" s="25">
        <v>3792</v>
      </c>
      <c r="E198" s="24">
        <v>316</v>
      </c>
      <c r="F198" s="25">
        <v>2600</v>
      </c>
      <c r="G198" s="24">
        <v>12.15</v>
      </c>
      <c r="H198" s="24">
        <v>12</v>
      </c>
    </row>
    <row r="199" spans="1:8">
      <c r="A199" s="24">
        <v>198</v>
      </c>
      <c r="B199" s="24" t="s">
        <v>132</v>
      </c>
      <c r="C199" s="24" t="s">
        <v>1469</v>
      </c>
      <c r="D199" s="25">
        <v>3785</v>
      </c>
      <c r="E199" s="24">
        <v>315</v>
      </c>
      <c r="F199" s="25">
        <v>1121</v>
      </c>
      <c r="G199" s="24">
        <v>28.14</v>
      </c>
      <c r="H199" s="24">
        <v>12</v>
      </c>
    </row>
    <row r="200" spans="1:8">
      <c r="A200" s="24">
        <v>199</v>
      </c>
      <c r="B200" s="24" t="s">
        <v>207</v>
      </c>
      <c r="C200" s="24" t="s">
        <v>1457</v>
      </c>
      <c r="D200" s="25">
        <v>3771</v>
      </c>
      <c r="E200" s="24">
        <v>290</v>
      </c>
      <c r="F200" s="25">
        <v>2500</v>
      </c>
      <c r="G200" s="24">
        <v>11.6</v>
      </c>
      <c r="H200" s="24">
        <v>13</v>
      </c>
    </row>
    <row r="201" spans="1:8">
      <c r="A201" s="24">
        <v>200</v>
      </c>
      <c r="B201" s="24" t="s">
        <v>232</v>
      </c>
      <c r="C201" s="24" t="s">
        <v>1475</v>
      </c>
      <c r="D201" s="25">
        <v>3749</v>
      </c>
      <c r="E201" s="24">
        <v>341</v>
      </c>
      <c r="F201" s="25">
        <v>1000</v>
      </c>
      <c r="G201" s="24">
        <v>34.08</v>
      </c>
      <c r="H201" s="24">
        <v>11</v>
      </c>
    </row>
    <row r="202" spans="1:8">
      <c r="A202" s="24">
        <v>201</v>
      </c>
      <c r="B202" s="24" t="s">
        <v>69</v>
      </c>
      <c r="C202" s="24" t="s">
        <v>1475</v>
      </c>
      <c r="D202" s="25">
        <v>3733</v>
      </c>
      <c r="E202" s="24">
        <v>415</v>
      </c>
      <c r="F202" s="25">
        <v>4200</v>
      </c>
      <c r="G202" s="24">
        <v>9.8800000000000008</v>
      </c>
      <c r="H202" s="24">
        <v>9</v>
      </c>
    </row>
    <row r="203" spans="1:8">
      <c r="A203" s="24">
        <v>202</v>
      </c>
      <c r="B203" s="24" t="s">
        <v>116</v>
      </c>
      <c r="C203" s="24" t="s">
        <v>1475</v>
      </c>
      <c r="D203" s="25">
        <v>3731</v>
      </c>
      <c r="E203" s="24">
        <v>339</v>
      </c>
      <c r="F203" s="25">
        <v>5500</v>
      </c>
      <c r="G203" s="24">
        <v>6.17</v>
      </c>
      <c r="H203" s="24">
        <v>11</v>
      </c>
    </row>
    <row r="204" spans="1:8">
      <c r="A204" s="24">
        <v>203</v>
      </c>
      <c r="B204" s="24" t="s">
        <v>242</v>
      </c>
      <c r="C204" s="24" t="s">
        <v>1484</v>
      </c>
      <c r="D204" s="25">
        <v>3726</v>
      </c>
      <c r="E204" s="24">
        <v>311</v>
      </c>
      <c r="F204" s="25">
        <v>1680</v>
      </c>
      <c r="G204" s="24">
        <v>18.48</v>
      </c>
      <c r="H204" s="24">
        <v>12</v>
      </c>
    </row>
    <row r="205" spans="1:8">
      <c r="A205" s="24">
        <v>204</v>
      </c>
      <c r="B205" s="24" t="s">
        <v>117</v>
      </c>
      <c r="C205" s="24" t="s">
        <v>1480</v>
      </c>
      <c r="D205" s="25">
        <v>3694</v>
      </c>
      <c r="E205" s="24">
        <v>231</v>
      </c>
      <c r="F205" s="25">
        <v>5000</v>
      </c>
      <c r="G205" s="24">
        <v>4.62</v>
      </c>
      <c r="H205" s="24">
        <v>16</v>
      </c>
    </row>
    <row r="206" spans="1:8">
      <c r="A206" s="24">
        <v>205</v>
      </c>
      <c r="B206" s="24" t="s">
        <v>1247</v>
      </c>
      <c r="C206" s="24" t="s">
        <v>1482</v>
      </c>
      <c r="D206" s="25">
        <v>3691</v>
      </c>
      <c r="E206" s="24">
        <v>461</v>
      </c>
      <c r="F206" s="25">
        <v>3800</v>
      </c>
      <c r="G206" s="24">
        <v>12.14</v>
      </c>
      <c r="H206" s="24">
        <v>8</v>
      </c>
    </row>
    <row r="207" spans="1:8">
      <c r="A207" s="24">
        <v>206</v>
      </c>
      <c r="B207" s="24" t="s">
        <v>146</v>
      </c>
      <c r="C207" s="24" t="s">
        <v>1465</v>
      </c>
      <c r="D207" s="25">
        <v>3637</v>
      </c>
      <c r="E207" s="24">
        <v>303</v>
      </c>
      <c r="F207" s="25">
        <v>6400</v>
      </c>
      <c r="G207" s="24">
        <v>4.74</v>
      </c>
      <c r="H207" s="24">
        <v>12</v>
      </c>
    </row>
    <row r="208" spans="1:8">
      <c r="A208" s="24">
        <v>207</v>
      </c>
      <c r="B208" s="24" t="s">
        <v>230</v>
      </c>
      <c r="C208" s="24" t="s">
        <v>1481</v>
      </c>
      <c r="D208" s="25">
        <v>3622</v>
      </c>
      <c r="E208" s="24">
        <v>402</v>
      </c>
      <c r="F208" s="25">
        <v>6100</v>
      </c>
      <c r="G208" s="24">
        <v>6.6</v>
      </c>
      <c r="H208" s="24">
        <v>9</v>
      </c>
    </row>
    <row r="209" spans="1:8">
      <c r="A209" s="24">
        <v>208</v>
      </c>
      <c r="B209" s="24" t="s">
        <v>57</v>
      </c>
      <c r="C209" s="24" t="s">
        <v>1474</v>
      </c>
      <c r="D209" s="25">
        <v>3604</v>
      </c>
      <c r="E209" s="24">
        <v>515</v>
      </c>
      <c r="F209" s="25">
        <v>3880</v>
      </c>
      <c r="G209" s="24">
        <v>13.27</v>
      </c>
      <c r="H209" s="24">
        <v>7</v>
      </c>
    </row>
    <row r="210" spans="1:8">
      <c r="A210" s="24">
        <v>209</v>
      </c>
      <c r="B210" s="24" t="s">
        <v>1241</v>
      </c>
      <c r="C210" s="24" t="s">
        <v>1483</v>
      </c>
      <c r="D210" s="25">
        <v>3596</v>
      </c>
      <c r="E210" s="24">
        <v>450</v>
      </c>
      <c r="F210" s="25">
        <v>3212</v>
      </c>
      <c r="G210" s="24">
        <v>13.99</v>
      </c>
      <c r="H210" s="24">
        <v>8</v>
      </c>
    </row>
    <row r="211" spans="1:8">
      <c r="A211" s="24">
        <v>210</v>
      </c>
      <c r="B211" s="24" t="s">
        <v>281</v>
      </c>
      <c r="C211" s="24" t="s">
        <v>1468</v>
      </c>
      <c r="D211" s="25">
        <v>3564</v>
      </c>
      <c r="E211" s="24">
        <v>297</v>
      </c>
      <c r="F211" s="25">
        <v>1500</v>
      </c>
      <c r="G211" s="24">
        <v>19.8</v>
      </c>
      <c r="H211" s="24">
        <v>12</v>
      </c>
    </row>
    <row r="212" spans="1:8">
      <c r="A212" s="24">
        <v>211</v>
      </c>
      <c r="B212" s="24" t="s">
        <v>1310</v>
      </c>
      <c r="C212" s="24" t="s">
        <v>1458</v>
      </c>
      <c r="D212" s="25">
        <v>3556</v>
      </c>
      <c r="E212" s="24">
        <v>323</v>
      </c>
      <c r="F212" s="25">
        <v>5000</v>
      </c>
      <c r="G212" s="24">
        <v>6.47</v>
      </c>
      <c r="H212" s="24">
        <v>11</v>
      </c>
    </row>
    <row r="213" spans="1:8">
      <c r="A213" s="24">
        <v>212</v>
      </c>
      <c r="B213" s="24" t="s">
        <v>246</v>
      </c>
      <c r="C213" s="24" t="s">
        <v>1475</v>
      </c>
      <c r="D213" s="25">
        <v>3532</v>
      </c>
      <c r="E213" s="24">
        <v>321</v>
      </c>
      <c r="F213" s="25">
        <v>9282</v>
      </c>
      <c r="G213" s="24">
        <v>3.46</v>
      </c>
      <c r="H213" s="24">
        <v>11</v>
      </c>
    </row>
    <row r="214" spans="1:8">
      <c r="A214" s="24">
        <v>213</v>
      </c>
      <c r="B214" s="24" t="s">
        <v>1485</v>
      </c>
      <c r="C214" s="24" t="s">
        <v>1481</v>
      </c>
      <c r="D214" s="25">
        <v>3499</v>
      </c>
      <c r="E214" s="24">
        <v>292</v>
      </c>
      <c r="F214" s="24">
        <v>0</v>
      </c>
      <c r="G214" s="24" t="s">
        <v>1466</v>
      </c>
      <c r="H214" s="24">
        <v>12</v>
      </c>
    </row>
    <row r="215" spans="1:8">
      <c r="A215" s="24">
        <v>214</v>
      </c>
      <c r="B215" s="24" t="s">
        <v>220</v>
      </c>
      <c r="C215" s="24" t="s">
        <v>1467</v>
      </c>
      <c r="D215" s="25">
        <v>3484</v>
      </c>
      <c r="E215" s="24">
        <v>290</v>
      </c>
      <c r="F215" s="25">
        <v>4200</v>
      </c>
      <c r="G215" s="24">
        <v>6.91</v>
      </c>
      <c r="H215" s="24">
        <v>12</v>
      </c>
    </row>
    <row r="216" spans="1:8">
      <c r="A216" s="24">
        <v>215</v>
      </c>
      <c r="B216" s="24" t="s">
        <v>226</v>
      </c>
      <c r="C216" s="24" t="s">
        <v>1469</v>
      </c>
      <c r="D216" s="25">
        <v>3480</v>
      </c>
      <c r="E216" s="24">
        <v>290</v>
      </c>
      <c r="F216" s="24">
        <v>800</v>
      </c>
      <c r="G216" s="24">
        <v>36.25</v>
      </c>
      <c r="H216" s="24">
        <v>12</v>
      </c>
    </row>
    <row r="217" spans="1:8">
      <c r="A217" s="24">
        <v>216</v>
      </c>
      <c r="B217" s="24" t="s">
        <v>263</v>
      </c>
      <c r="C217" s="24" t="s">
        <v>1477</v>
      </c>
      <c r="D217" s="25">
        <v>3463</v>
      </c>
      <c r="E217" s="24">
        <v>266</v>
      </c>
      <c r="F217" s="24">
        <v>500</v>
      </c>
      <c r="G217" s="24">
        <v>53.28</v>
      </c>
      <c r="H217" s="24">
        <v>13</v>
      </c>
    </row>
    <row r="218" spans="1:8">
      <c r="A218" s="24">
        <v>217</v>
      </c>
      <c r="B218" s="24" t="s">
        <v>95</v>
      </c>
      <c r="C218" s="24" t="s">
        <v>1477</v>
      </c>
      <c r="D218" s="25">
        <v>3447</v>
      </c>
      <c r="E218" s="24">
        <v>383</v>
      </c>
      <c r="F218" s="25">
        <v>4018</v>
      </c>
      <c r="G218" s="24">
        <v>9.5299999999999994</v>
      </c>
      <c r="H218" s="24">
        <v>9</v>
      </c>
    </row>
    <row r="219" spans="1:8">
      <c r="A219" s="24">
        <v>218</v>
      </c>
      <c r="B219" s="24" t="s">
        <v>91</v>
      </c>
      <c r="C219" s="24" t="s">
        <v>1469</v>
      </c>
      <c r="D219" s="25">
        <v>3396</v>
      </c>
      <c r="E219" s="24">
        <v>283</v>
      </c>
      <c r="F219" s="25">
        <v>3800</v>
      </c>
      <c r="G219" s="24">
        <v>7.45</v>
      </c>
      <c r="H219" s="24">
        <v>12</v>
      </c>
    </row>
    <row r="220" spans="1:8">
      <c r="A220" s="24">
        <v>219</v>
      </c>
      <c r="B220" s="24" t="s">
        <v>124</v>
      </c>
      <c r="C220" s="24" t="s">
        <v>1482</v>
      </c>
      <c r="D220" s="25">
        <v>3380</v>
      </c>
      <c r="E220" s="24">
        <v>241</v>
      </c>
      <c r="F220" s="24">
        <v>500</v>
      </c>
      <c r="G220" s="24">
        <v>48.29</v>
      </c>
      <c r="H220" s="24">
        <v>14</v>
      </c>
    </row>
    <row r="221" spans="1:8">
      <c r="A221" s="24">
        <v>220</v>
      </c>
      <c r="B221" s="24" t="s">
        <v>37</v>
      </c>
      <c r="C221" s="24" t="s">
        <v>1458</v>
      </c>
      <c r="D221" s="25">
        <v>3321</v>
      </c>
      <c r="E221" s="24">
        <v>302</v>
      </c>
      <c r="F221" s="25">
        <v>4000</v>
      </c>
      <c r="G221" s="24">
        <v>7.55</v>
      </c>
      <c r="H221" s="24">
        <v>11</v>
      </c>
    </row>
    <row r="222" spans="1:8">
      <c r="A222" s="24">
        <v>221</v>
      </c>
      <c r="B222" s="24" t="s">
        <v>85</v>
      </c>
      <c r="C222" s="24" t="s">
        <v>1469</v>
      </c>
      <c r="D222" s="25">
        <v>3261</v>
      </c>
      <c r="E222" s="24">
        <v>233</v>
      </c>
      <c r="F222" s="25">
        <v>4358</v>
      </c>
      <c r="G222" s="24">
        <v>5.34</v>
      </c>
      <c r="H222" s="24">
        <v>14</v>
      </c>
    </row>
    <row r="223" spans="1:8">
      <c r="A223" s="24">
        <v>222</v>
      </c>
      <c r="B223" s="24" t="s">
        <v>213</v>
      </c>
      <c r="C223" s="24" t="s">
        <v>1467</v>
      </c>
      <c r="D223" s="25">
        <v>3249</v>
      </c>
      <c r="E223" s="24">
        <v>250</v>
      </c>
      <c r="F223" s="25">
        <v>3500</v>
      </c>
      <c r="G223" s="24">
        <v>7.14</v>
      </c>
      <c r="H223" s="24">
        <v>13</v>
      </c>
    </row>
    <row r="224" spans="1:8">
      <c r="A224" s="24">
        <v>223</v>
      </c>
      <c r="B224" s="24" t="s">
        <v>225</v>
      </c>
      <c r="C224" s="24" t="s">
        <v>1475</v>
      </c>
      <c r="D224" s="25">
        <v>3240</v>
      </c>
      <c r="E224" s="24">
        <v>295</v>
      </c>
      <c r="F224" s="25">
        <v>4000</v>
      </c>
      <c r="G224" s="24">
        <v>7.36</v>
      </c>
      <c r="H224" s="24">
        <v>11</v>
      </c>
    </row>
    <row r="225" spans="1:8">
      <c r="A225" s="24">
        <v>224</v>
      </c>
      <c r="B225" s="24" t="s">
        <v>143</v>
      </c>
      <c r="C225" s="24" t="s">
        <v>1482</v>
      </c>
      <c r="D225" s="25">
        <v>3224</v>
      </c>
      <c r="E225" s="24">
        <v>269</v>
      </c>
      <c r="F225" s="24">
        <v>315</v>
      </c>
      <c r="G225" s="24">
        <v>85.29</v>
      </c>
      <c r="H225" s="24">
        <v>12</v>
      </c>
    </row>
    <row r="226" spans="1:8">
      <c r="A226" s="24">
        <v>225</v>
      </c>
      <c r="B226" s="24" t="s">
        <v>1320</v>
      </c>
      <c r="C226" s="24" t="s">
        <v>1480</v>
      </c>
      <c r="D226" s="25">
        <v>3218</v>
      </c>
      <c r="E226" s="24">
        <v>293</v>
      </c>
      <c r="F226" s="25">
        <v>8600</v>
      </c>
      <c r="G226" s="24">
        <v>3.4</v>
      </c>
      <c r="H226" s="24">
        <v>11</v>
      </c>
    </row>
    <row r="227" spans="1:8">
      <c r="A227" s="24">
        <v>226</v>
      </c>
      <c r="B227" s="24" t="s">
        <v>255</v>
      </c>
      <c r="C227" s="24" t="s">
        <v>1266</v>
      </c>
      <c r="D227" s="25">
        <v>3113</v>
      </c>
      <c r="E227" s="24">
        <v>208</v>
      </c>
      <c r="F227" s="25">
        <v>8355</v>
      </c>
      <c r="G227" s="24">
        <v>2.48</v>
      </c>
      <c r="H227" s="24">
        <v>15</v>
      </c>
    </row>
    <row r="228" spans="1:8">
      <c r="A228" s="24">
        <v>227</v>
      </c>
      <c r="B228" s="24" t="s">
        <v>243</v>
      </c>
      <c r="C228" s="24" t="s">
        <v>1464</v>
      </c>
      <c r="D228" s="25">
        <v>3107</v>
      </c>
      <c r="E228" s="24">
        <v>239</v>
      </c>
      <c r="F228" s="25">
        <v>3000</v>
      </c>
      <c r="G228" s="24">
        <v>7.97</v>
      </c>
      <c r="H228" s="24">
        <v>13</v>
      </c>
    </row>
    <row r="229" spans="1:8">
      <c r="A229" s="24">
        <v>228</v>
      </c>
      <c r="B229" s="24" t="s">
        <v>114</v>
      </c>
      <c r="C229" s="24" t="s">
        <v>1488</v>
      </c>
      <c r="D229" s="25">
        <v>3086</v>
      </c>
      <c r="E229" s="24">
        <v>237</v>
      </c>
      <c r="F229" s="24">
        <v>500</v>
      </c>
      <c r="G229" s="24">
        <v>47.48</v>
      </c>
      <c r="H229" s="24">
        <v>13</v>
      </c>
    </row>
    <row r="230" spans="1:8">
      <c r="A230" s="24">
        <v>229</v>
      </c>
      <c r="B230" s="24" t="s">
        <v>265</v>
      </c>
      <c r="C230" s="24" t="s">
        <v>1484</v>
      </c>
      <c r="D230" s="25">
        <v>3035</v>
      </c>
      <c r="E230" s="24">
        <v>276</v>
      </c>
      <c r="F230" s="25">
        <v>3824</v>
      </c>
      <c r="G230" s="24">
        <v>7.22</v>
      </c>
      <c r="H230" s="24">
        <v>11</v>
      </c>
    </row>
    <row r="231" spans="1:8">
      <c r="A231" s="24">
        <v>230</v>
      </c>
      <c r="B231" s="24" t="s">
        <v>287</v>
      </c>
      <c r="C231" s="24" t="s">
        <v>1481</v>
      </c>
      <c r="D231" s="25">
        <v>3034</v>
      </c>
      <c r="E231" s="24">
        <v>276</v>
      </c>
      <c r="F231" s="25">
        <v>1500</v>
      </c>
      <c r="G231" s="24">
        <v>18.39</v>
      </c>
      <c r="H231" s="24">
        <v>11</v>
      </c>
    </row>
    <row r="232" spans="1:8">
      <c r="A232" s="24">
        <v>231</v>
      </c>
      <c r="B232" s="24" t="s">
        <v>1277</v>
      </c>
      <c r="C232" s="24" t="s">
        <v>1484</v>
      </c>
      <c r="D232" s="25">
        <v>3023</v>
      </c>
      <c r="E232" s="24">
        <v>275</v>
      </c>
      <c r="F232" s="25">
        <v>1000</v>
      </c>
      <c r="G232" s="24">
        <v>27.48</v>
      </c>
      <c r="H232" s="24">
        <v>11</v>
      </c>
    </row>
    <row r="233" spans="1:8">
      <c r="A233" s="24">
        <v>232</v>
      </c>
      <c r="B233" s="24" t="s">
        <v>127</v>
      </c>
      <c r="C233" s="24" t="s">
        <v>1479</v>
      </c>
      <c r="D233" s="25">
        <v>3000</v>
      </c>
      <c r="E233" s="24">
        <v>214</v>
      </c>
      <c r="F233" s="25">
        <v>5028</v>
      </c>
      <c r="G233" s="24">
        <v>4.26</v>
      </c>
      <c r="H233" s="24">
        <v>14</v>
      </c>
    </row>
    <row r="234" spans="1:8">
      <c r="A234" s="24">
        <v>233</v>
      </c>
      <c r="B234" s="24" t="s">
        <v>5</v>
      </c>
      <c r="C234" s="24" t="s">
        <v>1482</v>
      </c>
      <c r="D234" s="25">
        <v>2972</v>
      </c>
      <c r="E234" s="24">
        <v>372</v>
      </c>
      <c r="F234" s="25">
        <v>4600</v>
      </c>
      <c r="G234" s="24">
        <v>8.08</v>
      </c>
      <c r="H234" s="24">
        <v>8</v>
      </c>
    </row>
    <row r="235" spans="1:8">
      <c r="A235" s="24">
        <v>234</v>
      </c>
      <c r="B235" s="24" t="s">
        <v>23</v>
      </c>
      <c r="C235" s="24" t="s">
        <v>1472</v>
      </c>
      <c r="D235" s="25">
        <v>2969</v>
      </c>
      <c r="E235" s="24">
        <v>371</v>
      </c>
      <c r="F235" s="25">
        <v>3000</v>
      </c>
      <c r="G235" s="24">
        <v>12.37</v>
      </c>
      <c r="H235" s="24">
        <v>8</v>
      </c>
    </row>
    <row r="236" spans="1:8">
      <c r="A236" s="24">
        <v>235</v>
      </c>
      <c r="B236" s="24" t="s">
        <v>17</v>
      </c>
      <c r="C236" s="24" t="s">
        <v>1476</v>
      </c>
      <c r="D236" s="25">
        <v>2915</v>
      </c>
      <c r="E236" s="24">
        <v>243</v>
      </c>
      <c r="F236" s="24">
        <v>500</v>
      </c>
      <c r="G236" s="24">
        <v>48.58</v>
      </c>
      <c r="H236" s="24">
        <v>12</v>
      </c>
    </row>
    <row r="237" spans="1:8">
      <c r="A237" s="24">
        <v>236</v>
      </c>
      <c r="B237" s="24" t="s">
        <v>180</v>
      </c>
      <c r="C237" s="24" t="s">
        <v>1482</v>
      </c>
      <c r="D237" s="25">
        <v>2902</v>
      </c>
      <c r="E237" s="24">
        <v>322</v>
      </c>
      <c r="F237" s="25">
        <v>3900</v>
      </c>
      <c r="G237" s="24">
        <v>8.27</v>
      </c>
      <c r="H237" s="24">
        <v>9</v>
      </c>
    </row>
    <row r="238" spans="1:8">
      <c r="A238" s="24">
        <v>237</v>
      </c>
      <c r="B238" s="24" t="s">
        <v>78</v>
      </c>
      <c r="C238" s="24" t="s">
        <v>1473</v>
      </c>
      <c r="D238" s="25">
        <v>2899</v>
      </c>
      <c r="E238" s="24">
        <v>242</v>
      </c>
      <c r="F238" s="25">
        <v>2980</v>
      </c>
      <c r="G238" s="24">
        <v>8.11</v>
      </c>
      <c r="H238" s="24">
        <v>12</v>
      </c>
    </row>
    <row r="239" spans="1:8">
      <c r="A239" s="24">
        <v>238</v>
      </c>
      <c r="B239" s="24" t="s">
        <v>258</v>
      </c>
      <c r="C239" s="24" t="s">
        <v>1458</v>
      </c>
      <c r="D239" s="25">
        <v>2896</v>
      </c>
      <c r="E239" s="24">
        <v>362</v>
      </c>
      <c r="F239" s="25">
        <v>1922</v>
      </c>
      <c r="G239" s="24">
        <v>18.829999999999998</v>
      </c>
      <c r="H239" s="24">
        <v>8</v>
      </c>
    </row>
    <row r="240" spans="1:8">
      <c r="A240" s="24">
        <v>239</v>
      </c>
      <c r="B240" s="24" t="s">
        <v>1250</v>
      </c>
      <c r="C240" s="24" t="s">
        <v>1474</v>
      </c>
      <c r="D240" s="25">
        <v>2893</v>
      </c>
      <c r="E240" s="24">
        <v>241</v>
      </c>
      <c r="F240" s="25">
        <v>1504</v>
      </c>
      <c r="G240" s="24">
        <v>16.03</v>
      </c>
      <c r="H240" s="24">
        <v>12</v>
      </c>
    </row>
    <row r="241" spans="1:8">
      <c r="A241" s="24">
        <v>240</v>
      </c>
      <c r="B241" s="24" t="s">
        <v>162</v>
      </c>
      <c r="C241" s="24" t="s">
        <v>1472</v>
      </c>
      <c r="D241" s="25">
        <v>2847</v>
      </c>
      <c r="E241" s="24">
        <v>316</v>
      </c>
      <c r="F241" s="25">
        <v>3056</v>
      </c>
      <c r="G241" s="24">
        <v>10.35</v>
      </c>
      <c r="H241" s="24">
        <v>9</v>
      </c>
    </row>
    <row r="242" spans="1:8">
      <c r="A242" s="24">
        <v>241</v>
      </c>
      <c r="B242" s="24" t="s">
        <v>40</v>
      </c>
      <c r="C242" s="24" t="s">
        <v>1489</v>
      </c>
      <c r="D242" s="25">
        <v>2837</v>
      </c>
      <c r="E242" s="24">
        <v>258</v>
      </c>
      <c r="F242" s="25">
        <v>1800</v>
      </c>
      <c r="G242" s="24">
        <v>14.33</v>
      </c>
      <c r="H242" s="24">
        <v>11</v>
      </c>
    </row>
    <row r="243" spans="1:8">
      <c r="A243" s="24">
        <v>242</v>
      </c>
      <c r="B243" s="24" t="s">
        <v>71</v>
      </c>
      <c r="C243" s="24" t="s">
        <v>1480</v>
      </c>
      <c r="D243" s="25">
        <v>2828</v>
      </c>
      <c r="E243" s="24">
        <v>202</v>
      </c>
      <c r="F243" s="25">
        <v>1544</v>
      </c>
      <c r="G243" s="24">
        <v>13.08</v>
      </c>
      <c r="H243" s="24">
        <v>14</v>
      </c>
    </row>
    <row r="244" spans="1:8">
      <c r="A244" s="24">
        <v>243</v>
      </c>
      <c r="B244" s="24" t="s">
        <v>245</v>
      </c>
      <c r="C244" s="24" t="s">
        <v>1475</v>
      </c>
      <c r="D244" s="25">
        <v>2796</v>
      </c>
      <c r="E244" s="24">
        <v>280</v>
      </c>
      <c r="F244" s="25">
        <v>2500</v>
      </c>
      <c r="G244" s="24">
        <v>11.18</v>
      </c>
      <c r="H244" s="24">
        <v>10</v>
      </c>
    </row>
    <row r="245" spans="1:8">
      <c r="A245" s="24">
        <v>244</v>
      </c>
      <c r="B245" s="24" t="s">
        <v>241</v>
      </c>
      <c r="C245" s="24" t="s">
        <v>1479</v>
      </c>
      <c r="D245" s="25">
        <v>2777</v>
      </c>
      <c r="E245" s="24">
        <v>278</v>
      </c>
      <c r="F245" s="25">
        <v>4000</v>
      </c>
      <c r="G245" s="24">
        <v>6.94</v>
      </c>
      <c r="H245" s="24">
        <v>10</v>
      </c>
    </row>
    <row r="246" spans="1:8">
      <c r="A246" s="24">
        <v>245</v>
      </c>
      <c r="B246" s="24" t="s">
        <v>195</v>
      </c>
      <c r="C246" s="24" t="s">
        <v>1470</v>
      </c>
      <c r="D246" s="25">
        <v>2770</v>
      </c>
      <c r="E246" s="24">
        <v>252</v>
      </c>
      <c r="F246" s="25">
        <v>1500</v>
      </c>
      <c r="G246" s="24">
        <v>16.79</v>
      </c>
      <c r="H246" s="24">
        <v>11</v>
      </c>
    </row>
    <row r="247" spans="1:8">
      <c r="A247" s="24">
        <v>246</v>
      </c>
      <c r="B247" s="24" t="s">
        <v>1246</v>
      </c>
      <c r="C247" s="24" t="s">
        <v>1487</v>
      </c>
      <c r="D247" s="25">
        <v>2766</v>
      </c>
      <c r="E247" s="24">
        <v>213</v>
      </c>
      <c r="F247" s="25">
        <v>2000</v>
      </c>
      <c r="G247" s="24">
        <v>10.64</v>
      </c>
      <c r="H247" s="24">
        <v>13</v>
      </c>
    </row>
    <row r="248" spans="1:8">
      <c r="A248" s="24">
        <v>247</v>
      </c>
      <c r="B248" s="24" t="s">
        <v>44</v>
      </c>
      <c r="C248" s="24" t="s">
        <v>1483</v>
      </c>
      <c r="D248" s="25">
        <v>2754</v>
      </c>
      <c r="E248" s="24">
        <v>275</v>
      </c>
      <c r="F248" s="24">
        <v>881</v>
      </c>
      <c r="G248" s="24">
        <v>31.26</v>
      </c>
      <c r="H248" s="24">
        <v>10</v>
      </c>
    </row>
    <row r="249" spans="1:8">
      <c r="A249" s="24">
        <v>248</v>
      </c>
      <c r="B249" s="24" t="s">
        <v>133</v>
      </c>
      <c r="C249" s="24" t="s">
        <v>1473</v>
      </c>
      <c r="D249" s="25">
        <v>2747</v>
      </c>
      <c r="E249" s="24">
        <v>229</v>
      </c>
      <c r="F249" s="25">
        <v>8000</v>
      </c>
      <c r="G249" s="24">
        <v>2.86</v>
      </c>
      <c r="H249" s="24">
        <v>12</v>
      </c>
    </row>
    <row r="250" spans="1:8">
      <c r="A250" s="24">
        <v>249</v>
      </c>
      <c r="B250" s="24" t="s">
        <v>192</v>
      </c>
      <c r="C250" s="24" t="s">
        <v>1486</v>
      </c>
      <c r="D250" s="25">
        <v>2737</v>
      </c>
      <c r="E250" s="24">
        <v>228</v>
      </c>
      <c r="F250" s="25">
        <v>8700</v>
      </c>
      <c r="G250" s="24">
        <v>2.62</v>
      </c>
      <c r="H250" s="24">
        <v>12</v>
      </c>
    </row>
    <row r="251" spans="1:8">
      <c r="A251" s="24">
        <v>250</v>
      </c>
      <c r="B251" s="24" t="s">
        <v>1275</v>
      </c>
      <c r="C251" s="24" t="s">
        <v>1470</v>
      </c>
      <c r="D251" s="25">
        <v>2677</v>
      </c>
      <c r="E251" s="24">
        <v>297</v>
      </c>
      <c r="F251" s="25">
        <v>6000</v>
      </c>
      <c r="G251" s="24">
        <v>4.96</v>
      </c>
      <c r="H251" s="24">
        <v>9</v>
      </c>
    </row>
    <row r="252" spans="1:8">
      <c r="A252" s="24">
        <v>251</v>
      </c>
      <c r="B252" s="24" t="s">
        <v>145</v>
      </c>
      <c r="C252" s="24" t="s">
        <v>1478</v>
      </c>
      <c r="D252" s="25">
        <v>2658</v>
      </c>
      <c r="E252" s="24">
        <v>242</v>
      </c>
      <c r="F252" s="25">
        <v>3100</v>
      </c>
      <c r="G252" s="24">
        <v>7.79</v>
      </c>
      <c r="H252" s="24">
        <v>11</v>
      </c>
    </row>
    <row r="253" spans="1:8">
      <c r="A253" s="24">
        <v>252</v>
      </c>
      <c r="B253" s="24" t="s">
        <v>274</v>
      </c>
      <c r="C253" s="24" t="s">
        <v>1475</v>
      </c>
      <c r="D253" s="25">
        <v>2641</v>
      </c>
      <c r="E253" s="24">
        <v>330</v>
      </c>
      <c r="F253" s="25">
        <v>3000</v>
      </c>
      <c r="G253" s="24">
        <v>11</v>
      </c>
      <c r="H253" s="24">
        <v>8</v>
      </c>
    </row>
    <row r="254" spans="1:8">
      <c r="A254" s="24">
        <v>253</v>
      </c>
      <c r="B254" s="24" t="s">
        <v>286</v>
      </c>
      <c r="C254" s="24" t="s">
        <v>1478</v>
      </c>
      <c r="D254" s="25">
        <v>2636</v>
      </c>
      <c r="E254" s="24">
        <v>188</v>
      </c>
      <c r="F254" s="25">
        <v>7826</v>
      </c>
      <c r="G254" s="24">
        <v>2.41</v>
      </c>
      <c r="H254" s="24">
        <v>14</v>
      </c>
    </row>
    <row r="255" spans="1:8">
      <c r="A255" s="24">
        <v>254</v>
      </c>
      <c r="B255" s="24" t="s">
        <v>259</v>
      </c>
      <c r="C255" s="24" t="s">
        <v>1458</v>
      </c>
      <c r="D255" s="25">
        <v>2599</v>
      </c>
      <c r="E255" s="24">
        <v>200</v>
      </c>
      <c r="F255" s="25">
        <v>6000</v>
      </c>
      <c r="G255" s="24">
        <v>3.33</v>
      </c>
      <c r="H255" s="24">
        <v>13</v>
      </c>
    </row>
    <row r="256" spans="1:8">
      <c r="A256" s="24">
        <v>255</v>
      </c>
      <c r="B256" s="24" t="s">
        <v>125</v>
      </c>
      <c r="C256" s="24" t="s">
        <v>1476</v>
      </c>
      <c r="D256" s="25">
        <v>2561</v>
      </c>
      <c r="E256" s="24">
        <v>197</v>
      </c>
      <c r="F256" s="24">
        <v>0</v>
      </c>
      <c r="G256" s="24" t="s">
        <v>1466</v>
      </c>
      <c r="H256" s="24">
        <v>13</v>
      </c>
    </row>
    <row r="257" spans="1:8">
      <c r="A257" s="24">
        <v>256</v>
      </c>
      <c r="B257" s="24" t="s">
        <v>87</v>
      </c>
      <c r="C257" s="24" t="s">
        <v>1471</v>
      </c>
      <c r="D257" s="25">
        <v>2558</v>
      </c>
      <c r="E257" s="24">
        <v>284</v>
      </c>
      <c r="F257" s="25">
        <v>1500</v>
      </c>
      <c r="G257" s="24">
        <v>18.95</v>
      </c>
      <c r="H257" s="24">
        <v>9</v>
      </c>
    </row>
    <row r="258" spans="1:8">
      <c r="A258" s="24">
        <v>257</v>
      </c>
      <c r="B258" s="24" t="s">
        <v>77</v>
      </c>
      <c r="C258" s="24" t="s">
        <v>1473</v>
      </c>
      <c r="D258" s="25">
        <v>2497</v>
      </c>
      <c r="E258" s="24">
        <v>166</v>
      </c>
      <c r="F258" s="25">
        <v>5000</v>
      </c>
      <c r="G258" s="24">
        <v>3.33</v>
      </c>
      <c r="H258" s="24">
        <v>15</v>
      </c>
    </row>
    <row r="259" spans="1:8">
      <c r="A259" s="24">
        <v>258</v>
      </c>
      <c r="B259" s="24" t="s">
        <v>31</v>
      </c>
      <c r="C259" s="24" t="s">
        <v>1487</v>
      </c>
      <c r="D259" s="25">
        <v>2460</v>
      </c>
      <c r="E259" s="24">
        <v>176</v>
      </c>
      <c r="F259" s="25">
        <v>2800</v>
      </c>
      <c r="G259" s="24">
        <v>6.28</v>
      </c>
      <c r="H259" s="24">
        <v>14</v>
      </c>
    </row>
    <row r="260" spans="1:8">
      <c r="A260" s="24">
        <v>259</v>
      </c>
      <c r="B260" s="24" t="s">
        <v>33</v>
      </c>
      <c r="C260" s="24" t="s">
        <v>1465</v>
      </c>
      <c r="D260" s="25">
        <v>2435</v>
      </c>
      <c r="E260" s="24">
        <v>304</v>
      </c>
      <c r="F260" s="25">
        <v>6100</v>
      </c>
      <c r="G260" s="24">
        <v>4.99</v>
      </c>
      <c r="H260" s="24">
        <v>8</v>
      </c>
    </row>
    <row r="261" spans="1:8">
      <c r="A261" s="24">
        <v>260</v>
      </c>
      <c r="B261" s="24" t="s">
        <v>39</v>
      </c>
      <c r="C261" s="24" t="s">
        <v>1483</v>
      </c>
      <c r="D261" s="25">
        <v>2402</v>
      </c>
      <c r="E261" s="24">
        <v>218</v>
      </c>
      <c r="F261" s="25">
        <v>3095</v>
      </c>
      <c r="G261" s="24">
        <v>7.06</v>
      </c>
      <c r="H261" s="24">
        <v>11</v>
      </c>
    </row>
    <row r="262" spans="1:8">
      <c r="A262" s="24">
        <v>261</v>
      </c>
      <c r="B262" s="24" t="s">
        <v>205</v>
      </c>
      <c r="C262" s="24" t="s">
        <v>1489</v>
      </c>
      <c r="D262" s="25">
        <v>2374</v>
      </c>
      <c r="E262" s="24">
        <v>264</v>
      </c>
      <c r="F262" s="25">
        <v>1650</v>
      </c>
      <c r="G262" s="24">
        <v>15.99</v>
      </c>
      <c r="H262" s="24">
        <v>9</v>
      </c>
    </row>
    <row r="263" spans="1:8">
      <c r="A263" s="24">
        <v>262</v>
      </c>
      <c r="B263" s="24" t="s">
        <v>139</v>
      </c>
      <c r="C263" s="24" t="s">
        <v>1489</v>
      </c>
      <c r="D263" s="25">
        <v>2343</v>
      </c>
      <c r="E263" s="24">
        <v>180</v>
      </c>
      <c r="F263" s="25">
        <v>3200</v>
      </c>
      <c r="G263" s="24">
        <v>5.63</v>
      </c>
      <c r="H263" s="24">
        <v>13</v>
      </c>
    </row>
    <row r="264" spans="1:8">
      <c r="A264" s="24">
        <v>263</v>
      </c>
      <c r="B264" s="24" t="s">
        <v>206</v>
      </c>
      <c r="C264" s="24" t="s">
        <v>1487</v>
      </c>
      <c r="D264" s="25">
        <v>2316</v>
      </c>
      <c r="E264" s="24">
        <v>211</v>
      </c>
      <c r="F264" s="25">
        <v>3056</v>
      </c>
      <c r="G264" s="24">
        <v>6.89</v>
      </c>
      <c r="H264" s="24">
        <v>11</v>
      </c>
    </row>
    <row r="265" spans="1:8">
      <c r="A265" s="24">
        <v>264</v>
      </c>
      <c r="B265" s="24" t="s">
        <v>138</v>
      </c>
      <c r="C265" s="24" t="s">
        <v>1489</v>
      </c>
      <c r="D265" s="25">
        <v>2310</v>
      </c>
      <c r="E265" s="24">
        <v>210</v>
      </c>
      <c r="F265" s="25">
        <v>2500</v>
      </c>
      <c r="G265" s="24">
        <v>8.4</v>
      </c>
      <c r="H265" s="24">
        <v>11</v>
      </c>
    </row>
    <row r="266" spans="1:8">
      <c r="A266" s="24">
        <v>265</v>
      </c>
      <c r="B266" s="24" t="s">
        <v>73</v>
      </c>
      <c r="C266" s="24" t="s">
        <v>1462</v>
      </c>
      <c r="D266" s="25">
        <v>2300</v>
      </c>
      <c r="E266" s="24">
        <v>192</v>
      </c>
      <c r="F266" s="25">
        <v>1000</v>
      </c>
      <c r="G266" s="24">
        <v>19.170000000000002</v>
      </c>
      <c r="H266" s="24">
        <v>12</v>
      </c>
    </row>
    <row r="267" spans="1:8">
      <c r="A267" s="24">
        <v>266</v>
      </c>
      <c r="B267" s="24" t="s">
        <v>115</v>
      </c>
      <c r="C267" s="24" t="s">
        <v>1479</v>
      </c>
      <c r="D267" s="25">
        <v>2288</v>
      </c>
      <c r="E267" s="24">
        <v>327</v>
      </c>
      <c r="F267" s="24">
        <v>0</v>
      </c>
      <c r="G267" s="24" t="s">
        <v>1466</v>
      </c>
      <c r="H267" s="24">
        <v>7</v>
      </c>
    </row>
    <row r="268" spans="1:8">
      <c r="A268" s="24">
        <v>267</v>
      </c>
      <c r="B268" s="24" t="s">
        <v>1245</v>
      </c>
      <c r="C268" s="24" t="s">
        <v>1469</v>
      </c>
      <c r="D268" s="25">
        <v>2284</v>
      </c>
      <c r="E268" s="24">
        <v>228</v>
      </c>
      <c r="F268" s="25">
        <v>7000</v>
      </c>
      <c r="G268" s="24">
        <v>3.26</v>
      </c>
      <c r="H268" s="24">
        <v>10</v>
      </c>
    </row>
    <row r="269" spans="1:8">
      <c r="A269" s="24">
        <v>268</v>
      </c>
      <c r="B269" s="24" t="s">
        <v>216</v>
      </c>
      <c r="C269" s="24" t="s">
        <v>1478</v>
      </c>
      <c r="D269" s="25">
        <v>2279</v>
      </c>
      <c r="E269" s="24">
        <v>253</v>
      </c>
      <c r="F269" s="25">
        <v>5000</v>
      </c>
      <c r="G269" s="24">
        <v>5.0599999999999996</v>
      </c>
      <c r="H269" s="24">
        <v>9</v>
      </c>
    </row>
    <row r="270" spans="1:8">
      <c r="A270" s="24">
        <v>269</v>
      </c>
      <c r="B270" s="24" t="s">
        <v>198</v>
      </c>
      <c r="C270" s="24" t="s">
        <v>1486</v>
      </c>
      <c r="D270" s="25">
        <v>2268</v>
      </c>
      <c r="E270" s="24">
        <v>324</v>
      </c>
      <c r="F270" s="25">
        <v>1500</v>
      </c>
      <c r="G270" s="24">
        <v>21.6</v>
      </c>
      <c r="H270" s="24">
        <v>7</v>
      </c>
    </row>
    <row r="271" spans="1:8">
      <c r="A271" s="24">
        <v>270</v>
      </c>
      <c r="B271" s="24" t="s">
        <v>293</v>
      </c>
      <c r="C271" s="24" t="s">
        <v>1478</v>
      </c>
      <c r="D271" s="25">
        <v>2260</v>
      </c>
      <c r="E271" s="24">
        <v>251</v>
      </c>
      <c r="F271" s="25">
        <v>3000</v>
      </c>
      <c r="G271" s="24">
        <v>8.3699999999999992</v>
      </c>
      <c r="H271" s="24">
        <v>9</v>
      </c>
    </row>
    <row r="272" spans="1:8">
      <c r="A272" s="24">
        <v>271</v>
      </c>
      <c r="B272" s="24" t="s">
        <v>199</v>
      </c>
      <c r="C272" s="24" t="s">
        <v>1468</v>
      </c>
      <c r="D272" s="25">
        <v>2245</v>
      </c>
      <c r="E272" s="24">
        <v>173</v>
      </c>
      <c r="F272" s="25">
        <v>1854</v>
      </c>
      <c r="G272" s="24">
        <v>9.31</v>
      </c>
      <c r="H272" s="24">
        <v>13</v>
      </c>
    </row>
    <row r="273" spans="1:8">
      <c r="A273" s="24">
        <v>272</v>
      </c>
      <c r="B273" s="24" t="s">
        <v>1244</v>
      </c>
      <c r="C273" s="24" t="s">
        <v>1482</v>
      </c>
      <c r="D273" s="25">
        <v>2226</v>
      </c>
      <c r="E273" s="24">
        <v>278</v>
      </c>
      <c r="F273" s="25">
        <v>2000</v>
      </c>
      <c r="G273" s="24">
        <v>13.91</v>
      </c>
      <c r="H273" s="24">
        <v>8</v>
      </c>
    </row>
    <row r="274" spans="1:8">
      <c r="A274" s="24">
        <v>273</v>
      </c>
      <c r="B274" s="24" t="s">
        <v>295</v>
      </c>
      <c r="C274" s="24" t="s">
        <v>1477</v>
      </c>
      <c r="D274" s="25">
        <v>2193</v>
      </c>
      <c r="E274" s="24">
        <v>219</v>
      </c>
      <c r="F274" s="25">
        <v>6000</v>
      </c>
      <c r="G274" s="24">
        <v>3.66</v>
      </c>
      <c r="H274" s="24">
        <v>10</v>
      </c>
    </row>
    <row r="275" spans="1:8">
      <c r="A275" s="24">
        <v>274</v>
      </c>
      <c r="B275" s="24" t="s">
        <v>1274</v>
      </c>
      <c r="C275" s="24" t="s">
        <v>1465</v>
      </c>
      <c r="D275" s="25">
        <v>2191</v>
      </c>
      <c r="E275" s="24">
        <v>274</v>
      </c>
      <c r="F275" s="25">
        <v>8824</v>
      </c>
      <c r="G275" s="24">
        <v>3.1</v>
      </c>
      <c r="H275" s="24">
        <v>8</v>
      </c>
    </row>
    <row r="276" spans="1:8">
      <c r="A276" s="24">
        <v>275</v>
      </c>
      <c r="B276" s="24" t="s">
        <v>1293</v>
      </c>
      <c r="C276" s="24" t="s">
        <v>1480</v>
      </c>
      <c r="D276" s="25">
        <v>2134</v>
      </c>
      <c r="E276" s="24">
        <v>213</v>
      </c>
      <c r="F276" s="25">
        <v>2500</v>
      </c>
      <c r="G276" s="24">
        <v>8.5399999999999991</v>
      </c>
      <c r="H276" s="24">
        <v>10</v>
      </c>
    </row>
    <row r="277" spans="1:8">
      <c r="A277" s="24">
        <v>276</v>
      </c>
      <c r="B277" s="24" t="s">
        <v>99</v>
      </c>
      <c r="C277" s="24" t="s">
        <v>1480</v>
      </c>
      <c r="D277" s="25">
        <v>2123</v>
      </c>
      <c r="E277" s="24">
        <v>177</v>
      </c>
      <c r="F277" s="25">
        <v>1200</v>
      </c>
      <c r="G277" s="24">
        <v>14.74</v>
      </c>
      <c r="H277" s="24">
        <v>12</v>
      </c>
    </row>
    <row r="278" spans="1:8">
      <c r="A278" s="24">
        <v>277</v>
      </c>
      <c r="B278" s="24" t="s">
        <v>233</v>
      </c>
      <c r="C278" s="24" t="s">
        <v>1482</v>
      </c>
      <c r="D278" s="25">
        <v>2100</v>
      </c>
      <c r="E278" s="24">
        <v>191</v>
      </c>
      <c r="F278" s="25">
        <v>7500</v>
      </c>
      <c r="G278" s="24">
        <v>2.5499999999999998</v>
      </c>
      <c r="H278" s="24">
        <v>11</v>
      </c>
    </row>
    <row r="279" spans="1:8">
      <c r="A279" s="24">
        <v>278</v>
      </c>
      <c r="B279" s="24" t="s">
        <v>1292</v>
      </c>
      <c r="C279" s="24" t="s">
        <v>1479</v>
      </c>
      <c r="D279" s="25">
        <v>2097</v>
      </c>
      <c r="E279" s="24">
        <v>210</v>
      </c>
      <c r="F279" s="25">
        <v>1500</v>
      </c>
      <c r="G279" s="24">
        <v>13.98</v>
      </c>
      <c r="H279" s="24">
        <v>10</v>
      </c>
    </row>
    <row r="280" spans="1:8">
      <c r="A280" s="24">
        <v>279</v>
      </c>
      <c r="B280" s="24" t="s">
        <v>202</v>
      </c>
      <c r="C280" s="24" t="s">
        <v>1489</v>
      </c>
      <c r="D280" s="25">
        <v>2086</v>
      </c>
      <c r="E280" s="24">
        <v>190</v>
      </c>
      <c r="F280" s="25">
        <v>2000</v>
      </c>
      <c r="G280" s="24">
        <v>9.48</v>
      </c>
      <c r="H280" s="24">
        <v>11</v>
      </c>
    </row>
    <row r="281" spans="1:8">
      <c r="A281" s="24">
        <v>280</v>
      </c>
      <c r="B281" s="24" t="s">
        <v>51</v>
      </c>
      <c r="C281" s="24" t="s">
        <v>1476</v>
      </c>
      <c r="D281" s="25">
        <v>2052</v>
      </c>
      <c r="E281" s="24">
        <v>187</v>
      </c>
      <c r="F281" s="25">
        <v>3000</v>
      </c>
      <c r="G281" s="24">
        <v>6.22</v>
      </c>
      <c r="H281" s="24">
        <v>11</v>
      </c>
    </row>
    <row r="282" spans="1:8">
      <c r="A282" s="24">
        <v>281</v>
      </c>
      <c r="B282" s="24" t="s">
        <v>72</v>
      </c>
      <c r="C282" s="24" t="s">
        <v>1478</v>
      </c>
      <c r="D282" s="25">
        <v>2013</v>
      </c>
      <c r="E282" s="24">
        <v>224</v>
      </c>
      <c r="F282" s="25">
        <v>3500</v>
      </c>
      <c r="G282" s="24">
        <v>6.39</v>
      </c>
      <c r="H282" s="24">
        <v>9</v>
      </c>
    </row>
    <row r="283" spans="1:8">
      <c r="A283" s="24">
        <v>282</v>
      </c>
      <c r="B283" s="24" t="s">
        <v>42</v>
      </c>
      <c r="C283" s="24" t="s">
        <v>1487</v>
      </c>
      <c r="D283" s="25">
        <v>1993</v>
      </c>
      <c r="E283" s="24">
        <v>153</v>
      </c>
      <c r="F283" s="25">
        <v>2654</v>
      </c>
      <c r="G283" s="24">
        <v>5.78</v>
      </c>
      <c r="H283" s="24">
        <v>13</v>
      </c>
    </row>
    <row r="284" spans="1:8">
      <c r="A284" s="24">
        <v>283</v>
      </c>
      <c r="B284" s="24" t="s">
        <v>272</v>
      </c>
      <c r="C284" s="24" t="s">
        <v>1479</v>
      </c>
      <c r="D284" s="25">
        <v>1972</v>
      </c>
      <c r="E284" s="24">
        <v>219</v>
      </c>
      <c r="F284" s="24">
        <v>837</v>
      </c>
      <c r="G284" s="24">
        <v>26.18</v>
      </c>
      <c r="H284" s="24">
        <v>9</v>
      </c>
    </row>
    <row r="285" spans="1:8">
      <c r="A285" s="24">
        <v>284</v>
      </c>
      <c r="B285" s="24" t="s">
        <v>229</v>
      </c>
      <c r="C285" s="24" t="s">
        <v>1481</v>
      </c>
      <c r="D285" s="25">
        <v>1943</v>
      </c>
      <c r="E285" s="24">
        <v>243</v>
      </c>
      <c r="F285" s="25">
        <v>10000</v>
      </c>
      <c r="G285" s="24">
        <v>2.4300000000000002</v>
      </c>
      <c r="H285" s="24">
        <v>8</v>
      </c>
    </row>
    <row r="286" spans="1:8">
      <c r="A286" s="24">
        <v>284</v>
      </c>
      <c r="B286" s="24" t="s">
        <v>89</v>
      </c>
      <c r="C286" s="24" t="s">
        <v>1468</v>
      </c>
      <c r="D286" s="25">
        <v>1943</v>
      </c>
      <c r="E286" s="24">
        <v>194</v>
      </c>
      <c r="F286" s="25">
        <v>2400</v>
      </c>
      <c r="G286" s="24">
        <v>8.1</v>
      </c>
      <c r="H286" s="24">
        <v>10</v>
      </c>
    </row>
    <row r="287" spans="1:8">
      <c r="A287" s="24">
        <v>286</v>
      </c>
      <c r="B287" s="24" t="s">
        <v>32</v>
      </c>
      <c r="C287" s="24" t="s">
        <v>1476</v>
      </c>
      <c r="D287" s="25">
        <v>1936</v>
      </c>
      <c r="E287" s="24">
        <v>194</v>
      </c>
      <c r="F287" s="25">
        <v>2300</v>
      </c>
      <c r="G287" s="24">
        <v>8.42</v>
      </c>
      <c r="H287" s="24">
        <v>10</v>
      </c>
    </row>
    <row r="288" spans="1:8">
      <c r="A288" s="24">
        <v>287</v>
      </c>
      <c r="B288" s="24" t="s">
        <v>197</v>
      </c>
      <c r="C288" s="24" t="s">
        <v>1483</v>
      </c>
      <c r="D288" s="25">
        <v>1902</v>
      </c>
      <c r="E288" s="24">
        <v>238</v>
      </c>
      <c r="F288" s="25">
        <v>2500</v>
      </c>
      <c r="G288" s="24">
        <v>9.51</v>
      </c>
      <c r="H288" s="24">
        <v>8</v>
      </c>
    </row>
    <row r="289" spans="1:8">
      <c r="A289" s="24">
        <v>288</v>
      </c>
      <c r="B289" s="24" t="s">
        <v>196</v>
      </c>
      <c r="C289" s="24" t="s">
        <v>1488</v>
      </c>
      <c r="D289" s="25">
        <v>1901</v>
      </c>
      <c r="E289" s="24">
        <v>238</v>
      </c>
      <c r="F289" s="25">
        <v>6600</v>
      </c>
      <c r="G289" s="24">
        <v>3.6</v>
      </c>
      <c r="H289" s="24">
        <v>8</v>
      </c>
    </row>
    <row r="290" spans="1:8">
      <c r="A290" s="24">
        <v>289</v>
      </c>
      <c r="B290" s="24" t="s">
        <v>1283</v>
      </c>
      <c r="C290" s="24" t="s">
        <v>1476</v>
      </c>
      <c r="D290" s="25">
        <v>1894</v>
      </c>
      <c r="E290" s="24">
        <v>189</v>
      </c>
      <c r="F290" s="25">
        <v>2100</v>
      </c>
      <c r="G290" s="24">
        <v>9.02</v>
      </c>
      <c r="H290" s="24">
        <v>10</v>
      </c>
    </row>
    <row r="291" spans="1:8">
      <c r="A291" s="24">
        <v>290</v>
      </c>
      <c r="B291" s="24" t="s">
        <v>82</v>
      </c>
      <c r="C291" s="24" t="s">
        <v>1471</v>
      </c>
      <c r="D291" s="25">
        <v>1888</v>
      </c>
      <c r="E291" s="24">
        <v>145</v>
      </c>
      <c r="F291" s="25">
        <v>3200</v>
      </c>
      <c r="G291" s="24">
        <v>4.54</v>
      </c>
      <c r="H291" s="24">
        <v>13</v>
      </c>
    </row>
    <row r="292" spans="1:8">
      <c r="A292" s="24">
        <v>291</v>
      </c>
      <c r="B292" s="24" t="s">
        <v>158</v>
      </c>
      <c r="C292" s="24" t="s">
        <v>1472</v>
      </c>
      <c r="D292" s="25">
        <v>1861</v>
      </c>
      <c r="E292" s="24">
        <v>266</v>
      </c>
      <c r="F292" s="25">
        <v>4250</v>
      </c>
      <c r="G292" s="24">
        <v>6.26</v>
      </c>
      <c r="H292" s="24">
        <v>7</v>
      </c>
    </row>
    <row r="293" spans="1:8">
      <c r="A293" s="24">
        <v>292</v>
      </c>
      <c r="B293" s="24" t="s">
        <v>93</v>
      </c>
      <c r="C293" s="24" t="s">
        <v>1488</v>
      </c>
      <c r="D293" s="25">
        <v>1853</v>
      </c>
      <c r="E293" s="24">
        <v>206</v>
      </c>
      <c r="F293" s="25">
        <v>4500</v>
      </c>
      <c r="G293" s="24">
        <v>4.58</v>
      </c>
      <c r="H293" s="24">
        <v>9</v>
      </c>
    </row>
    <row r="294" spans="1:8">
      <c r="A294" s="24">
        <v>293</v>
      </c>
      <c r="B294" s="24" t="s">
        <v>123</v>
      </c>
      <c r="C294" s="24" t="s">
        <v>1476</v>
      </c>
      <c r="D294" s="25">
        <v>1851</v>
      </c>
      <c r="E294" s="24">
        <v>123</v>
      </c>
      <c r="F294" s="25">
        <v>3500</v>
      </c>
      <c r="G294" s="24">
        <v>3.53</v>
      </c>
      <c r="H294" s="24">
        <v>15</v>
      </c>
    </row>
    <row r="295" spans="1:8">
      <c r="A295" s="24">
        <v>293</v>
      </c>
      <c r="B295" s="24" t="s">
        <v>59</v>
      </c>
      <c r="C295" s="24" t="s">
        <v>1486</v>
      </c>
      <c r="D295" s="25">
        <v>1851</v>
      </c>
      <c r="E295" s="24">
        <v>206</v>
      </c>
      <c r="F295" s="25">
        <v>2100</v>
      </c>
      <c r="G295" s="24">
        <v>9.7899999999999991</v>
      </c>
      <c r="H295" s="24">
        <v>9</v>
      </c>
    </row>
    <row r="296" spans="1:8">
      <c r="A296" s="24">
        <v>295</v>
      </c>
      <c r="B296" s="24" t="s">
        <v>1273</v>
      </c>
      <c r="C296" s="24" t="s">
        <v>1471</v>
      </c>
      <c r="D296" s="25">
        <v>1828</v>
      </c>
      <c r="E296" s="24">
        <v>183</v>
      </c>
      <c r="F296" s="25">
        <v>4390</v>
      </c>
      <c r="G296" s="24">
        <v>4.16</v>
      </c>
      <c r="H296" s="24">
        <v>10</v>
      </c>
    </row>
    <row r="297" spans="1:8">
      <c r="A297" s="24">
        <v>296</v>
      </c>
      <c r="B297" s="24" t="s">
        <v>1242</v>
      </c>
      <c r="C297" s="24" t="s">
        <v>1487</v>
      </c>
      <c r="D297" s="25">
        <v>1824</v>
      </c>
      <c r="E297" s="24">
        <v>166</v>
      </c>
      <c r="F297" s="24">
        <v>500</v>
      </c>
      <c r="G297" s="24">
        <v>33.159999999999997</v>
      </c>
      <c r="H297" s="24">
        <v>11</v>
      </c>
    </row>
    <row r="298" spans="1:8">
      <c r="A298" s="24">
        <v>297</v>
      </c>
      <c r="B298" s="24" t="s">
        <v>30</v>
      </c>
      <c r="C298" s="24" t="s">
        <v>1486</v>
      </c>
      <c r="D298" s="25">
        <v>1793</v>
      </c>
      <c r="E298" s="24">
        <v>224</v>
      </c>
      <c r="F298" s="25">
        <v>3100</v>
      </c>
      <c r="G298" s="24">
        <v>7.23</v>
      </c>
      <c r="H298" s="24">
        <v>8</v>
      </c>
    </row>
    <row r="299" spans="1:8">
      <c r="A299" s="24">
        <v>298</v>
      </c>
      <c r="B299" s="24" t="s">
        <v>178</v>
      </c>
      <c r="C299" s="24" t="s">
        <v>1477</v>
      </c>
      <c r="D299" s="25">
        <v>1787</v>
      </c>
      <c r="E299" s="24">
        <v>223</v>
      </c>
      <c r="F299" s="25">
        <v>1685</v>
      </c>
      <c r="G299" s="24">
        <v>13.26</v>
      </c>
      <c r="H299" s="24">
        <v>8</v>
      </c>
    </row>
    <row r="300" spans="1:8">
      <c r="A300" s="24">
        <v>299</v>
      </c>
      <c r="B300" s="24" t="s">
        <v>74</v>
      </c>
      <c r="C300" s="24" t="s">
        <v>1489</v>
      </c>
      <c r="D300" s="25">
        <v>1781</v>
      </c>
      <c r="E300" s="24">
        <v>137</v>
      </c>
      <c r="F300" s="25">
        <v>2479</v>
      </c>
      <c r="G300" s="24">
        <v>5.53</v>
      </c>
      <c r="H300" s="24">
        <v>13</v>
      </c>
    </row>
    <row r="301" spans="1:8">
      <c r="A301" s="24">
        <v>300</v>
      </c>
      <c r="B301" s="24" t="s">
        <v>264</v>
      </c>
      <c r="C301" s="24" t="s">
        <v>1484</v>
      </c>
      <c r="D301" s="25">
        <v>1752</v>
      </c>
      <c r="E301" s="24">
        <v>159</v>
      </c>
      <c r="F301" s="25">
        <v>2100</v>
      </c>
      <c r="G301" s="24">
        <v>7.58</v>
      </c>
      <c r="H301" s="24">
        <v>11</v>
      </c>
    </row>
    <row r="302" spans="1:8">
      <c r="A302" s="24">
        <v>301</v>
      </c>
      <c r="B302" s="24" t="s">
        <v>80</v>
      </c>
      <c r="C302" s="24" t="s">
        <v>1472</v>
      </c>
      <c r="D302" s="25">
        <v>1736</v>
      </c>
      <c r="E302" s="24">
        <v>158</v>
      </c>
      <c r="F302" s="25">
        <v>8500</v>
      </c>
      <c r="G302" s="24">
        <v>1.86</v>
      </c>
      <c r="H302" s="24">
        <v>11</v>
      </c>
    </row>
    <row r="303" spans="1:8">
      <c r="A303" s="24">
        <v>302</v>
      </c>
      <c r="B303" s="24" t="s">
        <v>24</v>
      </c>
      <c r="C303" s="24" t="s">
        <v>1484</v>
      </c>
      <c r="D303" s="25">
        <v>1694</v>
      </c>
      <c r="E303" s="24">
        <v>242</v>
      </c>
      <c r="F303" s="25">
        <v>1135</v>
      </c>
      <c r="G303" s="24">
        <v>21.32</v>
      </c>
      <c r="H303" s="24">
        <v>7</v>
      </c>
    </row>
    <row r="304" spans="1:8">
      <c r="A304" s="24">
        <v>303</v>
      </c>
      <c r="B304" s="24" t="s">
        <v>110</v>
      </c>
      <c r="C304" s="24" t="s">
        <v>1489</v>
      </c>
      <c r="D304" s="25">
        <v>1673</v>
      </c>
      <c r="E304" s="24">
        <v>186</v>
      </c>
      <c r="F304" s="25">
        <v>2611</v>
      </c>
      <c r="G304" s="24">
        <v>7.12</v>
      </c>
      <c r="H304" s="24">
        <v>9</v>
      </c>
    </row>
    <row r="305" spans="1:8">
      <c r="A305" s="24">
        <v>304</v>
      </c>
      <c r="B305" s="24" t="s">
        <v>204</v>
      </c>
      <c r="C305" s="24" t="s">
        <v>1471</v>
      </c>
      <c r="D305" s="25">
        <v>1644</v>
      </c>
      <c r="E305" s="24">
        <v>164</v>
      </c>
      <c r="F305" s="25">
        <v>5000</v>
      </c>
      <c r="G305" s="24">
        <v>3.29</v>
      </c>
      <c r="H305" s="24">
        <v>10</v>
      </c>
    </row>
    <row r="306" spans="1:8">
      <c r="A306" s="24">
        <v>305</v>
      </c>
      <c r="B306" s="24" t="s">
        <v>214</v>
      </c>
      <c r="C306" s="24" t="s">
        <v>1489</v>
      </c>
      <c r="D306" s="25">
        <v>1606</v>
      </c>
      <c r="E306" s="24">
        <v>146</v>
      </c>
      <c r="F306" s="25">
        <v>3200</v>
      </c>
      <c r="G306" s="24">
        <v>4.5599999999999996</v>
      </c>
      <c r="H306" s="24">
        <v>11</v>
      </c>
    </row>
    <row r="307" spans="1:8">
      <c r="A307" s="24">
        <v>306</v>
      </c>
      <c r="B307" s="24" t="s">
        <v>228</v>
      </c>
      <c r="C307" s="24" t="s">
        <v>1472</v>
      </c>
      <c r="D307" s="25">
        <v>1552</v>
      </c>
      <c r="E307" s="24">
        <v>194</v>
      </c>
      <c r="F307" s="24">
        <v>500</v>
      </c>
      <c r="G307" s="24">
        <v>38.799999999999997</v>
      </c>
      <c r="H307" s="24">
        <v>8</v>
      </c>
    </row>
    <row r="308" spans="1:8">
      <c r="A308" s="24">
        <v>307</v>
      </c>
      <c r="B308" s="24" t="s">
        <v>152</v>
      </c>
      <c r="C308" s="24" t="s">
        <v>1488</v>
      </c>
      <c r="D308" s="25">
        <v>1507</v>
      </c>
      <c r="E308" s="24">
        <v>188</v>
      </c>
      <c r="F308" s="25">
        <v>6000</v>
      </c>
      <c r="G308" s="24">
        <v>3.14</v>
      </c>
      <c r="H308" s="24">
        <v>8</v>
      </c>
    </row>
    <row r="309" spans="1:8">
      <c r="A309" s="24">
        <v>308</v>
      </c>
      <c r="B309" s="24" t="s">
        <v>55</v>
      </c>
      <c r="C309" s="24" t="s">
        <v>1486</v>
      </c>
      <c r="D309" s="25">
        <v>1475</v>
      </c>
      <c r="E309" s="24">
        <v>148</v>
      </c>
      <c r="F309" s="25">
        <v>4473</v>
      </c>
      <c r="G309" s="24">
        <v>3.3</v>
      </c>
      <c r="H309" s="24">
        <v>10</v>
      </c>
    </row>
    <row r="310" spans="1:8">
      <c r="A310" s="24">
        <v>309</v>
      </c>
      <c r="B310" s="24" t="s">
        <v>161</v>
      </c>
      <c r="C310" s="24" t="s">
        <v>1472</v>
      </c>
      <c r="D310" s="25">
        <v>1453</v>
      </c>
      <c r="E310" s="24">
        <v>161</v>
      </c>
      <c r="F310" s="25">
        <v>1200</v>
      </c>
      <c r="G310" s="24">
        <v>13.45</v>
      </c>
      <c r="H310" s="24">
        <v>9</v>
      </c>
    </row>
    <row r="311" spans="1:8">
      <c r="A311" s="24">
        <v>310</v>
      </c>
      <c r="B311" s="24" t="s">
        <v>96</v>
      </c>
      <c r="C311" s="24" t="s">
        <v>1472</v>
      </c>
      <c r="D311" s="25">
        <v>1400</v>
      </c>
      <c r="E311" s="24">
        <v>233</v>
      </c>
      <c r="F311" s="25">
        <v>2870</v>
      </c>
      <c r="G311" s="24">
        <v>8.1300000000000008</v>
      </c>
      <c r="H311" s="24">
        <v>6</v>
      </c>
    </row>
    <row r="312" spans="1:8">
      <c r="A312" s="24">
        <v>311</v>
      </c>
      <c r="B312" s="24" t="s">
        <v>1492</v>
      </c>
      <c r="C312" s="24" t="s">
        <v>1472</v>
      </c>
      <c r="D312" s="25">
        <v>1390</v>
      </c>
      <c r="E312" s="24">
        <v>126</v>
      </c>
      <c r="F312" s="24">
        <v>600</v>
      </c>
      <c r="G312" s="24">
        <v>21.06</v>
      </c>
      <c r="H312" s="24">
        <v>11</v>
      </c>
    </row>
    <row r="313" spans="1:8">
      <c r="A313" s="24">
        <v>312</v>
      </c>
      <c r="B313" s="24" t="s">
        <v>236</v>
      </c>
      <c r="C313" s="24" t="s">
        <v>1488</v>
      </c>
      <c r="D313" s="25">
        <v>1373</v>
      </c>
      <c r="E313" s="24">
        <v>137</v>
      </c>
      <c r="F313" s="24">
        <v>800</v>
      </c>
      <c r="G313" s="24">
        <v>17.16</v>
      </c>
      <c r="H313" s="24">
        <v>10</v>
      </c>
    </row>
    <row r="314" spans="1:8">
      <c r="A314" s="24">
        <v>313</v>
      </c>
      <c r="B314" s="24" t="s">
        <v>8</v>
      </c>
      <c r="C314" s="24" t="s">
        <v>1488</v>
      </c>
      <c r="D314" s="25">
        <v>1360</v>
      </c>
      <c r="E314" s="24">
        <v>194</v>
      </c>
      <c r="F314" s="25">
        <v>5500</v>
      </c>
      <c r="G314" s="24">
        <v>3.53</v>
      </c>
      <c r="H314" s="24">
        <v>7</v>
      </c>
    </row>
    <row r="315" spans="1:8">
      <c r="A315" s="24">
        <v>314</v>
      </c>
      <c r="B315" s="24" t="s">
        <v>221</v>
      </c>
      <c r="C315" s="24" t="s">
        <v>1474</v>
      </c>
      <c r="D315" s="25">
        <v>1343</v>
      </c>
      <c r="E315" s="24">
        <v>168</v>
      </c>
      <c r="F315" s="25">
        <v>1000</v>
      </c>
      <c r="G315" s="24">
        <v>16.79</v>
      </c>
      <c r="H315" s="24">
        <v>8</v>
      </c>
    </row>
    <row r="316" spans="1:8">
      <c r="A316" s="24">
        <v>315</v>
      </c>
      <c r="B316" s="24" t="s">
        <v>54</v>
      </c>
      <c r="C316" s="24" t="s">
        <v>1472</v>
      </c>
      <c r="D316" s="25">
        <v>1336</v>
      </c>
      <c r="E316" s="24">
        <v>223</v>
      </c>
      <c r="F316" s="25">
        <v>3000</v>
      </c>
      <c r="G316" s="24">
        <v>7.42</v>
      </c>
      <c r="H316" s="24">
        <v>6</v>
      </c>
    </row>
    <row r="317" spans="1:8">
      <c r="A317" s="24">
        <v>316</v>
      </c>
      <c r="B317" s="24" t="s">
        <v>1308</v>
      </c>
      <c r="C317" s="24" t="s">
        <v>1478</v>
      </c>
      <c r="D317" s="25">
        <v>1303</v>
      </c>
      <c r="E317" s="24">
        <v>109</v>
      </c>
      <c r="F317" s="25">
        <v>6600</v>
      </c>
      <c r="G317" s="24">
        <v>1.65</v>
      </c>
      <c r="H317" s="24">
        <v>12</v>
      </c>
    </row>
    <row r="318" spans="1:8">
      <c r="A318" s="24">
        <v>317</v>
      </c>
      <c r="B318" s="24" t="s">
        <v>209</v>
      </c>
      <c r="C318" s="24" t="s">
        <v>1487</v>
      </c>
      <c r="D318" s="25">
        <v>1268</v>
      </c>
      <c r="E318" s="24">
        <v>127</v>
      </c>
      <c r="F318" s="25">
        <v>2100</v>
      </c>
      <c r="G318" s="24">
        <v>6.04</v>
      </c>
      <c r="H318" s="24">
        <v>10</v>
      </c>
    </row>
    <row r="319" spans="1:8">
      <c r="A319" s="24">
        <v>318</v>
      </c>
      <c r="B319" s="24" t="s">
        <v>249</v>
      </c>
      <c r="C319" s="24" t="s">
        <v>1488</v>
      </c>
      <c r="D319" s="25">
        <v>1233</v>
      </c>
      <c r="E319" s="24">
        <v>206</v>
      </c>
      <c r="F319" s="25">
        <v>8100</v>
      </c>
      <c r="G319" s="24">
        <v>2.54</v>
      </c>
      <c r="H319" s="24">
        <v>6</v>
      </c>
    </row>
    <row r="320" spans="1:8">
      <c r="A320" s="24">
        <v>319</v>
      </c>
      <c r="B320" s="24" t="s">
        <v>103</v>
      </c>
      <c r="C320" s="24" t="s">
        <v>1472</v>
      </c>
      <c r="D320" s="25">
        <v>1222</v>
      </c>
      <c r="E320" s="24">
        <v>136</v>
      </c>
      <c r="F320" s="25">
        <v>2700</v>
      </c>
      <c r="G320" s="24">
        <v>5.03</v>
      </c>
      <c r="H320" s="24">
        <v>9</v>
      </c>
    </row>
    <row r="321" spans="1:8">
      <c r="A321" s="24">
        <v>320</v>
      </c>
      <c r="B321" s="24" t="s">
        <v>1239</v>
      </c>
      <c r="C321" s="24" t="s">
        <v>1484</v>
      </c>
      <c r="D321" s="25">
        <v>1219</v>
      </c>
      <c r="E321" s="24">
        <v>203</v>
      </c>
      <c r="F321" s="25">
        <v>2600</v>
      </c>
      <c r="G321" s="24">
        <v>7.81</v>
      </c>
      <c r="H321" s="24">
        <v>6</v>
      </c>
    </row>
    <row r="322" spans="1:8">
      <c r="A322" s="24">
        <v>321</v>
      </c>
      <c r="B322" s="24" t="s">
        <v>70</v>
      </c>
      <c r="C322" s="24" t="s">
        <v>1475</v>
      </c>
      <c r="D322" s="25">
        <v>1179</v>
      </c>
      <c r="E322" s="24">
        <v>131</v>
      </c>
      <c r="F322" s="25">
        <v>6500</v>
      </c>
      <c r="G322" s="24">
        <v>2.02</v>
      </c>
      <c r="H322" s="24">
        <v>9</v>
      </c>
    </row>
    <row r="323" spans="1:8">
      <c r="A323" s="24">
        <v>322</v>
      </c>
      <c r="B323" s="24" t="s">
        <v>1491</v>
      </c>
      <c r="C323" s="24" t="s">
        <v>1487</v>
      </c>
      <c r="D323" s="25">
        <v>1134</v>
      </c>
      <c r="E323" s="24">
        <v>113</v>
      </c>
      <c r="F323" s="25">
        <v>3500</v>
      </c>
      <c r="G323" s="24">
        <v>3.24</v>
      </c>
      <c r="H323" s="24">
        <v>10</v>
      </c>
    </row>
    <row r="324" spans="1:8">
      <c r="A324" s="24">
        <v>323</v>
      </c>
      <c r="B324" s="24" t="s">
        <v>168</v>
      </c>
      <c r="C324" s="24" t="s">
        <v>1489</v>
      </c>
      <c r="D324" s="25">
        <v>1115</v>
      </c>
      <c r="E324" s="24">
        <v>124</v>
      </c>
      <c r="F324" s="25">
        <v>2400</v>
      </c>
      <c r="G324" s="24">
        <v>5.16</v>
      </c>
      <c r="H324" s="24">
        <v>9</v>
      </c>
    </row>
    <row r="325" spans="1:8">
      <c r="A325" s="24">
        <v>324</v>
      </c>
      <c r="B325" s="24" t="s">
        <v>53</v>
      </c>
      <c r="C325" s="24" t="s">
        <v>1486</v>
      </c>
      <c r="D325" s="25">
        <v>1098</v>
      </c>
      <c r="E325" s="24">
        <v>110</v>
      </c>
      <c r="F325" s="25">
        <v>3408</v>
      </c>
      <c r="G325" s="24">
        <v>3.22</v>
      </c>
      <c r="H325" s="24">
        <v>10</v>
      </c>
    </row>
    <row r="326" spans="1:8">
      <c r="A326" s="24">
        <v>325</v>
      </c>
      <c r="B326" s="24" t="s">
        <v>224</v>
      </c>
      <c r="C326" s="24" t="s">
        <v>1489</v>
      </c>
      <c r="D326" s="25">
        <v>1095</v>
      </c>
      <c r="E326" s="24">
        <v>122</v>
      </c>
      <c r="F326" s="25">
        <v>4000</v>
      </c>
      <c r="G326" s="24">
        <v>3.04</v>
      </c>
      <c r="H326" s="24">
        <v>9</v>
      </c>
    </row>
    <row r="327" spans="1:8">
      <c r="A327" s="24">
        <v>326</v>
      </c>
      <c r="B327" s="24" t="s">
        <v>11</v>
      </c>
      <c r="C327" s="24" t="s">
        <v>1488</v>
      </c>
      <c r="D327" s="25">
        <v>1077</v>
      </c>
      <c r="E327" s="24">
        <v>98</v>
      </c>
      <c r="F327" s="25">
        <v>10000</v>
      </c>
      <c r="G327" s="24">
        <v>0.98</v>
      </c>
      <c r="H327" s="24">
        <v>11</v>
      </c>
    </row>
    <row r="328" spans="1:8">
      <c r="A328" s="24">
        <v>327</v>
      </c>
      <c r="B328" s="24" t="s">
        <v>1281</v>
      </c>
      <c r="C328" s="24" t="s">
        <v>1471</v>
      </c>
      <c r="D328" s="25">
        <v>1026</v>
      </c>
      <c r="E328" s="24">
        <v>103</v>
      </c>
      <c r="F328" s="25">
        <v>1000</v>
      </c>
      <c r="G328" s="24">
        <v>10.26</v>
      </c>
      <c r="H328" s="24">
        <v>10</v>
      </c>
    </row>
    <row r="329" spans="1:8">
      <c r="A329" s="24">
        <v>327</v>
      </c>
      <c r="B329" s="24" t="s">
        <v>1268</v>
      </c>
      <c r="C329" s="24" t="s">
        <v>1474</v>
      </c>
      <c r="D329" s="25">
        <v>1026</v>
      </c>
      <c r="E329" s="24">
        <v>128</v>
      </c>
      <c r="F329" s="25">
        <v>2500</v>
      </c>
      <c r="G329" s="24">
        <v>5.13</v>
      </c>
      <c r="H329" s="24">
        <v>8</v>
      </c>
    </row>
    <row r="330" spans="1:8">
      <c r="A330" s="24">
        <v>329</v>
      </c>
      <c r="B330" s="24" t="s">
        <v>100</v>
      </c>
      <c r="C330" s="24" t="s">
        <v>1476</v>
      </c>
      <c r="D330" s="24">
        <v>962</v>
      </c>
      <c r="E330" s="24">
        <v>120</v>
      </c>
      <c r="F330" s="24">
        <v>600</v>
      </c>
      <c r="G330" s="24">
        <v>20.04</v>
      </c>
      <c r="H330" s="24">
        <v>8</v>
      </c>
    </row>
    <row r="331" spans="1:8">
      <c r="A331" s="24">
        <v>330</v>
      </c>
      <c r="B331" s="24" t="s">
        <v>1304</v>
      </c>
      <c r="C331" s="24" t="s">
        <v>1487</v>
      </c>
      <c r="D331" s="24">
        <v>958</v>
      </c>
      <c r="E331" s="24">
        <v>80</v>
      </c>
      <c r="F331" s="24">
        <v>500</v>
      </c>
      <c r="G331" s="24">
        <v>15.97</v>
      </c>
      <c r="H331" s="24">
        <v>12</v>
      </c>
    </row>
    <row r="332" spans="1:8">
      <c r="A332" s="24">
        <v>331</v>
      </c>
      <c r="B332" s="24" t="s">
        <v>170</v>
      </c>
      <c r="C332" s="24" t="s">
        <v>1472</v>
      </c>
      <c r="D332" s="24">
        <v>921</v>
      </c>
      <c r="E332" s="24">
        <v>132</v>
      </c>
      <c r="F332" s="25">
        <v>4500</v>
      </c>
      <c r="G332" s="24">
        <v>2.92</v>
      </c>
      <c r="H332" s="24">
        <v>7</v>
      </c>
    </row>
    <row r="333" spans="1:8">
      <c r="A333" s="24">
        <v>332</v>
      </c>
      <c r="B333" s="24" t="s">
        <v>15</v>
      </c>
      <c r="C333" s="24" t="s">
        <v>1488</v>
      </c>
      <c r="D333" s="24">
        <v>902</v>
      </c>
      <c r="E333" s="24">
        <v>129</v>
      </c>
      <c r="F333" s="25">
        <v>4500</v>
      </c>
      <c r="G333" s="24">
        <v>2.86</v>
      </c>
      <c r="H333" s="24">
        <v>7</v>
      </c>
    </row>
    <row r="334" spans="1:8">
      <c r="A334" s="24">
        <v>333</v>
      </c>
      <c r="B334" s="24" t="s">
        <v>9</v>
      </c>
      <c r="C334" s="24" t="s">
        <v>1488</v>
      </c>
      <c r="D334" s="24">
        <v>805</v>
      </c>
      <c r="E334" s="24">
        <v>201</v>
      </c>
      <c r="F334" s="24">
        <v>500</v>
      </c>
      <c r="G334" s="24">
        <v>40.25</v>
      </c>
      <c r="H334" s="24">
        <v>4</v>
      </c>
    </row>
    <row r="335" spans="1:8">
      <c r="A335" s="24">
        <v>334</v>
      </c>
      <c r="B335" s="24" t="s">
        <v>62</v>
      </c>
      <c r="C335" s="24" t="s">
        <v>1472</v>
      </c>
      <c r="D335" s="24">
        <v>677</v>
      </c>
      <c r="E335" s="24">
        <v>97</v>
      </c>
      <c r="F335" s="25">
        <v>2000</v>
      </c>
      <c r="G335" s="24">
        <v>4.84</v>
      </c>
      <c r="H335" s="24">
        <v>7</v>
      </c>
    </row>
    <row r="336" spans="1:8">
      <c r="A336" s="3"/>
      <c r="B336" s="3"/>
      <c r="C336" s="3"/>
      <c r="D336" s="4"/>
      <c r="E336" s="5"/>
      <c r="F336" s="4"/>
      <c r="G336" s="5"/>
      <c r="H336" s="5"/>
    </row>
    <row r="337" spans="1:8">
      <c r="A337" s="3"/>
      <c r="B337" s="3"/>
      <c r="C337" s="3"/>
      <c r="D337" s="4"/>
      <c r="E337" s="5"/>
      <c r="F337" s="4"/>
      <c r="G337" s="5"/>
      <c r="H337" s="5"/>
    </row>
    <row r="338" spans="1:8">
      <c r="A338" s="3"/>
      <c r="B338" s="3"/>
      <c r="C338" s="3"/>
      <c r="D338" s="4"/>
      <c r="E338" s="5"/>
      <c r="F338" s="4"/>
      <c r="G338" s="5"/>
      <c r="H338" s="5"/>
    </row>
    <row r="339" spans="1:8">
      <c r="A339" s="3"/>
      <c r="B339" s="3"/>
      <c r="C339" s="3"/>
      <c r="D339" s="4"/>
      <c r="E339" s="5"/>
      <c r="F339" s="4"/>
      <c r="G339" s="5"/>
      <c r="H339" s="5"/>
    </row>
    <row r="340" spans="1:8">
      <c r="A340" s="3"/>
      <c r="B340" s="3"/>
      <c r="C340" s="3"/>
      <c r="D340" s="4"/>
      <c r="E340" s="5"/>
      <c r="F340" s="5"/>
      <c r="G340" s="5"/>
      <c r="H340" s="5"/>
    </row>
    <row r="341" spans="1:8">
      <c r="A341" s="3"/>
      <c r="B341" s="3"/>
      <c r="C341" s="3"/>
      <c r="D341" s="4"/>
      <c r="E341" s="5"/>
      <c r="F341" s="4"/>
      <c r="G341" s="5"/>
      <c r="H341" s="5"/>
    </row>
    <row r="342" spans="1:8">
      <c r="A342" s="3"/>
      <c r="B342" s="3"/>
      <c r="C342" s="3"/>
      <c r="D342" s="4"/>
      <c r="E342" s="5"/>
      <c r="F342" s="4"/>
      <c r="G342" s="5"/>
      <c r="H342" s="5"/>
    </row>
    <row r="343" spans="1:8">
      <c r="A343" s="3"/>
      <c r="B343" s="3"/>
      <c r="C343" s="3"/>
      <c r="D343" s="4"/>
      <c r="E343" s="5"/>
      <c r="F343" s="4"/>
      <c r="G343" s="5"/>
      <c r="H343" s="5"/>
    </row>
    <row r="344" spans="1:8">
      <c r="A344" s="3"/>
      <c r="B344" s="3"/>
      <c r="C344" s="3"/>
      <c r="D344" s="4"/>
      <c r="E344" s="5"/>
      <c r="F344" s="4"/>
      <c r="G344" s="5"/>
      <c r="H344" s="5"/>
    </row>
    <row r="345" spans="1:8">
      <c r="A345" s="3"/>
      <c r="B345" s="3"/>
      <c r="C345" s="3"/>
      <c r="D345" s="4"/>
      <c r="E345" s="5"/>
      <c r="F345" s="4"/>
      <c r="G345" s="5"/>
      <c r="H345" s="5"/>
    </row>
    <row r="346" spans="1:8">
      <c r="A346" s="3"/>
      <c r="B346" s="3"/>
      <c r="C346" s="3"/>
      <c r="D346" s="4"/>
      <c r="E346" s="5"/>
      <c r="F346" s="4"/>
      <c r="G346" s="5"/>
      <c r="H346" s="5"/>
    </row>
    <row r="347" spans="1:8">
      <c r="A347" s="3"/>
      <c r="B347" s="3"/>
      <c r="C347" s="3"/>
      <c r="D347" s="4"/>
      <c r="E347" s="5"/>
      <c r="F347" s="4"/>
      <c r="G347" s="5"/>
      <c r="H347" s="5"/>
    </row>
    <row r="348" spans="1:8">
      <c r="A348" s="3"/>
      <c r="B348" s="3"/>
      <c r="C348" s="3"/>
      <c r="D348" s="4"/>
      <c r="E348" s="5"/>
      <c r="F348" s="4"/>
      <c r="G348" s="5"/>
      <c r="H348" s="5"/>
    </row>
    <row r="349" spans="1:8">
      <c r="A349" s="3"/>
      <c r="B349" s="3"/>
      <c r="C349" s="3"/>
      <c r="D349" s="4"/>
      <c r="E349" s="5"/>
      <c r="F349" s="4"/>
      <c r="G349" s="5"/>
      <c r="H349" s="5"/>
    </row>
    <row r="350" spans="1:8">
      <c r="A350" s="3"/>
      <c r="B350" s="3"/>
      <c r="C350" s="3"/>
      <c r="D350" s="4"/>
      <c r="E350" s="5"/>
      <c r="F350" s="4"/>
      <c r="G350" s="5"/>
      <c r="H35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B7D2-9B04-4EC5-86C1-5FE94623B937}">
  <dimension ref="A1:K352"/>
  <sheetViews>
    <sheetView workbookViewId="0"/>
  </sheetViews>
  <sheetFormatPr baseColWidth="10" defaultColWidth="8.83203125" defaultRowHeight="15"/>
  <sheetData>
    <row r="1" spans="1:11">
      <c r="A1" t="s">
        <v>4</v>
      </c>
      <c r="B1" t="s">
        <v>4</v>
      </c>
      <c r="C1">
        <v>224147</v>
      </c>
      <c r="D1">
        <v>18580</v>
      </c>
      <c r="E1" s="1">
        <v>2015</v>
      </c>
      <c r="F1" s="7">
        <v>6833</v>
      </c>
      <c r="G1" s="7">
        <v>9115</v>
      </c>
      <c r="H1" s="7">
        <v>13</v>
      </c>
      <c r="I1">
        <v>0.54300000000000004</v>
      </c>
      <c r="J1">
        <v>0.625</v>
      </c>
      <c r="K1">
        <v>423386</v>
      </c>
    </row>
    <row r="2" spans="1:11">
      <c r="A2" t="s">
        <v>5</v>
      </c>
      <c r="B2" t="s">
        <v>5</v>
      </c>
      <c r="C2">
        <v>222178</v>
      </c>
      <c r="D2">
        <v>10180</v>
      </c>
      <c r="E2">
        <v>2015</v>
      </c>
      <c r="F2" s="7">
        <v>3859</v>
      </c>
      <c r="G2" s="7">
        <v>3992</v>
      </c>
      <c r="H2" s="7">
        <v>9</v>
      </c>
      <c r="I2" t="s">
        <v>1328</v>
      </c>
      <c r="J2" t="s">
        <v>1328</v>
      </c>
      <c r="K2">
        <v>171666</v>
      </c>
    </row>
    <row r="3" spans="1:11">
      <c r="A3" t="s">
        <v>1265</v>
      </c>
      <c r="B3" t="s">
        <v>1265</v>
      </c>
      <c r="C3">
        <v>500002</v>
      </c>
      <c r="D3">
        <v>17820</v>
      </c>
      <c r="E3">
        <v>2015</v>
      </c>
      <c r="F3" s="7">
        <v>5422</v>
      </c>
      <c r="G3" s="7">
        <v>6002</v>
      </c>
      <c r="H3" s="7">
        <v>17</v>
      </c>
      <c r="I3">
        <v>0.40600000000000003</v>
      </c>
      <c r="J3">
        <v>0.25</v>
      </c>
      <c r="K3">
        <v>698874</v>
      </c>
    </row>
    <row r="4" spans="1:11">
      <c r="A4" t="s">
        <v>6</v>
      </c>
      <c r="B4" t="s">
        <v>6</v>
      </c>
      <c r="C4">
        <v>200800</v>
      </c>
      <c r="D4">
        <v>10420</v>
      </c>
      <c r="E4">
        <v>2015</v>
      </c>
      <c r="F4" s="7">
        <v>2889</v>
      </c>
      <c r="G4" s="7">
        <v>2933</v>
      </c>
      <c r="H4" s="7">
        <v>13</v>
      </c>
      <c r="I4">
        <v>0.25800000000000001</v>
      </c>
      <c r="J4">
        <v>0.29599999999999999</v>
      </c>
      <c r="K4">
        <v>704604</v>
      </c>
    </row>
    <row r="5" spans="1:11">
      <c r="A5" t="s">
        <v>7</v>
      </c>
      <c r="B5" t="s">
        <v>7</v>
      </c>
      <c r="C5">
        <v>100751</v>
      </c>
      <c r="D5">
        <v>46220</v>
      </c>
      <c r="E5">
        <v>2015</v>
      </c>
      <c r="F5" s="7">
        <v>12289</v>
      </c>
      <c r="G5" s="7">
        <v>12376</v>
      </c>
      <c r="H5" s="7">
        <v>13</v>
      </c>
      <c r="I5">
        <v>0.76500000000000001</v>
      </c>
      <c r="J5">
        <v>0.70599999999999996</v>
      </c>
      <c r="K5">
        <v>257358</v>
      </c>
    </row>
    <row r="6" spans="1:11">
      <c r="A6" t="s">
        <v>8</v>
      </c>
      <c r="B6" t="s">
        <v>8</v>
      </c>
      <c r="C6">
        <v>100654</v>
      </c>
      <c r="D6">
        <v>26620</v>
      </c>
      <c r="E6">
        <v>2015</v>
      </c>
      <c r="F6" s="7">
        <v>1335</v>
      </c>
      <c r="G6" s="7">
        <v>1146</v>
      </c>
      <c r="H6" s="7">
        <v>9</v>
      </c>
      <c r="I6">
        <v>0.39400000000000002</v>
      </c>
      <c r="J6">
        <v>0.34399999999999997</v>
      </c>
      <c r="K6">
        <v>451269</v>
      </c>
    </row>
    <row r="7" spans="1:11">
      <c r="A7" t="s">
        <v>9</v>
      </c>
      <c r="B7" t="s">
        <v>9</v>
      </c>
      <c r="C7">
        <v>100724</v>
      </c>
      <c r="D7">
        <v>33860</v>
      </c>
      <c r="E7">
        <v>2015</v>
      </c>
      <c r="F7" s="7">
        <v>3495</v>
      </c>
      <c r="G7" s="7">
        <v>1804</v>
      </c>
      <c r="H7" s="7">
        <v>16</v>
      </c>
      <c r="I7">
        <v>0.51300000000000001</v>
      </c>
      <c r="J7">
        <v>0.61</v>
      </c>
      <c r="K7">
        <v>380447</v>
      </c>
    </row>
    <row r="8" spans="1:11">
      <c r="A8" t="s">
        <v>11</v>
      </c>
      <c r="B8" t="s">
        <v>11</v>
      </c>
      <c r="C8">
        <v>175342</v>
      </c>
      <c r="D8">
        <v>35020</v>
      </c>
      <c r="E8">
        <v>2015</v>
      </c>
      <c r="F8" s="7">
        <v>1053</v>
      </c>
      <c r="G8" s="7">
        <v>612</v>
      </c>
      <c r="H8" s="7">
        <v>9</v>
      </c>
      <c r="I8">
        <v>0.28599999999999998</v>
      </c>
      <c r="J8" t="s">
        <v>1328</v>
      </c>
      <c r="K8">
        <v>51163</v>
      </c>
    </row>
    <row r="9" spans="1:11">
      <c r="A9" t="s">
        <v>1266</v>
      </c>
      <c r="B9" t="s">
        <v>1266</v>
      </c>
      <c r="C9">
        <v>131159</v>
      </c>
      <c r="D9">
        <v>47900</v>
      </c>
      <c r="E9">
        <v>2015</v>
      </c>
      <c r="F9" s="7">
        <v>7923</v>
      </c>
      <c r="G9" s="7">
        <v>5700</v>
      </c>
      <c r="H9" s="7">
        <v>16</v>
      </c>
      <c r="I9">
        <v>0.78800000000000003</v>
      </c>
      <c r="J9">
        <v>0.91900000000000004</v>
      </c>
      <c r="K9">
        <v>6132190</v>
      </c>
    </row>
    <row r="10" spans="1:11">
      <c r="A10" t="s">
        <v>1240</v>
      </c>
      <c r="B10" t="s">
        <v>12</v>
      </c>
      <c r="C10">
        <v>197869</v>
      </c>
      <c r="D10">
        <v>14380</v>
      </c>
      <c r="E10">
        <v>2015</v>
      </c>
      <c r="F10" s="7">
        <v>5174</v>
      </c>
      <c r="G10" s="7">
        <v>4432</v>
      </c>
      <c r="H10" s="7">
        <v>16</v>
      </c>
      <c r="I10">
        <v>0.67700000000000005</v>
      </c>
      <c r="J10">
        <v>0.59399999999999997</v>
      </c>
      <c r="K10">
        <v>51985</v>
      </c>
    </row>
    <row r="11" spans="1:11">
      <c r="A11" t="s">
        <v>13</v>
      </c>
      <c r="B11" t="s">
        <v>13</v>
      </c>
      <c r="C11">
        <v>104179</v>
      </c>
      <c r="D11">
        <v>46060</v>
      </c>
      <c r="E11">
        <v>2015</v>
      </c>
      <c r="F11" s="7">
        <v>27266</v>
      </c>
      <c r="G11" s="7">
        <v>19887</v>
      </c>
      <c r="H11" s="7">
        <v>18</v>
      </c>
      <c r="I11">
        <v>0.70599999999999996</v>
      </c>
      <c r="J11">
        <v>0.61799999999999999</v>
      </c>
      <c r="K11">
        <v>1001320</v>
      </c>
    </row>
    <row r="12" spans="1:11">
      <c r="A12" t="s">
        <v>14</v>
      </c>
      <c r="B12" t="s">
        <v>14</v>
      </c>
      <c r="C12">
        <v>104151</v>
      </c>
      <c r="D12">
        <v>38060</v>
      </c>
      <c r="E12">
        <v>2015</v>
      </c>
      <c r="F12" s="7">
        <v>22373</v>
      </c>
      <c r="G12" s="7">
        <v>17544</v>
      </c>
      <c r="H12" s="7">
        <v>16</v>
      </c>
      <c r="I12">
        <v>0.58799999999999997</v>
      </c>
      <c r="J12">
        <v>0.57599999999999996</v>
      </c>
      <c r="K12">
        <v>4480231</v>
      </c>
    </row>
    <row r="13" spans="1:11">
      <c r="A13" t="s">
        <v>15</v>
      </c>
      <c r="B13" t="s">
        <v>15</v>
      </c>
      <c r="C13">
        <v>106412</v>
      </c>
      <c r="D13">
        <v>38220</v>
      </c>
      <c r="E13">
        <v>2015</v>
      </c>
      <c r="F13" s="7">
        <v>774</v>
      </c>
      <c r="G13" s="7">
        <v>911</v>
      </c>
      <c r="H13" s="7">
        <v>7</v>
      </c>
      <c r="I13">
        <v>0.35499999999999998</v>
      </c>
      <c r="J13">
        <v>0.36099999999999999</v>
      </c>
      <c r="K13">
        <v>94570</v>
      </c>
    </row>
    <row r="14" spans="1:11">
      <c r="A14" t="s">
        <v>16</v>
      </c>
      <c r="B14" t="s">
        <v>16</v>
      </c>
      <c r="C14">
        <v>106397</v>
      </c>
      <c r="D14">
        <v>22220</v>
      </c>
      <c r="E14">
        <v>2015</v>
      </c>
      <c r="F14" s="7">
        <v>15265</v>
      </c>
      <c r="G14" s="7">
        <v>12395</v>
      </c>
      <c r="H14" s="7">
        <v>16</v>
      </c>
      <c r="I14">
        <v>0.48399999999999999</v>
      </c>
      <c r="J14">
        <v>0.53300000000000003</v>
      </c>
      <c r="K14">
        <v>492646</v>
      </c>
    </row>
    <row r="15" spans="1:11">
      <c r="A15" t="s">
        <v>1267</v>
      </c>
      <c r="B15" t="s">
        <v>1267</v>
      </c>
      <c r="C15">
        <v>106458</v>
      </c>
      <c r="D15">
        <v>27860</v>
      </c>
      <c r="E15">
        <v>2015</v>
      </c>
      <c r="F15" s="7">
        <v>3742</v>
      </c>
      <c r="G15" s="7">
        <v>4137</v>
      </c>
      <c r="H15" s="7">
        <v>10</v>
      </c>
      <c r="I15">
        <v>0.67700000000000005</v>
      </c>
      <c r="J15">
        <v>0.42899999999999999</v>
      </c>
      <c r="K15">
        <v>127954</v>
      </c>
    </row>
    <row r="16" spans="1:11">
      <c r="A16" t="s">
        <v>17</v>
      </c>
      <c r="B16" t="s">
        <v>17</v>
      </c>
      <c r="C16">
        <v>500001</v>
      </c>
      <c r="D16">
        <v>35620</v>
      </c>
      <c r="E16">
        <v>2015</v>
      </c>
      <c r="F16" s="7">
        <v>1921</v>
      </c>
      <c r="G16" s="7">
        <v>3909</v>
      </c>
      <c r="H16" s="7">
        <v>12</v>
      </c>
      <c r="I16">
        <v>0.46700000000000003</v>
      </c>
      <c r="J16">
        <v>0.51900000000000002</v>
      </c>
      <c r="K16">
        <v>19833335</v>
      </c>
    </row>
    <row r="17" spans="1:11">
      <c r="A17" t="s">
        <v>18</v>
      </c>
      <c r="B17" t="s">
        <v>18</v>
      </c>
      <c r="C17">
        <v>100858</v>
      </c>
      <c r="D17">
        <v>12220</v>
      </c>
      <c r="E17">
        <v>2015</v>
      </c>
      <c r="F17" s="7">
        <v>11835</v>
      </c>
      <c r="G17" s="7">
        <v>8694</v>
      </c>
      <c r="H17" s="7">
        <v>15</v>
      </c>
      <c r="I17">
        <v>0.41899999999999998</v>
      </c>
      <c r="J17">
        <v>0.63300000000000001</v>
      </c>
      <c r="K17">
        <v>161247</v>
      </c>
    </row>
    <row r="18" spans="1:11">
      <c r="A18" t="s">
        <v>19</v>
      </c>
      <c r="B18" t="s">
        <v>19</v>
      </c>
      <c r="C18">
        <v>219602</v>
      </c>
      <c r="D18">
        <v>17300</v>
      </c>
      <c r="E18">
        <v>2015</v>
      </c>
      <c r="F18" s="7">
        <v>2860</v>
      </c>
      <c r="G18" s="7">
        <v>3066</v>
      </c>
      <c r="H18" s="7">
        <v>9</v>
      </c>
      <c r="I18">
        <v>0.42399999999999999</v>
      </c>
      <c r="J18">
        <v>0.371</v>
      </c>
      <c r="K18">
        <v>297187</v>
      </c>
    </row>
    <row r="19" spans="1:11">
      <c r="A19" t="s">
        <v>20</v>
      </c>
      <c r="B19" t="s">
        <v>20</v>
      </c>
      <c r="C19">
        <v>150136</v>
      </c>
      <c r="D19">
        <v>34620</v>
      </c>
      <c r="E19">
        <v>2015</v>
      </c>
      <c r="F19" s="7">
        <v>6403</v>
      </c>
      <c r="G19" s="7">
        <v>8288</v>
      </c>
      <c r="H19" s="7">
        <v>11</v>
      </c>
      <c r="I19">
        <v>0.56699999999999995</v>
      </c>
      <c r="J19">
        <v>0.75</v>
      </c>
      <c r="K19">
        <v>114923</v>
      </c>
    </row>
    <row r="20" spans="1:11">
      <c r="A20" t="s">
        <v>21</v>
      </c>
      <c r="B20" t="s">
        <v>21</v>
      </c>
      <c r="C20">
        <v>223232</v>
      </c>
      <c r="D20">
        <v>47380</v>
      </c>
      <c r="E20">
        <v>2015</v>
      </c>
      <c r="F20" s="7">
        <v>9660</v>
      </c>
      <c r="G20" s="7">
        <v>11470</v>
      </c>
      <c r="H20" s="7">
        <v>14</v>
      </c>
      <c r="I20">
        <v>0.45200000000000001</v>
      </c>
      <c r="J20">
        <v>0.375</v>
      </c>
      <c r="K20">
        <v>263235</v>
      </c>
    </row>
    <row r="21" spans="1:11">
      <c r="A21" t="s">
        <v>22</v>
      </c>
      <c r="B21" t="s">
        <v>22</v>
      </c>
      <c r="C21">
        <v>219709</v>
      </c>
      <c r="D21">
        <v>34980</v>
      </c>
      <c r="E21">
        <v>2015</v>
      </c>
      <c r="F21" s="7">
        <v>4978</v>
      </c>
      <c r="G21" s="7">
        <v>5356</v>
      </c>
      <c r="H21" s="7">
        <v>14</v>
      </c>
      <c r="I21">
        <v>0.57599999999999996</v>
      </c>
      <c r="J21">
        <v>0.57599999999999996</v>
      </c>
      <c r="K21">
        <v>1824091</v>
      </c>
    </row>
    <row r="22" spans="1:11">
      <c r="A22" t="s">
        <v>23</v>
      </c>
      <c r="B22" t="s">
        <v>23</v>
      </c>
      <c r="C22">
        <v>132602</v>
      </c>
      <c r="D22">
        <v>19660</v>
      </c>
      <c r="E22">
        <v>2015</v>
      </c>
      <c r="F22" s="7">
        <v>2281</v>
      </c>
      <c r="G22" s="7">
        <v>2555</v>
      </c>
      <c r="H22" s="7">
        <v>9</v>
      </c>
      <c r="I22">
        <v>0.33300000000000002</v>
      </c>
      <c r="J22">
        <v>0.182</v>
      </c>
      <c r="K22">
        <v>617026</v>
      </c>
    </row>
    <row r="23" spans="1:11">
      <c r="A23" t="s">
        <v>24</v>
      </c>
      <c r="B23" t="s">
        <v>24</v>
      </c>
      <c r="C23">
        <v>196079</v>
      </c>
      <c r="D23">
        <v>13780</v>
      </c>
      <c r="E23">
        <v>2015</v>
      </c>
      <c r="F23" s="7">
        <v>1382</v>
      </c>
      <c r="G23" s="7">
        <v>1596</v>
      </c>
      <c r="H23" s="7">
        <v>6</v>
      </c>
      <c r="I23">
        <v>0.31</v>
      </c>
      <c r="J23">
        <v>0.32100000000000001</v>
      </c>
      <c r="K23">
        <v>250222</v>
      </c>
    </row>
    <row r="24" spans="1:11">
      <c r="A24" t="s">
        <v>25</v>
      </c>
      <c r="B24" t="s">
        <v>25</v>
      </c>
      <c r="C24">
        <v>142115</v>
      </c>
      <c r="D24">
        <v>14260</v>
      </c>
      <c r="E24">
        <v>2015</v>
      </c>
      <c r="F24" s="7">
        <v>7150</v>
      </c>
      <c r="G24" s="7">
        <v>7557</v>
      </c>
      <c r="H24" s="7">
        <v>12</v>
      </c>
      <c r="I24">
        <v>0.6</v>
      </c>
      <c r="J24">
        <v>0.46700000000000003</v>
      </c>
      <c r="K24">
        <v>674695</v>
      </c>
    </row>
    <row r="25" spans="1:11">
      <c r="A25" t="s">
        <v>26</v>
      </c>
      <c r="B25" t="s">
        <v>26</v>
      </c>
      <c r="C25">
        <v>164924</v>
      </c>
      <c r="D25">
        <v>14460</v>
      </c>
      <c r="E25">
        <v>2015</v>
      </c>
      <c r="F25" s="7">
        <v>3921</v>
      </c>
      <c r="G25" s="7">
        <v>4311</v>
      </c>
      <c r="H25" s="7">
        <v>12</v>
      </c>
      <c r="I25">
        <v>0.379</v>
      </c>
      <c r="J25">
        <v>0.28100000000000003</v>
      </c>
      <c r="K25">
        <v>4812849</v>
      </c>
    </row>
    <row r="26" spans="1:11">
      <c r="A26" t="s">
        <v>27</v>
      </c>
      <c r="B26" t="s">
        <v>27</v>
      </c>
      <c r="C26">
        <v>164988</v>
      </c>
      <c r="D26">
        <v>14380</v>
      </c>
      <c r="E26">
        <v>2015</v>
      </c>
      <c r="F26" s="7" t="s">
        <v>1328</v>
      </c>
      <c r="G26" s="7" t="s">
        <v>1328</v>
      </c>
      <c r="H26" s="7" t="s">
        <v>1328</v>
      </c>
      <c r="I26" t="s">
        <v>1328</v>
      </c>
      <c r="J26" t="s">
        <v>1328</v>
      </c>
      <c r="K26">
        <v>51985</v>
      </c>
    </row>
    <row r="27" spans="1:11">
      <c r="A27" t="s">
        <v>28</v>
      </c>
      <c r="B27" t="s">
        <v>28</v>
      </c>
      <c r="C27">
        <v>201441</v>
      </c>
      <c r="D27">
        <v>45780</v>
      </c>
      <c r="E27">
        <v>2015</v>
      </c>
      <c r="F27" s="7">
        <v>7651</v>
      </c>
      <c r="G27" s="7">
        <v>9115</v>
      </c>
      <c r="H27" s="7">
        <v>11</v>
      </c>
      <c r="I27">
        <v>0.25</v>
      </c>
      <c r="J27">
        <v>0.46700000000000003</v>
      </c>
      <c r="K27">
        <v>648620</v>
      </c>
    </row>
    <row r="28" spans="1:11">
      <c r="A28" t="s">
        <v>29</v>
      </c>
      <c r="B28" t="s">
        <v>29</v>
      </c>
      <c r="C28">
        <v>143358</v>
      </c>
      <c r="D28">
        <v>37900</v>
      </c>
      <c r="E28">
        <v>2015</v>
      </c>
      <c r="F28" s="7">
        <v>4115</v>
      </c>
      <c r="G28" s="7">
        <v>5533</v>
      </c>
      <c r="H28" s="7">
        <v>12</v>
      </c>
      <c r="I28">
        <v>7.0999999999999994E-2</v>
      </c>
      <c r="J28">
        <v>0.46400000000000002</v>
      </c>
      <c r="K28">
        <v>415361</v>
      </c>
    </row>
    <row r="29" spans="1:11">
      <c r="A29" t="s">
        <v>30</v>
      </c>
      <c r="B29" t="s">
        <v>30</v>
      </c>
      <c r="C29">
        <v>217156</v>
      </c>
      <c r="D29">
        <v>39300</v>
      </c>
      <c r="E29">
        <v>2015</v>
      </c>
      <c r="F29" s="7">
        <v>1631</v>
      </c>
      <c r="G29" s="7">
        <v>1343</v>
      </c>
      <c r="H29" s="7">
        <v>12</v>
      </c>
      <c r="I29">
        <v>0.46200000000000002</v>
      </c>
      <c r="J29">
        <v>0.48</v>
      </c>
      <c r="K29">
        <v>1641256</v>
      </c>
    </row>
    <row r="30" spans="1:11">
      <c r="A30" t="s">
        <v>31</v>
      </c>
      <c r="B30" t="s">
        <v>31</v>
      </c>
      <c r="C30">
        <v>217165</v>
      </c>
      <c r="D30">
        <v>39300</v>
      </c>
      <c r="E30">
        <v>2015</v>
      </c>
      <c r="F30" s="7">
        <v>4157</v>
      </c>
      <c r="G30" s="7">
        <v>1522</v>
      </c>
      <c r="H30" s="7">
        <v>14</v>
      </c>
      <c r="I30">
        <v>0.35299999999999998</v>
      </c>
      <c r="J30">
        <v>0.24199999999999999</v>
      </c>
      <c r="K30">
        <v>1641256</v>
      </c>
    </row>
    <row r="31" spans="1:11">
      <c r="A31" t="s">
        <v>32</v>
      </c>
      <c r="B31" t="s">
        <v>32</v>
      </c>
      <c r="C31">
        <v>211291</v>
      </c>
      <c r="D31">
        <v>30260</v>
      </c>
      <c r="E31">
        <v>2015</v>
      </c>
      <c r="F31" s="7">
        <v>1800</v>
      </c>
      <c r="G31" s="7">
        <v>3480</v>
      </c>
      <c r="H31" s="7">
        <v>11</v>
      </c>
      <c r="I31">
        <v>0.28000000000000003</v>
      </c>
      <c r="J31">
        <v>0.38500000000000001</v>
      </c>
      <c r="K31">
        <v>44700</v>
      </c>
    </row>
    <row r="32" spans="1:11">
      <c r="A32" t="s">
        <v>33</v>
      </c>
      <c r="B32" t="s">
        <v>33</v>
      </c>
      <c r="C32">
        <v>196088</v>
      </c>
      <c r="D32">
        <v>15380</v>
      </c>
      <c r="E32">
        <v>2015</v>
      </c>
      <c r="F32" s="7">
        <v>3338</v>
      </c>
      <c r="G32" s="7">
        <v>6145</v>
      </c>
      <c r="H32" s="7">
        <v>14</v>
      </c>
      <c r="I32">
        <v>0.53100000000000003</v>
      </c>
      <c r="J32">
        <v>0.6</v>
      </c>
      <c r="K32">
        <v>1154207</v>
      </c>
    </row>
    <row r="33" spans="1:11">
      <c r="A33" t="s">
        <v>34</v>
      </c>
      <c r="B33" t="s">
        <v>34</v>
      </c>
      <c r="C33">
        <v>150163</v>
      </c>
      <c r="D33">
        <v>26900</v>
      </c>
      <c r="E33">
        <v>2015</v>
      </c>
      <c r="F33" s="7">
        <v>4356</v>
      </c>
      <c r="G33" s="7">
        <v>9951</v>
      </c>
      <c r="H33" s="7">
        <v>9</v>
      </c>
      <c r="I33">
        <v>0.66700000000000004</v>
      </c>
      <c r="J33">
        <v>0.75</v>
      </c>
      <c r="K33">
        <v>1999191</v>
      </c>
    </row>
    <row r="34" spans="1:11">
      <c r="A34" t="s">
        <v>35</v>
      </c>
      <c r="B34" t="s">
        <v>35</v>
      </c>
      <c r="C34">
        <v>230038</v>
      </c>
      <c r="D34">
        <v>39340</v>
      </c>
      <c r="E34">
        <v>2015</v>
      </c>
      <c r="F34" s="7">
        <v>20649</v>
      </c>
      <c r="G34" s="7">
        <v>12157</v>
      </c>
      <c r="H34" s="7">
        <v>13</v>
      </c>
      <c r="I34">
        <v>0.85699999999999998</v>
      </c>
      <c r="J34">
        <v>0.77400000000000002</v>
      </c>
      <c r="K34">
        <v>589961</v>
      </c>
    </row>
    <row r="35" spans="1:11">
      <c r="A35" t="s">
        <v>36</v>
      </c>
      <c r="B35" t="s">
        <v>36</v>
      </c>
      <c r="C35">
        <v>110422</v>
      </c>
      <c r="D35">
        <v>42020</v>
      </c>
      <c r="E35">
        <v>2015</v>
      </c>
      <c r="F35" s="7">
        <v>6217</v>
      </c>
      <c r="G35" s="7">
        <v>7125</v>
      </c>
      <c r="H35" s="7">
        <v>13</v>
      </c>
      <c r="I35">
        <v>0.34599999999999997</v>
      </c>
      <c r="J35">
        <v>0.41399999999999998</v>
      </c>
      <c r="K35">
        <v>280062</v>
      </c>
    </row>
    <row r="36" spans="1:11">
      <c r="A36" t="s">
        <v>37</v>
      </c>
      <c r="B36" t="s">
        <v>37</v>
      </c>
      <c r="C36">
        <v>110565</v>
      </c>
      <c r="D36">
        <v>31080</v>
      </c>
      <c r="E36">
        <v>2015</v>
      </c>
      <c r="F36" s="7">
        <v>5110</v>
      </c>
      <c r="G36" s="7">
        <v>4558</v>
      </c>
      <c r="H36" s="7">
        <v>14</v>
      </c>
      <c r="I36">
        <v>0.27600000000000002</v>
      </c>
      <c r="J36">
        <v>0.39300000000000002</v>
      </c>
      <c r="K36">
        <v>13258364</v>
      </c>
    </row>
    <row r="37" spans="1:11">
      <c r="A37" t="s">
        <v>38</v>
      </c>
      <c r="B37" t="s">
        <v>38</v>
      </c>
      <c r="C37">
        <v>110635</v>
      </c>
      <c r="D37">
        <v>41860</v>
      </c>
      <c r="E37">
        <v>2015</v>
      </c>
      <c r="F37" s="7">
        <v>9197</v>
      </c>
      <c r="G37" s="7">
        <v>11376</v>
      </c>
      <c r="H37" s="7">
        <v>13</v>
      </c>
      <c r="I37">
        <v>0.33300000000000002</v>
      </c>
      <c r="J37">
        <v>0.58099999999999996</v>
      </c>
      <c r="K37">
        <v>4669540</v>
      </c>
    </row>
    <row r="38" spans="1:11">
      <c r="A38" t="s">
        <v>1255</v>
      </c>
      <c r="B38" t="s">
        <v>1255</v>
      </c>
      <c r="C38">
        <v>110361</v>
      </c>
      <c r="D38">
        <v>40140</v>
      </c>
      <c r="E38">
        <v>2015</v>
      </c>
      <c r="F38" s="7" t="s">
        <v>1328</v>
      </c>
      <c r="G38" s="7" t="s">
        <v>1328</v>
      </c>
      <c r="H38" s="7" t="s">
        <v>1328</v>
      </c>
      <c r="I38" t="s">
        <v>1328</v>
      </c>
      <c r="J38" t="s">
        <v>1328</v>
      </c>
      <c r="K38">
        <v>4420560</v>
      </c>
    </row>
    <row r="39" spans="1:11">
      <c r="A39" t="s">
        <v>39</v>
      </c>
      <c r="B39" t="s">
        <v>39</v>
      </c>
      <c r="C39">
        <v>198136</v>
      </c>
      <c r="D39">
        <v>15820</v>
      </c>
      <c r="E39">
        <v>2015</v>
      </c>
      <c r="F39" s="7">
        <v>5375</v>
      </c>
      <c r="G39" s="7">
        <v>2949</v>
      </c>
      <c r="H39" s="7">
        <v>12</v>
      </c>
      <c r="I39">
        <v>0.438</v>
      </c>
      <c r="J39">
        <v>0.45200000000000001</v>
      </c>
      <c r="K39">
        <v>36763</v>
      </c>
    </row>
    <row r="40" spans="1:11">
      <c r="A40" t="s">
        <v>40</v>
      </c>
      <c r="B40" t="s">
        <v>40</v>
      </c>
      <c r="C40">
        <v>189705</v>
      </c>
      <c r="D40">
        <v>15380</v>
      </c>
      <c r="E40">
        <v>2015</v>
      </c>
      <c r="F40" s="7">
        <v>1888</v>
      </c>
      <c r="G40" s="7">
        <v>4345</v>
      </c>
      <c r="H40" s="7">
        <v>9</v>
      </c>
      <c r="I40">
        <v>0.375</v>
      </c>
      <c r="J40">
        <v>0.379</v>
      </c>
      <c r="K40">
        <v>1154207</v>
      </c>
    </row>
    <row r="41" spans="1:11">
      <c r="A41" t="s">
        <v>41</v>
      </c>
      <c r="B41" t="s">
        <v>41</v>
      </c>
      <c r="C41">
        <v>106704</v>
      </c>
      <c r="D41">
        <v>30780</v>
      </c>
      <c r="E41">
        <v>2015</v>
      </c>
      <c r="F41" s="7">
        <v>4821</v>
      </c>
      <c r="G41" s="7">
        <v>4186</v>
      </c>
      <c r="H41" s="7">
        <v>14</v>
      </c>
      <c r="I41">
        <v>0.625</v>
      </c>
      <c r="J41">
        <v>0.879</v>
      </c>
      <c r="K41">
        <v>732412</v>
      </c>
    </row>
    <row r="42" spans="1:11">
      <c r="A42" t="s">
        <v>42</v>
      </c>
      <c r="B42" t="s">
        <v>42</v>
      </c>
      <c r="C42">
        <v>128771</v>
      </c>
      <c r="D42">
        <v>25540</v>
      </c>
      <c r="E42">
        <v>2015</v>
      </c>
      <c r="F42" s="7">
        <v>1580</v>
      </c>
      <c r="G42" s="7">
        <v>1874</v>
      </c>
      <c r="H42" s="7">
        <v>10</v>
      </c>
      <c r="I42">
        <v>0.40699999999999997</v>
      </c>
      <c r="J42">
        <v>0.7</v>
      </c>
      <c r="K42">
        <v>1217677</v>
      </c>
    </row>
    <row r="43" spans="1:11">
      <c r="A43" t="s">
        <v>43</v>
      </c>
      <c r="B43" t="s">
        <v>43</v>
      </c>
      <c r="C43">
        <v>169248</v>
      </c>
      <c r="D43">
        <v>34380</v>
      </c>
      <c r="E43">
        <v>2015</v>
      </c>
      <c r="F43" s="7">
        <v>3540</v>
      </c>
      <c r="G43" s="7">
        <v>4687</v>
      </c>
      <c r="H43" s="7">
        <v>11</v>
      </c>
      <c r="I43">
        <v>0.35699999999999998</v>
      </c>
      <c r="J43">
        <v>0.39300000000000002</v>
      </c>
      <c r="K43">
        <v>68141</v>
      </c>
    </row>
    <row r="44" spans="1:11">
      <c r="A44" t="s">
        <v>44</v>
      </c>
      <c r="B44" t="s">
        <v>44</v>
      </c>
      <c r="C44">
        <v>217688</v>
      </c>
      <c r="D44">
        <v>16700</v>
      </c>
      <c r="E44">
        <v>2015</v>
      </c>
      <c r="F44" s="7">
        <v>3413</v>
      </c>
      <c r="G44" s="7">
        <v>2364</v>
      </c>
      <c r="H44" s="7">
        <v>14</v>
      </c>
      <c r="I44">
        <v>0.33300000000000002</v>
      </c>
      <c r="J44">
        <v>0.2</v>
      </c>
      <c r="K44">
        <v>737259</v>
      </c>
    </row>
    <row r="45" spans="1:11">
      <c r="A45" t="s">
        <v>45</v>
      </c>
      <c r="B45" t="s">
        <v>45</v>
      </c>
      <c r="C45">
        <v>199139</v>
      </c>
      <c r="D45">
        <v>16740</v>
      </c>
      <c r="E45">
        <v>2015</v>
      </c>
      <c r="F45" s="7">
        <v>6439</v>
      </c>
      <c r="G45" s="7">
        <v>6581</v>
      </c>
      <c r="H45" s="7">
        <v>13</v>
      </c>
      <c r="I45">
        <v>0.5</v>
      </c>
      <c r="J45">
        <v>0.41399999999999998</v>
      </c>
      <c r="K45">
        <v>2442023</v>
      </c>
    </row>
    <row r="46" spans="1:11">
      <c r="A46" t="s">
        <v>46</v>
      </c>
      <c r="B46" t="s">
        <v>46</v>
      </c>
      <c r="C46">
        <v>221740</v>
      </c>
      <c r="D46">
        <v>16860</v>
      </c>
      <c r="E46">
        <v>2015</v>
      </c>
      <c r="F46" s="7">
        <v>2625</v>
      </c>
      <c r="G46" s="7">
        <v>3900</v>
      </c>
      <c r="H46" s="7">
        <v>15</v>
      </c>
      <c r="I46">
        <v>0.40600000000000003</v>
      </c>
      <c r="J46">
        <v>0.129</v>
      </c>
      <c r="K46">
        <v>544285</v>
      </c>
    </row>
    <row r="47" spans="1:11">
      <c r="A47" t="s">
        <v>1268</v>
      </c>
      <c r="B47" t="s">
        <v>1268</v>
      </c>
      <c r="C47">
        <v>144005</v>
      </c>
      <c r="D47">
        <v>16980</v>
      </c>
      <c r="E47">
        <v>2015</v>
      </c>
      <c r="F47" s="7">
        <v>1988</v>
      </c>
      <c r="G47" s="7">
        <v>3352</v>
      </c>
      <c r="H47" s="7">
        <v>19</v>
      </c>
      <c r="I47">
        <v>0.2</v>
      </c>
      <c r="J47">
        <v>6.5000000000000002E-2</v>
      </c>
      <c r="K47">
        <v>9654044</v>
      </c>
    </row>
    <row r="48" spans="1:11">
      <c r="A48" t="s">
        <v>1269</v>
      </c>
      <c r="B48" t="s">
        <v>1269</v>
      </c>
      <c r="C48">
        <v>201885</v>
      </c>
      <c r="D48">
        <v>17140</v>
      </c>
      <c r="E48">
        <v>2015</v>
      </c>
      <c r="F48" s="7">
        <v>6470</v>
      </c>
      <c r="G48" s="7">
        <v>5870</v>
      </c>
      <c r="H48" s="7">
        <v>15</v>
      </c>
      <c r="I48">
        <v>0.46899999999999997</v>
      </c>
      <c r="J48">
        <v>9.4E-2</v>
      </c>
      <c r="K48">
        <v>2196029</v>
      </c>
    </row>
    <row r="49" spans="1:11">
      <c r="A49" t="s">
        <v>47</v>
      </c>
      <c r="B49" t="s">
        <v>47</v>
      </c>
      <c r="C49">
        <v>217882</v>
      </c>
      <c r="D49">
        <v>42860</v>
      </c>
      <c r="E49">
        <v>2015</v>
      </c>
      <c r="F49" s="7">
        <v>14559</v>
      </c>
      <c r="G49" s="7">
        <v>14708</v>
      </c>
      <c r="H49" s="7">
        <v>17</v>
      </c>
      <c r="I49">
        <v>0.56299999999999994</v>
      </c>
      <c r="J49">
        <v>0.48399999999999999</v>
      </c>
      <c r="K49">
        <v>75212</v>
      </c>
    </row>
    <row r="50" spans="1:11">
      <c r="A50" t="s">
        <v>48</v>
      </c>
      <c r="B50" t="s">
        <v>48</v>
      </c>
      <c r="C50">
        <v>202134</v>
      </c>
      <c r="D50">
        <v>17460</v>
      </c>
      <c r="E50">
        <v>2015</v>
      </c>
      <c r="F50" s="7">
        <v>3266</v>
      </c>
      <c r="G50" s="7">
        <v>2535</v>
      </c>
      <c r="H50" s="7">
        <v>11</v>
      </c>
      <c r="I50">
        <v>0.5</v>
      </c>
      <c r="J50">
        <v>0.55200000000000005</v>
      </c>
      <c r="K50">
        <v>2086587</v>
      </c>
    </row>
    <row r="51" spans="1:11">
      <c r="A51" t="s">
        <v>1241</v>
      </c>
      <c r="B51" t="s">
        <v>49</v>
      </c>
      <c r="C51">
        <v>218724</v>
      </c>
      <c r="D51">
        <v>34820</v>
      </c>
      <c r="E51">
        <v>2015</v>
      </c>
      <c r="F51" s="7">
        <v>3997</v>
      </c>
      <c r="G51" s="7">
        <v>3937</v>
      </c>
      <c r="H51" s="7">
        <v>15</v>
      </c>
      <c r="I51">
        <v>0.78100000000000003</v>
      </c>
      <c r="J51">
        <v>0.61299999999999999</v>
      </c>
      <c r="K51">
        <v>419684</v>
      </c>
    </row>
    <row r="52" spans="1:11">
      <c r="A52" t="s">
        <v>50</v>
      </c>
      <c r="B52" t="s">
        <v>50</v>
      </c>
      <c r="C52">
        <v>217819</v>
      </c>
      <c r="D52">
        <v>16700</v>
      </c>
      <c r="E52">
        <v>2015</v>
      </c>
      <c r="F52" s="7">
        <v>6929</v>
      </c>
      <c r="G52" s="7">
        <v>8308</v>
      </c>
      <c r="H52" s="7">
        <v>17</v>
      </c>
      <c r="I52">
        <v>0.69699999999999995</v>
      </c>
      <c r="J52">
        <v>0.80600000000000005</v>
      </c>
      <c r="K52">
        <v>737259</v>
      </c>
    </row>
    <row r="53" spans="1:11">
      <c r="A53" t="s">
        <v>51</v>
      </c>
      <c r="B53" t="s">
        <v>51</v>
      </c>
      <c r="C53">
        <v>190099</v>
      </c>
      <c r="D53">
        <v>45060</v>
      </c>
      <c r="E53">
        <v>2015</v>
      </c>
      <c r="F53" s="7">
        <v>1593</v>
      </c>
      <c r="G53" s="7">
        <v>2645</v>
      </c>
      <c r="H53" s="7">
        <v>9</v>
      </c>
      <c r="I53">
        <v>0.57699999999999996</v>
      </c>
      <c r="J53">
        <v>0.71</v>
      </c>
      <c r="K53">
        <v>665759</v>
      </c>
    </row>
    <row r="54" spans="1:11">
      <c r="A54" t="s">
        <v>1270</v>
      </c>
      <c r="B54" t="s">
        <v>1270</v>
      </c>
      <c r="C54">
        <v>126614</v>
      </c>
      <c r="D54">
        <v>14500</v>
      </c>
      <c r="E54">
        <v>2015</v>
      </c>
      <c r="F54" s="7">
        <v>18378</v>
      </c>
      <c r="G54" s="7">
        <v>12525</v>
      </c>
      <c r="H54" s="7">
        <v>16</v>
      </c>
      <c r="I54">
        <v>0.58799999999999997</v>
      </c>
      <c r="J54">
        <v>0.56299999999999994</v>
      </c>
      <c r="K54">
        <v>320348</v>
      </c>
    </row>
    <row r="55" spans="1:11">
      <c r="A55" t="s">
        <v>52</v>
      </c>
      <c r="B55" t="s">
        <v>52</v>
      </c>
      <c r="C55">
        <v>126818</v>
      </c>
      <c r="D55">
        <v>22660</v>
      </c>
      <c r="E55">
        <v>2015</v>
      </c>
      <c r="F55" s="7">
        <v>54926</v>
      </c>
      <c r="G55" s="7">
        <v>49240</v>
      </c>
      <c r="H55" s="7">
        <v>17</v>
      </c>
      <c r="I55">
        <v>0.91200000000000003</v>
      </c>
      <c r="J55">
        <v>0.93300000000000005</v>
      </c>
      <c r="K55">
        <v>333256</v>
      </c>
    </row>
    <row r="56" spans="1:11">
      <c r="A56" t="s">
        <v>53</v>
      </c>
      <c r="B56" t="s">
        <v>53</v>
      </c>
      <c r="C56">
        <v>190150</v>
      </c>
      <c r="D56">
        <v>35620</v>
      </c>
      <c r="E56">
        <v>2015</v>
      </c>
      <c r="F56" s="7">
        <v>2477</v>
      </c>
      <c r="G56" s="7">
        <v>3297</v>
      </c>
      <c r="H56" s="7">
        <v>10</v>
      </c>
      <c r="I56">
        <v>0.34799999999999998</v>
      </c>
      <c r="J56">
        <v>0.26100000000000001</v>
      </c>
      <c r="K56">
        <v>19833335</v>
      </c>
    </row>
    <row r="57" spans="1:11">
      <c r="A57" t="s">
        <v>54</v>
      </c>
      <c r="B57" t="s">
        <v>54</v>
      </c>
      <c r="C57">
        <v>162283</v>
      </c>
      <c r="D57">
        <v>12580</v>
      </c>
      <c r="E57">
        <v>2015</v>
      </c>
      <c r="F57" s="7">
        <v>2375</v>
      </c>
      <c r="G57" s="7">
        <v>1194</v>
      </c>
      <c r="H57" s="7">
        <v>8</v>
      </c>
      <c r="I57">
        <v>0.5</v>
      </c>
      <c r="J57">
        <v>0.48399999999999999</v>
      </c>
      <c r="K57">
        <v>2812930</v>
      </c>
    </row>
    <row r="58" spans="1:11">
      <c r="A58" t="s">
        <v>55</v>
      </c>
      <c r="B58" t="s">
        <v>55</v>
      </c>
      <c r="C58">
        <v>190415</v>
      </c>
      <c r="D58">
        <v>27060</v>
      </c>
      <c r="E58">
        <v>2015</v>
      </c>
      <c r="F58" s="7">
        <v>1814</v>
      </c>
      <c r="G58" s="7">
        <v>2928</v>
      </c>
      <c r="H58" s="7">
        <v>8</v>
      </c>
      <c r="I58">
        <v>0.25</v>
      </c>
      <c r="J58">
        <v>0.33300000000000002</v>
      </c>
      <c r="K58">
        <v>105495</v>
      </c>
    </row>
    <row r="59" spans="1:11">
      <c r="A59" t="s">
        <v>56</v>
      </c>
      <c r="B59" t="s">
        <v>56</v>
      </c>
      <c r="C59">
        <v>181002</v>
      </c>
      <c r="D59">
        <v>36540</v>
      </c>
      <c r="E59">
        <v>2015</v>
      </c>
      <c r="F59" s="7">
        <v>19239</v>
      </c>
      <c r="G59" s="7">
        <v>17506</v>
      </c>
      <c r="H59" s="7">
        <v>15</v>
      </c>
      <c r="I59">
        <v>0.73499999999999999</v>
      </c>
      <c r="J59">
        <v>0.71899999999999997</v>
      </c>
      <c r="K59">
        <v>921119</v>
      </c>
    </row>
    <row r="60" spans="1:11">
      <c r="A60" t="s">
        <v>57</v>
      </c>
      <c r="B60" t="s">
        <v>57</v>
      </c>
      <c r="C60">
        <v>110486</v>
      </c>
      <c r="D60">
        <v>12540</v>
      </c>
      <c r="E60">
        <v>2015</v>
      </c>
      <c r="F60" s="7">
        <v>3766</v>
      </c>
      <c r="G60" s="7">
        <v>2207</v>
      </c>
      <c r="H60" s="7">
        <v>13</v>
      </c>
      <c r="I60">
        <v>0.51600000000000001</v>
      </c>
      <c r="J60">
        <v>0.63600000000000001</v>
      </c>
      <c r="K60">
        <v>880669</v>
      </c>
    </row>
    <row r="61" spans="1:11">
      <c r="A61" t="s">
        <v>58</v>
      </c>
      <c r="B61" t="s">
        <v>58</v>
      </c>
      <c r="C61">
        <v>110608</v>
      </c>
      <c r="D61">
        <v>31080</v>
      </c>
      <c r="E61">
        <v>2015</v>
      </c>
      <c r="F61" s="7">
        <v>5134</v>
      </c>
      <c r="G61" s="7">
        <v>4569</v>
      </c>
      <c r="H61" s="7">
        <v>8</v>
      </c>
      <c r="I61">
        <v>0.67900000000000005</v>
      </c>
      <c r="J61">
        <v>0.77400000000000002</v>
      </c>
      <c r="K61">
        <v>13258364</v>
      </c>
    </row>
    <row r="62" spans="1:11">
      <c r="A62" t="s">
        <v>59</v>
      </c>
      <c r="B62" t="s">
        <v>59</v>
      </c>
      <c r="C62">
        <v>182670</v>
      </c>
      <c r="D62">
        <v>30100</v>
      </c>
      <c r="E62">
        <v>2015</v>
      </c>
      <c r="F62" s="7">
        <v>1298</v>
      </c>
      <c r="G62" s="7">
        <v>2958</v>
      </c>
      <c r="H62" s="7">
        <v>8</v>
      </c>
      <c r="I62">
        <v>0.52</v>
      </c>
      <c r="J62">
        <v>0.42299999999999999</v>
      </c>
      <c r="K62">
        <v>219006</v>
      </c>
    </row>
    <row r="63" spans="1:11">
      <c r="A63" t="s">
        <v>1271</v>
      </c>
      <c r="B63" t="s">
        <v>1271</v>
      </c>
      <c r="C63">
        <v>198385</v>
      </c>
      <c r="D63">
        <v>16740</v>
      </c>
      <c r="E63">
        <v>2015</v>
      </c>
      <c r="F63" s="7">
        <v>4320</v>
      </c>
      <c r="G63" s="7">
        <v>5391</v>
      </c>
      <c r="H63" s="7">
        <v>10</v>
      </c>
      <c r="I63">
        <v>0.16700000000000001</v>
      </c>
      <c r="J63">
        <v>0.53300000000000003</v>
      </c>
      <c r="K63">
        <v>2442023</v>
      </c>
    </row>
    <row r="64" spans="1:11">
      <c r="A64" t="s">
        <v>60</v>
      </c>
      <c r="B64" t="s">
        <v>60</v>
      </c>
      <c r="C64">
        <v>202480</v>
      </c>
      <c r="D64">
        <v>19430</v>
      </c>
      <c r="E64">
        <v>2015</v>
      </c>
      <c r="F64" s="7">
        <v>10567</v>
      </c>
      <c r="G64" s="7">
        <v>9741</v>
      </c>
      <c r="H64" s="7">
        <v>14</v>
      </c>
      <c r="I64">
        <v>0.83299999999999996</v>
      </c>
      <c r="J64">
        <v>0.55200000000000005</v>
      </c>
      <c r="K64">
        <v>802986</v>
      </c>
    </row>
    <row r="65" spans="1:11">
      <c r="A65" t="s">
        <v>61</v>
      </c>
      <c r="B65" t="s">
        <v>61</v>
      </c>
      <c r="C65">
        <v>130943</v>
      </c>
      <c r="D65">
        <v>37980</v>
      </c>
      <c r="E65">
        <v>2015</v>
      </c>
      <c r="F65" s="7">
        <v>6038</v>
      </c>
      <c r="G65" s="7">
        <v>5318</v>
      </c>
      <c r="H65" s="7">
        <v>16</v>
      </c>
      <c r="I65">
        <v>0.46899999999999997</v>
      </c>
      <c r="J65">
        <v>0.39300000000000002</v>
      </c>
      <c r="K65">
        <v>6130446</v>
      </c>
    </row>
    <row r="66" spans="1:11">
      <c r="A66" t="s">
        <v>62</v>
      </c>
      <c r="B66" t="s">
        <v>62</v>
      </c>
      <c r="C66">
        <v>130934</v>
      </c>
      <c r="D66">
        <v>20100</v>
      </c>
      <c r="E66">
        <v>2015</v>
      </c>
      <c r="F66" s="7">
        <v>875</v>
      </c>
      <c r="G66" s="7">
        <v>695</v>
      </c>
      <c r="H66" s="7">
        <v>10</v>
      </c>
      <c r="I66">
        <v>3.6999999999999998E-2</v>
      </c>
      <c r="J66">
        <v>8.3000000000000004E-2</v>
      </c>
      <c r="K66">
        <v>172578</v>
      </c>
    </row>
    <row r="67" spans="1:11">
      <c r="A67" t="s">
        <v>1272</v>
      </c>
      <c r="B67" t="s">
        <v>1272</v>
      </c>
      <c r="C67">
        <v>127060</v>
      </c>
      <c r="D67">
        <v>19740</v>
      </c>
      <c r="E67">
        <v>2015</v>
      </c>
      <c r="F67" s="7">
        <v>3836</v>
      </c>
      <c r="G67" s="7">
        <v>4872</v>
      </c>
      <c r="H67" s="7">
        <v>14</v>
      </c>
      <c r="I67">
        <v>0.79400000000000004</v>
      </c>
      <c r="J67">
        <v>0.56699999999999995</v>
      </c>
      <c r="K67">
        <v>2802640</v>
      </c>
    </row>
    <row r="68" spans="1:11">
      <c r="A68" t="s">
        <v>63</v>
      </c>
      <c r="B68" t="s">
        <v>63</v>
      </c>
      <c r="C68">
        <v>144740</v>
      </c>
      <c r="D68">
        <v>16980</v>
      </c>
      <c r="E68">
        <v>2015</v>
      </c>
      <c r="F68" s="7">
        <v>4520</v>
      </c>
      <c r="G68" s="7">
        <v>6167</v>
      </c>
      <c r="H68" s="7">
        <v>12</v>
      </c>
      <c r="I68">
        <v>0.1</v>
      </c>
      <c r="J68">
        <v>0.53300000000000003</v>
      </c>
      <c r="K68">
        <v>9654044</v>
      </c>
    </row>
    <row r="69" spans="1:11">
      <c r="A69" t="s">
        <v>64</v>
      </c>
      <c r="B69" t="s">
        <v>64</v>
      </c>
      <c r="C69">
        <v>169716</v>
      </c>
      <c r="D69">
        <v>19820</v>
      </c>
      <c r="E69">
        <v>2015</v>
      </c>
      <c r="F69" s="7" t="s">
        <v>1328</v>
      </c>
      <c r="G69" s="7" t="s">
        <v>1328</v>
      </c>
      <c r="H69" s="7" t="s">
        <v>1328</v>
      </c>
      <c r="I69" t="s">
        <v>1328</v>
      </c>
      <c r="J69" t="s">
        <v>1328</v>
      </c>
      <c r="K69">
        <v>4352979</v>
      </c>
    </row>
    <row r="70" spans="1:11">
      <c r="A70" t="s">
        <v>65</v>
      </c>
      <c r="B70" t="s">
        <v>65</v>
      </c>
      <c r="C70">
        <v>153269</v>
      </c>
      <c r="D70">
        <v>19780</v>
      </c>
      <c r="E70">
        <v>2015</v>
      </c>
      <c r="F70" s="7">
        <v>3542</v>
      </c>
      <c r="G70" s="7">
        <v>3713</v>
      </c>
      <c r="H70" s="7">
        <v>10</v>
      </c>
      <c r="I70">
        <v>0.379</v>
      </c>
      <c r="J70">
        <v>6.7000000000000004E-2</v>
      </c>
      <c r="K70">
        <v>661440</v>
      </c>
    </row>
    <row r="71" spans="1:11">
      <c r="A71" t="s">
        <v>66</v>
      </c>
      <c r="B71" t="s">
        <v>66</v>
      </c>
      <c r="C71">
        <v>212054</v>
      </c>
      <c r="D71">
        <v>37980</v>
      </c>
      <c r="E71">
        <v>2015</v>
      </c>
      <c r="F71" s="7" t="s">
        <v>1328</v>
      </c>
      <c r="G71" s="7" t="s">
        <v>1328</v>
      </c>
      <c r="H71" s="7" t="s">
        <v>1328</v>
      </c>
      <c r="I71" t="s">
        <v>1328</v>
      </c>
      <c r="J71" t="s">
        <v>1328</v>
      </c>
      <c r="K71">
        <v>6130446</v>
      </c>
    </row>
    <row r="72" spans="1:11">
      <c r="A72" t="s">
        <v>67</v>
      </c>
      <c r="B72" t="s">
        <v>67</v>
      </c>
      <c r="C72">
        <v>198419</v>
      </c>
      <c r="D72">
        <v>20500</v>
      </c>
      <c r="E72">
        <v>2015</v>
      </c>
      <c r="F72" s="7">
        <v>19943</v>
      </c>
      <c r="G72" s="7">
        <v>29723</v>
      </c>
      <c r="H72" s="7">
        <v>15</v>
      </c>
      <c r="I72">
        <v>0.73299999999999998</v>
      </c>
      <c r="J72">
        <v>0.84799999999999998</v>
      </c>
      <c r="K72">
        <v>607517</v>
      </c>
    </row>
    <row r="73" spans="1:11">
      <c r="A73" t="s">
        <v>1273</v>
      </c>
      <c r="B73" t="s">
        <v>1273</v>
      </c>
      <c r="C73">
        <v>212106</v>
      </c>
      <c r="D73">
        <v>38300</v>
      </c>
      <c r="E73">
        <v>2015</v>
      </c>
      <c r="F73" s="7">
        <v>1762</v>
      </c>
      <c r="G73" s="7">
        <v>1632</v>
      </c>
      <c r="H73" s="7">
        <v>11</v>
      </c>
      <c r="I73">
        <v>0.57099999999999995</v>
      </c>
      <c r="J73">
        <v>0.66700000000000004</v>
      </c>
      <c r="K73">
        <v>2379296</v>
      </c>
    </row>
    <row r="74" spans="1:11">
      <c r="A74" t="s">
        <v>68</v>
      </c>
      <c r="B74" t="s">
        <v>68</v>
      </c>
      <c r="C74">
        <v>198464</v>
      </c>
      <c r="D74">
        <v>24780</v>
      </c>
      <c r="E74">
        <v>2015</v>
      </c>
      <c r="F74" s="7">
        <v>5546</v>
      </c>
      <c r="G74" s="7">
        <v>3281</v>
      </c>
      <c r="H74" s="7">
        <v>16</v>
      </c>
      <c r="I74">
        <v>0.48399999999999999</v>
      </c>
      <c r="J74">
        <v>0.40600000000000003</v>
      </c>
      <c r="K74">
        <v>169708</v>
      </c>
    </row>
    <row r="75" spans="1:11">
      <c r="A75" t="s">
        <v>69</v>
      </c>
      <c r="B75" t="s">
        <v>69</v>
      </c>
      <c r="C75">
        <v>144892</v>
      </c>
      <c r="D75">
        <v>16660</v>
      </c>
      <c r="E75">
        <v>2015</v>
      </c>
      <c r="F75" s="7">
        <v>2471</v>
      </c>
      <c r="G75" s="7">
        <v>3794</v>
      </c>
      <c r="H75" s="7">
        <v>8</v>
      </c>
      <c r="I75">
        <v>0.48399999999999999</v>
      </c>
      <c r="J75">
        <v>0.6</v>
      </c>
      <c r="K75">
        <v>61011</v>
      </c>
    </row>
    <row r="76" spans="1:11">
      <c r="A76" t="s">
        <v>70</v>
      </c>
      <c r="B76" t="s">
        <v>70</v>
      </c>
      <c r="C76">
        <v>156620</v>
      </c>
      <c r="D76">
        <v>40080</v>
      </c>
      <c r="E76">
        <v>2015</v>
      </c>
      <c r="F76" s="7">
        <v>1510</v>
      </c>
      <c r="G76" s="7">
        <v>1820</v>
      </c>
      <c r="H76" s="7">
        <v>11</v>
      </c>
      <c r="I76">
        <v>0.6</v>
      </c>
      <c r="J76">
        <v>0.52900000000000003</v>
      </c>
      <c r="K76">
        <v>102037</v>
      </c>
    </row>
    <row r="77" spans="1:11">
      <c r="A77" t="s">
        <v>1274</v>
      </c>
      <c r="B77" t="s">
        <v>1274</v>
      </c>
      <c r="C77">
        <v>169798</v>
      </c>
      <c r="D77">
        <v>11460</v>
      </c>
      <c r="E77">
        <v>2015</v>
      </c>
      <c r="F77" s="7">
        <v>2072</v>
      </c>
      <c r="G77" s="7">
        <v>2630</v>
      </c>
      <c r="H77" s="7">
        <v>10</v>
      </c>
      <c r="I77">
        <v>0.58099999999999996</v>
      </c>
      <c r="J77">
        <v>0.52900000000000003</v>
      </c>
      <c r="K77">
        <v>366258</v>
      </c>
    </row>
    <row r="78" spans="1:11">
      <c r="A78" t="s">
        <v>1275</v>
      </c>
      <c r="B78" t="s">
        <v>1275</v>
      </c>
      <c r="C78">
        <v>235097</v>
      </c>
      <c r="D78">
        <v>44060</v>
      </c>
      <c r="E78">
        <v>2015</v>
      </c>
      <c r="F78" s="7">
        <v>5568</v>
      </c>
      <c r="G78" s="7">
        <v>5302</v>
      </c>
      <c r="H78" s="7">
        <v>9</v>
      </c>
      <c r="I78">
        <v>0.31</v>
      </c>
      <c r="J78">
        <v>0.32300000000000001</v>
      </c>
      <c r="K78">
        <v>539167</v>
      </c>
    </row>
    <row r="79" spans="1:11">
      <c r="A79" t="s">
        <v>71</v>
      </c>
      <c r="B79" t="s">
        <v>71</v>
      </c>
      <c r="C79">
        <v>198516</v>
      </c>
      <c r="D79">
        <v>24660</v>
      </c>
      <c r="E79">
        <v>2015</v>
      </c>
      <c r="F79" s="7">
        <v>1795</v>
      </c>
      <c r="G79" s="7">
        <v>2402</v>
      </c>
      <c r="H79" s="7">
        <v>13</v>
      </c>
      <c r="I79">
        <v>0.188</v>
      </c>
      <c r="J79">
        <v>0.48499999999999999</v>
      </c>
      <c r="K79">
        <v>751915</v>
      </c>
    </row>
    <row r="80" spans="1:11">
      <c r="A80" t="s">
        <v>72</v>
      </c>
      <c r="B80" t="s">
        <v>72</v>
      </c>
      <c r="C80">
        <v>220075</v>
      </c>
      <c r="D80">
        <v>27740</v>
      </c>
      <c r="E80">
        <v>2015</v>
      </c>
      <c r="F80" s="7">
        <v>3149</v>
      </c>
      <c r="G80" s="7">
        <v>3531</v>
      </c>
      <c r="H80" s="7">
        <v>10</v>
      </c>
      <c r="I80">
        <v>0.51500000000000001</v>
      </c>
      <c r="J80">
        <v>0.71</v>
      </c>
      <c r="K80">
        <v>201923</v>
      </c>
    </row>
    <row r="81" spans="1:11">
      <c r="A81" t="s">
        <v>73</v>
      </c>
      <c r="B81" t="s">
        <v>73</v>
      </c>
      <c r="C81">
        <v>150534</v>
      </c>
      <c r="D81">
        <v>21780</v>
      </c>
      <c r="E81">
        <v>2015</v>
      </c>
      <c r="F81" s="7">
        <v>4666</v>
      </c>
      <c r="G81" s="7">
        <v>3476</v>
      </c>
      <c r="H81" s="7">
        <v>14</v>
      </c>
      <c r="I81">
        <v>0.26700000000000002</v>
      </c>
      <c r="J81">
        <v>0.31</v>
      </c>
      <c r="K81">
        <v>314321</v>
      </c>
    </row>
    <row r="82" spans="1:11">
      <c r="A82" t="s">
        <v>74</v>
      </c>
      <c r="B82" t="s">
        <v>74</v>
      </c>
      <c r="C82">
        <v>129242</v>
      </c>
      <c r="D82">
        <v>35620</v>
      </c>
      <c r="E82">
        <v>2015</v>
      </c>
      <c r="F82" s="7">
        <v>1672</v>
      </c>
      <c r="G82" s="7">
        <v>1348</v>
      </c>
      <c r="H82" s="7">
        <v>9</v>
      </c>
      <c r="I82">
        <v>0.61299999999999999</v>
      </c>
      <c r="J82">
        <v>0.59399999999999997</v>
      </c>
      <c r="K82">
        <v>19833335</v>
      </c>
    </row>
    <row r="83" spans="1:11">
      <c r="A83" t="s">
        <v>1242</v>
      </c>
      <c r="B83" t="s">
        <v>75</v>
      </c>
      <c r="C83">
        <v>184603</v>
      </c>
      <c r="D83">
        <v>35620</v>
      </c>
      <c r="E83">
        <v>2015</v>
      </c>
      <c r="F83" s="7">
        <v>1828</v>
      </c>
      <c r="G83" s="7">
        <v>1155</v>
      </c>
      <c r="H83" s="7">
        <v>9</v>
      </c>
      <c r="I83">
        <v>0.20699999999999999</v>
      </c>
      <c r="J83">
        <v>0.17199999999999999</v>
      </c>
      <c r="K83">
        <v>19833335</v>
      </c>
    </row>
    <row r="84" spans="1:11">
      <c r="A84" t="s">
        <v>76</v>
      </c>
      <c r="B84" t="s">
        <v>76</v>
      </c>
      <c r="C84">
        <v>433660</v>
      </c>
      <c r="D84">
        <v>15980</v>
      </c>
      <c r="E84">
        <v>2015</v>
      </c>
      <c r="F84" s="7">
        <v>6940</v>
      </c>
      <c r="G84" s="7">
        <v>9557</v>
      </c>
      <c r="H84" s="7">
        <v>13</v>
      </c>
      <c r="I84">
        <v>0.63300000000000001</v>
      </c>
      <c r="J84">
        <v>0.42399999999999999</v>
      </c>
      <c r="K84">
        <v>686627</v>
      </c>
    </row>
    <row r="85" spans="1:11">
      <c r="A85" t="s">
        <v>77</v>
      </c>
      <c r="B85" t="s">
        <v>77</v>
      </c>
      <c r="C85">
        <v>133951</v>
      </c>
      <c r="D85">
        <v>33100</v>
      </c>
      <c r="E85">
        <v>2015</v>
      </c>
      <c r="F85" s="7">
        <v>1545</v>
      </c>
      <c r="G85" s="7">
        <v>3402</v>
      </c>
      <c r="H85" s="7">
        <v>8</v>
      </c>
      <c r="I85">
        <v>0.23300000000000001</v>
      </c>
      <c r="J85">
        <v>0.433</v>
      </c>
      <c r="K85">
        <v>5950105</v>
      </c>
    </row>
    <row r="86" spans="1:11">
      <c r="A86" t="s">
        <v>78</v>
      </c>
      <c r="B86" t="s">
        <v>78</v>
      </c>
      <c r="C86">
        <v>133669</v>
      </c>
      <c r="D86">
        <v>33100</v>
      </c>
      <c r="E86">
        <v>2015</v>
      </c>
      <c r="F86" s="7">
        <v>2883</v>
      </c>
      <c r="G86" s="7">
        <v>2230</v>
      </c>
      <c r="H86" s="7">
        <v>11</v>
      </c>
      <c r="I86">
        <v>0.6</v>
      </c>
      <c r="J86">
        <v>0.433</v>
      </c>
      <c r="K86">
        <v>5950105</v>
      </c>
    </row>
    <row r="87" spans="1:11">
      <c r="A87" t="s">
        <v>79</v>
      </c>
      <c r="B87" t="s">
        <v>79</v>
      </c>
      <c r="C87">
        <v>134130</v>
      </c>
      <c r="D87">
        <v>23540</v>
      </c>
      <c r="E87">
        <v>2015</v>
      </c>
      <c r="F87" s="7">
        <v>40833</v>
      </c>
      <c r="G87" s="7">
        <v>45843</v>
      </c>
      <c r="H87" s="7">
        <v>17</v>
      </c>
      <c r="I87">
        <v>0.875</v>
      </c>
      <c r="J87">
        <v>0.875</v>
      </c>
      <c r="K87">
        <v>320092</v>
      </c>
    </row>
    <row r="88" spans="1:11">
      <c r="A88" t="s">
        <v>80</v>
      </c>
      <c r="B88" t="s">
        <v>80</v>
      </c>
      <c r="C88">
        <v>133650</v>
      </c>
      <c r="D88">
        <v>45220</v>
      </c>
      <c r="E88">
        <v>2015</v>
      </c>
      <c r="F88" s="7">
        <v>804</v>
      </c>
      <c r="G88" s="7">
        <v>1061</v>
      </c>
      <c r="H88" s="7">
        <v>7</v>
      </c>
      <c r="I88">
        <v>0.46400000000000002</v>
      </c>
      <c r="J88">
        <v>0.65200000000000002</v>
      </c>
      <c r="K88">
        <v>375181</v>
      </c>
    </row>
    <row r="89" spans="1:11">
      <c r="A89" t="s">
        <v>81</v>
      </c>
      <c r="B89" t="s">
        <v>81</v>
      </c>
      <c r="C89">
        <v>134097</v>
      </c>
      <c r="D89">
        <v>45220</v>
      </c>
      <c r="E89">
        <v>2015</v>
      </c>
      <c r="F89" s="7">
        <v>16268</v>
      </c>
      <c r="G89" s="7">
        <v>13181</v>
      </c>
      <c r="H89" s="7">
        <v>17</v>
      </c>
      <c r="I89">
        <v>0.90900000000000003</v>
      </c>
      <c r="J89">
        <v>0.76500000000000001</v>
      </c>
      <c r="K89">
        <v>375181</v>
      </c>
    </row>
    <row r="90" spans="1:11">
      <c r="A90" t="s">
        <v>82</v>
      </c>
      <c r="B90" t="s">
        <v>82</v>
      </c>
      <c r="C90">
        <v>191241</v>
      </c>
      <c r="D90">
        <v>35620</v>
      </c>
      <c r="E90">
        <v>2015</v>
      </c>
      <c r="F90" s="7">
        <v>1723</v>
      </c>
      <c r="G90" s="7">
        <v>1552</v>
      </c>
      <c r="H90" s="7">
        <v>10</v>
      </c>
      <c r="I90">
        <v>0.107</v>
      </c>
      <c r="J90">
        <v>0.33300000000000002</v>
      </c>
      <c r="K90">
        <v>19833335</v>
      </c>
    </row>
    <row r="91" spans="1:11">
      <c r="A91" t="s">
        <v>83</v>
      </c>
      <c r="B91" t="s">
        <v>83</v>
      </c>
      <c r="C91">
        <v>110556</v>
      </c>
      <c r="D91">
        <v>23420</v>
      </c>
      <c r="E91">
        <v>2015</v>
      </c>
      <c r="F91" s="7">
        <v>7773</v>
      </c>
      <c r="G91" s="7">
        <v>13057</v>
      </c>
      <c r="H91" s="7">
        <v>9</v>
      </c>
      <c r="I91">
        <v>0.25</v>
      </c>
      <c r="J91">
        <v>0.53100000000000003</v>
      </c>
      <c r="K91">
        <v>972906</v>
      </c>
    </row>
    <row r="92" spans="1:11">
      <c r="A92" t="s">
        <v>84</v>
      </c>
      <c r="B92" t="s">
        <v>84</v>
      </c>
      <c r="C92">
        <v>218070</v>
      </c>
      <c r="D92">
        <v>24860</v>
      </c>
      <c r="E92">
        <v>2015</v>
      </c>
      <c r="F92" s="7">
        <v>4004</v>
      </c>
      <c r="G92" s="7">
        <v>5456</v>
      </c>
      <c r="H92" s="7">
        <v>9</v>
      </c>
      <c r="I92">
        <v>0.76700000000000002</v>
      </c>
      <c r="J92">
        <v>0.58599999999999997</v>
      </c>
      <c r="K92">
        <v>871980</v>
      </c>
    </row>
    <row r="93" spans="1:11">
      <c r="A93" t="s">
        <v>85</v>
      </c>
      <c r="B93" t="s">
        <v>85</v>
      </c>
      <c r="C93">
        <v>139931</v>
      </c>
      <c r="D93">
        <v>44340</v>
      </c>
      <c r="E93">
        <v>2015</v>
      </c>
      <c r="F93" s="7">
        <v>1977</v>
      </c>
      <c r="G93" s="7">
        <v>4951</v>
      </c>
      <c r="H93" s="7">
        <v>11</v>
      </c>
      <c r="I93">
        <v>0.23300000000000001</v>
      </c>
      <c r="J93">
        <v>0.82399999999999995</v>
      </c>
      <c r="K93">
        <v>73394</v>
      </c>
    </row>
    <row r="94" spans="1:11">
      <c r="A94" t="s">
        <v>86</v>
      </c>
      <c r="B94" t="s">
        <v>86</v>
      </c>
      <c r="C94">
        <v>198561</v>
      </c>
      <c r="D94">
        <v>23500</v>
      </c>
      <c r="E94">
        <v>2015</v>
      </c>
      <c r="F94" s="7">
        <v>5229</v>
      </c>
      <c r="G94" s="7">
        <v>3640</v>
      </c>
      <c r="H94" s="7">
        <v>11</v>
      </c>
      <c r="I94">
        <v>0.36399999999999999</v>
      </c>
      <c r="J94">
        <v>0.45500000000000002</v>
      </c>
      <c r="K94">
        <v>55939</v>
      </c>
    </row>
    <row r="95" spans="1:11">
      <c r="A95" t="s">
        <v>87</v>
      </c>
      <c r="B95" t="s">
        <v>87</v>
      </c>
      <c r="C95">
        <v>232186</v>
      </c>
      <c r="D95">
        <v>47900</v>
      </c>
      <c r="E95">
        <v>2015</v>
      </c>
      <c r="F95" s="7">
        <v>3200</v>
      </c>
      <c r="G95" s="7">
        <v>2908</v>
      </c>
      <c r="H95" s="7">
        <v>13</v>
      </c>
      <c r="I95">
        <v>0.222</v>
      </c>
      <c r="J95">
        <v>0.25</v>
      </c>
      <c r="K95">
        <v>6132190</v>
      </c>
    </row>
    <row r="96" spans="1:11">
      <c r="A96" t="s">
        <v>88</v>
      </c>
      <c r="B96" t="s">
        <v>88</v>
      </c>
      <c r="C96">
        <v>131469</v>
      </c>
      <c r="D96">
        <v>47900</v>
      </c>
      <c r="E96">
        <v>2015</v>
      </c>
      <c r="F96" s="7">
        <v>3753</v>
      </c>
      <c r="G96" s="7">
        <v>2847</v>
      </c>
      <c r="H96" s="7">
        <v>14</v>
      </c>
      <c r="I96">
        <v>0.73299999999999998</v>
      </c>
      <c r="J96">
        <v>0.53300000000000003</v>
      </c>
      <c r="K96">
        <v>6132190</v>
      </c>
    </row>
    <row r="97" spans="1:11">
      <c r="A97" t="s">
        <v>89</v>
      </c>
      <c r="B97" t="s">
        <v>89</v>
      </c>
      <c r="C97">
        <v>131496</v>
      </c>
      <c r="D97">
        <v>47900</v>
      </c>
      <c r="E97">
        <v>2015</v>
      </c>
      <c r="F97" s="7">
        <v>2400</v>
      </c>
      <c r="G97" s="7">
        <v>1784</v>
      </c>
      <c r="H97" s="7">
        <v>10</v>
      </c>
      <c r="I97">
        <v>0.32300000000000001</v>
      </c>
      <c r="J97">
        <v>0.34499999999999997</v>
      </c>
      <c r="K97">
        <v>6132190</v>
      </c>
    </row>
    <row r="98" spans="1:11">
      <c r="A98" t="s">
        <v>90</v>
      </c>
      <c r="B98" t="s">
        <v>90</v>
      </c>
      <c r="C98">
        <v>139959</v>
      </c>
      <c r="D98">
        <v>12020</v>
      </c>
      <c r="E98">
        <v>2015</v>
      </c>
      <c r="F98" s="7">
        <v>15264</v>
      </c>
      <c r="G98" s="7">
        <v>16544</v>
      </c>
      <c r="H98" s="7">
        <v>16</v>
      </c>
      <c r="I98">
        <v>0.45200000000000001</v>
      </c>
      <c r="J98">
        <v>0.68799999999999994</v>
      </c>
      <c r="K98">
        <v>203075</v>
      </c>
    </row>
    <row r="99" spans="1:11">
      <c r="A99" t="s">
        <v>91</v>
      </c>
      <c r="B99" t="s">
        <v>91</v>
      </c>
      <c r="C99">
        <v>139940</v>
      </c>
      <c r="D99">
        <v>12060</v>
      </c>
      <c r="E99">
        <v>2015</v>
      </c>
      <c r="F99" s="7">
        <v>3350</v>
      </c>
      <c r="G99" s="7">
        <v>2683</v>
      </c>
      <c r="H99" s="7">
        <v>11</v>
      </c>
      <c r="I99">
        <v>0.33300000000000002</v>
      </c>
      <c r="J99">
        <v>0.28100000000000003</v>
      </c>
      <c r="K99">
        <v>5695668</v>
      </c>
    </row>
    <row r="100" spans="1:11">
      <c r="A100" t="s">
        <v>92</v>
      </c>
      <c r="B100" t="s">
        <v>92</v>
      </c>
      <c r="C100">
        <v>139755</v>
      </c>
      <c r="D100">
        <v>12060</v>
      </c>
      <c r="E100">
        <v>2015</v>
      </c>
      <c r="F100" s="7">
        <v>9565</v>
      </c>
      <c r="G100" s="7">
        <v>12150</v>
      </c>
      <c r="H100" s="7">
        <v>13</v>
      </c>
      <c r="I100">
        <v>0.41899999999999998</v>
      </c>
      <c r="J100">
        <v>0.375</v>
      </c>
      <c r="K100">
        <v>5695668</v>
      </c>
    </row>
    <row r="101" spans="1:11">
      <c r="A101" t="s">
        <v>1276</v>
      </c>
      <c r="B101" t="s">
        <v>1276</v>
      </c>
      <c r="C101">
        <v>235316</v>
      </c>
      <c r="D101">
        <v>44060</v>
      </c>
      <c r="E101">
        <v>2015</v>
      </c>
      <c r="F101" s="7">
        <v>6150</v>
      </c>
      <c r="G101" s="7">
        <v>6402</v>
      </c>
      <c r="H101" s="7">
        <v>12</v>
      </c>
      <c r="I101">
        <v>0.58599999999999997</v>
      </c>
      <c r="J101">
        <v>0.40699999999999997</v>
      </c>
      <c r="K101">
        <v>539167</v>
      </c>
    </row>
    <row r="102" spans="1:11">
      <c r="A102" t="s">
        <v>93</v>
      </c>
      <c r="B102" t="s">
        <v>93</v>
      </c>
      <c r="C102">
        <v>159009</v>
      </c>
      <c r="D102">
        <v>33740</v>
      </c>
      <c r="E102">
        <v>2015</v>
      </c>
      <c r="F102" s="7">
        <v>1583</v>
      </c>
      <c r="G102" s="7">
        <v>1781</v>
      </c>
      <c r="H102" s="7">
        <v>10</v>
      </c>
      <c r="I102">
        <v>0.115</v>
      </c>
      <c r="J102">
        <v>0.16700000000000001</v>
      </c>
      <c r="K102">
        <v>209816</v>
      </c>
    </row>
    <row r="103" spans="1:11">
      <c r="A103" t="s">
        <v>94</v>
      </c>
      <c r="B103" t="s">
        <v>94</v>
      </c>
      <c r="C103">
        <v>104717</v>
      </c>
      <c r="D103">
        <v>38060</v>
      </c>
      <c r="E103">
        <v>2015</v>
      </c>
      <c r="F103" s="7">
        <v>3779</v>
      </c>
      <c r="G103" s="7">
        <v>4652</v>
      </c>
      <c r="H103" s="7">
        <v>13</v>
      </c>
      <c r="I103" t="s">
        <v>1328</v>
      </c>
      <c r="J103" t="s">
        <v>1328</v>
      </c>
      <c r="K103">
        <v>4480231</v>
      </c>
    </row>
    <row r="104" spans="1:11">
      <c r="A104" t="s">
        <v>95</v>
      </c>
      <c r="B104" t="s">
        <v>95</v>
      </c>
      <c r="C104">
        <v>240277</v>
      </c>
      <c r="D104">
        <v>24580</v>
      </c>
      <c r="E104">
        <v>2015</v>
      </c>
      <c r="F104" s="7">
        <v>3484</v>
      </c>
      <c r="G104" s="7">
        <v>3825</v>
      </c>
      <c r="H104" s="7">
        <v>10</v>
      </c>
      <c r="I104">
        <v>0.192</v>
      </c>
      <c r="J104">
        <v>0.5</v>
      </c>
      <c r="K104">
        <v>318318</v>
      </c>
    </row>
    <row r="105" spans="1:11">
      <c r="A105" t="s">
        <v>96</v>
      </c>
      <c r="B105" t="s">
        <v>96</v>
      </c>
      <c r="C105">
        <v>232265</v>
      </c>
      <c r="D105">
        <v>47260</v>
      </c>
      <c r="E105">
        <v>2015</v>
      </c>
      <c r="F105" s="7">
        <v>3220</v>
      </c>
      <c r="G105" s="7">
        <v>2140</v>
      </c>
      <c r="H105" s="7">
        <v>10</v>
      </c>
      <c r="I105">
        <v>0.65600000000000003</v>
      </c>
      <c r="J105">
        <v>0.63300000000000001</v>
      </c>
      <c r="K105">
        <v>1768553</v>
      </c>
    </row>
    <row r="106" spans="1:11">
      <c r="A106" t="s">
        <v>1277</v>
      </c>
      <c r="B106" t="s">
        <v>1277</v>
      </c>
      <c r="C106">
        <v>129525</v>
      </c>
      <c r="D106">
        <v>25540</v>
      </c>
      <c r="E106">
        <v>2015</v>
      </c>
      <c r="F106" s="7">
        <v>1935</v>
      </c>
      <c r="G106" s="7">
        <v>1413</v>
      </c>
      <c r="H106" s="7">
        <v>8</v>
      </c>
      <c r="I106">
        <v>0.56699999999999995</v>
      </c>
      <c r="J106">
        <v>0.4</v>
      </c>
      <c r="K106">
        <v>1217677</v>
      </c>
    </row>
    <row r="107" spans="1:11">
      <c r="A107" t="s">
        <v>97</v>
      </c>
      <c r="B107" t="s">
        <v>97</v>
      </c>
      <c r="C107">
        <v>166027</v>
      </c>
      <c r="D107">
        <v>14460</v>
      </c>
      <c r="E107">
        <v>2015</v>
      </c>
      <c r="F107" s="7">
        <v>4101</v>
      </c>
      <c r="G107" s="7">
        <v>3193</v>
      </c>
      <c r="H107" s="7">
        <v>12</v>
      </c>
      <c r="I107">
        <v>0.79200000000000004</v>
      </c>
      <c r="J107">
        <v>0.60899999999999999</v>
      </c>
      <c r="K107">
        <v>4812849</v>
      </c>
    </row>
    <row r="108" spans="1:11">
      <c r="A108" t="s">
        <v>98</v>
      </c>
      <c r="B108" t="s">
        <v>98</v>
      </c>
      <c r="C108">
        <v>141574</v>
      </c>
      <c r="D108">
        <v>46520</v>
      </c>
      <c r="E108">
        <v>2015</v>
      </c>
      <c r="F108" s="7">
        <v>120776</v>
      </c>
      <c r="G108" s="7">
        <v>144235</v>
      </c>
      <c r="H108" s="7">
        <v>19</v>
      </c>
      <c r="I108">
        <v>0.75900000000000001</v>
      </c>
      <c r="J108">
        <v>0.83299999999999996</v>
      </c>
      <c r="K108">
        <v>1017588</v>
      </c>
    </row>
    <row r="109" spans="1:11">
      <c r="A109" t="s">
        <v>1278</v>
      </c>
      <c r="B109" t="s">
        <v>1278</v>
      </c>
      <c r="C109">
        <v>198695</v>
      </c>
      <c r="D109">
        <v>24660</v>
      </c>
      <c r="E109">
        <v>2015</v>
      </c>
      <c r="F109" s="7">
        <v>6450</v>
      </c>
      <c r="G109" s="7">
        <v>5384</v>
      </c>
      <c r="H109" s="7">
        <v>10</v>
      </c>
      <c r="I109">
        <v>0.44800000000000001</v>
      </c>
      <c r="J109">
        <v>0.51600000000000001</v>
      </c>
      <c r="K109">
        <v>751915</v>
      </c>
    </row>
    <row r="110" spans="1:11">
      <c r="A110" t="s">
        <v>99</v>
      </c>
      <c r="B110" t="s">
        <v>99</v>
      </c>
      <c r="C110">
        <v>191649</v>
      </c>
      <c r="D110">
        <v>35620</v>
      </c>
      <c r="E110">
        <v>2015</v>
      </c>
      <c r="F110" s="7">
        <v>3887</v>
      </c>
      <c r="G110" s="7">
        <v>2290</v>
      </c>
      <c r="H110" s="7">
        <v>17</v>
      </c>
      <c r="I110">
        <v>0.82399999999999995</v>
      </c>
      <c r="J110">
        <v>0.53100000000000003</v>
      </c>
      <c r="K110">
        <v>19833335</v>
      </c>
    </row>
    <row r="111" spans="1:11">
      <c r="A111" t="s">
        <v>100</v>
      </c>
      <c r="B111" t="s">
        <v>100</v>
      </c>
      <c r="C111">
        <v>166124</v>
      </c>
      <c r="D111">
        <v>49340</v>
      </c>
      <c r="E111">
        <v>2015</v>
      </c>
      <c r="F111" s="7">
        <v>1800</v>
      </c>
      <c r="G111" s="7">
        <v>1639</v>
      </c>
      <c r="H111" s="7">
        <v>10</v>
      </c>
      <c r="I111">
        <v>0.25900000000000001</v>
      </c>
      <c r="J111">
        <v>0.25</v>
      </c>
      <c r="K111">
        <v>951907</v>
      </c>
    </row>
    <row r="112" spans="1:11">
      <c r="A112" t="s">
        <v>101</v>
      </c>
      <c r="B112" t="s">
        <v>101</v>
      </c>
      <c r="C112">
        <v>225511</v>
      </c>
      <c r="D112">
        <v>26420</v>
      </c>
      <c r="E112">
        <v>2015</v>
      </c>
      <c r="F112" s="7">
        <v>5973</v>
      </c>
      <c r="G112" s="7">
        <v>7922</v>
      </c>
      <c r="H112" s="7">
        <v>16</v>
      </c>
      <c r="I112">
        <v>0.438</v>
      </c>
      <c r="J112">
        <v>0.54500000000000004</v>
      </c>
      <c r="K112">
        <v>6663204</v>
      </c>
    </row>
    <row r="113" spans="1:11">
      <c r="A113" t="s">
        <v>1243</v>
      </c>
      <c r="B113" t="s">
        <v>102</v>
      </c>
      <c r="C113">
        <v>225399</v>
      </c>
      <c r="D113">
        <v>26420</v>
      </c>
      <c r="E113">
        <v>2015</v>
      </c>
      <c r="F113" s="7">
        <v>5678</v>
      </c>
      <c r="G113" s="7">
        <v>4889</v>
      </c>
      <c r="H113" s="7">
        <v>12</v>
      </c>
      <c r="I113">
        <v>0.46899999999999997</v>
      </c>
      <c r="J113">
        <v>0.45500000000000002</v>
      </c>
      <c r="K113">
        <v>6663204</v>
      </c>
    </row>
    <row r="114" spans="1:11">
      <c r="A114" t="s">
        <v>103</v>
      </c>
      <c r="B114" t="s">
        <v>103</v>
      </c>
      <c r="C114">
        <v>131520</v>
      </c>
      <c r="D114">
        <v>47900</v>
      </c>
      <c r="E114">
        <v>2015</v>
      </c>
      <c r="F114" s="7">
        <v>939</v>
      </c>
      <c r="G114" s="7">
        <v>895</v>
      </c>
      <c r="H114" s="7">
        <v>7</v>
      </c>
      <c r="I114">
        <v>0.64500000000000002</v>
      </c>
      <c r="J114">
        <v>0.65600000000000003</v>
      </c>
      <c r="K114">
        <v>6132190</v>
      </c>
    </row>
    <row r="115" spans="1:11">
      <c r="A115" t="s">
        <v>1279</v>
      </c>
      <c r="B115" t="s">
        <v>1279</v>
      </c>
      <c r="C115">
        <v>142285</v>
      </c>
      <c r="D115">
        <v>34140</v>
      </c>
      <c r="E115">
        <v>2015</v>
      </c>
      <c r="F115" s="7">
        <v>7499</v>
      </c>
      <c r="G115" s="7">
        <v>5157</v>
      </c>
      <c r="H115" s="7">
        <v>11</v>
      </c>
      <c r="I115">
        <v>0.51700000000000002</v>
      </c>
      <c r="J115">
        <v>0.63300000000000001</v>
      </c>
      <c r="K115">
        <v>38271</v>
      </c>
    </row>
    <row r="116" spans="1:11">
      <c r="A116" t="s">
        <v>104</v>
      </c>
      <c r="B116" t="s">
        <v>104</v>
      </c>
      <c r="C116">
        <v>142276</v>
      </c>
      <c r="D116">
        <v>38540</v>
      </c>
      <c r="E116">
        <v>2015</v>
      </c>
      <c r="F116" s="7">
        <v>8859</v>
      </c>
      <c r="G116" s="7">
        <v>5652</v>
      </c>
      <c r="H116" s="7">
        <v>12</v>
      </c>
      <c r="I116">
        <v>0.71899999999999997</v>
      </c>
      <c r="J116">
        <v>0.65700000000000003</v>
      </c>
      <c r="K116">
        <v>91228</v>
      </c>
    </row>
    <row r="117" spans="1:11">
      <c r="A117" t="s">
        <v>105</v>
      </c>
      <c r="B117" t="s">
        <v>105</v>
      </c>
      <c r="C117">
        <v>145637</v>
      </c>
      <c r="D117">
        <v>16580</v>
      </c>
      <c r="E117">
        <v>2015</v>
      </c>
      <c r="F117" s="7">
        <v>45410</v>
      </c>
      <c r="G117" s="7">
        <v>49871</v>
      </c>
      <c r="H117" s="7">
        <v>15</v>
      </c>
      <c r="I117">
        <v>0.76500000000000001</v>
      </c>
      <c r="J117">
        <v>0.54500000000000004</v>
      </c>
      <c r="K117">
        <v>224157</v>
      </c>
    </row>
    <row r="118" spans="1:11">
      <c r="A118" t="s">
        <v>106</v>
      </c>
      <c r="B118" t="s">
        <v>106</v>
      </c>
      <c r="C118">
        <v>145813</v>
      </c>
      <c r="D118">
        <v>14010</v>
      </c>
      <c r="E118">
        <v>2015</v>
      </c>
      <c r="F118" s="7">
        <v>10638</v>
      </c>
      <c r="G118" s="7">
        <v>8427</v>
      </c>
      <c r="H118" s="7">
        <v>10</v>
      </c>
      <c r="I118">
        <v>0.81799999999999995</v>
      </c>
      <c r="J118">
        <v>0.59399999999999997</v>
      </c>
      <c r="K118">
        <v>173015</v>
      </c>
    </row>
    <row r="119" spans="1:11">
      <c r="A119" t="s">
        <v>108</v>
      </c>
      <c r="B119" t="s">
        <v>108</v>
      </c>
      <c r="C119">
        <v>151351</v>
      </c>
      <c r="D119">
        <v>14020</v>
      </c>
      <c r="E119">
        <v>2015</v>
      </c>
      <c r="F119" s="7">
        <v>13510</v>
      </c>
      <c r="G119" s="7">
        <v>13130</v>
      </c>
      <c r="H119" s="7">
        <v>16</v>
      </c>
      <c r="I119">
        <v>0.46899999999999997</v>
      </c>
      <c r="J119">
        <v>0.28999999999999998</v>
      </c>
      <c r="K119">
        <v>161009</v>
      </c>
    </row>
    <row r="120" spans="1:11">
      <c r="A120" t="s">
        <v>109</v>
      </c>
      <c r="B120" t="s">
        <v>109</v>
      </c>
      <c r="C120">
        <v>151324</v>
      </c>
      <c r="D120">
        <v>45460</v>
      </c>
      <c r="E120">
        <v>2015</v>
      </c>
      <c r="F120" s="7">
        <v>3555</v>
      </c>
      <c r="G120" s="7">
        <v>2025</v>
      </c>
      <c r="H120" s="7">
        <v>13</v>
      </c>
      <c r="I120">
        <v>0.54800000000000004</v>
      </c>
      <c r="J120">
        <v>0.433</v>
      </c>
      <c r="K120">
        <v>187068</v>
      </c>
    </row>
    <row r="121" spans="1:11">
      <c r="A121" t="s">
        <v>110</v>
      </c>
      <c r="B121" t="s">
        <v>110</v>
      </c>
      <c r="C121">
        <v>191931</v>
      </c>
      <c r="D121">
        <v>35620</v>
      </c>
      <c r="E121">
        <v>2015</v>
      </c>
      <c r="F121" s="7">
        <v>2139</v>
      </c>
      <c r="G121" s="7">
        <v>2042</v>
      </c>
      <c r="H121" s="7">
        <v>13</v>
      </c>
      <c r="I121">
        <v>0.29399999999999998</v>
      </c>
      <c r="J121">
        <v>0.53300000000000003</v>
      </c>
      <c r="K121">
        <v>19833335</v>
      </c>
    </row>
    <row r="122" spans="1:11">
      <c r="A122" t="s">
        <v>111</v>
      </c>
      <c r="B122" t="s">
        <v>111</v>
      </c>
      <c r="C122">
        <v>153658</v>
      </c>
      <c r="D122">
        <v>26980</v>
      </c>
      <c r="E122">
        <v>2015</v>
      </c>
      <c r="F122" s="7">
        <v>13752</v>
      </c>
      <c r="G122" s="7">
        <v>16628</v>
      </c>
      <c r="H122" s="7">
        <v>10</v>
      </c>
      <c r="I122">
        <v>0.45200000000000001</v>
      </c>
      <c r="J122">
        <v>0.34399999999999997</v>
      </c>
      <c r="K122">
        <v>167228</v>
      </c>
    </row>
    <row r="123" spans="1:11">
      <c r="A123" t="s">
        <v>112</v>
      </c>
      <c r="B123" t="s">
        <v>112</v>
      </c>
      <c r="C123">
        <v>153603</v>
      </c>
      <c r="D123">
        <v>11180</v>
      </c>
      <c r="E123">
        <v>2015</v>
      </c>
      <c r="F123" s="7">
        <v>34172</v>
      </c>
      <c r="G123" s="7">
        <v>29703</v>
      </c>
      <c r="H123" s="7">
        <v>14</v>
      </c>
      <c r="I123">
        <v>0.65500000000000003</v>
      </c>
      <c r="J123">
        <v>0.64300000000000002</v>
      </c>
      <c r="K123">
        <v>123658</v>
      </c>
    </row>
    <row r="124" spans="1:11">
      <c r="A124" t="s">
        <v>113</v>
      </c>
      <c r="B124" t="s">
        <v>113</v>
      </c>
      <c r="C124">
        <v>151111</v>
      </c>
      <c r="D124">
        <v>26900</v>
      </c>
      <c r="E124">
        <v>2015</v>
      </c>
      <c r="F124" s="7" t="s">
        <v>1328</v>
      </c>
      <c r="G124" s="7" t="s">
        <v>1328</v>
      </c>
      <c r="H124" s="7" t="s">
        <v>1328</v>
      </c>
      <c r="I124" t="s">
        <v>1328</v>
      </c>
      <c r="J124" t="s">
        <v>1328</v>
      </c>
      <c r="K124">
        <v>1999191</v>
      </c>
    </row>
    <row r="125" spans="1:11">
      <c r="A125" t="s">
        <v>114</v>
      </c>
      <c r="B125" t="s">
        <v>114</v>
      </c>
      <c r="C125">
        <v>175856</v>
      </c>
      <c r="D125">
        <v>27140</v>
      </c>
      <c r="E125">
        <v>2015</v>
      </c>
      <c r="F125" s="7">
        <v>3291</v>
      </c>
      <c r="G125" s="7">
        <v>2650</v>
      </c>
      <c r="H125" s="7">
        <v>7</v>
      </c>
      <c r="I125">
        <v>0.34399999999999997</v>
      </c>
      <c r="J125">
        <v>0.34399999999999997</v>
      </c>
      <c r="K125">
        <v>598752</v>
      </c>
    </row>
    <row r="126" spans="1:11">
      <c r="A126" t="s">
        <v>115</v>
      </c>
      <c r="B126" t="s">
        <v>115</v>
      </c>
      <c r="C126">
        <v>134945</v>
      </c>
      <c r="D126">
        <v>27260</v>
      </c>
      <c r="E126">
        <v>2015</v>
      </c>
      <c r="F126" s="7">
        <v>2075</v>
      </c>
      <c r="G126" s="7">
        <v>2542</v>
      </c>
      <c r="H126" s="7">
        <v>14</v>
      </c>
      <c r="I126">
        <v>0.55900000000000005</v>
      </c>
      <c r="J126">
        <v>0.88200000000000001</v>
      </c>
      <c r="K126">
        <v>1457992</v>
      </c>
    </row>
    <row r="127" spans="1:11">
      <c r="A127" t="s">
        <v>116</v>
      </c>
      <c r="B127" t="s">
        <v>116</v>
      </c>
      <c r="C127">
        <v>101480</v>
      </c>
      <c r="D127">
        <v>11500</v>
      </c>
      <c r="E127">
        <v>2015</v>
      </c>
      <c r="F127" s="7">
        <v>3384</v>
      </c>
      <c r="G127" s="7">
        <v>1617</v>
      </c>
      <c r="H127" s="7">
        <v>10</v>
      </c>
      <c r="I127">
        <v>0.52900000000000003</v>
      </c>
      <c r="J127">
        <v>0.41899999999999998</v>
      </c>
      <c r="K127">
        <v>116986</v>
      </c>
    </row>
    <row r="128" spans="1:11">
      <c r="A128" t="s">
        <v>117</v>
      </c>
      <c r="B128" t="s">
        <v>117</v>
      </c>
      <c r="C128">
        <v>232423</v>
      </c>
      <c r="D128">
        <v>25500</v>
      </c>
      <c r="E128">
        <v>2015</v>
      </c>
      <c r="F128" s="7">
        <v>4338</v>
      </c>
      <c r="G128" s="7">
        <v>4423</v>
      </c>
      <c r="H128" s="7">
        <v>15</v>
      </c>
      <c r="I128">
        <v>0.54800000000000004</v>
      </c>
      <c r="J128">
        <v>0.46400000000000002</v>
      </c>
      <c r="K128">
        <v>131186</v>
      </c>
    </row>
    <row r="129" spans="1:11">
      <c r="A129" t="s">
        <v>118</v>
      </c>
      <c r="B129" t="s">
        <v>118</v>
      </c>
      <c r="C129">
        <v>155317</v>
      </c>
      <c r="D129">
        <v>29940</v>
      </c>
      <c r="E129">
        <v>2015</v>
      </c>
      <c r="F129" s="7">
        <v>19283</v>
      </c>
      <c r="G129" s="7">
        <v>24733</v>
      </c>
      <c r="H129" s="7">
        <v>16</v>
      </c>
      <c r="I129">
        <v>0.71</v>
      </c>
      <c r="J129">
        <v>0.75800000000000001</v>
      </c>
      <c r="K129">
        <v>116291</v>
      </c>
    </row>
    <row r="130" spans="1:11">
      <c r="A130" t="s">
        <v>1250</v>
      </c>
      <c r="B130" t="s">
        <v>267</v>
      </c>
      <c r="C130">
        <v>178402</v>
      </c>
      <c r="D130">
        <v>28140</v>
      </c>
      <c r="E130">
        <v>2015</v>
      </c>
      <c r="F130" s="7">
        <v>3796</v>
      </c>
      <c r="G130" s="7">
        <v>3637</v>
      </c>
      <c r="H130" s="7">
        <v>9</v>
      </c>
      <c r="I130">
        <v>0.8</v>
      </c>
      <c r="J130">
        <v>0.51700000000000002</v>
      </c>
      <c r="K130">
        <v>2098230</v>
      </c>
    </row>
    <row r="131" spans="1:11">
      <c r="A131" t="s">
        <v>1280</v>
      </c>
      <c r="B131" t="s">
        <v>1280</v>
      </c>
      <c r="C131">
        <v>155399</v>
      </c>
      <c r="D131">
        <v>31740</v>
      </c>
      <c r="E131">
        <v>2015</v>
      </c>
      <c r="F131" s="7">
        <v>30759</v>
      </c>
      <c r="G131" s="7">
        <v>26573</v>
      </c>
      <c r="H131" s="7">
        <v>13</v>
      </c>
      <c r="I131">
        <v>0.71</v>
      </c>
      <c r="J131">
        <v>0.621</v>
      </c>
      <c r="K131">
        <v>139373</v>
      </c>
    </row>
    <row r="132" spans="1:11">
      <c r="A132" t="s">
        <v>119</v>
      </c>
      <c r="B132" t="s">
        <v>119</v>
      </c>
      <c r="C132">
        <v>486840</v>
      </c>
      <c r="D132">
        <v>12060</v>
      </c>
      <c r="E132">
        <v>2015</v>
      </c>
      <c r="F132" s="7">
        <v>5176</v>
      </c>
      <c r="G132" s="7">
        <v>5325</v>
      </c>
      <c r="H132" s="7">
        <v>10</v>
      </c>
      <c r="I132">
        <v>0.34499999999999997</v>
      </c>
      <c r="J132">
        <v>0.433</v>
      </c>
      <c r="K132">
        <v>5695668</v>
      </c>
    </row>
    <row r="133" spans="1:11">
      <c r="A133" t="s">
        <v>120</v>
      </c>
      <c r="B133" t="s">
        <v>120</v>
      </c>
      <c r="C133">
        <v>203517</v>
      </c>
      <c r="D133">
        <v>10420</v>
      </c>
      <c r="E133">
        <v>2015</v>
      </c>
      <c r="F133" s="7">
        <v>3968</v>
      </c>
      <c r="G133" s="7">
        <v>3972</v>
      </c>
      <c r="H133" s="7">
        <v>12</v>
      </c>
      <c r="I133">
        <v>0.54800000000000004</v>
      </c>
      <c r="J133">
        <v>0.4</v>
      </c>
      <c r="K133">
        <v>704604</v>
      </c>
    </row>
    <row r="134" spans="1:11">
      <c r="A134" t="s">
        <v>121</v>
      </c>
      <c r="B134" t="s">
        <v>121</v>
      </c>
      <c r="C134">
        <v>157085</v>
      </c>
      <c r="D134">
        <v>30460</v>
      </c>
      <c r="E134">
        <v>2015</v>
      </c>
      <c r="F134" s="7">
        <v>30453</v>
      </c>
      <c r="G134" s="7">
        <v>26806</v>
      </c>
      <c r="H134" s="7">
        <v>20</v>
      </c>
      <c r="I134">
        <v>0.81799999999999995</v>
      </c>
      <c r="J134">
        <v>0.71</v>
      </c>
      <c r="K134">
        <v>500115</v>
      </c>
    </row>
    <row r="135" spans="1:11">
      <c r="A135" t="s">
        <v>1281</v>
      </c>
      <c r="B135" t="s">
        <v>1281</v>
      </c>
      <c r="C135">
        <v>213367</v>
      </c>
      <c r="D135">
        <v>37980</v>
      </c>
      <c r="E135">
        <v>2015</v>
      </c>
      <c r="F135" s="7">
        <v>1184</v>
      </c>
      <c r="G135" s="7">
        <v>1021</v>
      </c>
      <c r="H135" s="7">
        <v>13</v>
      </c>
      <c r="I135">
        <v>0.32300000000000001</v>
      </c>
      <c r="J135">
        <v>3.1E-2</v>
      </c>
      <c r="K135">
        <v>6130446</v>
      </c>
    </row>
    <row r="136" spans="1:11">
      <c r="A136" t="s">
        <v>123</v>
      </c>
      <c r="B136" t="s">
        <v>123</v>
      </c>
      <c r="C136">
        <v>213385</v>
      </c>
      <c r="D136">
        <v>10900</v>
      </c>
      <c r="E136">
        <v>2015</v>
      </c>
      <c r="F136" s="7">
        <v>1710</v>
      </c>
      <c r="G136" s="7">
        <v>1887</v>
      </c>
      <c r="H136" s="7">
        <v>13</v>
      </c>
      <c r="I136">
        <v>0.214</v>
      </c>
      <c r="J136">
        <v>0.40699999999999997</v>
      </c>
      <c r="K136">
        <v>838657</v>
      </c>
    </row>
    <row r="137" spans="1:11">
      <c r="A137" t="s">
        <v>124</v>
      </c>
      <c r="B137" t="s">
        <v>124</v>
      </c>
      <c r="C137">
        <v>226091</v>
      </c>
      <c r="D137">
        <v>13140</v>
      </c>
      <c r="E137">
        <v>2015</v>
      </c>
      <c r="F137" s="7">
        <v>2167</v>
      </c>
      <c r="G137" s="7">
        <v>3963</v>
      </c>
      <c r="H137" s="7">
        <v>8</v>
      </c>
      <c r="I137">
        <v>0.17899999999999999</v>
      </c>
      <c r="J137">
        <v>0.3</v>
      </c>
      <c r="K137">
        <v>397955</v>
      </c>
    </row>
    <row r="138" spans="1:11">
      <c r="A138" t="s">
        <v>125</v>
      </c>
      <c r="B138" t="s">
        <v>125</v>
      </c>
      <c r="C138">
        <v>213543</v>
      </c>
      <c r="D138">
        <v>10900</v>
      </c>
      <c r="E138">
        <v>2015</v>
      </c>
      <c r="F138" s="7">
        <v>2293</v>
      </c>
      <c r="G138" s="7" t="s">
        <v>1328</v>
      </c>
      <c r="H138" s="7">
        <v>12</v>
      </c>
      <c r="I138">
        <v>0.68799999999999994</v>
      </c>
      <c r="J138">
        <v>0.69</v>
      </c>
      <c r="K138">
        <v>838657</v>
      </c>
    </row>
    <row r="139" spans="1:11">
      <c r="A139" t="s">
        <v>126</v>
      </c>
      <c r="B139" t="s">
        <v>126</v>
      </c>
      <c r="C139">
        <v>232557</v>
      </c>
      <c r="D139">
        <v>31340</v>
      </c>
      <c r="E139">
        <v>2015</v>
      </c>
      <c r="F139" s="7">
        <v>4678</v>
      </c>
      <c r="G139" s="7">
        <v>5814</v>
      </c>
      <c r="H139" s="7">
        <v>13</v>
      </c>
      <c r="I139">
        <v>0.69699999999999995</v>
      </c>
      <c r="J139">
        <v>0.379</v>
      </c>
      <c r="K139">
        <v>258067</v>
      </c>
    </row>
    <row r="140" spans="1:11">
      <c r="A140" t="s">
        <v>127</v>
      </c>
      <c r="B140" t="s">
        <v>127</v>
      </c>
      <c r="C140">
        <v>219976</v>
      </c>
      <c r="D140">
        <v>34980</v>
      </c>
      <c r="E140">
        <v>2015</v>
      </c>
      <c r="F140" s="7">
        <v>3410</v>
      </c>
      <c r="G140" s="7">
        <v>3959</v>
      </c>
      <c r="H140" s="7">
        <v>12</v>
      </c>
      <c r="I140">
        <v>0.7</v>
      </c>
      <c r="J140">
        <v>0.74199999999999999</v>
      </c>
      <c r="K140">
        <v>1824091</v>
      </c>
    </row>
    <row r="141" spans="1:11">
      <c r="A141" t="s">
        <v>1282</v>
      </c>
      <c r="B141" t="s">
        <v>1282</v>
      </c>
      <c r="C141">
        <v>106245</v>
      </c>
      <c r="D141">
        <v>30780</v>
      </c>
      <c r="E141">
        <v>2015</v>
      </c>
      <c r="F141" s="7">
        <v>4634</v>
      </c>
      <c r="G141" s="7">
        <v>2864</v>
      </c>
      <c r="H141" s="7">
        <v>11</v>
      </c>
      <c r="I141">
        <v>0.85699999999999998</v>
      </c>
      <c r="J141">
        <v>0.64500000000000002</v>
      </c>
      <c r="K141">
        <v>732412</v>
      </c>
    </row>
    <row r="142" spans="1:11">
      <c r="A142" t="s">
        <v>1246</v>
      </c>
      <c r="B142" t="s">
        <v>128</v>
      </c>
      <c r="C142">
        <v>192448</v>
      </c>
      <c r="D142">
        <v>35620</v>
      </c>
      <c r="E142">
        <v>2015</v>
      </c>
      <c r="F142" s="7">
        <v>2705</v>
      </c>
      <c r="G142" s="7">
        <v>2112</v>
      </c>
      <c r="H142" s="7">
        <v>13</v>
      </c>
      <c r="I142">
        <v>0.78100000000000003</v>
      </c>
      <c r="J142">
        <v>0.74199999999999999</v>
      </c>
      <c r="K142">
        <v>19833335</v>
      </c>
    </row>
    <row r="143" spans="1:11">
      <c r="A143" t="s">
        <v>129</v>
      </c>
      <c r="B143" t="s">
        <v>129</v>
      </c>
      <c r="C143">
        <v>117946</v>
      </c>
      <c r="D143">
        <v>31080</v>
      </c>
      <c r="E143">
        <v>2015</v>
      </c>
      <c r="F143" s="7">
        <v>4708</v>
      </c>
      <c r="G143" s="7">
        <v>4010</v>
      </c>
      <c r="H143" s="7">
        <v>14</v>
      </c>
      <c r="I143">
        <v>0.74199999999999999</v>
      </c>
      <c r="J143">
        <v>0.5</v>
      </c>
      <c r="K143">
        <v>13258364</v>
      </c>
    </row>
    <row r="144" spans="1:11">
      <c r="A144" t="s">
        <v>130</v>
      </c>
      <c r="B144" t="s">
        <v>130</v>
      </c>
      <c r="C144">
        <v>110583</v>
      </c>
      <c r="D144">
        <v>31080</v>
      </c>
      <c r="E144">
        <v>2015</v>
      </c>
      <c r="F144" s="7">
        <v>17708</v>
      </c>
      <c r="G144" s="7">
        <v>18006</v>
      </c>
      <c r="H144" s="7">
        <v>16</v>
      </c>
      <c r="I144">
        <v>0.84399999999999997</v>
      </c>
      <c r="J144">
        <v>0.621</v>
      </c>
      <c r="K144">
        <v>13258364</v>
      </c>
    </row>
    <row r="145" spans="1:11">
      <c r="A145" t="s">
        <v>131</v>
      </c>
      <c r="B145" t="s">
        <v>131</v>
      </c>
      <c r="C145">
        <v>232566</v>
      </c>
      <c r="D145">
        <v>40060</v>
      </c>
      <c r="E145">
        <v>2015</v>
      </c>
      <c r="F145" s="7" t="s">
        <v>1328</v>
      </c>
      <c r="G145" s="7" t="s">
        <v>1328</v>
      </c>
      <c r="H145" s="7" t="s">
        <v>1328</v>
      </c>
      <c r="I145" t="s">
        <v>1328</v>
      </c>
      <c r="J145" t="s">
        <v>1328</v>
      </c>
      <c r="K145">
        <v>1254013</v>
      </c>
    </row>
    <row r="146" spans="1:11">
      <c r="A146" t="s">
        <v>132</v>
      </c>
      <c r="B146" t="s">
        <v>132</v>
      </c>
      <c r="C146">
        <v>160658</v>
      </c>
      <c r="D146">
        <v>29180</v>
      </c>
      <c r="E146">
        <v>2015</v>
      </c>
      <c r="F146" s="7">
        <v>5060</v>
      </c>
      <c r="G146" s="7">
        <v>4834</v>
      </c>
      <c r="H146" s="7">
        <v>15</v>
      </c>
      <c r="I146">
        <v>0.60599999999999998</v>
      </c>
      <c r="J146">
        <v>0.57599999999999996</v>
      </c>
      <c r="K146">
        <v>483623</v>
      </c>
    </row>
    <row r="147" spans="1:11">
      <c r="A147" t="s">
        <v>133</v>
      </c>
      <c r="B147" t="s">
        <v>133</v>
      </c>
      <c r="C147">
        <v>159647</v>
      </c>
      <c r="D147">
        <v>40820</v>
      </c>
      <c r="E147">
        <v>2015</v>
      </c>
      <c r="F147" s="7">
        <v>2314</v>
      </c>
      <c r="G147" s="7">
        <v>2308</v>
      </c>
      <c r="H147" s="7">
        <v>12</v>
      </c>
      <c r="I147">
        <v>0.3</v>
      </c>
      <c r="J147">
        <v>0.24099999999999999</v>
      </c>
      <c r="K147">
        <v>48361</v>
      </c>
    </row>
    <row r="148" spans="1:11">
      <c r="A148" t="s">
        <v>134</v>
      </c>
      <c r="B148" t="s">
        <v>134</v>
      </c>
      <c r="C148">
        <v>157289</v>
      </c>
      <c r="D148">
        <v>31140</v>
      </c>
      <c r="E148">
        <v>2015</v>
      </c>
      <c r="F148" s="7">
        <v>26352</v>
      </c>
      <c r="G148" s="7">
        <v>20193</v>
      </c>
      <c r="H148" s="7">
        <v>13</v>
      </c>
      <c r="I148">
        <v>0.5</v>
      </c>
      <c r="J148">
        <v>0.74199999999999999</v>
      </c>
      <c r="K148">
        <v>1255485</v>
      </c>
    </row>
    <row r="149" spans="1:11">
      <c r="A149" t="s">
        <v>135</v>
      </c>
      <c r="B149" t="s">
        <v>135</v>
      </c>
      <c r="C149">
        <v>146719</v>
      </c>
      <c r="D149">
        <v>16980</v>
      </c>
      <c r="E149">
        <v>2015</v>
      </c>
      <c r="F149" s="7">
        <v>2772</v>
      </c>
      <c r="G149" s="7">
        <v>3247</v>
      </c>
      <c r="H149" s="7">
        <v>9</v>
      </c>
      <c r="I149">
        <v>0.32100000000000001</v>
      </c>
      <c r="J149">
        <v>0.41899999999999998</v>
      </c>
      <c r="K149">
        <v>9654044</v>
      </c>
    </row>
    <row r="150" spans="1:11">
      <c r="A150" t="s">
        <v>1283</v>
      </c>
      <c r="B150" t="s">
        <v>1283</v>
      </c>
      <c r="C150">
        <v>163046</v>
      </c>
      <c r="D150">
        <v>12580</v>
      </c>
      <c r="E150">
        <v>2015</v>
      </c>
      <c r="F150" s="7">
        <v>1558</v>
      </c>
      <c r="G150" s="7">
        <v>1842</v>
      </c>
      <c r="H150" s="7">
        <v>12</v>
      </c>
      <c r="I150">
        <v>6.9000000000000006E-2</v>
      </c>
      <c r="J150">
        <v>0.28599999999999998</v>
      </c>
      <c r="K150">
        <v>2812930</v>
      </c>
    </row>
    <row r="151" spans="1:11">
      <c r="A151" t="s">
        <v>136</v>
      </c>
      <c r="B151" t="s">
        <v>136</v>
      </c>
      <c r="C151">
        <v>159391</v>
      </c>
      <c r="D151">
        <v>12940</v>
      </c>
      <c r="E151">
        <v>2015</v>
      </c>
      <c r="F151" s="7">
        <v>9027</v>
      </c>
      <c r="G151" s="7">
        <v>11541</v>
      </c>
      <c r="H151" s="7">
        <v>9</v>
      </c>
      <c r="I151">
        <v>0.69</v>
      </c>
      <c r="J151">
        <v>0.59399999999999997</v>
      </c>
      <c r="K151">
        <v>857794</v>
      </c>
    </row>
    <row r="152" spans="1:11">
      <c r="A152" t="s">
        <v>137</v>
      </c>
      <c r="B152" t="s">
        <v>137</v>
      </c>
      <c r="C152">
        <v>161253</v>
      </c>
      <c r="D152">
        <v>12620</v>
      </c>
      <c r="E152">
        <v>2015</v>
      </c>
      <c r="F152" s="7" t="s">
        <v>1328</v>
      </c>
      <c r="G152" s="7" t="s">
        <v>1328</v>
      </c>
      <c r="H152" s="7" t="s">
        <v>1328</v>
      </c>
      <c r="I152" t="s">
        <v>1328</v>
      </c>
      <c r="J152" t="s">
        <v>1328</v>
      </c>
      <c r="K152">
        <v>152276</v>
      </c>
    </row>
    <row r="153" spans="1:11">
      <c r="A153" t="s">
        <v>138</v>
      </c>
      <c r="B153" t="s">
        <v>138</v>
      </c>
      <c r="C153">
        <v>192703</v>
      </c>
      <c r="D153">
        <v>35620</v>
      </c>
      <c r="E153">
        <v>2015</v>
      </c>
      <c r="F153" s="7">
        <v>1966</v>
      </c>
      <c r="G153" s="7">
        <v>1826</v>
      </c>
      <c r="H153" s="7">
        <v>12</v>
      </c>
      <c r="I153">
        <v>0.61799999999999999</v>
      </c>
      <c r="J153">
        <v>0.60599999999999998</v>
      </c>
      <c r="K153">
        <v>19833335</v>
      </c>
    </row>
    <row r="154" spans="1:11">
      <c r="A154" t="s">
        <v>139</v>
      </c>
      <c r="B154" t="s">
        <v>139</v>
      </c>
      <c r="C154">
        <v>192819</v>
      </c>
      <c r="D154">
        <v>39100</v>
      </c>
      <c r="E154">
        <v>2015</v>
      </c>
      <c r="F154" s="7">
        <v>2472</v>
      </c>
      <c r="G154" s="7">
        <v>2643</v>
      </c>
      <c r="H154" s="7">
        <v>10</v>
      </c>
      <c r="I154">
        <v>0.80600000000000005</v>
      </c>
      <c r="J154">
        <v>0.7</v>
      </c>
      <c r="K154">
        <v>679582</v>
      </c>
    </row>
    <row r="155" spans="1:11">
      <c r="A155" t="s">
        <v>1284</v>
      </c>
      <c r="B155" t="s">
        <v>1284</v>
      </c>
      <c r="C155">
        <v>239105</v>
      </c>
      <c r="D155">
        <v>33340</v>
      </c>
      <c r="E155">
        <v>2015</v>
      </c>
      <c r="F155" s="7">
        <v>10487</v>
      </c>
      <c r="G155" s="7">
        <v>6964</v>
      </c>
      <c r="H155" s="7">
        <v>14</v>
      </c>
      <c r="I155">
        <v>0.72699999999999998</v>
      </c>
      <c r="J155">
        <v>0.81299999999999994</v>
      </c>
      <c r="K155">
        <v>1574944</v>
      </c>
    </row>
    <row r="156" spans="1:11">
      <c r="A156" t="s">
        <v>140</v>
      </c>
      <c r="B156" t="s">
        <v>140</v>
      </c>
      <c r="C156">
        <v>237525</v>
      </c>
      <c r="D156">
        <v>26580</v>
      </c>
      <c r="E156">
        <v>2015</v>
      </c>
      <c r="F156" s="7">
        <v>6642</v>
      </c>
      <c r="G156" s="7">
        <v>4611</v>
      </c>
      <c r="H156" s="7">
        <v>13</v>
      </c>
      <c r="I156">
        <v>0.5</v>
      </c>
      <c r="J156">
        <v>0.5</v>
      </c>
      <c r="K156">
        <v>370119</v>
      </c>
    </row>
    <row r="157" spans="1:11">
      <c r="A157" t="s">
        <v>141</v>
      </c>
      <c r="B157" t="s">
        <v>141</v>
      </c>
      <c r="C157">
        <v>163286</v>
      </c>
      <c r="D157">
        <v>47900</v>
      </c>
      <c r="E157">
        <v>2015</v>
      </c>
      <c r="F157" s="7">
        <v>15387</v>
      </c>
      <c r="G157" s="7">
        <v>5375</v>
      </c>
      <c r="H157" s="7">
        <v>10</v>
      </c>
      <c r="I157">
        <v>0.32300000000000001</v>
      </c>
      <c r="J157">
        <v>0.40600000000000003</v>
      </c>
      <c r="K157">
        <v>6132190</v>
      </c>
    </row>
    <row r="158" spans="1:11">
      <c r="A158" t="s">
        <v>142</v>
      </c>
      <c r="B158" t="s">
        <v>142</v>
      </c>
      <c r="C158">
        <v>166629</v>
      </c>
      <c r="D158">
        <v>44140</v>
      </c>
      <c r="E158">
        <v>2015</v>
      </c>
      <c r="F158" s="7" t="s">
        <v>1328</v>
      </c>
      <c r="G158" s="7" t="s">
        <v>1328</v>
      </c>
      <c r="H158" s="7" t="s">
        <v>1328</v>
      </c>
      <c r="I158" t="s">
        <v>1328</v>
      </c>
      <c r="J158" t="s">
        <v>1328</v>
      </c>
      <c r="K158">
        <v>702416</v>
      </c>
    </row>
    <row r="159" spans="1:11">
      <c r="A159" t="s">
        <v>143</v>
      </c>
      <c r="B159" t="s">
        <v>143</v>
      </c>
      <c r="C159">
        <v>159717</v>
      </c>
      <c r="D159">
        <v>29340</v>
      </c>
      <c r="E159">
        <v>2015</v>
      </c>
      <c r="F159" s="7">
        <v>2825</v>
      </c>
      <c r="G159" s="7">
        <v>2501</v>
      </c>
      <c r="H159" s="7">
        <v>16</v>
      </c>
      <c r="I159">
        <v>0.46899999999999997</v>
      </c>
      <c r="J159">
        <v>0.51500000000000001</v>
      </c>
      <c r="K159">
        <v>211543</v>
      </c>
    </row>
    <row r="160" spans="1:11">
      <c r="A160" t="s">
        <v>144</v>
      </c>
      <c r="B160" t="s">
        <v>144</v>
      </c>
      <c r="C160">
        <v>220862</v>
      </c>
      <c r="D160">
        <v>32820</v>
      </c>
      <c r="E160">
        <v>2015</v>
      </c>
      <c r="F160" s="7">
        <v>9108</v>
      </c>
      <c r="G160" s="7">
        <v>5529</v>
      </c>
      <c r="H160" s="7">
        <v>13</v>
      </c>
      <c r="I160">
        <v>0.67600000000000005</v>
      </c>
      <c r="J160">
        <v>0.46899999999999997</v>
      </c>
      <c r="K160">
        <v>1329749</v>
      </c>
    </row>
    <row r="161" spans="1:11">
      <c r="A161" t="s">
        <v>145</v>
      </c>
      <c r="B161" t="s">
        <v>145</v>
      </c>
      <c r="C161">
        <v>140447</v>
      </c>
      <c r="D161">
        <v>31420</v>
      </c>
      <c r="E161">
        <v>2015</v>
      </c>
      <c r="F161" s="7">
        <v>1718</v>
      </c>
      <c r="G161" s="7">
        <v>1322</v>
      </c>
      <c r="H161" s="7">
        <v>9</v>
      </c>
      <c r="I161">
        <v>0.35499999999999998</v>
      </c>
      <c r="J161">
        <v>3.5999999999999997E-2</v>
      </c>
      <c r="K161">
        <v>231838</v>
      </c>
    </row>
    <row r="162" spans="1:11">
      <c r="A162" t="s">
        <v>1285</v>
      </c>
      <c r="B162" t="s">
        <v>1285</v>
      </c>
      <c r="C162">
        <v>135726</v>
      </c>
      <c r="D162">
        <v>33100</v>
      </c>
      <c r="E162">
        <v>2015</v>
      </c>
      <c r="F162" s="7">
        <v>5875</v>
      </c>
      <c r="G162" s="7">
        <v>4871</v>
      </c>
      <c r="H162" s="7">
        <v>14</v>
      </c>
      <c r="I162">
        <v>0.71</v>
      </c>
      <c r="J162">
        <v>0.61299999999999999</v>
      </c>
      <c r="K162">
        <v>5950105</v>
      </c>
    </row>
    <row r="163" spans="1:11">
      <c r="A163" t="s">
        <v>146</v>
      </c>
      <c r="B163" t="s">
        <v>146</v>
      </c>
      <c r="C163">
        <v>204024</v>
      </c>
      <c r="D163">
        <v>17140</v>
      </c>
      <c r="E163">
        <v>2015</v>
      </c>
      <c r="F163" s="7">
        <v>2984</v>
      </c>
      <c r="G163" s="7">
        <v>2628</v>
      </c>
      <c r="H163" s="7">
        <v>11</v>
      </c>
      <c r="I163">
        <v>0.67700000000000005</v>
      </c>
      <c r="J163">
        <v>0.42899999999999999</v>
      </c>
      <c r="K163">
        <v>2196029</v>
      </c>
    </row>
    <row r="164" spans="1:11">
      <c r="A164" t="s">
        <v>147</v>
      </c>
      <c r="B164" t="s">
        <v>147</v>
      </c>
      <c r="C164">
        <v>170976</v>
      </c>
      <c r="D164">
        <v>11460</v>
      </c>
      <c r="E164">
        <v>2015</v>
      </c>
      <c r="F164" s="7">
        <v>19040</v>
      </c>
      <c r="G164" s="7">
        <v>21423</v>
      </c>
      <c r="H164" s="7">
        <v>15</v>
      </c>
      <c r="I164">
        <v>0.433</v>
      </c>
      <c r="J164">
        <v>0.56299999999999994</v>
      </c>
      <c r="K164">
        <v>366258</v>
      </c>
    </row>
    <row r="165" spans="1:11">
      <c r="A165" t="s">
        <v>148</v>
      </c>
      <c r="B165" t="s">
        <v>148</v>
      </c>
      <c r="C165">
        <v>171100</v>
      </c>
      <c r="D165">
        <v>29620</v>
      </c>
      <c r="E165">
        <v>2015</v>
      </c>
      <c r="F165" s="7">
        <v>43918</v>
      </c>
      <c r="G165" s="7">
        <v>43368</v>
      </c>
      <c r="H165" s="7">
        <v>15</v>
      </c>
      <c r="I165">
        <v>0.57599999999999996</v>
      </c>
      <c r="J165">
        <v>0.65700000000000003</v>
      </c>
      <c r="K165">
        <v>537609</v>
      </c>
    </row>
    <row r="166" spans="1:11">
      <c r="A166" t="s">
        <v>149</v>
      </c>
      <c r="B166" t="s">
        <v>149</v>
      </c>
      <c r="C166">
        <v>220978</v>
      </c>
      <c r="D166">
        <v>34980</v>
      </c>
      <c r="E166">
        <v>2015</v>
      </c>
      <c r="F166" s="7">
        <v>4800</v>
      </c>
      <c r="G166" s="7">
        <v>7429</v>
      </c>
      <c r="H166" s="7">
        <v>12</v>
      </c>
      <c r="I166">
        <v>0.3</v>
      </c>
      <c r="J166">
        <v>0.56699999999999995</v>
      </c>
      <c r="K166">
        <v>1824091</v>
      </c>
    </row>
    <row r="167" spans="1:11">
      <c r="A167" t="s">
        <v>1287</v>
      </c>
      <c r="B167" t="s">
        <v>1287</v>
      </c>
      <c r="C167">
        <v>240453</v>
      </c>
      <c r="D167">
        <v>33340</v>
      </c>
      <c r="E167">
        <v>2015</v>
      </c>
      <c r="F167" s="7">
        <v>4883</v>
      </c>
      <c r="G167" s="7">
        <v>4656</v>
      </c>
      <c r="H167" s="7">
        <v>12</v>
      </c>
      <c r="I167">
        <v>0.54800000000000004</v>
      </c>
      <c r="J167">
        <v>0.621</v>
      </c>
      <c r="K167">
        <v>1574944</v>
      </c>
    </row>
    <row r="168" spans="1:11">
      <c r="A168" t="s">
        <v>150</v>
      </c>
      <c r="B168" t="s">
        <v>150</v>
      </c>
      <c r="C168">
        <v>174066</v>
      </c>
      <c r="D168">
        <v>33460</v>
      </c>
      <c r="E168">
        <v>2015</v>
      </c>
      <c r="F168" s="7">
        <v>50149</v>
      </c>
      <c r="G168" s="7">
        <v>59130</v>
      </c>
      <c r="H168" s="7">
        <v>15</v>
      </c>
      <c r="I168">
        <v>0.61299999999999999</v>
      </c>
      <c r="J168">
        <v>0.80600000000000005</v>
      </c>
      <c r="K168">
        <v>3523710</v>
      </c>
    </row>
    <row r="169" spans="1:11">
      <c r="A169" t="s">
        <v>151</v>
      </c>
      <c r="B169" t="s">
        <v>151</v>
      </c>
      <c r="C169">
        <v>176080</v>
      </c>
      <c r="D169">
        <v>44260</v>
      </c>
      <c r="E169">
        <v>2015</v>
      </c>
      <c r="F169" s="7">
        <v>8112</v>
      </c>
      <c r="G169" s="7">
        <v>8021</v>
      </c>
      <c r="H169" s="7">
        <v>17</v>
      </c>
      <c r="I169">
        <v>0.21199999999999999</v>
      </c>
      <c r="J169">
        <v>0.375</v>
      </c>
      <c r="K169">
        <v>60567</v>
      </c>
    </row>
    <row r="170" spans="1:11">
      <c r="A170" t="s">
        <v>152</v>
      </c>
      <c r="B170" t="s">
        <v>152</v>
      </c>
      <c r="C170">
        <v>176044</v>
      </c>
      <c r="D170">
        <v>24900</v>
      </c>
      <c r="E170">
        <v>2015</v>
      </c>
      <c r="F170" s="7">
        <v>2152</v>
      </c>
      <c r="G170" s="7">
        <v>1727</v>
      </c>
      <c r="H170" s="7">
        <v>8</v>
      </c>
      <c r="I170">
        <v>0.13300000000000001</v>
      </c>
      <c r="J170">
        <v>0.3</v>
      </c>
      <c r="K170">
        <v>40770</v>
      </c>
    </row>
    <row r="171" spans="1:11">
      <c r="A171" t="s">
        <v>153</v>
      </c>
      <c r="B171" t="s">
        <v>153</v>
      </c>
      <c r="C171">
        <v>178396</v>
      </c>
      <c r="D171">
        <v>17860</v>
      </c>
      <c r="E171">
        <v>2015</v>
      </c>
      <c r="F171" s="7">
        <v>26505</v>
      </c>
      <c r="G171" s="7">
        <v>62717</v>
      </c>
      <c r="H171" s="7">
        <v>14</v>
      </c>
      <c r="I171">
        <v>0.48499999999999999</v>
      </c>
      <c r="J171">
        <v>0.97199999999999998</v>
      </c>
      <c r="K171">
        <v>202820</v>
      </c>
    </row>
    <row r="172" spans="1:11">
      <c r="A172" t="s">
        <v>154</v>
      </c>
      <c r="B172" t="s">
        <v>154</v>
      </c>
      <c r="C172">
        <v>179566</v>
      </c>
      <c r="D172">
        <v>44180</v>
      </c>
      <c r="E172">
        <v>2015</v>
      </c>
      <c r="F172" s="7">
        <v>7804</v>
      </c>
      <c r="G172" s="7">
        <v>9425</v>
      </c>
      <c r="H172" s="7">
        <v>13</v>
      </c>
      <c r="I172">
        <v>0.625</v>
      </c>
      <c r="J172">
        <v>0.65600000000000003</v>
      </c>
      <c r="K172">
        <v>456446</v>
      </c>
    </row>
    <row r="173" spans="1:11">
      <c r="A173" t="s">
        <v>155</v>
      </c>
      <c r="B173" t="s">
        <v>155</v>
      </c>
      <c r="C173">
        <v>185572</v>
      </c>
      <c r="D173">
        <v>35620</v>
      </c>
      <c r="E173">
        <v>2015</v>
      </c>
      <c r="F173" s="7" t="s">
        <v>1328</v>
      </c>
      <c r="G173" s="7" t="s">
        <v>1328</v>
      </c>
      <c r="H173" s="7" t="s">
        <v>1328</v>
      </c>
      <c r="I173" t="s">
        <v>1328</v>
      </c>
      <c r="J173" t="s">
        <v>1328</v>
      </c>
      <c r="K173">
        <v>19833335</v>
      </c>
    </row>
    <row r="174" spans="1:11">
      <c r="A174" t="s">
        <v>156</v>
      </c>
      <c r="B174" t="s">
        <v>156</v>
      </c>
      <c r="C174">
        <v>180489</v>
      </c>
      <c r="D174">
        <v>33540</v>
      </c>
      <c r="E174">
        <v>2015</v>
      </c>
      <c r="F174" s="7">
        <v>6079</v>
      </c>
      <c r="G174" s="7">
        <v>5125</v>
      </c>
      <c r="H174" s="7">
        <v>13</v>
      </c>
      <c r="I174">
        <v>0.20699999999999999</v>
      </c>
      <c r="J174">
        <v>0.51600000000000001</v>
      </c>
      <c r="K174">
        <v>112521</v>
      </c>
    </row>
    <row r="175" spans="1:11">
      <c r="A175" t="s">
        <v>1288</v>
      </c>
      <c r="B175" t="s">
        <v>1288</v>
      </c>
      <c r="C175">
        <v>180461</v>
      </c>
      <c r="D175">
        <v>14580</v>
      </c>
      <c r="E175">
        <v>2015</v>
      </c>
      <c r="F175" s="7">
        <v>6053</v>
      </c>
      <c r="G175" s="7">
        <v>10717</v>
      </c>
      <c r="H175" s="7">
        <v>8</v>
      </c>
      <c r="I175">
        <v>0.25</v>
      </c>
      <c r="J175">
        <v>0.19400000000000001</v>
      </c>
      <c r="K175">
        <v>102238</v>
      </c>
    </row>
    <row r="176" spans="1:11">
      <c r="A176" t="s">
        <v>157</v>
      </c>
      <c r="B176" t="s">
        <v>157</v>
      </c>
      <c r="C176">
        <v>157386</v>
      </c>
      <c r="D176">
        <v>30460</v>
      </c>
      <c r="E176">
        <v>2015</v>
      </c>
      <c r="F176" s="7">
        <v>8974</v>
      </c>
      <c r="G176" s="7">
        <v>11567</v>
      </c>
      <c r="H176" s="7">
        <v>14</v>
      </c>
      <c r="I176">
        <v>9.7000000000000003E-2</v>
      </c>
      <c r="J176">
        <v>0.77100000000000002</v>
      </c>
      <c r="K176">
        <v>500115</v>
      </c>
    </row>
    <row r="177" spans="1:11">
      <c r="A177" t="s">
        <v>158</v>
      </c>
      <c r="B177" t="s">
        <v>158</v>
      </c>
      <c r="C177">
        <v>163453</v>
      </c>
      <c r="D177">
        <v>12580</v>
      </c>
      <c r="E177">
        <v>2015</v>
      </c>
      <c r="F177" s="7">
        <v>1232</v>
      </c>
      <c r="G177" s="7">
        <v>1679</v>
      </c>
      <c r="H177" s="7">
        <v>6</v>
      </c>
      <c r="I177">
        <v>0.5</v>
      </c>
      <c r="J177">
        <v>0.48</v>
      </c>
      <c r="K177">
        <v>2812930</v>
      </c>
    </row>
    <row r="178" spans="1:11">
      <c r="A178" t="s">
        <v>159</v>
      </c>
      <c r="B178" t="s">
        <v>159</v>
      </c>
      <c r="C178">
        <v>163462</v>
      </c>
      <c r="D178">
        <v>23900</v>
      </c>
      <c r="E178">
        <v>2015</v>
      </c>
      <c r="F178" s="7" t="s">
        <v>1328</v>
      </c>
      <c r="G178" s="7" t="s">
        <v>1328</v>
      </c>
      <c r="H178" s="7" t="s">
        <v>1328</v>
      </c>
      <c r="I178" t="s">
        <v>1328</v>
      </c>
      <c r="J178" t="s">
        <v>1328</v>
      </c>
      <c r="K178">
        <v>102379</v>
      </c>
    </row>
    <row r="179" spans="1:11">
      <c r="A179" t="s">
        <v>160</v>
      </c>
      <c r="B179" t="s">
        <v>160</v>
      </c>
      <c r="C179">
        <v>157401</v>
      </c>
      <c r="D179">
        <v>34660</v>
      </c>
      <c r="E179">
        <v>2015</v>
      </c>
      <c r="F179" s="7">
        <v>5566</v>
      </c>
      <c r="G179" s="7">
        <v>1425</v>
      </c>
      <c r="H179" s="7">
        <v>11</v>
      </c>
      <c r="I179">
        <v>0.81299999999999994</v>
      </c>
      <c r="J179">
        <v>0.53300000000000003</v>
      </c>
      <c r="K179">
        <v>37601</v>
      </c>
    </row>
    <row r="180" spans="1:11">
      <c r="A180" t="s">
        <v>161</v>
      </c>
      <c r="B180" t="s">
        <v>161</v>
      </c>
      <c r="C180">
        <v>199102</v>
      </c>
      <c r="D180">
        <v>24660</v>
      </c>
      <c r="E180">
        <v>2015</v>
      </c>
      <c r="F180" s="7">
        <v>1082</v>
      </c>
      <c r="G180" s="7">
        <v>1133</v>
      </c>
      <c r="H180" s="7">
        <v>7</v>
      </c>
      <c r="I180">
        <v>0.214</v>
      </c>
      <c r="J180">
        <v>0.219</v>
      </c>
      <c r="K180">
        <v>751915</v>
      </c>
    </row>
    <row r="181" spans="1:11">
      <c r="A181" t="s">
        <v>162</v>
      </c>
      <c r="B181" t="s">
        <v>162</v>
      </c>
      <c r="C181">
        <v>199157</v>
      </c>
      <c r="D181">
        <v>20500</v>
      </c>
      <c r="E181">
        <v>2015</v>
      </c>
      <c r="F181" s="7">
        <v>2702</v>
      </c>
      <c r="G181" s="7">
        <v>1776</v>
      </c>
      <c r="H181" s="7">
        <v>11</v>
      </c>
      <c r="I181">
        <v>0.13800000000000001</v>
      </c>
      <c r="J181">
        <v>0.107</v>
      </c>
      <c r="K181">
        <v>607517</v>
      </c>
    </row>
    <row r="182" spans="1:11">
      <c r="A182" t="s">
        <v>1289</v>
      </c>
      <c r="B182" t="s">
        <v>1289</v>
      </c>
      <c r="C182">
        <v>500000</v>
      </c>
      <c r="D182">
        <v>47900</v>
      </c>
      <c r="E182">
        <v>2015</v>
      </c>
      <c r="F182" s="7">
        <v>3377</v>
      </c>
      <c r="G182" s="7">
        <v>4112</v>
      </c>
      <c r="H182" s="7">
        <v>11</v>
      </c>
      <c r="I182">
        <v>0.53800000000000003</v>
      </c>
      <c r="J182">
        <v>0.44800000000000001</v>
      </c>
      <c r="K182">
        <v>6132190</v>
      </c>
    </row>
    <row r="183" spans="1:11">
      <c r="A183" t="s">
        <v>163</v>
      </c>
      <c r="B183" t="s">
        <v>163</v>
      </c>
      <c r="C183">
        <v>199193</v>
      </c>
      <c r="D183">
        <v>39580</v>
      </c>
      <c r="E183">
        <v>2015</v>
      </c>
      <c r="F183" s="7">
        <v>9879</v>
      </c>
      <c r="G183" s="7">
        <v>11897</v>
      </c>
      <c r="H183" s="7">
        <v>15</v>
      </c>
      <c r="I183">
        <v>0.53300000000000003</v>
      </c>
      <c r="J183">
        <v>0.625</v>
      </c>
      <c r="K183">
        <v>1271616</v>
      </c>
    </row>
    <row r="184" spans="1:11">
      <c r="A184" t="s">
        <v>164</v>
      </c>
      <c r="B184" t="s">
        <v>164</v>
      </c>
      <c r="C184">
        <v>181464</v>
      </c>
      <c r="D184">
        <v>30700</v>
      </c>
      <c r="E184">
        <v>2015</v>
      </c>
      <c r="F184" s="7">
        <v>145493</v>
      </c>
      <c r="G184" s="7">
        <v>155324</v>
      </c>
      <c r="H184" s="7">
        <v>18</v>
      </c>
      <c r="I184">
        <v>0.69699999999999995</v>
      </c>
      <c r="J184">
        <v>0.78800000000000003</v>
      </c>
      <c r="K184">
        <v>324763</v>
      </c>
    </row>
    <row r="185" spans="1:11">
      <c r="A185" t="s">
        <v>165</v>
      </c>
      <c r="B185" t="s">
        <v>165</v>
      </c>
      <c r="C185">
        <v>182290</v>
      </c>
      <c r="D185">
        <v>39900</v>
      </c>
      <c r="E185">
        <v>2015</v>
      </c>
      <c r="F185" s="7">
        <v>4382</v>
      </c>
      <c r="G185" s="7">
        <v>3260</v>
      </c>
      <c r="H185" s="7">
        <v>10</v>
      </c>
      <c r="I185">
        <v>0.28599999999999998</v>
      </c>
      <c r="J185">
        <v>0.125</v>
      </c>
      <c r="K185">
        <v>451851</v>
      </c>
    </row>
    <row r="186" spans="1:11">
      <c r="A186" t="s">
        <v>1290</v>
      </c>
      <c r="B186" t="s">
        <v>1290</v>
      </c>
      <c r="C186">
        <v>183044</v>
      </c>
      <c r="D186">
        <v>18180</v>
      </c>
      <c r="E186">
        <v>2015</v>
      </c>
      <c r="F186" s="7">
        <v>5357</v>
      </c>
      <c r="G186" s="7">
        <v>4159</v>
      </c>
      <c r="H186" s="7">
        <v>14</v>
      </c>
      <c r="I186">
        <v>0.625</v>
      </c>
      <c r="J186">
        <v>0.60599999999999998</v>
      </c>
      <c r="K186">
        <v>149460</v>
      </c>
    </row>
    <row r="187" spans="1:11">
      <c r="A187" t="s">
        <v>166</v>
      </c>
      <c r="B187" t="s">
        <v>166</v>
      </c>
      <c r="C187">
        <v>187985</v>
      </c>
      <c r="D187">
        <v>10740</v>
      </c>
      <c r="E187">
        <v>2015</v>
      </c>
      <c r="F187" s="7">
        <v>21085</v>
      </c>
      <c r="G187" s="7">
        <v>22693</v>
      </c>
      <c r="H187" s="7">
        <v>16</v>
      </c>
      <c r="I187">
        <v>0.61299999999999999</v>
      </c>
      <c r="J187">
        <v>0.77400000000000002</v>
      </c>
      <c r="K187">
        <v>902869</v>
      </c>
    </row>
    <row r="188" spans="1:11">
      <c r="A188" t="s">
        <v>167</v>
      </c>
      <c r="B188" t="s">
        <v>167</v>
      </c>
      <c r="C188">
        <v>188030</v>
      </c>
      <c r="D188">
        <v>29740</v>
      </c>
      <c r="E188">
        <v>2015</v>
      </c>
      <c r="F188" s="7">
        <v>9299</v>
      </c>
      <c r="G188" s="7">
        <v>18103</v>
      </c>
      <c r="H188" s="7">
        <v>12</v>
      </c>
      <c r="I188">
        <v>0.60699999999999998</v>
      </c>
      <c r="J188">
        <v>0.66700000000000004</v>
      </c>
      <c r="K188">
        <v>213355</v>
      </c>
    </row>
    <row r="189" spans="1:11">
      <c r="A189" t="s">
        <v>1291</v>
      </c>
      <c r="B189" t="s">
        <v>1291</v>
      </c>
      <c r="C189">
        <v>159939</v>
      </c>
      <c r="D189">
        <v>35380</v>
      </c>
      <c r="E189">
        <v>2015</v>
      </c>
      <c r="F189" s="7">
        <v>4106</v>
      </c>
      <c r="G189" s="7">
        <v>3503</v>
      </c>
      <c r="H189" s="7">
        <v>12</v>
      </c>
      <c r="I189">
        <v>0.2</v>
      </c>
      <c r="J189">
        <v>9.7000000000000003E-2</v>
      </c>
      <c r="K189">
        <v>1260274</v>
      </c>
    </row>
    <row r="190" spans="1:11">
      <c r="A190" t="s">
        <v>168</v>
      </c>
      <c r="B190" t="s">
        <v>168</v>
      </c>
      <c r="C190">
        <v>193973</v>
      </c>
      <c r="D190">
        <v>15380</v>
      </c>
      <c r="E190">
        <v>2015</v>
      </c>
      <c r="F190" s="7">
        <v>1552</v>
      </c>
      <c r="G190" s="7">
        <v>580</v>
      </c>
      <c r="H190" s="7">
        <v>12</v>
      </c>
      <c r="I190">
        <v>0.438</v>
      </c>
      <c r="J190">
        <v>0.13800000000000001</v>
      </c>
      <c r="K190">
        <v>1154207</v>
      </c>
    </row>
    <row r="191" spans="1:11">
      <c r="A191" t="s">
        <v>1247</v>
      </c>
      <c r="B191" t="s">
        <v>169</v>
      </c>
      <c r="C191">
        <v>159966</v>
      </c>
      <c r="D191">
        <v>26380</v>
      </c>
      <c r="E191">
        <v>2015</v>
      </c>
      <c r="F191" s="7">
        <v>2349</v>
      </c>
      <c r="G191" s="7">
        <v>1348</v>
      </c>
      <c r="H191" s="7">
        <v>8</v>
      </c>
      <c r="I191">
        <v>0.33300000000000002</v>
      </c>
      <c r="J191">
        <v>0.17899999999999999</v>
      </c>
      <c r="K191">
        <v>211859</v>
      </c>
    </row>
    <row r="192" spans="1:11">
      <c r="A192" t="s">
        <v>1248</v>
      </c>
      <c r="B192" t="s">
        <v>177</v>
      </c>
      <c r="C192">
        <v>147703</v>
      </c>
      <c r="D192">
        <v>16980</v>
      </c>
      <c r="E192">
        <v>2015</v>
      </c>
      <c r="F192" s="7">
        <v>6142</v>
      </c>
      <c r="G192" s="7">
        <v>7511</v>
      </c>
      <c r="H192" s="7">
        <v>12</v>
      </c>
      <c r="I192">
        <v>0.67700000000000005</v>
      </c>
      <c r="J192">
        <v>0.59399999999999997</v>
      </c>
      <c r="K192">
        <v>9654044</v>
      </c>
    </row>
    <row r="193" spans="1:11">
      <c r="A193" t="s">
        <v>1292</v>
      </c>
      <c r="B193" t="s">
        <v>1292</v>
      </c>
      <c r="C193">
        <v>185828</v>
      </c>
      <c r="D193">
        <v>35620</v>
      </c>
      <c r="E193">
        <v>2015</v>
      </c>
      <c r="F193" s="7">
        <v>2514</v>
      </c>
      <c r="G193" s="7">
        <v>1988</v>
      </c>
      <c r="H193" s="7">
        <v>9</v>
      </c>
      <c r="I193">
        <v>0.371</v>
      </c>
      <c r="J193">
        <v>0.318</v>
      </c>
      <c r="K193">
        <v>19833335</v>
      </c>
    </row>
    <row r="194" spans="1:11">
      <c r="A194" t="s">
        <v>170</v>
      </c>
      <c r="B194" t="s">
        <v>170</v>
      </c>
      <c r="C194">
        <v>232937</v>
      </c>
      <c r="D194">
        <v>47260</v>
      </c>
      <c r="E194">
        <v>2015</v>
      </c>
      <c r="F194" s="7">
        <v>913</v>
      </c>
      <c r="G194" s="7">
        <v>1718</v>
      </c>
      <c r="H194" s="7">
        <v>6</v>
      </c>
      <c r="I194">
        <v>8.3000000000000004E-2</v>
      </c>
      <c r="J194">
        <v>0.379</v>
      </c>
      <c r="K194">
        <v>1768553</v>
      </c>
    </row>
    <row r="195" spans="1:11">
      <c r="A195" t="s">
        <v>1256</v>
      </c>
      <c r="B195" t="s">
        <v>1257</v>
      </c>
      <c r="C195">
        <v>101879</v>
      </c>
      <c r="D195">
        <v>26620</v>
      </c>
      <c r="E195">
        <v>2015</v>
      </c>
      <c r="F195" s="7" t="s">
        <v>1328</v>
      </c>
      <c r="G195" s="7" t="s">
        <v>1328</v>
      </c>
      <c r="H195" s="7" t="s">
        <v>1328</v>
      </c>
      <c r="I195" t="s">
        <v>1328</v>
      </c>
      <c r="J195" t="s">
        <v>1328</v>
      </c>
      <c r="K195">
        <v>451269</v>
      </c>
    </row>
    <row r="196" spans="1:11">
      <c r="A196" t="s">
        <v>171</v>
      </c>
      <c r="B196" t="s">
        <v>171</v>
      </c>
      <c r="C196">
        <v>199120</v>
      </c>
      <c r="D196">
        <v>20500</v>
      </c>
      <c r="E196">
        <v>2015</v>
      </c>
      <c r="F196" s="7">
        <v>31939</v>
      </c>
      <c r="G196" s="7">
        <v>34856</v>
      </c>
      <c r="H196" s="7">
        <v>16</v>
      </c>
      <c r="I196">
        <v>0.90600000000000003</v>
      </c>
      <c r="J196">
        <v>0.84399999999999997</v>
      </c>
      <c r="K196">
        <v>607517</v>
      </c>
    </row>
    <row r="197" spans="1:11">
      <c r="A197" t="s">
        <v>172</v>
      </c>
      <c r="B197" t="s">
        <v>172</v>
      </c>
      <c r="C197">
        <v>200280</v>
      </c>
      <c r="D197">
        <v>24220</v>
      </c>
      <c r="E197">
        <v>2015</v>
      </c>
      <c r="F197" s="7">
        <v>12458</v>
      </c>
      <c r="G197" s="7">
        <v>15831</v>
      </c>
      <c r="H197" s="7">
        <v>12</v>
      </c>
      <c r="I197">
        <v>0.74299999999999999</v>
      </c>
      <c r="J197">
        <v>0.66700000000000004</v>
      </c>
      <c r="K197">
        <v>103975</v>
      </c>
    </row>
    <row r="198" spans="1:11">
      <c r="A198" t="s">
        <v>173</v>
      </c>
      <c r="B198" t="s">
        <v>173</v>
      </c>
      <c r="C198">
        <v>200332</v>
      </c>
      <c r="D198">
        <v>22020</v>
      </c>
      <c r="E198">
        <v>2015</v>
      </c>
      <c r="F198" s="7">
        <v>6835</v>
      </c>
      <c r="G198" s="7">
        <v>7500</v>
      </c>
      <c r="H198" s="7">
        <v>9</v>
      </c>
      <c r="I198">
        <v>0.46899999999999997</v>
      </c>
      <c r="J198">
        <v>0.214</v>
      </c>
      <c r="K198">
        <v>234096</v>
      </c>
    </row>
    <row r="199" spans="1:11">
      <c r="A199" t="s">
        <v>174</v>
      </c>
      <c r="B199" t="s">
        <v>174</v>
      </c>
      <c r="C199">
        <v>136172</v>
      </c>
      <c r="D199">
        <v>27260</v>
      </c>
      <c r="E199">
        <v>2015</v>
      </c>
      <c r="F199" s="7">
        <v>4119</v>
      </c>
      <c r="G199" s="7">
        <v>5085</v>
      </c>
      <c r="H199" s="7">
        <v>15</v>
      </c>
      <c r="I199">
        <v>0.41899999999999998</v>
      </c>
      <c r="J199">
        <v>0.33300000000000002</v>
      </c>
      <c r="K199">
        <v>1457992</v>
      </c>
    </row>
    <row r="200" spans="1:11">
      <c r="A200" t="s">
        <v>175</v>
      </c>
      <c r="B200" t="s">
        <v>175</v>
      </c>
      <c r="C200">
        <v>227216</v>
      </c>
      <c r="D200">
        <v>19100</v>
      </c>
      <c r="E200">
        <v>2015</v>
      </c>
      <c r="F200" s="7">
        <v>6986</v>
      </c>
      <c r="G200" s="7">
        <v>7601</v>
      </c>
      <c r="H200" s="7">
        <v>15</v>
      </c>
      <c r="I200">
        <v>0.68799999999999994</v>
      </c>
      <c r="J200">
        <v>0.53100000000000003</v>
      </c>
      <c r="K200">
        <v>7025725</v>
      </c>
    </row>
    <row r="201" spans="1:11">
      <c r="A201" t="s">
        <v>1293</v>
      </c>
      <c r="B201" t="s">
        <v>1293</v>
      </c>
      <c r="C201">
        <v>167358</v>
      </c>
      <c r="D201">
        <v>14460</v>
      </c>
      <c r="E201">
        <v>2015</v>
      </c>
      <c r="F201" s="7">
        <v>3246</v>
      </c>
      <c r="G201" s="7">
        <v>3026</v>
      </c>
      <c r="H201" s="7">
        <v>11</v>
      </c>
      <c r="I201">
        <v>0.33300000000000002</v>
      </c>
      <c r="J201">
        <v>0.63300000000000001</v>
      </c>
      <c r="K201">
        <v>4812849</v>
      </c>
    </row>
    <row r="202" spans="1:11">
      <c r="A202" t="s">
        <v>1294</v>
      </c>
      <c r="B202" t="s">
        <v>1294</v>
      </c>
      <c r="C202">
        <v>105330</v>
      </c>
      <c r="D202">
        <v>22380</v>
      </c>
      <c r="E202">
        <v>2015</v>
      </c>
      <c r="F202" s="7">
        <v>4505</v>
      </c>
      <c r="G202" s="7">
        <v>6037</v>
      </c>
      <c r="H202" s="7">
        <v>11</v>
      </c>
      <c r="I202">
        <v>0.72399999999999998</v>
      </c>
      <c r="J202">
        <v>0.63300000000000001</v>
      </c>
      <c r="K202">
        <v>140239</v>
      </c>
    </row>
    <row r="203" spans="1:11">
      <c r="A203" t="s">
        <v>176</v>
      </c>
      <c r="B203" t="s">
        <v>176</v>
      </c>
      <c r="C203">
        <v>127741</v>
      </c>
      <c r="D203">
        <v>24540</v>
      </c>
      <c r="E203">
        <v>2015</v>
      </c>
      <c r="F203" s="7">
        <v>12548</v>
      </c>
      <c r="G203" s="7">
        <v>10868</v>
      </c>
      <c r="H203" s="7">
        <v>15</v>
      </c>
      <c r="I203">
        <v>0.66700000000000004</v>
      </c>
      <c r="J203">
        <v>0.45200000000000001</v>
      </c>
      <c r="K203">
        <v>285025</v>
      </c>
    </row>
    <row r="204" spans="1:11">
      <c r="A204" t="s">
        <v>178</v>
      </c>
      <c r="B204" t="s">
        <v>178</v>
      </c>
      <c r="C204">
        <v>157447</v>
      </c>
      <c r="D204">
        <v>17140</v>
      </c>
      <c r="E204">
        <v>2015</v>
      </c>
      <c r="F204" s="7">
        <v>2574</v>
      </c>
      <c r="G204" s="7">
        <v>2684</v>
      </c>
      <c r="H204" s="7">
        <v>12</v>
      </c>
      <c r="I204" t="s">
        <v>1328</v>
      </c>
      <c r="J204" t="s">
        <v>1328</v>
      </c>
      <c r="K204">
        <v>2196029</v>
      </c>
    </row>
    <row r="205" spans="1:11">
      <c r="A205" t="s">
        <v>179</v>
      </c>
      <c r="B205" t="s">
        <v>179</v>
      </c>
      <c r="C205">
        <v>147767</v>
      </c>
      <c r="D205">
        <v>16980</v>
      </c>
      <c r="E205">
        <v>2015</v>
      </c>
      <c r="F205" s="7">
        <v>13764</v>
      </c>
      <c r="G205" s="7">
        <v>13851</v>
      </c>
      <c r="H205" s="7">
        <v>15</v>
      </c>
      <c r="I205">
        <v>0.51600000000000001</v>
      </c>
      <c r="J205">
        <v>0.5</v>
      </c>
      <c r="K205">
        <v>9654044</v>
      </c>
    </row>
    <row r="206" spans="1:11">
      <c r="A206" t="s">
        <v>180</v>
      </c>
      <c r="B206" t="s">
        <v>180</v>
      </c>
      <c r="C206">
        <v>160038</v>
      </c>
      <c r="D206">
        <v>35060</v>
      </c>
      <c r="E206">
        <v>2015</v>
      </c>
      <c r="F206" s="7">
        <v>3857</v>
      </c>
      <c r="G206" s="7">
        <v>3621</v>
      </c>
      <c r="H206" s="7">
        <v>11</v>
      </c>
      <c r="I206">
        <v>0.48499999999999999</v>
      </c>
      <c r="J206">
        <v>0.63600000000000001</v>
      </c>
      <c r="K206">
        <v>38862</v>
      </c>
    </row>
    <row r="207" spans="1:11">
      <c r="A207" t="s">
        <v>181</v>
      </c>
      <c r="B207" t="s">
        <v>181</v>
      </c>
      <c r="C207">
        <v>152080</v>
      </c>
      <c r="D207">
        <v>43780</v>
      </c>
      <c r="E207">
        <v>2015</v>
      </c>
      <c r="F207" s="7">
        <v>16483</v>
      </c>
      <c r="G207" s="7">
        <v>19872</v>
      </c>
      <c r="H207" s="7">
        <v>15</v>
      </c>
      <c r="I207">
        <v>0.20699999999999999</v>
      </c>
      <c r="J207">
        <v>0.41899999999999998</v>
      </c>
      <c r="K207">
        <v>320547</v>
      </c>
    </row>
    <row r="208" spans="1:11">
      <c r="A208" t="s">
        <v>182</v>
      </c>
      <c r="B208" t="s">
        <v>182</v>
      </c>
      <c r="C208">
        <v>171571</v>
      </c>
      <c r="D208">
        <v>19820</v>
      </c>
      <c r="E208">
        <v>2015</v>
      </c>
      <c r="F208" s="7">
        <v>6980</v>
      </c>
      <c r="G208" s="7">
        <v>3047</v>
      </c>
      <c r="H208" s="7">
        <v>13</v>
      </c>
      <c r="I208">
        <v>0.68799999999999994</v>
      </c>
      <c r="J208">
        <v>0.5</v>
      </c>
      <c r="K208">
        <v>4352979</v>
      </c>
    </row>
    <row r="209" spans="1:11">
      <c r="A209" t="s">
        <v>183</v>
      </c>
      <c r="B209" t="s">
        <v>183</v>
      </c>
      <c r="C209">
        <v>204857</v>
      </c>
      <c r="D209">
        <v>11900</v>
      </c>
      <c r="E209">
        <v>2015</v>
      </c>
      <c r="F209" s="7">
        <v>23783</v>
      </c>
      <c r="G209" s="7">
        <v>18910</v>
      </c>
      <c r="H209" s="7">
        <v>12</v>
      </c>
      <c r="I209">
        <v>0.79300000000000004</v>
      </c>
      <c r="J209">
        <v>0.81799999999999995</v>
      </c>
      <c r="K209">
        <v>64327</v>
      </c>
    </row>
    <row r="210" spans="1:11">
      <c r="A210" t="s">
        <v>184</v>
      </c>
      <c r="B210" t="s">
        <v>184</v>
      </c>
      <c r="C210">
        <v>204796</v>
      </c>
      <c r="D210">
        <v>18140</v>
      </c>
      <c r="E210">
        <v>2015</v>
      </c>
      <c r="F210" s="7">
        <v>23544</v>
      </c>
      <c r="G210" s="7">
        <v>26816</v>
      </c>
      <c r="H210" s="7">
        <v>13</v>
      </c>
      <c r="I210">
        <v>0.65700000000000003</v>
      </c>
      <c r="J210">
        <v>0.56299999999999994</v>
      </c>
      <c r="K210">
        <v>2029746</v>
      </c>
    </row>
    <row r="211" spans="1:11">
      <c r="A211" t="s">
        <v>185</v>
      </c>
      <c r="B211" t="s">
        <v>185</v>
      </c>
      <c r="C211">
        <v>207500</v>
      </c>
      <c r="D211">
        <v>36420</v>
      </c>
      <c r="E211">
        <v>2015</v>
      </c>
      <c r="F211" s="7">
        <v>12246</v>
      </c>
      <c r="G211" s="7">
        <v>10830</v>
      </c>
      <c r="H211" s="7">
        <v>13</v>
      </c>
      <c r="I211">
        <v>0.64500000000000002</v>
      </c>
      <c r="J211">
        <v>0.75</v>
      </c>
      <c r="K211">
        <v>1359300</v>
      </c>
    </row>
    <row r="212" spans="1:11">
      <c r="A212" t="s">
        <v>186</v>
      </c>
      <c r="B212" t="s">
        <v>186</v>
      </c>
      <c r="C212">
        <v>207388</v>
      </c>
      <c r="D212">
        <v>44660</v>
      </c>
      <c r="E212">
        <v>2015</v>
      </c>
      <c r="F212" s="7" t="s">
        <v>1328</v>
      </c>
      <c r="G212" s="7" t="s">
        <v>1328</v>
      </c>
      <c r="H212" s="7" t="s">
        <v>1328</v>
      </c>
      <c r="I212" t="s">
        <v>1328</v>
      </c>
      <c r="J212" t="s">
        <v>1328</v>
      </c>
      <c r="K212">
        <v>81379</v>
      </c>
    </row>
    <row r="213" spans="1:11">
      <c r="A213" t="s">
        <v>1295</v>
      </c>
      <c r="B213" t="s">
        <v>1295</v>
      </c>
      <c r="C213">
        <v>232982</v>
      </c>
      <c r="D213">
        <v>47260</v>
      </c>
      <c r="E213">
        <v>2015</v>
      </c>
      <c r="F213" s="7" t="s">
        <v>1328</v>
      </c>
      <c r="G213" s="7" t="s">
        <v>1328</v>
      </c>
      <c r="H213" s="7" t="s">
        <v>1328</v>
      </c>
      <c r="I213" t="s">
        <v>1328</v>
      </c>
      <c r="J213" t="s">
        <v>1328</v>
      </c>
      <c r="K213">
        <v>1768553</v>
      </c>
    </row>
    <row r="214" spans="1:11">
      <c r="A214" t="s">
        <v>187</v>
      </c>
      <c r="B214" t="s">
        <v>187</v>
      </c>
      <c r="C214">
        <v>176017</v>
      </c>
      <c r="D214">
        <v>37060</v>
      </c>
      <c r="E214">
        <v>2015</v>
      </c>
      <c r="F214" s="7">
        <v>8289</v>
      </c>
      <c r="G214" s="7">
        <v>5834</v>
      </c>
      <c r="H214" s="7">
        <v>16</v>
      </c>
      <c r="I214">
        <v>0.68799999999999994</v>
      </c>
      <c r="J214">
        <v>0.45200000000000001</v>
      </c>
      <c r="K214">
        <v>53579</v>
      </c>
    </row>
    <row r="215" spans="1:11">
      <c r="A215" t="s">
        <v>188</v>
      </c>
      <c r="B215" t="s">
        <v>188</v>
      </c>
      <c r="C215">
        <v>181394</v>
      </c>
      <c r="D215">
        <v>36540</v>
      </c>
      <c r="E215">
        <v>2015</v>
      </c>
      <c r="F215" s="7">
        <v>3826</v>
      </c>
      <c r="G215" s="7">
        <v>4723</v>
      </c>
      <c r="H215" s="7">
        <v>11</v>
      </c>
      <c r="I215" t="s">
        <v>1328</v>
      </c>
      <c r="J215" t="s">
        <v>1328</v>
      </c>
      <c r="K215">
        <v>921119</v>
      </c>
    </row>
    <row r="216" spans="1:11">
      <c r="A216" t="s">
        <v>1296</v>
      </c>
      <c r="B216" t="s">
        <v>1296</v>
      </c>
      <c r="C216">
        <v>207582</v>
      </c>
      <c r="D216">
        <v>46140</v>
      </c>
      <c r="E216">
        <v>2015</v>
      </c>
      <c r="F216" s="7">
        <v>5283</v>
      </c>
      <c r="G216" s="7">
        <v>2986</v>
      </c>
      <c r="H216" s="7">
        <v>8</v>
      </c>
      <c r="I216">
        <v>0.5</v>
      </c>
      <c r="J216">
        <v>0.75900000000000001</v>
      </c>
      <c r="K216">
        <v>986737</v>
      </c>
    </row>
    <row r="217" spans="1:11">
      <c r="A217" t="s">
        <v>189</v>
      </c>
      <c r="B217" t="s">
        <v>189</v>
      </c>
      <c r="C217">
        <v>209551</v>
      </c>
      <c r="D217">
        <v>21660</v>
      </c>
      <c r="E217">
        <v>2015</v>
      </c>
      <c r="F217" s="7">
        <v>31475</v>
      </c>
      <c r="G217" s="7">
        <v>22468</v>
      </c>
      <c r="H217" s="7">
        <v>18</v>
      </c>
      <c r="I217">
        <v>0.69699999999999995</v>
      </c>
      <c r="J217">
        <v>0.625</v>
      </c>
      <c r="K217">
        <v>362262</v>
      </c>
    </row>
    <row r="218" spans="1:11">
      <c r="A218" t="s">
        <v>190</v>
      </c>
      <c r="B218" t="s">
        <v>190</v>
      </c>
      <c r="C218">
        <v>209542</v>
      </c>
      <c r="D218">
        <v>18700</v>
      </c>
      <c r="E218">
        <v>2015</v>
      </c>
      <c r="F218" s="7">
        <v>13807</v>
      </c>
      <c r="G218" s="7">
        <v>9932</v>
      </c>
      <c r="H218" s="7">
        <v>12</v>
      </c>
      <c r="I218">
        <v>0.61799999999999999</v>
      </c>
      <c r="J218">
        <v>0.28999999999999998</v>
      </c>
      <c r="K218">
        <v>89437</v>
      </c>
    </row>
    <row r="219" spans="1:11">
      <c r="A219" t="s">
        <v>191</v>
      </c>
      <c r="B219" t="s">
        <v>191</v>
      </c>
      <c r="C219">
        <v>120883</v>
      </c>
      <c r="D219">
        <v>44700</v>
      </c>
      <c r="E219">
        <v>2015</v>
      </c>
      <c r="F219" s="7">
        <v>8626</v>
      </c>
      <c r="G219" s="7">
        <v>8388</v>
      </c>
      <c r="H219" s="7">
        <v>12</v>
      </c>
      <c r="I219">
        <v>0.77400000000000002</v>
      </c>
      <c r="J219">
        <v>0.5</v>
      </c>
      <c r="K219">
        <v>728317</v>
      </c>
    </row>
    <row r="220" spans="1:11">
      <c r="A220" t="s">
        <v>192</v>
      </c>
      <c r="B220" t="s">
        <v>192</v>
      </c>
      <c r="C220">
        <v>215062</v>
      </c>
      <c r="D220">
        <v>37980</v>
      </c>
      <c r="E220">
        <v>2015</v>
      </c>
      <c r="F220" s="7">
        <v>2721</v>
      </c>
      <c r="G220" s="7">
        <v>2755</v>
      </c>
      <c r="H220" s="7">
        <v>14</v>
      </c>
      <c r="I220">
        <v>0.32</v>
      </c>
      <c r="J220">
        <v>0.56000000000000005</v>
      </c>
      <c r="K220">
        <v>6130446</v>
      </c>
    </row>
    <row r="221" spans="1:11">
      <c r="A221" t="s">
        <v>193</v>
      </c>
      <c r="B221" t="s">
        <v>193</v>
      </c>
      <c r="C221">
        <v>214777</v>
      </c>
      <c r="D221">
        <v>44300</v>
      </c>
      <c r="E221">
        <v>2015</v>
      </c>
      <c r="F221" s="7">
        <v>56977</v>
      </c>
      <c r="G221" s="7">
        <v>50187</v>
      </c>
      <c r="H221" s="7">
        <v>19</v>
      </c>
      <c r="I221">
        <v>0.92300000000000004</v>
      </c>
      <c r="J221">
        <v>0.94399999999999995</v>
      </c>
      <c r="K221">
        <v>158761</v>
      </c>
    </row>
    <row r="222" spans="1:11">
      <c r="A222" t="s">
        <v>1297</v>
      </c>
      <c r="B222" t="s">
        <v>1297</v>
      </c>
      <c r="C222">
        <v>121150</v>
      </c>
      <c r="D222">
        <v>31080</v>
      </c>
      <c r="E222">
        <v>2015</v>
      </c>
      <c r="F222" s="7">
        <v>3525</v>
      </c>
      <c r="G222" s="7">
        <v>4864</v>
      </c>
      <c r="H222" s="7">
        <v>12</v>
      </c>
      <c r="I222">
        <v>0.4</v>
      </c>
      <c r="J222">
        <v>0.57699999999999996</v>
      </c>
      <c r="K222">
        <v>13258364</v>
      </c>
    </row>
    <row r="223" spans="1:11">
      <c r="A223" t="s">
        <v>194</v>
      </c>
      <c r="B223" t="s">
        <v>194</v>
      </c>
      <c r="C223">
        <v>215293</v>
      </c>
      <c r="D223">
        <v>38300</v>
      </c>
      <c r="E223">
        <v>2015</v>
      </c>
      <c r="F223" s="7">
        <v>8528</v>
      </c>
      <c r="G223" s="7">
        <v>6115</v>
      </c>
      <c r="H223" s="7">
        <v>16</v>
      </c>
      <c r="I223">
        <v>0.80600000000000005</v>
      </c>
      <c r="J223">
        <v>0.57599999999999996</v>
      </c>
      <c r="K223">
        <v>2379296</v>
      </c>
    </row>
    <row r="224" spans="1:11">
      <c r="A224" t="s">
        <v>1298</v>
      </c>
      <c r="B224" t="s">
        <v>1298</v>
      </c>
      <c r="C224">
        <v>209825</v>
      </c>
      <c r="D224">
        <v>38900</v>
      </c>
      <c r="E224">
        <v>2015</v>
      </c>
      <c r="F224" s="7">
        <v>3042</v>
      </c>
      <c r="G224" s="7">
        <v>2984</v>
      </c>
      <c r="H224" s="7">
        <v>10</v>
      </c>
      <c r="I224">
        <v>0.23300000000000001</v>
      </c>
      <c r="J224" t="s">
        <v>1328</v>
      </c>
      <c r="K224">
        <v>2386403</v>
      </c>
    </row>
    <row r="225" spans="1:11">
      <c r="A225" t="s">
        <v>195</v>
      </c>
      <c r="B225" t="s">
        <v>195</v>
      </c>
      <c r="C225">
        <v>209807</v>
      </c>
      <c r="D225">
        <v>38900</v>
      </c>
      <c r="E225">
        <v>2015</v>
      </c>
      <c r="F225" s="7">
        <v>4082</v>
      </c>
      <c r="G225" s="7">
        <v>7871</v>
      </c>
      <c r="H225" s="7">
        <v>9</v>
      </c>
      <c r="I225">
        <v>0.31</v>
      </c>
      <c r="J225">
        <v>0.65600000000000003</v>
      </c>
      <c r="K225">
        <v>2386403</v>
      </c>
    </row>
    <row r="226" spans="1:11">
      <c r="A226" t="s">
        <v>196</v>
      </c>
      <c r="B226" t="s">
        <v>196</v>
      </c>
      <c r="C226">
        <v>227526</v>
      </c>
      <c r="D226">
        <v>26420</v>
      </c>
      <c r="E226">
        <v>2015</v>
      </c>
      <c r="F226" s="7">
        <v>1668</v>
      </c>
      <c r="G226" s="7">
        <v>1585</v>
      </c>
      <c r="H226" s="7">
        <v>9</v>
      </c>
      <c r="I226">
        <v>0.32100000000000001</v>
      </c>
      <c r="J226">
        <v>0.28899999999999998</v>
      </c>
      <c r="K226">
        <v>6663204</v>
      </c>
    </row>
    <row r="227" spans="1:11">
      <c r="A227" t="s">
        <v>197</v>
      </c>
      <c r="B227" t="s">
        <v>197</v>
      </c>
      <c r="C227">
        <v>218539</v>
      </c>
      <c r="D227">
        <v>43900</v>
      </c>
      <c r="E227">
        <v>2015</v>
      </c>
      <c r="F227" s="7">
        <v>1719</v>
      </c>
      <c r="G227" s="7">
        <v>1842</v>
      </c>
      <c r="H227" s="7">
        <v>9</v>
      </c>
      <c r="I227">
        <v>0.42899999999999999</v>
      </c>
      <c r="J227">
        <v>0.28999999999999998</v>
      </c>
      <c r="K227">
        <v>298402</v>
      </c>
    </row>
    <row r="228" spans="1:11">
      <c r="A228" t="s">
        <v>198</v>
      </c>
      <c r="B228" t="s">
        <v>198</v>
      </c>
      <c r="C228">
        <v>186131</v>
      </c>
      <c r="D228">
        <v>45940</v>
      </c>
      <c r="E228">
        <v>2015</v>
      </c>
      <c r="F228" s="7">
        <v>2257</v>
      </c>
      <c r="G228" s="7">
        <v>1394</v>
      </c>
      <c r="H228" s="7">
        <v>7</v>
      </c>
      <c r="I228">
        <v>0.58299999999999996</v>
      </c>
      <c r="J228">
        <v>0.41699999999999998</v>
      </c>
      <c r="K228">
        <v>378569</v>
      </c>
    </row>
    <row r="229" spans="1:11">
      <c r="A229" t="s">
        <v>199</v>
      </c>
      <c r="B229" t="s">
        <v>199</v>
      </c>
      <c r="C229">
        <v>217402</v>
      </c>
      <c r="D229">
        <v>39300</v>
      </c>
      <c r="E229">
        <v>2015</v>
      </c>
      <c r="F229" s="7">
        <v>1439</v>
      </c>
      <c r="G229" s="7">
        <v>1740</v>
      </c>
      <c r="H229" s="7">
        <v>12</v>
      </c>
      <c r="I229">
        <v>0.188</v>
      </c>
      <c r="J229">
        <v>0.375</v>
      </c>
      <c r="K229">
        <v>1641256</v>
      </c>
    </row>
    <row r="230" spans="1:11">
      <c r="A230" t="s">
        <v>200</v>
      </c>
      <c r="B230" t="s">
        <v>200</v>
      </c>
      <c r="C230">
        <v>243780</v>
      </c>
      <c r="D230">
        <v>29200</v>
      </c>
      <c r="E230">
        <v>2015</v>
      </c>
      <c r="F230" s="7">
        <v>40230</v>
      </c>
      <c r="G230" s="7">
        <v>40510</v>
      </c>
      <c r="H230" s="7">
        <v>16</v>
      </c>
      <c r="I230">
        <v>0.68799999999999994</v>
      </c>
      <c r="J230">
        <v>0.65700000000000003</v>
      </c>
      <c r="K230">
        <v>218787</v>
      </c>
    </row>
    <row r="231" spans="1:11">
      <c r="A231" t="s">
        <v>201</v>
      </c>
      <c r="B231" t="s">
        <v>201</v>
      </c>
      <c r="C231">
        <v>151102</v>
      </c>
      <c r="D231">
        <v>23060</v>
      </c>
      <c r="E231">
        <v>2015</v>
      </c>
      <c r="F231" s="7">
        <v>6268</v>
      </c>
      <c r="G231" s="7">
        <v>4969</v>
      </c>
      <c r="H231" s="7">
        <v>11</v>
      </c>
      <c r="I231">
        <v>0.39400000000000002</v>
      </c>
      <c r="J231">
        <v>0.56299999999999994</v>
      </c>
      <c r="K231">
        <v>402935</v>
      </c>
    </row>
    <row r="232" spans="1:11">
      <c r="A232" t="s">
        <v>202</v>
      </c>
      <c r="B232" t="s">
        <v>202</v>
      </c>
      <c r="C232">
        <v>130226</v>
      </c>
      <c r="D232">
        <v>35300</v>
      </c>
      <c r="E232">
        <v>2015</v>
      </c>
      <c r="F232" s="7">
        <v>1939</v>
      </c>
      <c r="G232" s="7">
        <v>1725</v>
      </c>
      <c r="H232" s="7">
        <v>11</v>
      </c>
      <c r="I232">
        <v>6.0999999999999999E-2</v>
      </c>
      <c r="J232">
        <v>0.161</v>
      </c>
      <c r="K232">
        <v>866750</v>
      </c>
    </row>
    <row r="233" spans="1:11">
      <c r="A233" t="s">
        <v>203</v>
      </c>
      <c r="B233" t="s">
        <v>203</v>
      </c>
      <c r="C233">
        <v>233277</v>
      </c>
      <c r="D233">
        <v>40220</v>
      </c>
      <c r="E233">
        <v>2015</v>
      </c>
      <c r="F233" s="7">
        <v>4538</v>
      </c>
      <c r="G233" s="7">
        <v>5560</v>
      </c>
      <c r="H233" s="7">
        <v>9</v>
      </c>
      <c r="I233">
        <v>0.75</v>
      </c>
      <c r="J233">
        <v>0.71399999999999997</v>
      </c>
      <c r="K233">
        <v>314011</v>
      </c>
    </row>
    <row r="234" spans="1:11">
      <c r="A234" t="s">
        <v>204</v>
      </c>
      <c r="B234" t="s">
        <v>204</v>
      </c>
      <c r="C234">
        <v>217484</v>
      </c>
      <c r="D234">
        <v>39300</v>
      </c>
      <c r="E234">
        <v>2015</v>
      </c>
      <c r="F234" s="7">
        <v>4161</v>
      </c>
      <c r="G234" s="7">
        <v>3169</v>
      </c>
      <c r="H234" s="7">
        <v>10</v>
      </c>
      <c r="I234">
        <v>0.64300000000000002</v>
      </c>
      <c r="J234">
        <v>0.48399999999999999</v>
      </c>
      <c r="K234">
        <v>1641256</v>
      </c>
    </row>
    <row r="235" spans="1:11">
      <c r="A235" t="s">
        <v>1299</v>
      </c>
      <c r="B235" t="s">
        <v>1299</v>
      </c>
      <c r="C235">
        <v>227757</v>
      </c>
      <c r="D235">
        <v>26420</v>
      </c>
      <c r="E235">
        <v>2015</v>
      </c>
      <c r="F235" s="7">
        <v>5312</v>
      </c>
      <c r="G235" s="7">
        <v>3867</v>
      </c>
      <c r="H235" s="7">
        <v>15</v>
      </c>
      <c r="I235">
        <v>0.69699999999999995</v>
      </c>
      <c r="J235">
        <v>0.36699999999999999</v>
      </c>
      <c r="K235">
        <v>6663204</v>
      </c>
    </row>
    <row r="236" spans="1:11">
      <c r="A236" t="s">
        <v>1300</v>
      </c>
      <c r="B236" t="s">
        <v>1300</v>
      </c>
      <c r="C236">
        <v>233374</v>
      </c>
      <c r="D236">
        <v>40060</v>
      </c>
      <c r="E236">
        <v>2015</v>
      </c>
      <c r="F236" s="7" t="s">
        <v>1328</v>
      </c>
      <c r="G236" s="7" t="s">
        <v>1328</v>
      </c>
      <c r="H236" s="7" t="s">
        <v>1328</v>
      </c>
      <c r="I236" t="s">
        <v>1328</v>
      </c>
      <c r="J236" t="s">
        <v>1328</v>
      </c>
      <c r="K236">
        <v>1254013</v>
      </c>
    </row>
    <row r="237" spans="1:11">
      <c r="A237" t="s">
        <v>205</v>
      </c>
      <c r="B237" t="s">
        <v>205</v>
      </c>
      <c r="C237">
        <v>186283</v>
      </c>
      <c r="D237">
        <v>45940</v>
      </c>
      <c r="E237">
        <v>2015</v>
      </c>
      <c r="F237" s="7">
        <v>2539</v>
      </c>
      <c r="G237" s="7">
        <v>2090</v>
      </c>
      <c r="H237" s="7">
        <v>12</v>
      </c>
      <c r="I237">
        <v>0.5</v>
      </c>
      <c r="J237">
        <v>0.51700000000000002</v>
      </c>
      <c r="K237">
        <v>378569</v>
      </c>
    </row>
    <row r="238" spans="1:11">
      <c r="A238" t="s">
        <v>206</v>
      </c>
      <c r="B238" t="s">
        <v>206</v>
      </c>
      <c r="C238">
        <v>215655</v>
      </c>
      <c r="D238">
        <v>38300</v>
      </c>
      <c r="E238">
        <v>2015</v>
      </c>
      <c r="F238" s="7">
        <v>2382</v>
      </c>
      <c r="G238" s="7">
        <v>1970</v>
      </c>
      <c r="H238" s="7">
        <v>11</v>
      </c>
      <c r="I238">
        <v>0.46899999999999997</v>
      </c>
      <c r="J238">
        <v>0.28999999999999998</v>
      </c>
      <c r="K238">
        <v>2379296</v>
      </c>
    </row>
    <row r="239" spans="1:11">
      <c r="A239" t="s">
        <v>207</v>
      </c>
      <c r="B239" t="s">
        <v>207</v>
      </c>
      <c r="C239">
        <v>186380</v>
      </c>
      <c r="D239">
        <v>35620</v>
      </c>
      <c r="E239">
        <v>2015</v>
      </c>
      <c r="F239" s="7">
        <v>2526</v>
      </c>
      <c r="G239" s="7">
        <v>1674</v>
      </c>
      <c r="H239" s="7">
        <v>14</v>
      </c>
      <c r="I239">
        <v>0.21199999999999999</v>
      </c>
      <c r="J239">
        <v>0.156</v>
      </c>
      <c r="K239">
        <v>19833335</v>
      </c>
    </row>
    <row r="240" spans="1:11">
      <c r="A240" t="s">
        <v>208</v>
      </c>
      <c r="B240" t="s">
        <v>208</v>
      </c>
      <c r="C240">
        <v>110617</v>
      </c>
      <c r="D240">
        <v>40900</v>
      </c>
      <c r="E240">
        <v>2015</v>
      </c>
      <c r="F240" s="7">
        <v>2995</v>
      </c>
      <c r="G240" s="7">
        <v>3664</v>
      </c>
      <c r="H240" s="7">
        <v>12</v>
      </c>
      <c r="I240">
        <v>0.25800000000000001</v>
      </c>
      <c r="J240">
        <v>0.48399999999999999</v>
      </c>
      <c r="K240">
        <v>2275383</v>
      </c>
    </row>
    <row r="241" spans="1:11">
      <c r="A241" t="s">
        <v>209</v>
      </c>
      <c r="B241" t="s">
        <v>209</v>
      </c>
      <c r="C241">
        <v>130253</v>
      </c>
      <c r="D241">
        <v>35300</v>
      </c>
      <c r="E241">
        <v>2015</v>
      </c>
      <c r="F241" s="7">
        <v>2181</v>
      </c>
      <c r="G241" s="7">
        <v>3190</v>
      </c>
      <c r="H241" s="7">
        <v>11</v>
      </c>
      <c r="I241">
        <v>0.32100000000000001</v>
      </c>
      <c r="J241">
        <v>0.48399999999999999</v>
      </c>
      <c r="K241">
        <v>866750</v>
      </c>
    </row>
    <row r="242" spans="1:11">
      <c r="A242" t="s">
        <v>210</v>
      </c>
      <c r="B242" t="s">
        <v>210</v>
      </c>
      <c r="C242">
        <v>215743</v>
      </c>
      <c r="D242">
        <v>11020</v>
      </c>
      <c r="E242">
        <v>2015</v>
      </c>
      <c r="F242" s="7" t="s">
        <v>1328</v>
      </c>
      <c r="G242" s="7" t="s">
        <v>1328</v>
      </c>
      <c r="H242" s="7" t="s">
        <v>1328</v>
      </c>
      <c r="I242" t="s">
        <v>1328</v>
      </c>
      <c r="J242" t="s">
        <v>1328</v>
      </c>
      <c r="K242">
        <v>125429</v>
      </c>
    </row>
    <row r="243" spans="1:11">
      <c r="A243" t="s">
        <v>211</v>
      </c>
      <c r="B243" t="s">
        <v>211</v>
      </c>
      <c r="C243">
        <v>215770</v>
      </c>
      <c r="D243">
        <v>37980</v>
      </c>
      <c r="E243">
        <v>2015</v>
      </c>
      <c r="F243" s="7" t="s">
        <v>1328</v>
      </c>
      <c r="G243" s="7" t="s">
        <v>1328</v>
      </c>
      <c r="H243" s="7" t="s">
        <v>1328</v>
      </c>
      <c r="I243" t="s">
        <v>1328</v>
      </c>
      <c r="J243" t="s">
        <v>1328</v>
      </c>
      <c r="K243">
        <v>6130446</v>
      </c>
    </row>
    <row r="244" spans="1:11">
      <c r="A244" t="s">
        <v>212</v>
      </c>
      <c r="B244" t="s">
        <v>212</v>
      </c>
      <c r="C244">
        <v>179159</v>
      </c>
      <c r="D244">
        <v>41180</v>
      </c>
      <c r="E244">
        <v>2015</v>
      </c>
      <c r="F244" s="7">
        <v>5718</v>
      </c>
      <c r="G244" s="7">
        <v>7624</v>
      </c>
      <c r="H244" s="7">
        <v>15</v>
      </c>
      <c r="I244">
        <v>0.67700000000000005</v>
      </c>
      <c r="J244">
        <v>0.433</v>
      </c>
      <c r="K244">
        <v>2815810</v>
      </c>
    </row>
    <row r="245" spans="1:11">
      <c r="A245" t="s">
        <v>213</v>
      </c>
      <c r="B245" t="s">
        <v>213</v>
      </c>
      <c r="C245">
        <v>123554</v>
      </c>
      <c r="D245">
        <v>41860</v>
      </c>
      <c r="E245">
        <v>2015</v>
      </c>
      <c r="F245" s="7">
        <v>3044</v>
      </c>
      <c r="G245" s="7">
        <v>3264</v>
      </c>
      <c r="H245" s="7">
        <v>13</v>
      </c>
      <c r="I245">
        <v>0.32100000000000001</v>
      </c>
      <c r="J245">
        <v>0.66700000000000004</v>
      </c>
      <c r="K245">
        <v>4669540</v>
      </c>
    </row>
    <row r="246" spans="1:11">
      <c r="A246" t="s">
        <v>214</v>
      </c>
      <c r="B246" t="s">
        <v>214</v>
      </c>
      <c r="C246">
        <v>186432</v>
      </c>
      <c r="D246">
        <v>35620</v>
      </c>
      <c r="E246">
        <v>2015</v>
      </c>
      <c r="F246" s="7">
        <v>1139</v>
      </c>
      <c r="G246" s="7">
        <v>1669</v>
      </c>
      <c r="H246" s="7">
        <v>10</v>
      </c>
      <c r="I246">
        <v>0.20699999999999999</v>
      </c>
      <c r="J246">
        <v>0.125</v>
      </c>
      <c r="K246">
        <v>19833335</v>
      </c>
    </row>
    <row r="247" spans="1:11">
      <c r="A247" t="s">
        <v>1249</v>
      </c>
      <c r="B247" t="s">
        <v>215</v>
      </c>
      <c r="C247">
        <v>227881</v>
      </c>
      <c r="D247">
        <v>26660</v>
      </c>
      <c r="E247">
        <v>2015</v>
      </c>
      <c r="F247" s="7">
        <v>4158</v>
      </c>
      <c r="G247" s="7">
        <v>5276</v>
      </c>
      <c r="H247" s="7">
        <v>12</v>
      </c>
      <c r="I247">
        <v>0.6</v>
      </c>
      <c r="J247">
        <v>0.60699999999999998</v>
      </c>
      <c r="K247">
        <v>72998</v>
      </c>
    </row>
    <row r="248" spans="1:11">
      <c r="A248" t="s">
        <v>216</v>
      </c>
      <c r="B248" t="s">
        <v>216</v>
      </c>
      <c r="C248">
        <v>102049</v>
      </c>
      <c r="D248">
        <v>13820</v>
      </c>
      <c r="E248">
        <v>2015</v>
      </c>
      <c r="F248" s="7">
        <v>5408</v>
      </c>
      <c r="G248" s="7">
        <v>4885</v>
      </c>
      <c r="H248" s="7">
        <v>13</v>
      </c>
      <c r="I248">
        <v>0.60599999999999998</v>
      </c>
      <c r="J248">
        <v>0.67600000000000005</v>
      </c>
      <c r="K248">
        <v>1092218</v>
      </c>
    </row>
    <row r="249" spans="1:11">
      <c r="A249" t="s">
        <v>217</v>
      </c>
      <c r="B249" t="s">
        <v>217</v>
      </c>
      <c r="C249">
        <v>122436</v>
      </c>
      <c r="D249">
        <v>41740</v>
      </c>
      <c r="E249">
        <v>2015</v>
      </c>
      <c r="F249" s="7">
        <v>6282</v>
      </c>
      <c r="G249" s="7">
        <v>11518</v>
      </c>
      <c r="H249" s="7">
        <v>15</v>
      </c>
      <c r="I249">
        <v>0.61299999999999999</v>
      </c>
      <c r="J249">
        <v>0.86699999999999999</v>
      </c>
      <c r="K249">
        <v>3262051</v>
      </c>
    </row>
    <row r="250" spans="1:11">
      <c r="A250" t="s">
        <v>218</v>
      </c>
      <c r="B250" t="s">
        <v>218</v>
      </c>
      <c r="C250">
        <v>122409</v>
      </c>
      <c r="D250">
        <v>41740</v>
      </c>
      <c r="E250">
        <v>2015</v>
      </c>
      <c r="F250" s="7">
        <v>4794</v>
      </c>
      <c r="G250" s="7">
        <v>5159</v>
      </c>
      <c r="H250" s="7">
        <v>14</v>
      </c>
      <c r="I250">
        <v>0.48299999999999998</v>
      </c>
      <c r="J250">
        <v>0.53300000000000003</v>
      </c>
      <c r="K250">
        <v>3262051</v>
      </c>
    </row>
    <row r="251" spans="1:11">
      <c r="A251" t="s">
        <v>1301</v>
      </c>
      <c r="B251" t="s">
        <v>1301</v>
      </c>
      <c r="C251">
        <v>122612</v>
      </c>
      <c r="D251">
        <v>41860</v>
      </c>
      <c r="E251">
        <v>2015</v>
      </c>
      <c r="F251" s="7">
        <v>3004</v>
      </c>
      <c r="G251" s="7">
        <v>3293</v>
      </c>
      <c r="H251" s="7">
        <v>12</v>
      </c>
      <c r="I251">
        <v>0.4</v>
      </c>
      <c r="J251">
        <v>0.46400000000000002</v>
      </c>
      <c r="K251">
        <v>4669540</v>
      </c>
    </row>
    <row r="252" spans="1:11">
      <c r="A252" t="s">
        <v>219</v>
      </c>
      <c r="B252" t="s">
        <v>219</v>
      </c>
      <c r="C252">
        <v>122755</v>
      </c>
      <c r="D252">
        <v>41940</v>
      </c>
      <c r="E252">
        <v>2015</v>
      </c>
      <c r="F252" s="7">
        <v>2641</v>
      </c>
      <c r="G252" s="7">
        <v>3790</v>
      </c>
      <c r="H252" s="7">
        <v>10</v>
      </c>
      <c r="I252">
        <v>0.129</v>
      </c>
      <c r="J252">
        <v>0.25800000000000001</v>
      </c>
      <c r="K252">
        <v>1986324</v>
      </c>
    </row>
    <row r="253" spans="1:11">
      <c r="A253" t="s">
        <v>220</v>
      </c>
      <c r="B253" t="s">
        <v>220</v>
      </c>
      <c r="C253">
        <v>122931</v>
      </c>
      <c r="D253">
        <v>41940</v>
      </c>
      <c r="E253">
        <v>2015</v>
      </c>
      <c r="F253" s="7">
        <v>2848</v>
      </c>
      <c r="G253" s="7">
        <v>4032</v>
      </c>
      <c r="H253" s="7">
        <v>11</v>
      </c>
      <c r="I253">
        <v>0.68799999999999994</v>
      </c>
      <c r="J253">
        <v>0.40699999999999997</v>
      </c>
      <c r="K253">
        <v>1986324</v>
      </c>
    </row>
    <row r="254" spans="1:11">
      <c r="A254" t="s">
        <v>221</v>
      </c>
      <c r="B254" t="s">
        <v>221</v>
      </c>
      <c r="C254">
        <v>236595</v>
      </c>
      <c r="D254">
        <v>42660</v>
      </c>
      <c r="E254">
        <v>2015</v>
      </c>
      <c r="F254" s="7">
        <v>2072</v>
      </c>
      <c r="G254" s="7">
        <v>1761</v>
      </c>
      <c r="H254" s="7">
        <v>12</v>
      </c>
      <c r="I254">
        <v>0.45200000000000001</v>
      </c>
      <c r="J254">
        <v>0.39400000000000002</v>
      </c>
      <c r="K254">
        <v>3745754</v>
      </c>
    </row>
    <row r="255" spans="1:11">
      <c r="A255" t="s">
        <v>222</v>
      </c>
      <c r="B255" t="s">
        <v>222</v>
      </c>
      <c r="C255">
        <v>186584</v>
      </c>
      <c r="D255">
        <v>35620</v>
      </c>
      <c r="E255">
        <v>2015</v>
      </c>
      <c r="F255" s="7">
        <v>4250</v>
      </c>
      <c r="G255" s="7">
        <v>2274</v>
      </c>
      <c r="H255" s="7">
        <v>17</v>
      </c>
      <c r="I255">
        <v>0.77800000000000002</v>
      </c>
      <c r="J255">
        <v>0.51600000000000001</v>
      </c>
      <c r="K255">
        <v>19833335</v>
      </c>
    </row>
    <row r="256" spans="1:11">
      <c r="A256" t="s">
        <v>223</v>
      </c>
      <c r="B256" t="s">
        <v>223</v>
      </c>
      <c r="C256">
        <v>228431</v>
      </c>
      <c r="D256">
        <v>34860</v>
      </c>
      <c r="E256">
        <v>2015</v>
      </c>
      <c r="F256" s="7">
        <v>3728</v>
      </c>
      <c r="G256" s="7">
        <v>3424</v>
      </c>
      <c r="H256" s="7">
        <v>10</v>
      </c>
      <c r="I256">
        <v>0.75</v>
      </c>
      <c r="J256">
        <v>0.5</v>
      </c>
      <c r="K256">
        <v>65393</v>
      </c>
    </row>
    <row r="257" spans="1:11">
      <c r="A257" t="s">
        <v>224</v>
      </c>
      <c r="B257" t="s">
        <v>224</v>
      </c>
      <c r="C257">
        <v>195474</v>
      </c>
      <c r="D257">
        <v>10580</v>
      </c>
      <c r="E257">
        <v>2015</v>
      </c>
      <c r="F257" s="7">
        <v>1080</v>
      </c>
      <c r="G257" s="7">
        <v>1315</v>
      </c>
      <c r="H257" s="7">
        <v>11</v>
      </c>
      <c r="I257">
        <v>0.55900000000000005</v>
      </c>
      <c r="J257">
        <v>0.5</v>
      </c>
      <c r="K257">
        <v>889735</v>
      </c>
    </row>
    <row r="258" spans="1:11">
      <c r="A258" t="s">
        <v>225</v>
      </c>
      <c r="B258" t="s">
        <v>225</v>
      </c>
      <c r="C258">
        <v>149231</v>
      </c>
      <c r="D258">
        <v>41180</v>
      </c>
      <c r="E258">
        <v>2015</v>
      </c>
      <c r="F258" s="7">
        <v>3487</v>
      </c>
      <c r="G258" s="7">
        <v>3446</v>
      </c>
      <c r="H258" s="7">
        <v>12</v>
      </c>
      <c r="I258">
        <v>0.45200000000000001</v>
      </c>
      <c r="J258">
        <v>0.438</v>
      </c>
      <c r="K258">
        <v>2815810</v>
      </c>
    </row>
    <row r="259" spans="1:11">
      <c r="A259" t="s">
        <v>1302</v>
      </c>
      <c r="B259" t="s">
        <v>1302</v>
      </c>
      <c r="C259">
        <v>228246</v>
      </c>
      <c r="D259">
        <v>19100</v>
      </c>
      <c r="E259">
        <v>2015</v>
      </c>
      <c r="F259" s="7">
        <v>8625</v>
      </c>
      <c r="G259" s="7">
        <v>4130</v>
      </c>
      <c r="H259" s="7">
        <v>16</v>
      </c>
      <c r="I259">
        <v>0.81299999999999994</v>
      </c>
      <c r="J259">
        <v>0.71</v>
      </c>
      <c r="K259">
        <v>7025725</v>
      </c>
    </row>
    <row r="260" spans="1:11">
      <c r="A260" t="s">
        <v>226</v>
      </c>
      <c r="B260" t="s">
        <v>226</v>
      </c>
      <c r="C260">
        <v>102094</v>
      </c>
      <c r="D260">
        <v>33660</v>
      </c>
      <c r="E260">
        <v>2015</v>
      </c>
      <c r="F260" s="7">
        <v>2417</v>
      </c>
      <c r="G260" s="7">
        <v>2424</v>
      </c>
      <c r="H260" s="7">
        <v>10</v>
      </c>
      <c r="I260">
        <v>0.38700000000000001</v>
      </c>
      <c r="J260">
        <v>0.48299999999999998</v>
      </c>
      <c r="K260">
        <v>432023</v>
      </c>
    </row>
    <row r="261" spans="1:11">
      <c r="A261" t="s">
        <v>227</v>
      </c>
      <c r="B261" t="s">
        <v>227</v>
      </c>
      <c r="C261">
        <v>218663</v>
      </c>
      <c r="D261">
        <v>17900</v>
      </c>
      <c r="E261">
        <v>2015</v>
      </c>
      <c r="F261" s="7">
        <v>18581</v>
      </c>
      <c r="G261" s="7">
        <v>15526</v>
      </c>
      <c r="H261" s="7">
        <v>15</v>
      </c>
      <c r="I261">
        <v>0.54800000000000004</v>
      </c>
      <c r="J261">
        <v>0.38700000000000001</v>
      </c>
      <c r="K261">
        <v>801088</v>
      </c>
    </row>
    <row r="262" spans="1:11">
      <c r="A262" t="s">
        <v>228</v>
      </c>
      <c r="B262" t="s">
        <v>228</v>
      </c>
      <c r="C262">
        <v>218733</v>
      </c>
      <c r="D262">
        <v>36700</v>
      </c>
      <c r="E262">
        <v>2015</v>
      </c>
      <c r="F262" s="7">
        <v>1541</v>
      </c>
      <c r="G262" s="7">
        <v>1174</v>
      </c>
      <c r="H262" s="7">
        <v>8</v>
      </c>
      <c r="I262">
        <v>0.111</v>
      </c>
      <c r="J262">
        <v>0.214</v>
      </c>
      <c r="K262">
        <v>88402</v>
      </c>
    </row>
    <row r="263" spans="1:11">
      <c r="A263" t="s">
        <v>229</v>
      </c>
      <c r="B263" t="s">
        <v>229</v>
      </c>
      <c r="C263">
        <v>219471</v>
      </c>
      <c r="D263">
        <v>46820</v>
      </c>
      <c r="E263">
        <v>2015</v>
      </c>
      <c r="F263" s="7">
        <v>2893</v>
      </c>
      <c r="G263" s="7">
        <v>2227</v>
      </c>
      <c r="H263" s="7">
        <v>9</v>
      </c>
      <c r="I263">
        <v>0.61299999999999999</v>
      </c>
      <c r="J263">
        <v>0.59399999999999997</v>
      </c>
      <c r="K263">
        <v>14175</v>
      </c>
    </row>
    <row r="264" spans="1:11">
      <c r="A264" t="s">
        <v>230</v>
      </c>
      <c r="B264" t="s">
        <v>230</v>
      </c>
      <c r="C264">
        <v>219356</v>
      </c>
      <c r="D264">
        <v>15100</v>
      </c>
      <c r="E264">
        <v>2015</v>
      </c>
      <c r="F264" s="7">
        <v>6660</v>
      </c>
      <c r="G264" s="7">
        <v>3418</v>
      </c>
      <c r="H264" s="7">
        <v>16</v>
      </c>
      <c r="I264">
        <v>0.182</v>
      </c>
      <c r="J264">
        <v>0.185</v>
      </c>
      <c r="K264">
        <v>33261</v>
      </c>
    </row>
    <row r="265" spans="1:11">
      <c r="A265" t="s">
        <v>231</v>
      </c>
      <c r="B265" t="s">
        <v>231</v>
      </c>
      <c r="C265">
        <v>137351</v>
      </c>
      <c r="D265">
        <v>45300</v>
      </c>
      <c r="E265">
        <v>2015</v>
      </c>
      <c r="F265" s="7">
        <v>6281</v>
      </c>
      <c r="G265" s="7">
        <v>7398</v>
      </c>
      <c r="H265" s="7">
        <v>13</v>
      </c>
      <c r="I265">
        <v>0.438</v>
      </c>
      <c r="J265">
        <v>0.53100000000000003</v>
      </c>
      <c r="K265">
        <v>2954113</v>
      </c>
    </row>
    <row r="266" spans="1:11">
      <c r="A266" t="s">
        <v>232</v>
      </c>
      <c r="B266" t="s">
        <v>232</v>
      </c>
      <c r="C266">
        <v>179557</v>
      </c>
      <c r="D266">
        <v>16020</v>
      </c>
      <c r="E266">
        <v>2015</v>
      </c>
      <c r="F266" s="7">
        <v>3277</v>
      </c>
      <c r="G266" s="7">
        <v>3908</v>
      </c>
      <c r="H266" s="7">
        <v>10</v>
      </c>
      <c r="I266">
        <v>0.35499999999999998</v>
      </c>
      <c r="J266">
        <v>0.51500000000000001</v>
      </c>
      <c r="K266">
        <v>97567</v>
      </c>
    </row>
    <row r="267" spans="1:11">
      <c r="A267" t="s">
        <v>233</v>
      </c>
      <c r="B267" t="s">
        <v>233</v>
      </c>
      <c r="C267">
        <v>160612</v>
      </c>
      <c r="D267">
        <v>25220</v>
      </c>
      <c r="E267">
        <v>2015</v>
      </c>
      <c r="F267" s="7">
        <v>2000</v>
      </c>
      <c r="G267" s="7">
        <v>2689</v>
      </c>
      <c r="H267" s="7">
        <v>10</v>
      </c>
      <c r="I267">
        <v>0.379</v>
      </c>
      <c r="J267">
        <v>0.35499999999999998</v>
      </c>
      <c r="K267">
        <v>127119</v>
      </c>
    </row>
    <row r="268" spans="1:11">
      <c r="A268" t="s">
        <v>1303</v>
      </c>
      <c r="B268" t="s">
        <v>1303</v>
      </c>
      <c r="C268">
        <v>123961</v>
      </c>
      <c r="D268">
        <v>31080</v>
      </c>
      <c r="E268">
        <v>2015</v>
      </c>
      <c r="F268" s="7">
        <v>12640</v>
      </c>
      <c r="G268" s="7">
        <v>22568</v>
      </c>
      <c r="H268" s="7">
        <v>11</v>
      </c>
      <c r="I268">
        <v>0.5</v>
      </c>
      <c r="J268">
        <v>0.82899999999999996</v>
      </c>
      <c r="K268">
        <v>13258364</v>
      </c>
    </row>
    <row r="269" spans="1:11">
      <c r="A269" t="s">
        <v>234</v>
      </c>
      <c r="B269" t="s">
        <v>234</v>
      </c>
      <c r="C269">
        <v>149222</v>
      </c>
      <c r="D269">
        <v>16060</v>
      </c>
      <c r="E269">
        <v>2015</v>
      </c>
      <c r="F269" s="7">
        <v>4592</v>
      </c>
      <c r="G269" s="7">
        <v>4277</v>
      </c>
      <c r="H269" s="7">
        <v>12</v>
      </c>
      <c r="I269">
        <v>0.51600000000000001</v>
      </c>
      <c r="J269">
        <v>0.60599999999999998</v>
      </c>
      <c r="K269">
        <v>138332</v>
      </c>
    </row>
    <row r="270" spans="1:11">
      <c r="A270" t="s">
        <v>235</v>
      </c>
      <c r="B270" t="s">
        <v>235</v>
      </c>
      <c r="C270">
        <v>176372</v>
      </c>
      <c r="D270">
        <v>25620</v>
      </c>
      <c r="E270">
        <v>2015</v>
      </c>
      <c r="F270" s="7">
        <v>3686</v>
      </c>
      <c r="G270" s="7">
        <v>3791</v>
      </c>
      <c r="H270" s="7">
        <v>12</v>
      </c>
      <c r="I270">
        <v>0.58799999999999997</v>
      </c>
      <c r="J270">
        <v>0.54800000000000004</v>
      </c>
      <c r="K270">
        <v>169406</v>
      </c>
    </row>
    <row r="271" spans="1:11">
      <c r="A271" t="s">
        <v>236</v>
      </c>
      <c r="B271" t="s">
        <v>236</v>
      </c>
      <c r="C271">
        <v>160621</v>
      </c>
      <c r="D271">
        <v>12940</v>
      </c>
      <c r="E271">
        <v>2015</v>
      </c>
      <c r="F271" s="7">
        <v>2194</v>
      </c>
      <c r="G271" s="7">
        <v>1668</v>
      </c>
      <c r="H271" s="7">
        <v>9</v>
      </c>
      <c r="I271">
        <v>0.44400000000000001</v>
      </c>
      <c r="J271">
        <v>0.29599999999999999</v>
      </c>
      <c r="K271">
        <v>857794</v>
      </c>
    </row>
    <row r="272" spans="1:11">
      <c r="A272" t="s">
        <v>237</v>
      </c>
      <c r="B272" t="s">
        <v>237</v>
      </c>
      <c r="C272">
        <v>230603</v>
      </c>
      <c r="D272">
        <v>16260</v>
      </c>
      <c r="E272">
        <v>2015</v>
      </c>
      <c r="F272" s="7">
        <v>7164</v>
      </c>
      <c r="G272" s="7">
        <v>5507</v>
      </c>
      <c r="H272" s="7">
        <v>12</v>
      </c>
      <c r="I272">
        <v>0.48299999999999998</v>
      </c>
      <c r="J272">
        <v>0.129</v>
      </c>
      <c r="K272">
        <v>48531</v>
      </c>
    </row>
    <row r="273" spans="1:11">
      <c r="A273" t="s">
        <v>238</v>
      </c>
      <c r="B273" t="s">
        <v>238</v>
      </c>
      <c r="C273">
        <v>195164</v>
      </c>
      <c r="D273">
        <v>18500</v>
      </c>
      <c r="E273">
        <v>2015</v>
      </c>
      <c r="F273" s="7" t="s">
        <v>1328</v>
      </c>
      <c r="G273" s="7" t="s">
        <v>1328</v>
      </c>
      <c r="H273" s="7" t="s">
        <v>1328</v>
      </c>
      <c r="I273" t="s">
        <v>1328</v>
      </c>
      <c r="J273" t="s">
        <v>1328</v>
      </c>
      <c r="K273">
        <v>96911</v>
      </c>
    </row>
    <row r="274" spans="1:11">
      <c r="A274" t="s">
        <v>1304</v>
      </c>
      <c r="B274" t="s">
        <v>1304</v>
      </c>
      <c r="C274">
        <v>195173</v>
      </c>
      <c r="D274">
        <v>15100</v>
      </c>
      <c r="E274">
        <v>2015</v>
      </c>
      <c r="F274" s="7">
        <v>1220</v>
      </c>
      <c r="G274" s="7">
        <v>1022</v>
      </c>
      <c r="H274" s="7">
        <v>11</v>
      </c>
      <c r="I274">
        <v>6.7000000000000004E-2</v>
      </c>
      <c r="J274">
        <v>0.219</v>
      </c>
      <c r="K274">
        <v>33261</v>
      </c>
    </row>
    <row r="275" spans="1:11">
      <c r="A275" t="s">
        <v>239</v>
      </c>
      <c r="B275" t="s">
        <v>239</v>
      </c>
      <c r="C275">
        <v>195809</v>
      </c>
      <c r="D275">
        <v>35620</v>
      </c>
      <c r="E275">
        <v>2015</v>
      </c>
      <c r="F275" s="7">
        <v>3527</v>
      </c>
      <c r="G275" s="7">
        <v>3547</v>
      </c>
      <c r="H275" s="7">
        <v>15</v>
      </c>
      <c r="I275">
        <v>0.57599999999999996</v>
      </c>
      <c r="J275">
        <v>0.5</v>
      </c>
      <c r="K275">
        <v>19833335</v>
      </c>
    </row>
    <row r="276" spans="1:11">
      <c r="A276" t="s">
        <v>240</v>
      </c>
      <c r="B276" t="s">
        <v>240</v>
      </c>
      <c r="C276">
        <v>243744</v>
      </c>
      <c r="D276">
        <v>41940</v>
      </c>
      <c r="E276">
        <v>2015</v>
      </c>
      <c r="F276" s="7">
        <v>36136</v>
      </c>
      <c r="G276" s="7">
        <v>28925</v>
      </c>
      <c r="H276" s="7">
        <v>17</v>
      </c>
      <c r="I276">
        <v>0.94299999999999995</v>
      </c>
      <c r="J276">
        <v>0.81799999999999995</v>
      </c>
      <c r="K276">
        <v>1986324</v>
      </c>
    </row>
    <row r="277" spans="1:11">
      <c r="A277" t="s">
        <v>241</v>
      </c>
      <c r="B277" t="s">
        <v>241</v>
      </c>
      <c r="C277">
        <v>137546</v>
      </c>
      <c r="D277">
        <v>36740</v>
      </c>
      <c r="E277">
        <v>2015</v>
      </c>
      <c r="F277" s="7">
        <v>1746</v>
      </c>
      <c r="G277" s="7">
        <v>2897</v>
      </c>
      <c r="H277" s="7">
        <v>8</v>
      </c>
      <c r="I277">
        <v>0.55200000000000005</v>
      </c>
      <c r="J277">
        <v>0.52900000000000003</v>
      </c>
      <c r="K277">
        <v>2410624</v>
      </c>
    </row>
    <row r="278" spans="1:11">
      <c r="A278" t="s">
        <v>242</v>
      </c>
      <c r="B278" t="s">
        <v>242</v>
      </c>
      <c r="C278">
        <v>196097</v>
      </c>
      <c r="D278">
        <v>35620</v>
      </c>
      <c r="E278">
        <v>2015</v>
      </c>
      <c r="F278" s="7">
        <v>3365</v>
      </c>
      <c r="G278" s="7">
        <v>2476</v>
      </c>
      <c r="H278" s="7">
        <v>12</v>
      </c>
      <c r="I278">
        <v>0.53100000000000003</v>
      </c>
      <c r="J278">
        <v>0.47099999999999997</v>
      </c>
      <c r="K278">
        <v>19833335</v>
      </c>
    </row>
    <row r="279" spans="1:11">
      <c r="A279" t="s">
        <v>243</v>
      </c>
      <c r="B279" t="s">
        <v>243</v>
      </c>
      <c r="C279">
        <v>196413</v>
      </c>
      <c r="D279">
        <v>45060</v>
      </c>
      <c r="E279">
        <v>2015</v>
      </c>
      <c r="F279" s="7">
        <v>2437</v>
      </c>
      <c r="G279" s="7">
        <v>4988</v>
      </c>
      <c r="H279" s="7">
        <v>15</v>
      </c>
      <c r="I279">
        <v>0.3</v>
      </c>
      <c r="J279">
        <v>0.5</v>
      </c>
      <c r="K279">
        <v>665759</v>
      </c>
    </row>
    <row r="280" spans="1:11">
      <c r="A280" t="s">
        <v>1305</v>
      </c>
      <c r="B280" t="s">
        <v>1305</v>
      </c>
      <c r="C280">
        <v>228875</v>
      </c>
      <c r="D280">
        <v>19100</v>
      </c>
      <c r="E280">
        <v>2015</v>
      </c>
      <c r="F280" s="7">
        <v>16856</v>
      </c>
      <c r="G280" s="7">
        <v>17279</v>
      </c>
      <c r="H280" s="7">
        <v>16</v>
      </c>
      <c r="I280">
        <v>0.53100000000000003</v>
      </c>
      <c r="J280">
        <v>0.51600000000000001</v>
      </c>
      <c r="K280">
        <v>7025725</v>
      </c>
    </row>
    <row r="281" spans="1:11">
      <c r="A281" t="s">
        <v>1306</v>
      </c>
      <c r="B281" t="s">
        <v>1306</v>
      </c>
      <c r="C281">
        <v>216339</v>
      </c>
      <c r="D281">
        <v>37980</v>
      </c>
      <c r="E281">
        <v>2015</v>
      </c>
      <c r="F281" s="7">
        <v>3145</v>
      </c>
      <c r="G281" s="7">
        <v>2784</v>
      </c>
      <c r="H281" s="7">
        <v>13</v>
      </c>
      <c r="I281">
        <v>0.75</v>
      </c>
      <c r="J281">
        <v>0.6</v>
      </c>
      <c r="K281">
        <v>6130446</v>
      </c>
    </row>
    <row r="282" spans="1:11">
      <c r="A282" t="s">
        <v>244</v>
      </c>
      <c r="B282" t="s">
        <v>244</v>
      </c>
      <c r="C282">
        <v>221759</v>
      </c>
      <c r="D282">
        <v>28940</v>
      </c>
      <c r="E282">
        <v>2015</v>
      </c>
      <c r="F282" s="7">
        <v>10406</v>
      </c>
      <c r="G282" s="7">
        <v>11514</v>
      </c>
      <c r="H282" s="7">
        <v>13</v>
      </c>
      <c r="I282">
        <v>0.25</v>
      </c>
      <c r="J282">
        <v>0.28100000000000003</v>
      </c>
      <c r="K282">
        <v>840155</v>
      </c>
    </row>
    <row r="283" spans="1:11">
      <c r="A283" t="s">
        <v>245</v>
      </c>
      <c r="B283" t="s">
        <v>245</v>
      </c>
      <c r="C283">
        <v>221838</v>
      </c>
      <c r="D283">
        <v>34980</v>
      </c>
      <c r="E283">
        <v>2015</v>
      </c>
      <c r="F283" s="7">
        <v>2772</v>
      </c>
      <c r="G283" s="7">
        <v>3208</v>
      </c>
      <c r="H283" s="7">
        <v>10</v>
      </c>
      <c r="I283">
        <v>0.32300000000000001</v>
      </c>
      <c r="J283">
        <v>0.35699999999999998</v>
      </c>
      <c r="K283">
        <v>1824091</v>
      </c>
    </row>
    <row r="284" spans="1:11">
      <c r="A284" t="s">
        <v>246</v>
      </c>
      <c r="B284" t="s">
        <v>246</v>
      </c>
      <c r="C284">
        <v>221847</v>
      </c>
      <c r="D284">
        <v>18260</v>
      </c>
      <c r="E284">
        <v>2015</v>
      </c>
      <c r="F284" s="7">
        <v>4917</v>
      </c>
      <c r="G284" s="7">
        <v>2970</v>
      </c>
      <c r="H284" s="7">
        <v>8</v>
      </c>
      <c r="I284">
        <v>0.441</v>
      </c>
      <c r="J284">
        <v>0.192</v>
      </c>
      <c r="K284">
        <v>108163</v>
      </c>
    </row>
    <row r="285" spans="1:11">
      <c r="A285" t="s">
        <v>247</v>
      </c>
      <c r="B285" t="s">
        <v>247</v>
      </c>
      <c r="C285">
        <v>228778</v>
      </c>
      <c r="D285">
        <v>12420</v>
      </c>
      <c r="E285">
        <v>2015</v>
      </c>
      <c r="F285" s="7">
        <v>40378</v>
      </c>
      <c r="G285" s="7">
        <v>49137</v>
      </c>
      <c r="H285" s="7">
        <v>14</v>
      </c>
      <c r="I285">
        <v>0.9</v>
      </c>
      <c r="J285">
        <v>0.9</v>
      </c>
      <c r="K285">
        <v>2004660</v>
      </c>
    </row>
    <row r="286" spans="1:11">
      <c r="A286" t="s">
        <v>248</v>
      </c>
      <c r="B286" t="s">
        <v>248</v>
      </c>
      <c r="C286">
        <v>228723</v>
      </c>
      <c r="D286">
        <v>17780</v>
      </c>
      <c r="E286">
        <v>2015</v>
      </c>
      <c r="F286" s="7">
        <v>19635</v>
      </c>
      <c r="G286" s="7">
        <v>14808</v>
      </c>
      <c r="H286" s="7">
        <v>15</v>
      </c>
      <c r="I286">
        <v>0.7</v>
      </c>
      <c r="J286">
        <v>0.61299999999999999</v>
      </c>
      <c r="K286">
        <v>250973</v>
      </c>
    </row>
    <row r="287" spans="1:11">
      <c r="A287" t="s">
        <v>249</v>
      </c>
      <c r="B287" t="s">
        <v>249</v>
      </c>
      <c r="C287">
        <v>229063</v>
      </c>
      <c r="D287">
        <v>26420</v>
      </c>
      <c r="E287">
        <v>2015</v>
      </c>
      <c r="F287" s="7">
        <v>2574</v>
      </c>
      <c r="G287" s="7">
        <v>2315</v>
      </c>
      <c r="H287" s="7">
        <v>14</v>
      </c>
      <c r="I287">
        <v>0.4</v>
      </c>
      <c r="J287">
        <v>0.57099999999999995</v>
      </c>
      <c r="K287">
        <v>6663204</v>
      </c>
    </row>
    <row r="288" spans="1:11">
      <c r="A288" t="s">
        <v>250</v>
      </c>
      <c r="B288" t="s">
        <v>250</v>
      </c>
      <c r="C288">
        <v>228459</v>
      </c>
      <c r="D288">
        <v>12420</v>
      </c>
      <c r="E288">
        <v>2015</v>
      </c>
      <c r="F288" s="7">
        <v>13750</v>
      </c>
      <c r="G288" s="7">
        <v>10457</v>
      </c>
      <c r="H288" s="7">
        <v>18</v>
      </c>
      <c r="I288">
        <v>0.629</v>
      </c>
      <c r="J288">
        <v>0.64900000000000002</v>
      </c>
      <c r="K288">
        <v>2004660</v>
      </c>
    </row>
    <row r="289" spans="1:11">
      <c r="A289" t="s">
        <v>251</v>
      </c>
      <c r="B289" t="s">
        <v>251</v>
      </c>
      <c r="C289">
        <v>229115</v>
      </c>
      <c r="D289">
        <v>31180</v>
      </c>
      <c r="E289">
        <v>2015</v>
      </c>
      <c r="F289" s="7">
        <v>9202</v>
      </c>
      <c r="G289" s="7">
        <v>7288</v>
      </c>
      <c r="H289" s="7">
        <v>14</v>
      </c>
      <c r="I289">
        <v>0.5</v>
      </c>
      <c r="J289">
        <v>0.313</v>
      </c>
      <c r="K289">
        <v>307917</v>
      </c>
    </row>
    <row r="290" spans="1:11">
      <c r="A290" t="s">
        <v>1308</v>
      </c>
      <c r="B290" t="s">
        <v>1307</v>
      </c>
      <c r="C290">
        <v>217864</v>
      </c>
      <c r="D290">
        <v>16700</v>
      </c>
      <c r="E290">
        <v>2015</v>
      </c>
      <c r="F290" s="7">
        <v>1184</v>
      </c>
      <c r="G290" s="7">
        <v>1739</v>
      </c>
      <c r="H290" s="7">
        <v>13</v>
      </c>
      <c r="I290">
        <v>0.23499999999999999</v>
      </c>
      <c r="J290">
        <v>0.152</v>
      </c>
      <c r="K290">
        <v>737259</v>
      </c>
    </row>
    <row r="291" spans="1:11">
      <c r="A291" t="s">
        <v>252</v>
      </c>
      <c r="B291" t="s">
        <v>252</v>
      </c>
      <c r="C291">
        <v>206084</v>
      </c>
      <c r="D291">
        <v>45780</v>
      </c>
      <c r="E291">
        <v>2015</v>
      </c>
      <c r="F291" s="7">
        <v>3656</v>
      </c>
      <c r="G291" s="7">
        <v>6489</v>
      </c>
      <c r="H291" s="7">
        <v>12</v>
      </c>
      <c r="I291">
        <v>3.4000000000000002E-2</v>
      </c>
      <c r="J291">
        <v>0.61299999999999999</v>
      </c>
      <c r="K291">
        <v>648620</v>
      </c>
    </row>
    <row r="292" spans="1:11">
      <c r="A292" t="s">
        <v>253</v>
      </c>
      <c r="B292" t="s">
        <v>253</v>
      </c>
      <c r="C292">
        <v>164076</v>
      </c>
      <c r="D292">
        <v>12580</v>
      </c>
      <c r="E292">
        <v>2015</v>
      </c>
      <c r="F292" s="7">
        <v>3100</v>
      </c>
      <c r="G292" s="7">
        <v>2270</v>
      </c>
      <c r="H292" s="7">
        <v>15</v>
      </c>
      <c r="I292">
        <v>0.84399999999999997</v>
      </c>
      <c r="J292">
        <v>0.29399999999999998</v>
      </c>
      <c r="K292">
        <v>2812930</v>
      </c>
    </row>
    <row r="293" spans="1:11">
      <c r="A293" t="s">
        <v>254</v>
      </c>
      <c r="B293" t="s">
        <v>254</v>
      </c>
      <c r="C293">
        <v>102368</v>
      </c>
      <c r="D293">
        <v>45980</v>
      </c>
      <c r="E293">
        <v>2015</v>
      </c>
      <c r="F293" s="7">
        <v>4989</v>
      </c>
      <c r="G293" s="7">
        <v>4155</v>
      </c>
      <c r="H293" s="7">
        <v>14</v>
      </c>
      <c r="I293">
        <v>0.313</v>
      </c>
      <c r="J293">
        <v>0.38200000000000001</v>
      </c>
      <c r="K293">
        <v>33540</v>
      </c>
    </row>
    <row r="294" spans="1:11">
      <c r="A294" t="s">
        <v>1309</v>
      </c>
      <c r="B294" t="s">
        <v>1309</v>
      </c>
      <c r="C294">
        <v>160755</v>
      </c>
      <c r="D294">
        <v>35380</v>
      </c>
      <c r="E294">
        <v>2015</v>
      </c>
      <c r="F294" s="7">
        <v>2502</v>
      </c>
      <c r="G294" s="7">
        <v>3473</v>
      </c>
      <c r="H294" s="7">
        <v>13</v>
      </c>
      <c r="I294">
        <v>0.156</v>
      </c>
      <c r="J294">
        <v>0.875</v>
      </c>
      <c r="K294">
        <v>1260274</v>
      </c>
    </row>
    <row r="295" spans="1:11">
      <c r="A295" t="s">
        <v>255</v>
      </c>
      <c r="B295" t="s">
        <v>255</v>
      </c>
      <c r="C295">
        <v>207971</v>
      </c>
      <c r="D295">
        <v>46140</v>
      </c>
      <c r="E295">
        <v>2015</v>
      </c>
      <c r="F295" s="7">
        <v>4947</v>
      </c>
      <c r="G295" s="7">
        <v>4002</v>
      </c>
      <c r="H295" s="7">
        <v>12</v>
      </c>
      <c r="I295">
        <v>0.71</v>
      </c>
      <c r="J295">
        <v>0.77400000000000002</v>
      </c>
      <c r="K295">
        <v>986737</v>
      </c>
    </row>
    <row r="296" spans="1:11">
      <c r="A296" t="s">
        <v>256</v>
      </c>
      <c r="B296" t="s">
        <v>256</v>
      </c>
      <c r="C296">
        <v>100663</v>
      </c>
      <c r="D296">
        <v>13820</v>
      </c>
      <c r="E296">
        <v>2015</v>
      </c>
      <c r="F296" s="7">
        <v>3115</v>
      </c>
      <c r="G296" s="7">
        <v>2541</v>
      </c>
      <c r="H296" s="7">
        <v>12</v>
      </c>
      <c r="I296">
        <v>0.25</v>
      </c>
      <c r="J296">
        <v>0.6</v>
      </c>
      <c r="K296">
        <v>1092218</v>
      </c>
    </row>
    <row r="297" spans="1:11">
      <c r="A297" t="s">
        <v>1239</v>
      </c>
      <c r="B297" t="s">
        <v>10</v>
      </c>
      <c r="C297">
        <v>196060</v>
      </c>
      <c r="D297">
        <v>10580</v>
      </c>
      <c r="E297">
        <v>2015</v>
      </c>
      <c r="F297" s="7">
        <v>1216</v>
      </c>
      <c r="G297" s="7">
        <v>1391</v>
      </c>
      <c r="H297" s="7">
        <v>6</v>
      </c>
      <c r="I297">
        <v>0.37</v>
      </c>
      <c r="J297">
        <v>0.32100000000000001</v>
      </c>
      <c r="K297">
        <v>889735</v>
      </c>
    </row>
    <row r="298" spans="1:11">
      <c r="A298" t="s">
        <v>257</v>
      </c>
      <c r="B298" t="s">
        <v>257</v>
      </c>
      <c r="C298">
        <v>110644</v>
      </c>
      <c r="D298">
        <v>40900</v>
      </c>
      <c r="E298">
        <v>2015</v>
      </c>
      <c r="F298" s="7">
        <v>5637</v>
      </c>
      <c r="G298" s="7">
        <v>4851</v>
      </c>
      <c r="H298" s="7">
        <v>10</v>
      </c>
      <c r="I298">
        <v>0.51700000000000002</v>
      </c>
      <c r="J298">
        <v>0.48299999999999998</v>
      </c>
      <c r="K298">
        <v>2275383</v>
      </c>
    </row>
    <row r="299" spans="1:11">
      <c r="A299" t="s">
        <v>1310</v>
      </c>
      <c r="B299" t="s">
        <v>1310</v>
      </c>
      <c r="C299">
        <v>110653</v>
      </c>
      <c r="D299">
        <v>31080</v>
      </c>
      <c r="E299">
        <v>2015</v>
      </c>
      <c r="F299" s="7">
        <v>4071</v>
      </c>
      <c r="G299" s="7">
        <v>4027</v>
      </c>
      <c r="H299" s="7">
        <v>12</v>
      </c>
      <c r="I299">
        <v>0.61299999999999999</v>
      </c>
      <c r="J299">
        <v>0.46700000000000003</v>
      </c>
      <c r="K299">
        <v>13258364</v>
      </c>
    </row>
    <row r="300" spans="1:11">
      <c r="A300" t="s">
        <v>258</v>
      </c>
      <c r="B300" t="s">
        <v>258</v>
      </c>
      <c r="C300">
        <v>110671</v>
      </c>
      <c r="D300">
        <v>40140</v>
      </c>
      <c r="E300">
        <v>2015</v>
      </c>
      <c r="F300" s="7">
        <v>2730</v>
      </c>
      <c r="G300" s="7">
        <v>2699</v>
      </c>
      <c r="H300" s="7">
        <v>8</v>
      </c>
      <c r="I300">
        <v>7.0999999999999994E-2</v>
      </c>
      <c r="J300">
        <v>7.0999999999999994E-2</v>
      </c>
      <c r="K300">
        <v>4420560</v>
      </c>
    </row>
    <row r="301" spans="1:11">
      <c r="A301" t="s">
        <v>259</v>
      </c>
      <c r="B301" t="s">
        <v>259</v>
      </c>
      <c r="C301">
        <v>110705</v>
      </c>
      <c r="D301">
        <v>42200</v>
      </c>
      <c r="E301">
        <v>2015</v>
      </c>
      <c r="F301" s="7">
        <v>3359</v>
      </c>
      <c r="G301" s="7">
        <v>3674</v>
      </c>
      <c r="H301" s="7">
        <v>10</v>
      </c>
      <c r="I301">
        <v>0.48099999999999998</v>
      </c>
      <c r="J301">
        <v>0.621</v>
      </c>
      <c r="K301">
        <v>443597</v>
      </c>
    </row>
    <row r="302" spans="1:11">
      <c r="A302" t="s">
        <v>260</v>
      </c>
      <c r="B302" t="s">
        <v>260</v>
      </c>
      <c r="C302">
        <v>132903</v>
      </c>
      <c r="D302">
        <v>36740</v>
      </c>
      <c r="E302">
        <v>2015</v>
      </c>
      <c r="F302" s="7">
        <v>6227</v>
      </c>
      <c r="G302" s="7">
        <v>7108</v>
      </c>
      <c r="H302" s="7">
        <v>15</v>
      </c>
      <c r="I302">
        <v>0.75800000000000001</v>
      </c>
      <c r="J302">
        <v>0.67700000000000005</v>
      </c>
      <c r="K302">
        <v>2410624</v>
      </c>
    </row>
    <row r="303" spans="1:11">
      <c r="A303" t="s">
        <v>261</v>
      </c>
      <c r="B303" t="s">
        <v>261</v>
      </c>
      <c r="C303">
        <v>110662</v>
      </c>
      <c r="D303">
        <v>31080</v>
      </c>
      <c r="E303">
        <v>2015</v>
      </c>
      <c r="F303" s="7">
        <v>10536</v>
      </c>
      <c r="G303" s="7">
        <v>11026</v>
      </c>
      <c r="H303" s="7">
        <v>13</v>
      </c>
      <c r="I303">
        <v>0.64700000000000002</v>
      </c>
      <c r="J303">
        <v>0.5</v>
      </c>
      <c r="K303">
        <v>13258364</v>
      </c>
    </row>
    <row r="304" spans="1:11">
      <c r="A304" t="s">
        <v>262</v>
      </c>
      <c r="B304" t="s">
        <v>262</v>
      </c>
      <c r="C304">
        <v>129020</v>
      </c>
      <c r="D304">
        <v>25540</v>
      </c>
      <c r="E304">
        <v>2015</v>
      </c>
      <c r="F304" s="7">
        <v>3997</v>
      </c>
      <c r="G304" s="7">
        <v>6030</v>
      </c>
      <c r="H304" s="7">
        <v>16</v>
      </c>
      <c r="I304">
        <v>0.38700000000000001</v>
      </c>
      <c r="J304">
        <v>0.42399999999999999</v>
      </c>
      <c r="K304">
        <v>1217677</v>
      </c>
    </row>
    <row r="305" spans="1:11">
      <c r="A305" t="s">
        <v>263</v>
      </c>
      <c r="B305" t="s">
        <v>263</v>
      </c>
      <c r="C305">
        <v>145600</v>
      </c>
      <c r="D305">
        <v>16980</v>
      </c>
      <c r="E305">
        <v>2015</v>
      </c>
      <c r="F305" s="7">
        <v>3159</v>
      </c>
      <c r="G305" s="7">
        <v>2790</v>
      </c>
      <c r="H305" s="7">
        <v>12</v>
      </c>
      <c r="I305">
        <v>0.45200000000000001</v>
      </c>
      <c r="J305">
        <v>0.3</v>
      </c>
      <c r="K305">
        <v>9654044</v>
      </c>
    </row>
    <row r="306" spans="1:11">
      <c r="A306" t="s">
        <v>1244</v>
      </c>
      <c r="B306" t="s">
        <v>107</v>
      </c>
      <c r="C306">
        <v>225627</v>
      </c>
      <c r="D306">
        <v>41700</v>
      </c>
      <c r="E306">
        <v>2015</v>
      </c>
      <c r="F306" s="7">
        <v>3063</v>
      </c>
      <c r="G306" s="7">
        <v>4779</v>
      </c>
      <c r="H306" s="7">
        <v>9</v>
      </c>
      <c r="I306" t="s">
        <v>1328</v>
      </c>
      <c r="J306" t="s">
        <v>1328</v>
      </c>
      <c r="K306">
        <v>2366630</v>
      </c>
    </row>
    <row r="307" spans="1:11">
      <c r="A307" t="s">
        <v>1245</v>
      </c>
      <c r="B307" t="s">
        <v>122</v>
      </c>
      <c r="C307">
        <v>159993</v>
      </c>
      <c r="D307">
        <v>33740</v>
      </c>
      <c r="E307">
        <v>2015</v>
      </c>
      <c r="F307" s="7">
        <v>2425</v>
      </c>
      <c r="G307" s="7">
        <v>2069</v>
      </c>
      <c r="H307" s="7">
        <v>11</v>
      </c>
      <c r="I307">
        <v>0.27300000000000002</v>
      </c>
      <c r="J307">
        <v>0.17599999999999999</v>
      </c>
      <c r="K307">
        <v>209816</v>
      </c>
    </row>
    <row r="308" spans="1:11">
      <c r="A308" t="s">
        <v>264</v>
      </c>
      <c r="B308" t="s">
        <v>264</v>
      </c>
      <c r="C308">
        <v>166513</v>
      </c>
      <c r="D308">
        <v>31700</v>
      </c>
      <c r="E308">
        <v>2015</v>
      </c>
      <c r="F308" s="7">
        <v>1334</v>
      </c>
      <c r="G308" s="7">
        <v>1338</v>
      </c>
      <c r="H308" s="7">
        <v>7</v>
      </c>
      <c r="I308" t="s">
        <v>1328</v>
      </c>
      <c r="J308" t="s">
        <v>1328</v>
      </c>
      <c r="K308">
        <v>411433</v>
      </c>
    </row>
    <row r="309" spans="1:11">
      <c r="A309" t="s">
        <v>265</v>
      </c>
      <c r="B309" t="s">
        <v>265</v>
      </c>
      <c r="C309">
        <v>163268</v>
      </c>
      <c r="D309">
        <v>12580</v>
      </c>
      <c r="E309">
        <v>2015</v>
      </c>
      <c r="F309" s="7">
        <v>2502</v>
      </c>
      <c r="G309" s="7">
        <v>4342</v>
      </c>
      <c r="H309" s="7">
        <v>8</v>
      </c>
      <c r="I309">
        <v>0.4</v>
      </c>
      <c r="J309">
        <v>0.61299999999999999</v>
      </c>
      <c r="K309">
        <v>2812930</v>
      </c>
    </row>
    <row r="310" spans="1:11">
      <c r="A310" t="s">
        <v>266</v>
      </c>
      <c r="B310" t="s">
        <v>266</v>
      </c>
      <c r="C310">
        <v>163338</v>
      </c>
      <c r="D310">
        <v>41540</v>
      </c>
      <c r="E310">
        <v>2015</v>
      </c>
      <c r="F310" s="7">
        <v>10168</v>
      </c>
      <c r="G310" s="7">
        <v>4027</v>
      </c>
      <c r="H310" s="7">
        <v>15</v>
      </c>
      <c r="I310">
        <v>0.379</v>
      </c>
      <c r="J310">
        <v>0.125</v>
      </c>
      <c r="K310">
        <v>391734</v>
      </c>
    </row>
    <row r="311" spans="1:11">
      <c r="A311" t="s">
        <v>1311</v>
      </c>
      <c r="B311" t="s">
        <v>1311</v>
      </c>
      <c r="C311">
        <v>199111</v>
      </c>
      <c r="D311">
        <v>11700</v>
      </c>
      <c r="E311">
        <v>2015</v>
      </c>
      <c r="F311" s="7">
        <v>3159</v>
      </c>
      <c r="G311" s="7">
        <v>3989</v>
      </c>
      <c r="H311" s="7">
        <v>9</v>
      </c>
      <c r="I311">
        <v>0.26700000000000002</v>
      </c>
      <c r="J311">
        <v>0.54800000000000004</v>
      </c>
      <c r="K311">
        <v>446515</v>
      </c>
    </row>
    <row r="312" spans="1:11">
      <c r="A312" t="s">
        <v>268</v>
      </c>
      <c r="B312" t="s">
        <v>268</v>
      </c>
      <c r="C312">
        <v>199148</v>
      </c>
      <c r="D312">
        <v>24660</v>
      </c>
      <c r="E312">
        <v>2015</v>
      </c>
      <c r="F312" s="7">
        <v>6956</v>
      </c>
      <c r="G312" s="7">
        <v>9029</v>
      </c>
      <c r="H312" s="7">
        <v>13</v>
      </c>
      <c r="I312">
        <v>0.64500000000000002</v>
      </c>
      <c r="J312">
        <v>0.56699999999999995</v>
      </c>
      <c r="K312">
        <v>751915</v>
      </c>
    </row>
    <row r="313" spans="1:11">
      <c r="A313" t="s">
        <v>269</v>
      </c>
      <c r="B313" t="s">
        <v>269</v>
      </c>
      <c r="C313">
        <v>199218</v>
      </c>
      <c r="D313">
        <v>48900</v>
      </c>
      <c r="E313">
        <v>2015</v>
      </c>
      <c r="F313" s="7">
        <v>6115</v>
      </c>
      <c r="G313" s="7">
        <v>2598</v>
      </c>
      <c r="H313" s="7">
        <v>14</v>
      </c>
      <c r="I313">
        <v>0.65600000000000003</v>
      </c>
      <c r="J313">
        <v>0.66700000000000004</v>
      </c>
      <c r="K313">
        <v>269473</v>
      </c>
    </row>
    <row r="314" spans="1:11">
      <c r="A314" t="s">
        <v>270</v>
      </c>
      <c r="B314" t="s">
        <v>270</v>
      </c>
      <c r="C314">
        <v>154095</v>
      </c>
      <c r="D314">
        <v>47940</v>
      </c>
      <c r="E314">
        <v>2015</v>
      </c>
      <c r="F314" s="7">
        <v>40537</v>
      </c>
      <c r="G314" s="7">
        <v>42470</v>
      </c>
      <c r="H314" s="7">
        <v>13</v>
      </c>
      <c r="I314">
        <v>0.65600000000000003</v>
      </c>
      <c r="J314">
        <v>0.74199999999999999</v>
      </c>
      <c r="K314">
        <v>170899</v>
      </c>
    </row>
    <row r="315" spans="1:11">
      <c r="A315" t="s">
        <v>271</v>
      </c>
      <c r="B315" t="s">
        <v>271</v>
      </c>
      <c r="C315">
        <v>182281</v>
      </c>
      <c r="D315">
        <v>29820</v>
      </c>
      <c r="E315">
        <v>2015</v>
      </c>
      <c r="F315" s="7">
        <v>7768</v>
      </c>
      <c r="G315" s="7">
        <v>6332</v>
      </c>
      <c r="H315" s="7">
        <v>15</v>
      </c>
      <c r="I315">
        <v>0.78800000000000003</v>
      </c>
      <c r="J315">
        <v>0.53300000000000003</v>
      </c>
      <c r="K315">
        <v>2075751</v>
      </c>
    </row>
    <row r="316" spans="1:11">
      <c r="A316" t="s">
        <v>272</v>
      </c>
      <c r="B316" t="s">
        <v>272</v>
      </c>
      <c r="C316">
        <v>218742</v>
      </c>
      <c r="D316">
        <v>43900</v>
      </c>
      <c r="E316">
        <v>2015</v>
      </c>
      <c r="F316" s="7">
        <v>1410</v>
      </c>
      <c r="G316" s="7">
        <v>3308</v>
      </c>
      <c r="H316" s="7">
        <v>7</v>
      </c>
      <c r="I316">
        <v>0.33300000000000002</v>
      </c>
      <c r="J316">
        <v>0.17899999999999999</v>
      </c>
      <c r="K316">
        <v>298402</v>
      </c>
    </row>
    <row r="317" spans="1:11">
      <c r="A317" t="s">
        <v>273</v>
      </c>
      <c r="B317" t="s">
        <v>273</v>
      </c>
      <c r="C317">
        <v>228769</v>
      </c>
      <c r="D317">
        <v>19100</v>
      </c>
      <c r="E317">
        <v>2015</v>
      </c>
      <c r="F317" s="7">
        <v>9505</v>
      </c>
      <c r="G317" s="7">
        <v>5958</v>
      </c>
      <c r="H317" s="7">
        <v>17</v>
      </c>
      <c r="I317">
        <v>0.73499999999999999</v>
      </c>
      <c r="J317">
        <v>0.55900000000000005</v>
      </c>
      <c r="K317">
        <v>7025725</v>
      </c>
    </row>
    <row r="318" spans="1:11">
      <c r="A318" t="s">
        <v>274</v>
      </c>
      <c r="B318" t="s">
        <v>274</v>
      </c>
      <c r="C318">
        <v>221768</v>
      </c>
      <c r="D318">
        <v>32280</v>
      </c>
      <c r="E318">
        <v>2015</v>
      </c>
      <c r="F318" s="7">
        <v>4359</v>
      </c>
      <c r="G318" s="7">
        <v>2139</v>
      </c>
      <c r="H318" s="7">
        <v>13</v>
      </c>
      <c r="I318">
        <v>0.36699999999999999</v>
      </c>
      <c r="J318">
        <v>0.28100000000000003</v>
      </c>
      <c r="K318">
        <v>33640</v>
      </c>
    </row>
    <row r="319" spans="1:11">
      <c r="A319" t="s">
        <v>275</v>
      </c>
      <c r="B319" t="s">
        <v>275</v>
      </c>
      <c r="C319">
        <v>230764</v>
      </c>
      <c r="D319">
        <v>41620</v>
      </c>
      <c r="E319">
        <v>2015</v>
      </c>
      <c r="F319" s="7">
        <v>13446</v>
      </c>
      <c r="G319" s="7">
        <v>14085</v>
      </c>
      <c r="H319" s="7">
        <v>14</v>
      </c>
      <c r="I319">
        <v>0.60599999999999998</v>
      </c>
      <c r="J319">
        <v>0.61799999999999999</v>
      </c>
      <c r="K319">
        <v>1175713</v>
      </c>
    </row>
    <row r="320" spans="1:11">
      <c r="A320" t="s">
        <v>276</v>
      </c>
      <c r="B320" t="s">
        <v>276</v>
      </c>
      <c r="C320">
        <v>230728</v>
      </c>
      <c r="D320">
        <v>30860</v>
      </c>
      <c r="E320">
        <v>2015</v>
      </c>
      <c r="F320" s="7">
        <v>13144</v>
      </c>
      <c r="G320" s="7">
        <v>12810</v>
      </c>
      <c r="H320" s="7">
        <v>13</v>
      </c>
      <c r="I320">
        <v>0.44800000000000001</v>
      </c>
      <c r="J320">
        <v>0.64500000000000002</v>
      </c>
      <c r="K320">
        <v>134613</v>
      </c>
    </row>
    <row r="321" spans="1:11">
      <c r="A321" t="s">
        <v>277</v>
      </c>
      <c r="B321" t="s">
        <v>277</v>
      </c>
      <c r="C321">
        <v>230737</v>
      </c>
      <c r="D321">
        <v>39340</v>
      </c>
      <c r="E321">
        <v>2015</v>
      </c>
      <c r="F321" s="7">
        <v>7208</v>
      </c>
      <c r="G321" s="7">
        <v>9867</v>
      </c>
      <c r="H321" s="7">
        <v>12</v>
      </c>
      <c r="I321">
        <v>0.438</v>
      </c>
      <c r="J321">
        <v>0.54500000000000004</v>
      </c>
      <c r="K321">
        <v>589961</v>
      </c>
    </row>
    <row r="322" spans="1:11">
      <c r="A322" t="s">
        <v>278</v>
      </c>
      <c r="B322" t="s">
        <v>278</v>
      </c>
      <c r="C322">
        <v>228796</v>
      </c>
      <c r="D322">
        <v>21340</v>
      </c>
      <c r="E322">
        <v>2015</v>
      </c>
      <c r="F322" s="7">
        <v>5361</v>
      </c>
      <c r="G322" s="7">
        <v>6161</v>
      </c>
      <c r="H322" s="7">
        <v>12</v>
      </c>
      <c r="I322">
        <v>0.20699999999999999</v>
      </c>
      <c r="J322">
        <v>0.46700000000000003</v>
      </c>
      <c r="K322">
        <v>846949</v>
      </c>
    </row>
    <row r="323" spans="1:11">
      <c r="A323" t="s">
        <v>1312</v>
      </c>
      <c r="B323" t="s">
        <v>1312</v>
      </c>
      <c r="C323">
        <v>227368</v>
      </c>
      <c r="D323">
        <v>32580</v>
      </c>
      <c r="E323">
        <v>2015</v>
      </c>
      <c r="F323" s="7">
        <v>5389</v>
      </c>
      <c r="G323" s="7">
        <v>7176</v>
      </c>
      <c r="H323" s="7">
        <v>11</v>
      </c>
      <c r="I323">
        <v>0.23300000000000001</v>
      </c>
      <c r="J323">
        <v>0.39400000000000002</v>
      </c>
      <c r="K323">
        <v>837085</v>
      </c>
    </row>
    <row r="324" spans="1:11">
      <c r="A324" t="s">
        <v>279</v>
      </c>
      <c r="B324" t="s">
        <v>279</v>
      </c>
      <c r="C324">
        <v>229027</v>
      </c>
      <c r="D324">
        <v>41700</v>
      </c>
      <c r="E324">
        <v>2015</v>
      </c>
      <c r="F324" s="7">
        <v>6440</v>
      </c>
      <c r="G324" s="7">
        <v>7257</v>
      </c>
      <c r="H324" s="7">
        <v>11</v>
      </c>
      <c r="I324">
        <v>0.69</v>
      </c>
      <c r="J324">
        <v>0.75</v>
      </c>
      <c r="K324">
        <v>2366630</v>
      </c>
    </row>
    <row r="325" spans="1:11">
      <c r="A325" t="s">
        <v>280</v>
      </c>
      <c r="B325" t="s">
        <v>280</v>
      </c>
      <c r="C325">
        <v>152600</v>
      </c>
      <c r="D325">
        <v>16980</v>
      </c>
      <c r="E325">
        <v>2015</v>
      </c>
      <c r="F325" s="7">
        <v>6997</v>
      </c>
      <c r="G325" s="7">
        <v>5590</v>
      </c>
      <c r="H325" s="7">
        <v>12</v>
      </c>
      <c r="I325">
        <v>0.75800000000000001</v>
      </c>
      <c r="J325">
        <v>0.75800000000000001</v>
      </c>
      <c r="K325">
        <v>9654044</v>
      </c>
    </row>
    <row r="326" spans="1:11">
      <c r="A326" t="s">
        <v>1313</v>
      </c>
      <c r="B326" t="s">
        <v>1313</v>
      </c>
      <c r="C326">
        <v>221999</v>
      </c>
      <c r="D326">
        <v>34980</v>
      </c>
      <c r="E326">
        <v>2015</v>
      </c>
      <c r="F326" s="7" t="s">
        <v>1328</v>
      </c>
      <c r="G326" s="7" t="s">
        <v>1328</v>
      </c>
      <c r="H326" s="7" t="s">
        <v>1328</v>
      </c>
      <c r="I326" t="s">
        <v>1328</v>
      </c>
      <c r="J326" t="s">
        <v>1328</v>
      </c>
      <c r="K326">
        <v>1824091</v>
      </c>
    </row>
    <row r="327" spans="1:11">
      <c r="A327" t="s">
        <v>1314</v>
      </c>
      <c r="B327" t="s">
        <v>1314</v>
      </c>
      <c r="C327">
        <v>234030</v>
      </c>
      <c r="D327">
        <v>40060</v>
      </c>
      <c r="E327">
        <v>2015</v>
      </c>
      <c r="F327" s="7">
        <v>4024</v>
      </c>
      <c r="G327" s="7">
        <v>4160</v>
      </c>
      <c r="H327" s="7">
        <v>10</v>
      </c>
      <c r="I327">
        <v>0.56699999999999995</v>
      </c>
      <c r="J327">
        <v>0.76500000000000001</v>
      </c>
      <c r="K327">
        <v>1254013</v>
      </c>
    </row>
    <row r="328" spans="1:11">
      <c r="A328" t="s">
        <v>1315</v>
      </c>
      <c r="B328" t="s">
        <v>1315</v>
      </c>
      <c r="C328">
        <v>231174</v>
      </c>
      <c r="D328">
        <v>15540</v>
      </c>
      <c r="E328">
        <v>2015</v>
      </c>
      <c r="F328" s="7" t="s">
        <v>1328</v>
      </c>
      <c r="G328" s="7" t="s">
        <v>1328</v>
      </c>
      <c r="H328" s="7" t="s">
        <v>1328</v>
      </c>
      <c r="I328" t="s">
        <v>1328</v>
      </c>
      <c r="J328" t="s">
        <v>1328</v>
      </c>
      <c r="K328">
        <v>219728</v>
      </c>
    </row>
    <row r="329" spans="1:11">
      <c r="A329" t="s">
        <v>281</v>
      </c>
      <c r="B329" t="s">
        <v>281</v>
      </c>
      <c r="C329">
        <v>216597</v>
      </c>
      <c r="D329">
        <v>37980</v>
      </c>
      <c r="E329">
        <v>2015</v>
      </c>
      <c r="F329" s="7">
        <v>4660</v>
      </c>
      <c r="G329" s="7">
        <v>3768</v>
      </c>
      <c r="H329" s="7">
        <v>14</v>
      </c>
      <c r="I329">
        <v>0.39400000000000002</v>
      </c>
      <c r="J329">
        <v>0.41399999999999998</v>
      </c>
      <c r="K329">
        <v>6130446</v>
      </c>
    </row>
    <row r="330" spans="1:11">
      <c r="A330" t="s">
        <v>282</v>
      </c>
      <c r="B330" t="s">
        <v>282</v>
      </c>
      <c r="C330">
        <v>234076</v>
      </c>
      <c r="D330">
        <v>16820</v>
      </c>
      <c r="E330">
        <v>2015</v>
      </c>
      <c r="F330" s="7">
        <v>6977</v>
      </c>
      <c r="G330" s="7">
        <v>8551</v>
      </c>
      <c r="H330" s="7">
        <v>12</v>
      </c>
      <c r="I330">
        <v>0.54800000000000004</v>
      </c>
      <c r="J330">
        <v>0.56299999999999994</v>
      </c>
      <c r="K330">
        <v>212531</v>
      </c>
    </row>
    <row r="331" spans="1:11">
      <c r="A331" t="s">
        <v>283</v>
      </c>
      <c r="B331" t="s">
        <v>283</v>
      </c>
      <c r="C331">
        <v>233921</v>
      </c>
      <c r="D331">
        <v>13980</v>
      </c>
      <c r="E331">
        <v>2015</v>
      </c>
      <c r="F331" s="7">
        <v>7954</v>
      </c>
      <c r="G331" s="7">
        <v>8622</v>
      </c>
      <c r="H331" s="7">
        <v>12</v>
      </c>
      <c r="I331">
        <v>0.54800000000000004</v>
      </c>
      <c r="J331">
        <v>0.64700000000000002</v>
      </c>
      <c r="K331">
        <v>165298</v>
      </c>
    </row>
    <row r="332" spans="1:11">
      <c r="A332" t="s">
        <v>1316</v>
      </c>
      <c r="B332" t="s">
        <v>1316</v>
      </c>
      <c r="C332">
        <v>234085</v>
      </c>
      <c r="D332">
        <v>31340</v>
      </c>
      <c r="E332">
        <v>2015</v>
      </c>
      <c r="F332" s="7" t="s">
        <v>1328</v>
      </c>
      <c r="G332" s="7" t="s">
        <v>1328</v>
      </c>
      <c r="H332" s="7" t="s">
        <v>1328</v>
      </c>
      <c r="I332" t="s">
        <v>1328</v>
      </c>
      <c r="J332" t="s">
        <v>1328</v>
      </c>
      <c r="K332">
        <v>258067</v>
      </c>
    </row>
    <row r="333" spans="1:11">
      <c r="A333" t="s">
        <v>1258</v>
      </c>
      <c r="B333" t="s">
        <v>1258</v>
      </c>
      <c r="C333">
        <v>197197</v>
      </c>
      <c r="D333">
        <v>35620</v>
      </c>
      <c r="E333">
        <v>2015</v>
      </c>
      <c r="F333" s="7" t="s">
        <v>1328</v>
      </c>
      <c r="G333" s="7" t="s">
        <v>1328</v>
      </c>
      <c r="H333" s="7" t="s">
        <v>1328</v>
      </c>
      <c r="I333" t="s">
        <v>1328</v>
      </c>
      <c r="J333" t="s">
        <v>1328</v>
      </c>
      <c r="K333">
        <v>19833335</v>
      </c>
    </row>
    <row r="334" spans="1:11">
      <c r="A334" t="s">
        <v>1317</v>
      </c>
      <c r="B334" t="s">
        <v>1317</v>
      </c>
      <c r="C334">
        <v>199847</v>
      </c>
      <c r="D334">
        <v>49180</v>
      </c>
      <c r="E334">
        <v>2015</v>
      </c>
      <c r="F334" s="7">
        <v>9069</v>
      </c>
      <c r="G334" s="7">
        <v>9444</v>
      </c>
      <c r="H334" s="7">
        <v>17</v>
      </c>
      <c r="I334">
        <v>0.5</v>
      </c>
      <c r="J334">
        <v>0.5</v>
      </c>
      <c r="K334">
        <v>654759</v>
      </c>
    </row>
    <row r="335" spans="1:11">
      <c r="A335" t="s">
        <v>284</v>
      </c>
      <c r="B335" t="s">
        <v>284</v>
      </c>
      <c r="C335">
        <v>236948</v>
      </c>
      <c r="D335">
        <v>42660</v>
      </c>
      <c r="E335">
        <v>2015</v>
      </c>
      <c r="F335" s="7">
        <v>60829</v>
      </c>
      <c r="G335" s="7">
        <v>40174</v>
      </c>
      <c r="H335" s="7">
        <v>18</v>
      </c>
      <c r="I335">
        <v>0.91200000000000003</v>
      </c>
      <c r="J335">
        <v>0.90900000000000003</v>
      </c>
      <c r="K335">
        <v>3745754</v>
      </c>
    </row>
    <row r="336" spans="1:11">
      <c r="A336" t="s">
        <v>1318</v>
      </c>
      <c r="B336" t="s">
        <v>1318</v>
      </c>
      <c r="C336">
        <v>236939</v>
      </c>
      <c r="D336">
        <v>39420</v>
      </c>
      <c r="E336">
        <v>2015</v>
      </c>
      <c r="F336" s="7">
        <v>8740</v>
      </c>
      <c r="G336" s="7">
        <v>13326</v>
      </c>
      <c r="H336" s="7">
        <v>13</v>
      </c>
      <c r="I336">
        <v>0.313</v>
      </c>
      <c r="J336">
        <v>0.54500000000000004</v>
      </c>
      <c r="K336">
        <v>47369</v>
      </c>
    </row>
    <row r="337" spans="1:11">
      <c r="A337" t="s">
        <v>285</v>
      </c>
      <c r="B337" t="s">
        <v>285</v>
      </c>
      <c r="C337">
        <v>230782</v>
      </c>
      <c r="D337">
        <v>36260</v>
      </c>
      <c r="E337">
        <v>2015</v>
      </c>
      <c r="F337" s="7">
        <v>3696</v>
      </c>
      <c r="G337" s="7">
        <v>5433</v>
      </c>
      <c r="H337" s="7">
        <v>8</v>
      </c>
      <c r="I337">
        <v>0.22600000000000001</v>
      </c>
      <c r="J337">
        <v>0.20599999999999999</v>
      </c>
      <c r="K337">
        <v>643407</v>
      </c>
    </row>
    <row r="338" spans="1:11">
      <c r="A338" t="s">
        <v>1319</v>
      </c>
      <c r="B338" t="s">
        <v>1319</v>
      </c>
      <c r="C338">
        <v>238032</v>
      </c>
      <c r="D338">
        <v>34060</v>
      </c>
      <c r="E338">
        <v>2015</v>
      </c>
      <c r="F338" s="7">
        <v>8714</v>
      </c>
      <c r="G338" s="7">
        <v>8698</v>
      </c>
      <c r="H338" s="7">
        <v>15</v>
      </c>
      <c r="I338">
        <v>0.53300000000000003</v>
      </c>
      <c r="J338">
        <v>0.60599999999999998</v>
      </c>
      <c r="K338">
        <v>138672</v>
      </c>
    </row>
    <row r="339" spans="1:11">
      <c r="A339" t="s">
        <v>286</v>
      </c>
      <c r="B339" t="s">
        <v>286</v>
      </c>
      <c r="C339">
        <v>200004</v>
      </c>
      <c r="D339">
        <v>19000</v>
      </c>
      <c r="E339">
        <v>2015</v>
      </c>
      <c r="F339" s="7">
        <v>2323</v>
      </c>
      <c r="G339" s="7">
        <v>2443</v>
      </c>
      <c r="H339" s="7">
        <v>10</v>
      </c>
      <c r="I339">
        <v>0.53100000000000003</v>
      </c>
      <c r="J339">
        <v>0.58099999999999996</v>
      </c>
      <c r="K339">
        <v>55204</v>
      </c>
    </row>
    <row r="340" spans="1:11">
      <c r="A340" t="s">
        <v>287</v>
      </c>
      <c r="B340" t="s">
        <v>287</v>
      </c>
      <c r="C340">
        <v>149772</v>
      </c>
      <c r="D340">
        <v>31380</v>
      </c>
      <c r="E340">
        <v>2015</v>
      </c>
      <c r="F340" s="7">
        <v>3362</v>
      </c>
      <c r="G340" s="7">
        <v>2729</v>
      </c>
      <c r="H340" s="7">
        <v>12</v>
      </c>
      <c r="I340">
        <v>0.20699999999999999</v>
      </c>
      <c r="J340">
        <v>0.4</v>
      </c>
      <c r="K340">
        <v>30225</v>
      </c>
    </row>
    <row r="341" spans="1:11">
      <c r="A341" t="s">
        <v>288</v>
      </c>
      <c r="B341" t="s">
        <v>288</v>
      </c>
      <c r="C341">
        <v>157951</v>
      </c>
      <c r="D341">
        <v>14540</v>
      </c>
      <c r="E341">
        <v>2015</v>
      </c>
      <c r="F341" s="7">
        <v>9435</v>
      </c>
      <c r="G341" s="7">
        <v>10728</v>
      </c>
      <c r="H341" s="7">
        <v>13</v>
      </c>
      <c r="I341">
        <v>0.83299999999999996</v>
      </c>
      <c r="J341">
        <v>0.81799999999999995</v>
      </c>
      <c r="K341">
        <v>169211</v>
      </c>
    </row>
    <row r="342" spans="1:11">
      <c r="A342" t="s">
        <v>289</v>
      </c>
      <c r="B342" t="s">
        <v>289</v>
      </c>
      <c r="C342">
        <v>172699</v>
      </c>
      <c r="D342">
        <v>28020</v>
      </c>
      <c r="E342">
        <v>2015</v>
      </c>
      <c r="F342" s="7">
        <v>8342</v>
      </c>
      <c r="G342" s="7">
        <v>11934</v>
      </c>
      <c r="H342" s="7">
        <v>11</v>
      </c>
      <c r="I342">
        <v>0.61099999999999999</v>
      </c>
      <c r="J342">
        <v>0.54800000000000004</v>
      </c>
      <c r="K342">
        <v>257538</v>
      </c>
    </row>
    <row r="343" spans="1:11">
      <c r="A343" t="s">
        <v>290</v>
      </c>
      <c r="B343" t="s">
        <v>290</v>
      </c>
      <c r="C343">
        <v>156125</v>
      </c>
      <c r="D343">
        <v>48620</v>
      </c>
      <c r="E343">
        <v>2015</v>
      </c>
      <c r="F343" s="7">
        <v>27706</v>
      </c>
      <c r="G343" s="7">
        <v>38657</v>
      </c>
      <c r="H343" s="7">
        <v>9</v>
      </c>
      <c r="I343">
        <v>0.66700000000000004</v>
      </c>
      <c r="J343">
        <v>0.8</v>
      </c>
      <c r="K343">
        <v>638028</v>
      </c>
    </row>
    <row r="344" spans="1:11">
      <c r="A344" t="s">
        <v>1320</v>
      </c>
      <c r="B344" t="s">
        <v>1320</v>
      </c>
      <c r="C344">
        <v>231624</v>
      </c>
      <c r="D344">
        <v>47260</v>
      </c>
      <c r="E344">
        <v>2015</v>
      </c>
      <c r="F344" s="7">
        <v>2209</v>
      </c>
      <c r="G344" s="7">
        <v>2526</v>
      </c>
      <c r="H344" s="7">
        <v>10</v>
      </c>
      <c r="I344">
        <v>0.22600000000000001</v>
      </c>
      <c r="J344">
        <v>0.34399999999999997</v>
      </c>
      <c r="K344">
        <v>1768553</v>
      </c>
    </row>
    <row r="345" spans="1:11">
      <c r="A345" t="s">
        <v>291</v>
      </c>
      <c r="B345" t="s">
        <v>291</v>
      </c>
      <c r="C345">
        <v>218964</v>
      </c>
      <c r="D345">
        <v>16740</v>
      </c>
      <c r="E345">
        <v>2015</v>
      </c>
      <c r="F345" s="7">
        <v>3209</v>
      </c>
      <c r="G345" s="7">
        <v>4716</v>
      </c>
      <c r="H345" s="7">
        <v>12</v>
      </c>
      <c r="I345">
        <v>0.625</v>
      </c>
      <c r="J345">
        <v>0.56699999999999995</v>
      </c>
      <c r="K345">
        <v>2442023</v>
      </c>
    </row>
    <row r="346" spans="1:11">
      <c r="A346" t="s">
        <v>292</v>
      </c>
      <c r="B346" t="s">
        <v>292</v>
      </c>
      <c r="C346">
        <v>240444</v>
      </c>
      <c r="D346">
        <v>31540</v>
      </c>
      <c r="E346">
        <v>2015</v>
      </c>
      <c r="F346" s="7">
        <v>73999</v>
      </c>
      <c r="G346" s="7">
        <v>52685</v>
      </c>
      <c r="H346" s="7">
        <v>15</v>
      </c>
      <c r="I346">
        <v>0.91200000000000003</v>
      </c>
      <c r="J346">
        <v>0.73699999999999999</v>
      </c>
      <c r="K346">
        <v>646456</v>
      </c>
    </row>
    <row r="347" spans="1:11">
      <c r="A347" t="s">
        <v>293</v>
      </c>
      <c r="B347" t="s">
        <v>293</v>
      </c>
      <c r="C347">
        <v>218973</v>
      </c>
      <c r="D347">
        <v>43900</v>
      </c>
      <c r="E347">
        <v>2015</v>
      </c>
      <c r="F347" s="7">
        <v>4531</v>
      </c>
      <c r="G347" s="7">
        <v>1968</v>
      </c>
      <c r="H347" s="7">
        <v>12</v>
      </c>
      <c r="I347">
        <v>0.371</v>
      </c>
      <c r="J347">
        <v>0.40600000000000003</v>
      </c>
      <c r="K347">
        <v>298402</v>
      </c>
    </row>
    <row r="348" spans="1:11">
      <c r="A348" t="s">
        <v>1321</v>
      </c>
      <c r="B348" t="s">
        <v>1321</v>
      </c>
      <c r="C348">
        <v>206604</v>
      </c>
      <c r="D348">
        <v>19430</v>
      </c>
      <c r="E348">
        <v>2015</v>
      </c>
      <c r="F348" s="7">
        <v>3534</v>
      </c>
      <c r="G348" s="7">
        <v>3592</v>
      </c>
      <c r="H348" s="7">
        <v>11</v>
      </c>
      <c r="I348">
        <v>0.17899999999999999</v>
      </c>
      <c r="J348">
        <v>0.188</v>
      </c>
      <c r="K348">
        <v>802986</v>
      </c>
    </row>
    <row r="349" spans="1:11">
      <c r="A349" t="s">
        <v>1322</v>
      </c>
      <c r="B349" t="s">
        <v>1322</v>
      </c>
      <c r="C349">
        <v>240727</v>
      </c>
      <c r="D349">
        <v>29660</v>
      </c>
      <c r="E349">
        <v>2015</v>
      </c>
      <c r="F349" s="7">
        <v>9879</v>
      </c>
      <c r="G349" s="7">
        <v>9850</v>
      </c>
      <c r="H349" s="7">
        <v>15</v>
      </c>
      <c r="I349">
        <v>0.74199999999999999</v>
      </c>
      <c r="J349">
        <v>0.61799999999999999</v>
      </c>
      <c r="K349">
        <v>37099</v>
      </c>
    </row>
    <row r="350" spans="1:11">
      <c r="A350" t="s">
        <v>1323</v>
      </c>
      <c r="B350" t="s">
        <v>1323</v>
      </c>
      <c r="C350">
        <v>206622</v>
      </c>
      <c r="D350">
        <v>17140</v>
      </c>
      <c r="E350">
        <v>2015</v>
      </c>
      <c r="F350" s="7">
        <v>8681</v>
      </c>
      <c r="G350" s="7">
        <v>7070</v>
      </c>
      <c r="H350" s="7">
        <v>16</v>
      </c>
      <c r="I350">
        <v>0.61299999999999999</v>
      </c>
      <c r="J350">
        <v>0.65600000000000003</v>
      </c>
      <c r="K350">
        <v>2196029</v>
      </c>
    </row>
    <row r="351" spans="1:11">
      <c r="A351" t="s">
        <v>294</v>
      </c>
      <c r="B351" t="s">
        <v>294</v>
      </c>
      <c r="C351">
        <v>130794</v>
      </c>
      <c r="D351">
        <v>35300</v>
      </c>
      <c r="E351">
        <v>2015</v>
      </c>
      <c r="F351" s="7">
        <v>4479</v>
      </c>
      <c r="G351" s="7">
        <v>4399</v>
      </c>
      <c r="H351" s="7">
        <v>11</v>
      </c>
      <c r="I351">
        <v>0.69199999999999995</v>
      </c>
      <c r="J351">
        <v>0.8</v>
      </c>
      <c r="K351">
        <v>866750</v>
      </c>
    </row>
    <row r="352" spans="1:11">
      <c r="A352" t="s">
        <v>295</v>
      </c>
      <c r="B352" t="s">
        <v>295</v>
      </c>
      <c r="C352">
        <v>206695</v>
      </c>
      <c r="D352">
        <v>49660</v>
      </c>
      <c r="E352">
        <v>2015</v>
      </c>
      <c r="F352" s="7">
        <v>1100</v>
      </c>
      <c r="G352" s="7">
        <v>1802</v>
      </c>
      <c r="H352" s="7">
        <v>7</v>
      </c>
      <c r="I352">
        <v>0.54800000000000004</v>
      </c>
      <c r="J352">
        <v>0.51600000000000001</v>
      </c>
      <c r="K352">
        <v>553699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9662-88BB-4AE2-99C9-856223ABCD7D}">
  <dimension ref="A1:K352"/>
  <sheetViews>
    <sheetView workbookViewId="0"/>
  </sheetViews>
  <sheetFormatPr baseColWidth="10" defaultColWidth="8.83203125" defaultRowHeight="15"/>
  <cols>
    <col min="1" max="2" width="18.6640625" bestFit="1" customWidth="1"/>
    <col min="3" max="3" width="7" bestFit="1" customWidth="1"/>
    <col min="4" max="4" width="8.1640625" bestFit="1" customWidth="1"/>
    <col min="5" max="5" width="7" customWidth="1"/>
    <col min="6" max="6" width="13.33203125" customWidth="1"/>
    <col min="7" max="7" width="14.33203125" bestFit="1" customWidth="1"/>
    <col min="8" max="8" width="11.83203125" customWidth="1"/>
    <col min="10" max="10" width="11.33203125" customWidth="1"/>
    <col min="11" max="11" width="11.1640625" customWidth="1"/>
  </cols>
  <sheetData>
    <row r="1" spans="1:11">
      <c r="A1" s="1" t="s">
        <v>4</v>
      </c>
      <c r="B1" s="1" t="s">
        <v>4</v>
      </c>
      <c r="C1" s="1">
        <v>224147</v>
      </c>
      <c r="D1" s="1">
        <v>18580</v>
      </c>
      <c r="E1">
        <v>2016</v>
      </c>
      <c r="F1" s="7">
        <v>9856</v>
      </c>
      <c r="G1" s="7">
        <v>6833</v>
      </c>
      <c r="H1" s="7">
        <v>14</v>
      </c>
      <c r="I1">
        <v>0.86099999999999999</v>
      </c>
      <c r="J1">
        <v>0.54300000000000004</v>
      </c>
      <c r="K1">
        <v>423932</v>
      </c>
    </row>
    <row r="2" spans="1:11">
      <c r="A2" t="s">
        <v>5</v>
      </c>
      <c r="B2" t="s">
        <v>5</v>
      </c>
      <c r="C2">
        <v>222178</v>
      </c>
      <c r="D2">
        <v>10180</v>
      </c>
      <c r="E2">
        <v>2016</v>
      </c>
      <c r="F2" s="7">
        <v>2972</v>
      </c>
      <c r="G2" s="7">
        <v>3859</v>
      </c>
      <c r="H2" s="7">
        <v>8</v>
      </c>
      <c r="I2" t="s">
        <v>1328</v>
      </c>
      <c r="J2" t="s">
        <v>1328</v>
      </c>
      <c r="K2">
        <v>172344</v>
      </c>
    </row>
    <row r="3" spans="1:11">
      <c r="A3" t="s">
        <v>1265</v>
      </c>
      <c r="B3" t="s">
        <v>1265</v>
      </c>
      <c r="C3">
        <v>500002</v>
      </c>
      <c r="D3">
        <v>17820</v>
      </c>
      <c r="E3">
        <v>2016</v>
      </c>
      <c r="F3" s="7">
        <v>4884</v>
      </c>
      <c r="G3" s="7">
        <v>5422</v>
      </c>
      <c r="H3" s="7">
        <v>16</v>
      </c>
      <c r="I3">
        <v>0.36399999999999999</v>
      </c>
      <c r="J3">
        <v>0.40600000000000003</v>
      </c>
      <c r="K3">
        <v>714386</v>
      </c>
    </row>
    <row r="4" spans="1:11">
      <c r="A4" t="s">
        <v>6</v>
      </c>
      <c r="B4" t="s">
        <v>6</v>
      </c>
      <c r="C4">
        <v>200800</v>
      </c>
      <c r="D4">
        <v>10420</v>
      </c>
      <c r="E4">
        <v>2016</v>
      </c>
      <c r="F4" s="7">
        <v>4186</v>
      </c>
      <c r="G4" s="7">
        <v>2889</v>
      </c>
      <c r="H4" s="7">
        <v>12</v>
      </c>
      <c r="I4">
        <v>0.27600000000000002</v>
      </c>
      <c r="J4">
        <v>0.25800000000000001</v>
      </c>
      <c r="K4">
        <v>703787</v>
      </c>
    </row>
    <row r="5" spans="1:11">
      <c r="A5" t="s">
        <v>7</v>
      </c>
      <c r="B5" t="s">
        <v>7</v>
      </c>
      <c r="C5">
        <v>100751</v>
      </c>
      <c r="D5">
        <v>46220</v>
      </c>
      <c r="E5">
        <v>2016</v>
      </c>
      <c r="F5" s="7">
        <v>15003</v>
      </c>
      <c r="G5" s="7">
        <v>12289</v>
      </c>
      <c r="H5" s="7">
        <v>17</v>
      </c>
      <c r="I5">
        <v>0.53100000000000003</v>
      </c>
      <c r="J5">
        <v>0.76500000000000001</v>
      </c>
      <c r="K5">
        <v>260042</v>
      </c>
    </row>
    <row r="6" spans="1:11">
      <c r="A6" t="s">
        <v>8</v>
      </c>
      <c r="B6" t="s">
        <v>8</v>
      </c>
      <c r="C6">
        <v>100654</v>
      </c>
      <c r="D6">
        <v>26620</v>
      </c>
      <c r="E6">
        <v>2016</v>
      </c>
      <c r="F6" s="7">
        <v>1360</v>
      </c>
      <c r="G6" s="7">
        <v>1335</v>
      </c>
      <c r="H6" s="7">
        <v>7</v>
      </c>
      <c r="I6">
        <v>0.34200000000000003</v>
      </c>
      <c r="J6">
        <v>0.39400000000000002</v>
      </c>
      <c r="K6">
        <v>457597</v>
      </c>
    </row>
    <row r="7" spans="1:11">
      <c r="A7" t="s">
        <v>9</v>
      </c>
      <c r="B7" t="s">
        <v>9</v>
      </c>
      <c r="C7">
        <v>100724</v>
      </c>
      <c r="D7">
        <v>33860</v>
      </c>
      <c r="E7">
        <v>2016</v>
      </c>
      <c r="F7" s="7">
        <v>805</v>
      </c>
      <c r="G7" s="7">
        <v>3495</v>
      </c>
      <c r="H7" s="7">
        <v>4</v>
      </c>
      <c r="I7">
        <v>0.58299999999999996</v>
      </c>
      <c r="J7">
        <v>0.51300000000000001</v>
      </c>
      <c r="K7">
        <v>382383</v>
      </c>
    </row>
    <row r="8" spans="1:11">
      <c r="A8" t="s">
        <v>11</v>
      </c>
      <c r="B8" t="s">
        <v>11</v>
      </c>
      <c r="C8">
        <v>175342</v>
      </c>
      <c r="D8">
        <v>35020</v>
      </c>
      <c r="E8">
        <v>2016</v>
      </c>
      <c r="F8" s="7">
        <v>1077</v>
      </c>
      <c r="G8" s="7">
        <v>1053</v>
      </c>
      <c r="H8" s="7">
        <v>11</v>
      </c>
      <c r="I8">
        <v>0.35299999999999998</v>
      </c>
      <c r="J8">
        <v>0.28599999999999998</v>
      </c>
      <c r="K8">
        <v>50811</v>
      </c>
    </row>
    <row r="9" spans="1:11">
      <c r="A9" t="s">
        <v>1266</v>
      </c>
      <c r="B9" t="s">
        <v>1266</v>
      </c>
      <c r="C9">
        <v>131159</v>
      </c>
      <c r="D9">
        <v>47900</v>
      </c>
      <c r="E9">
        <v>2016</v>
      </c>
      <c r="F9" s="7">
        <v>6366</v>
      </c>
      <c r="G9" s="7">
        <v>7923</v>
      </c>
      <c r="H9" s="7">
        <v>16</v>
      </c>
      <c r="I9">
        <v>0.8</v>
      </c>
      <c r="J9">
        <v>0.78800000000000003</v>
      </c>
      <c r="K9">
        <v>6194690</v>
      </c>
    </row>
    <row r="10" spans="1:11">
      <c r="A10" t="s">
        <v>12</v>
      </c>
      <c r="B10" t="s">
        <v>1240</v>
      </c>
      <c r="C10">
        <v>197869</v>
      </c>
      <c r="D10">
        <v>14380</v>
      </c>
      <c r="E10">
        <v>2016</v>
      </c>
      <c r="F10" s="7">
        <v>5894</v>
      </c>
      <c r="G10" s="7">
        <v>5174</v>
      </c>
      <c r="H10" s="7">
        <v>13</v>
      </c>
      <c r="I10">
        <v>0.73299999999999998</v>
      </c>
      <c r="J10">
        <v>0.67700000000000005</v>
      </c>
      <c r="K10">
        <v>52785</v>
      </c>
    </row>
    <row r="11" spans="1:11">
      <c r="A11" t="s">
        <v>13</v>
      </c>
      <c r="B11" t="s">
        <v>13</v>
      </c>
      <c r="C11">
        <v>104179</v>
      </c>
      <c r="D11">
        <v>46060</v>
      </c>
      <c r="E11">
        <v>2016</v>
      </c>
      <c r="F11" s="7">
        <v>23391</v>
      </c>
      <c r="G11" s="7">
        <v>27266</v>
      </c>
      <c r="H11" s="7">
        <v>16</v>
      </c>
      <c r="I11">
        <v>0.57599999999999996</v>
      </c>
      <c r="J11">
        <v>0.70599999999999996</v>
      </c>
      <c r="K11">
        <v>1007353</v>
      </c>
    </row>
    <row r="12" spans="1:11">
      <c r="A12" t="s">
        <v>14</v>
      </c>
      <c r="B12" t="s">
        <v>14</v>
      </c>
      <c r="C12">
        <v>104151</v>
      </c>
      <c r="D12">
        <v>38060</v>
      </c>
      <c r="E12">
        <v>2016</v>
      </c>
      <c r="F12" s="7">
        <v>28182</v>
      </c>
      <c r="G12" s="7">
        <v>22373</v>
      </c>
      <c r="H12" s="7">
        <v>15</v>
      </c>
      <c r="I12">
        <v>0.59399999999999997</v>
      </c>
      <c r="J12">
        <v>0.58799999999999997</v>
      </c>
      <c r="K12">
        <v>4556103</v>
      </c>
    </row>
    <row r="13" spans="1:11">
      <c r="A13" t="s">
        <v>15</v>
      </c>
      <c r="B13" t="s">
        <v>15</v>
      </c>
      <c r="C13">
        <v>106412</v>
      </c>
      <c r="D13">
        <v>38220</v>
      </c>
      <c r="E13">
        <v>2016</v>
      </c>
      <c r="F13" s="7">
        <v>902</v>
      </c>
      <c r="G13" s="7">
        <v>774</v>
      </c>
      <c r="H13" s="7">
        <v>7</v>
      </c>
      <c r="I13">
        <v>0.20599999999999999</v>
      </c>
      <c r="J13">
        <v>0.35499999999999998</v>
      </c>
      <c r="K13">
        <v>93091</v>
      </c>
    </row>
    <row r="14" spans="1:11">
      <c r="A14" t="s">
        <v>16</v>
      </c>
      <c r="B14" t="s">
        <v>16</v>
      </c>
      <c r="C14">
        <v>106397</v>
      </c>
      <c r="D14">
        <v>22220</v>
      </c>
      <c r="E14">
        <v>2016</v>
      </c>
      <c r="F14" s="7">
        <v>14697</v>
      </c>
      <c r="G14" s="7">
        <v>15265</v>
      </c>
      <c r="H14" s="7">
        <v>15</v>
      </c>
      <c r="I14">
        <v>0.56699999999999995</v>
      </c>
      <c r="J14">
        <v>0.48399999999999999</v>
      </c>
      <c r="K14">
        <v>504921</v>
      </c>
    </row>
    <row r="15" spans="1:11">
      <c r="A15" t="s">
        <v>1267</v>
      </c>
      <c r="B15" t="s">
        <v>1267</v>
      </c>
      <c r="C15">
        <v>106458</v>
      </c>
      <c r="D15">
        <v>27860</v>
      </c>
      <c r="E15">
        <v>2016</v>
      </c>
      <c r="F15" s="7">
        <v>6600</v>
      </c>
      <c r="G15" s="7">
        <v>3742</v>
      </c>
      <c r="H15" s="7">
        <v>8</v>
      </c>
      <c r="I15">
        <v>0.93300000000000005</v>
      </c>
      <c r="J15">
        <v>0.67700000000000005</v>
      </c>
      <c r="K15">
        <v>129366</v>
      </c>
    </row>
    <row r="16" spans="1:11">
      <c r="A16" t="s">
        <v>17</v>
      </c>
      <c r="B16" t="s">
        <v>17</v>
      </c>
      <c r="C16">
        <v>500001</v>
      </c>
      <c r="D16">
        <v>35620</v>
      </c>
      <c r="E16">
        <v>2016</v>
      </c>
      <c r="F16" s="7">
        <v>2915</v>
      </c>
      <c r="G16" s="7">
        <v>1921</v>
      </c>
      <c r="H16" s="7">
        <v>12</v>
      </c>
      <c r="I16">
        <v>0.67700000000000005</v>
      </c>
      <c r="J16">
        <v>0.46700000000000003</v>
      </c>
      <c r="K16">
        <v>19945132</v>
      </c>
    </row>
    <row r="17" spans="1:11">
      <c r="A17" t="s">
        <v>18</v>
      </c>
      <c r="B17" t="s">
        <v>18</v>
      </c>
      <c r="C17">
        <v>100858</v>
      </c>
      <c r="D17">
        <v>12220</v>
      </c>
      <c r="E17">
        <v>2016</v>
      </c>
      <c r="F17" s="7">
        <v>9436</v>
      </c>
      <c r="G17" s="7">
        <v>11835</v>
      </c>
      <c r="H17" s="7">
        <v>14</v>
      </c>
      <c r="I17">
        <v>0.6</v>
      </c>
      <c r="J17">
        <v>0.41899999999999998</v>
      </c>
      <c r="K17">
        <v>164310</v>
      </c>
    </row>
    <row r="18" spans="1:11">
      <c r="A18" t="s">
        <v>19</v>
      </c>
      <c r="B18" t="s">
        <v>19</v>
      </c>
      <c r="C18">
        <v>219602</v>
      </c>
      <c r="D18">
        <v>17300</v>
      </c>
      <c r="E18">
        <v>2016</v>
      </c>
      <c r="F18" s="7">
        <v>3990</v>
      </c>
      <c r="G18" s="7">
        <v>2860</v>
      </c>
      <c r="H18" s="7">
        <v>10</v>
      </c>
      <c r="I18">
        <v>0.313</v>
      </c>
      <c r="J18">
        <v>0.42399999999999999</v>
      </c>
      <c r="K18">
        <v>298790</v>
      </c>
    </row>
    <row r="19" spans="1:11">
      <c r="A19" t="s">
        <v>20</v>
      </c>
      <c r="B19" t="s">
        <v>20</v>
      </c>
      <c r="C19">
        <v>150136</v>
      </c>
      <c r="D19">
        <v>34620</v>
      </c>
      <c r="E19">
        <v>2016</v>
      </c>
      <c r="F19" s="7">
        <v>7504</v>
      </c>
      <c r="G19" s="7">
        <v>6403</v>
      </c>
      <c r="H19" s="7">
        <v>12</v>
      </c>
      <c r="I19">
        <v>0.46899999999999997</v>
      </c>
      <c r="J19">
        <v>0.56699999999999995</v>
      </c>
      <c r="K19">
        <v>114635</v>
      </c>
    </row>
    <row r="20" spans="1:11">
      <c r="A20" t="s">
        <v>21</v>
      </c>
      <c r="B20" t="s">
        <v>21</v>
      </c>
      <c r="C20">
        <v>223232</v>
      </c>
      <c r="D20">
        <v>47380</v>
      </c>
      <c r="E20">
        <v>2016</v>
      </c>
      <c r="F20" s="7">
        <v>10757</v>
      </c>
      <c r="G20" s="7">
        <v>9660</v>
      </c>
      <c r="H20" s="7">
        <v>15</v>
      </c>
      <c r="I20">
        <v>0.56699999999999995</v>
      </c>
      <c r="J20">
        <v>0.45200000000000001</v>
      </c>
      <c r="K20">
        <v>265507</v>
      </c>
    </row>
    <row r="21" spans="1:11">
      <c r="A21" t="s">
        <v>22</v>
      </c>
      <c r="B21" t="s">
        <v>22</v>
      </c>
      <c r="C21">
        <v>219709</v>
      </c>
      <c r="D21">
        <v>34980</v>
      </c>
      <c r="E21">
        <v>2016</v>
      </c>
      <c r="F21" s="7">
        <v>3825</v>
      </c>
      <c r="G21" s="7">
        <v>4978</v>
      </c>
      <c r="H21" s="7">
        <v>13</v>
      </c>
      <c r="I21">
        <v>0.53100000000000003</v>
      </c>
      <c r="J21">
        <v>0.57599999999999996</v>
      </c>
      <c r="K21">
        <v>1864558</v>
      </c>
    </row>
    <row r="22" spans="1:11">
      <c r="A22" t="s">
        <v>23</v>
      </c>
      <c r="B22" t="s">
        <v>23</v>
      </c>
      <c r="C22">
        <v>132602</v>
      </c>
      <c r="D22">
        <v>19660</v>
      </c>
      <c r="E22">
        <v>2016</v>
      </c>
      <c r="F22" s="7">
        <v>2969</v>
      </c>
      <c r="G22" s="7">
        <v>2281</v>
      </c>
      <c r="H22" s="7">
        <v>8</v>
      </c>
      <c r="I22">
        <v>0.48399999999999999</v>
      </c>
      <c r="J22">
        <v>0.33300000000000002</v>
      </c>
      <c r="K22">
        <v>631169</v>
      </c>
    </row>
    <row r="23" spans="1:11">
      <c r="A23" t="s">
        <v>24</v>
      </c>
      <c r="B23" t="s">
        <v>24</v>
      </c>
      <c r="C23">
        <v>196079</v>
      </c>
      <c r="D23">
        <v>13780</v>
      </c>
      <c r="E23">
        <v>2016</v>
      </c>
      <c r="F23" s="7">
        <v>1694</v>
      </c>
      <c r="G23" s="7">
        <v>1382</v>
      </c>
      <c r="H23" s="7">
        <v>7</v>
      </c>
      <c r="I23">
        <v>0.32100000000000001</v>
      </c>
      <c r="J23">
        <v>0.31</v>
      </c>
      <c r="K23">
        <v>249210</v>
      </c>
    </row>
    <row r="24" spans="1:11">
      <c r="A24" t="s">
        <v>25</v>
      </c>
      <c r="B24" t="s">
        <v>25</v>
      </c>
      <c r="C24">
        <v>142115</v>
      </c>
      <c r="D24">
        <v>14260</v>
      </c>
      <c r="E24">
        <v>2016</v>
      </c>
      <c r="F24" s="7">
        <v>8079</v>
      </c>
      <c r="G24" s="7">
        <v>7150</v>
      </c>
      <c r="H24" s="7">
        <v>12</v>
      </c>
      <c r="I24">
        <v>0.76700000000000002</v>
      </c>
      <c r="J24">
        <v>0.6</v>
      </c>
      <c r="K24">
        <v>691403</v>
      </c>
    </row>
    <row r="25" spans="1:11">
      <c r="A25" t="s">
        <v>26</v>
      </c>
      <c r="B25" t="s">
        <v>26</v>
      </c>
      <c r="C25">
        <v>164924</v>
      </c>
      <c r="D25">
        <v>14460</v>
      </c>
      <c r="E25">
        <v>2016</v>
      </c>
      <c r="F25" s="7">
        <v>4847</v>
      </c>
      <c r="G25" s="7">
        <v>3921</v>
      </c>
      <c r="H25" s="7">
        <v>14</v>
      </c>
      <c r="I25">
        <v>0.375</v>
      </c>
      <c r="J25">
        <v>0.379</v>
      </c>
      <c r="K25">
        <v>4850147</v>
      </c>
    </row>
    <row r="26" spans="1:11">
      <c r="A26" t="s">
        <v>27</v>
      </c>
      <c r="B26" t="s">
        <v>27</v>
      </c>
      <c r="C26">
        <v>164988</v>
      </c>
      <c r="D26">
        <v>14380</v>
      </c>
      <c r="E26">
        <v>2016</v>
      </c>
      <c r="F26" s="7" t="s">
        <v>1328</v>
      </c>
      <c r="G26" s="7" t="s">
        <v>1328</v>
      </c>
      <c r="H26" s="7" t="s">
        <v>1328</v>
      </c>
      <c r="I26" t="s">
        <v>1328</v>
      </c>
      <c r="J26" t="s">
        <v>1328</v>
      </c>
      <c r="K26">
        <v>52785</v>
      </c>
    </row>
    <row r="27" spans="1:11">
      <c r="A27" t="s">
        <v>28</v>
      </c>
      <c r="B27" t="s">
        <v>28</v>
      </c>
      <c r="C27">
        <v>201441</v>
      </c>
      <c r="D27">
        <v>45780</v>
      </c>
      <c r="E27">
        <v>2016</v>
      </c>
      <c r="F27" s="7">
        <v>5614</v>
      </c>
      <c r="G27" s="7">
        <v>7651</v>
      </c>
      <c r="H27" s="7">
        <v>11</v>
      </c>
      <c r="I27">
        <v>0.24099999999999999</v>
      </c>
      <c r="J27">
        <v>0.25</v>
      </c>
      <c r="K27">
        <v>648677</v>
      </c>
    </row>
    <row r="28" spans="1:11">
      <c r="A28" t="s">
        <v>29</v>
      </c>
      <c r="B28" t="s">
        <v>29</v>
      </c>
      <c r="C28">
        <v>143358</v>
      </c>
      <c r="D28">
        <v>37900</v>
      </c>
      <c r="E28">
        <v>2016</v>
      </c>
      <c r="F28" s="7">
        <v>5705</v>
      </c>
      <c r="G28" s="7">
        <v>4115</v>
      </c>
      <c r="H28" s="7">
        <v>15</v>
      </c>
      <c r="I28">
        <v>0.2</v>
      </c>
      <c r="J28">
        <v>7.0999999999999994E-2</v>
      </c>
      <c r="K28">
        <v>413782</v>
      </c>
    </row>
    <row r="29" spans="1:11">
      <c r="A29" t="s">
        <v>30</v>
      </c>
      <c r="B29" t="s">
        <v>30</v>
      </c>
      <c r="C29">
        <v>217156</v>
      </c>
      <c r="D29">
        <v>39300</v>
      </c>
      <c r="E29">
        <v>2016</v>
      </c>
      <c r="F29" s="7">
        <v>1793</v>
      </c>
      <c r="G29" s="7">
        <v>1631</v>
      </c>
      <c r="H29" s="7">
        <v>8</v>
      </c>
      <c r="I29">
        <v>0.38500000000000001</v>
      </c>
      <c r="J29">
        <v>0.46200000000000002</v>
      </c>
      <c r="K29">
        <v>1648701</v>
      </c>
    </row>
    <row r="30" spans="1:11">
      <c r="A30" t="s">
        <v>31</v>
      </c>
      <c r="B30" t="s">
        <v>31</v>
      </c>
      <c r="C30">
        <v>217165</v>
      </c>
      <c r="D30">
        <v>39300</v>
      </c>
      <c r="E30">
        <v>2016</v>
      </c>
      <c r="F30" s="7">
        <v>2460</v>
      </c>
      <c r="G30" s="7">
        <v>4157</v>
      </c>
      <c r="H30" s="7">
        <v>14</v>
      </c>
      <c r="I30">
        <v>0.57599999999999996</v>
      </c>
      <c r="J30">
        <v>0.35299999999999998</v>
      </c>
      <c r="K30">
        <v>1648701</v>
      </c>
    </row>
    <row r="31" spans="1:11">
      <c r="A31" t="s">
        <v>32</v>
      </c>
      <c r="B31" t="s">
        <v>32</v>
      </c>
      <c r="C31">
        <v>211291</v>
      </c>
      <c r="D31">
        <v>30260</v>
      </c>
      <c r="E31">
        <v>2016</v>
      </c>
      <c r="F31" s="7">
        <v>1936</v>
      </c>
      <c r="G31" s="7">
        <v>1800</v>
      </c>
      <c r="H31" s="7">
        <v>10</v>
      </c>
      <c r="I31">
        <v>0.53800000000000003</v>
      </c>
      <c r="J31">
        <v>0.28000000000000003</v>
      </c>
      <c r="K31">
        <v>44489</v>
      </c>
    </row>
    <row r="32" spans="1:11">
      <c r="A32" t="s">
        <v>33</v>
      </c>
      <c r="B32" t="s">
        <v>33</v>
      </c>
      <c r="C32">
        <v>196088</v>
      </c>
      <c r="D32">
        <v>15380</v>
      </c>
      <c r="E32">
        <v>2016</v>
      </c>
      <c r="F32" s="7">
        <v>2435</v>
      </c>
      <c r="G32" s="7">
        <v>3338</v>
      </c>
      <c r="H32" s="7">
        <v>8</v>
      </c>
      <c r="I32">
        <v>0.24099999999999999</v>
      </c>
      <c r="J32">
        <v>0.53100000000000003</v>
      </c>
      <c r="K32">
        <v>1155507</v>
      </c>
    </row>
    <row r="33" spans="1:11">
      <c r="A33" t="s">
        <v>34</v>
      </c>
      <c r="B33" t="s">
        <v>34</v>
      </c>
      <c r="C33">
        <v>150163</v>
      </c>
      <c r="D33">
        <v>26900</v>
      </c>
      <c r="E33">
        <v>2016</v>
      </c>
      <c r="F33" s="7">
        <v>7804</v>
      </c>
      <c r="G33" s="7">
        <v>4356</v>
      </c>
      <c r="H33" s="7">
        <v>16</v>
      </c>
      <c r="I33">
        <v>0.38700000000000001</v>
      </c>
      <c r="J33">
        <v>0.66700000000000004</v>
      </c>
      <c r="K33">
        <v>2022451</v>
      </c>
    </row>
    <row r="34" spans="1:11">
      <c r="A34" t="s">
        <v>35</v>
      </c>
      <c r="B34" t="s">
        <v>35</v>
      </c>
      <c r="C34">
        <v>230038</v>
      </c>
      <c r="D34">
        <v>39340</v>
      </c>
      <c r="E34">
        <v>2016</v>
      </c>
      <c r="F34" s="7">
        <v>26205</v>
      </c>
      <c r="G34" s="7">
        <v>20649</v>
      </c>
      <c r="H34" s="7">
        <v>14</v>
      </c>
      <c r="I34">
        <v>0.875</v>
      </c>
      <c r="J34">
        <v>0.85699999999999998</v>
      </c>
      <c r="K34">
        <v>609431</v>
      </c>
    </row>
    <row r="35" spans="1:11">
      <c r="A35" t="s">
        <v>36</v>
      </c>
      <c r="B35" t="s">
        <v>36</v>
      </c>
      <c r="C35">
        <v>110422</v>
      </c>
      <c r="D35">
        <v>42020</v>
      </c>
      <c r="E35">
        <v>2016</v>
      </c>
      <c r="F35" s="7">
        <v>7218</v>
      </c>
      <c r="G35" s="7">
        <v>6217</v>
      </c>
      <c r="H35" s="7">
        <v>10</v>
      </c>
      <c r="I35">
        <v>0.70399999999999996</v>
      </c>
      <c r="J35">
        <v>0.34599999999999997</v>
      </c>
      <c r="K35">
        <v>281794</v>
      </c>
    </row>
    <row r="36" spans="1:11">
      <c r="A36" t="s">
        <v>37</v>
      </c>
      <c r="B36" t="s">
        <v>37</v>
      </c>
      <c r="C36">
        <v>110565</v>
      </c>
      <c r="D36">
        <v>31080</v>
      </c>
      <c r="E36">
        <v>2016</v>
      </c>
      <c r="F36" s="7">
        <v>3321</v>
      </c>
      <c r="G36" s="7">
        <v>5110</v>
      </c>
      <c r="H36" s="7">
        <v>11</v>
      </c>
      <c r="I36" t="s">
        <v>1328</v>
      </c>
      <c r="J36">
        <v>0.27600000000000002</v>
      </c>
      <c r="K36">
        <v>13297429</v>
      </c>
    </row>
    <row r="37" spans="1:11">
      <c r="A37" t="s">
        <v>38</v>
      </c>
      <c r="B37" t="s">
        <v>38</v>
      </c>
      <c r="C37">
        <v>110635</v>
      </c>
      <c r="D37">
        <v>41860</v>
      </c>
      <c r="E37">
        <v>2016</v>
      </c>
      <c r="F37" s="7">
        <v>9642</v>
      </c>
      <c r="G37" s="7">
        <v>9197</v>
      </c>
      <c r="H37" s="7">
        <v>15</v>
      </c>
      <c r="I37">
        <v>0.28999999999999998</v>
      </c>
      <c r="J37">
        <v>0.33300000000000002</v>
      </c>
      <c r="K37">
        <v>4713476</v>
      </c>
    </row>
    <row r="38" spans="1:11">
      <c r="A38" t="s">
        <v>1255</v>
      </c>
      <c r="B38" t="s">
        <v>1255</v>
      </c>
      <c r="C38">
        <v>110361</v>
      </c>
      <c r="D38">
        <v>40140</v>
      </c>
      <c r="E38">
        <v>2016</v>
      </c>
      <c r="F38" s="7" t="s">
        <v>1328</v>
      </c>
      <c r="G38" s="7" t="s">
        <v>1328</v>
      </c>
      <c r="H38" s="7" t="s">
        <v>1328</v>
      </c>
      <c r="I38" t="s">
        <v>1328</v>
      </c>
      <c r="J38" t="s">
        <v>1328</v>
      </c>
      <c r="K38">
        <v>4463228</v>
      </c>
    </row>
    <row r="39" spans="1:11">
      <c r="A39" t="s">
        <v>39</v>
      </c>
      <c r="B39" t="s">
        <v>39</v>
      </c>
      <c r="C39">
        <v>198136</v>
      </c>
      <c r="D39">
        <v>15820</v>
      </c>
      <c r="E39">
        <v>2016</v>
      </c>
      <c r="F39" s="7">
        <v>2402</v>
      </c>
      <c r="G39" s="7">
        <v>5375</v>
      </c>
      <c r="H39" s="7">
        <v>11</v>
      </c>
      <c r="I39">
        <v>0.45200000000000001</v>
      </c>
      <c r="J39">
        <v>0.438</v>
      </c>
      <c r="K39">
        <v>36677</v>
      </c>
    </row>
    <row r="40" spans="1:11">
      <c r="A40" t="s">
        <v>40</v>
      </c>
      <c r="B40" t="s">
        <v>40</v>
      </c>
      <c r="C40">
        <v>189705</v>
      </c>
      <c r="D40">
        <v>15380</v>
      </c>
      <c r="E40">
        <v>2016</v>
      </c>
      <c r="F40" s="7">
        <v>2837</v>
      </c>
      <c r="G40" s="7">
        <v>1888</v>
      </c>
      <c r="H40" s="7">
        <v>11</v>
      </c>
      <c r="I40">
        <v>0.36699999999999999</v>
      </c>
      <c r="J40">
        <v>0.375</v>
      </c>
      <c r="K40">
        <v>1155507</v>
      </c>
    </row>
    <row r="41" spans="1:11">
      <c r="A41" t="s">
        <v>41</v>
      </c>
      <c r="B41" t="s">
        <v>41</v>
      </c>
      <c r="C41">
        <v>106704</v>
      </c>
      <c r="D41">
        <v>30780</v>
      </c>
      <c r="E41">
        <v>2016</v>
      </c>
      <c r="F41" s="7">
        <v>4299</v>
      </c>
      <c r="G41" s="7">
        <v>4821</v>
      </c>
      <c r="H41" s="7">
        <v>11</v>
      </c>
      <c r="I41">
        <v>0.55200000000000005</v>
      </c>
      <c r="J41">
        <v>0.625</v>
      </c>
      <c r="K41">
        <v>735686</v>
      </c>
    </row>
    <row r="42" spans="1:11">
      <c r="A42" t="s">
        <v>42</v>
      </c>
      <c r="B42" t="s">
        <v>42</v>
      </c>
      <c r="C42">
        <v>128771</v>
      </c>
      <c r="D42">
        <v>25540</v>
      </c>
      <c r="E42">
        <v>2016</v>
      </c>
      <c r="F42" s="7">
        <v>1993</v>
      </c>
      <c r="G42" s="7">
        <v>1580</v>
      </c>
      <c r="H42" s="7">
        <v>13</v>
      </c>
      <c r="I42">
        <v>0.40699999999999997</v>
      </c>
      <c r="J42">
        <v>0.40699999999999997</v>
      </c>
      <c r="K42">
        <v>1215446</v>
      </c>
    </row>
    <row r="43" spans="1:11">
      <c r="A43" t="s">
        <v>43</v>
      </c>
      <c r="B43" t="s">
        <v>43</v>
      </c>
      <c r="C43">
        <v>169248</v>
      </c>
      <c r="D43">
        <v>34380</v>
      </c>
      <c r="E43">
        <v>2016</v>
      </c>
      <c r="F43" s="7">
        <v>4928</v>
      </c>
      <c r="G43" s="7">
        <v>3540</v>
      </c>
      <c r="H43" s="7">
        <v>11</v>
      </c>
      <c r="I43">
        <v>0.379</v>
      </c>
      <c r="J43">
        <v>0.35699999999999998</v>
      </c>
      <c r="K43">
        <v>68075</v>
      </c>
    </row>
    <row r="44" spans="1:11">
      <c r="A44" t="s">
        <v>44</v>
      </c>
      <c r="B44" t="s">
        <v>44</v>
      </c>
      <c r="C44">
        <v>217688</v>
      </c>
      <c r="D44">
        <v>16700</v>
      </c>
      <c r="E44">
        <v>2016</v>
      </c>
      <c r="F44" s="7">
        <v>2754</v>
      </c>
      <c r="G44" s="7">
        <v>3413</v>
      </c>
      <c r="H44" s="7">
        <v>10</v>
      </c>
      <c r="I44">
        <v>0.30299999999999999</v>
      </c>
      <c r="J44">
        <v>0.33300000000000002</v>
      </c>
      <c r="K44">
        <v>752067</v>
      </c>
    </row>
    <row r="45" spans="1:11">
      <c r="A45" t="s">
        <v>45</v>
      </c>
      <c r="B45" t="s">
        <v>45</v>
      </c>
      <c r="C45">
        <v>199139</v>
      </c>
      <c r="D45">
        <v>16740</v>
      </c>
      <c r="E45">
        <v>2016</v>
      </c>
      <c r="F45" s="7">
        <v>7765</v>
      </c>
      <c r="G45" s="7">
        <v>6439</v>
      </c>
      <c r="H45" s="7">
        <v>12</v>
      </c>
      <c r="I45">
        <v>0.29599999999999999</v>
      </c>
      <c r="J45">
        <v>0.5</v>
      </c>
      <c r="K45">
        <v>2492928</v>
      </c>
    </row>
    <row r="46" spans="1:11">
      <c r="A46" t="s">
        <v>46</v>
      </c>
      <c r="B46" t="s">
        <v>46</v>
      </c>
      <c r="C46">
        <v>221740</v>
      </c>
      <c r="D46">
        <v>16860</v>
      </c>
      <c r="E46">
        <v>2016</v>
      </c>
      <c r="F46" s="7">
        <v>4192</v>
      </c>
      <c r="G46" s="7">
        <v>2625</v>
      </c>
      <c r="H46" s="7">
        <v>15</v>
      </c>
      <c r="I46">
        <v>0.81299999999999994</v>
      </c>
      <c r="J46">
        <v>0.40600000000000003</v>
      </c>
      <c r="K46">
        <v>548385</v>
      </c>
    </row>
    <row r="47" spans="1:11">
      <c r="A47" t="s">
        <v>1268</v>
      </c>
      <c r="B47" t="s">
        <v>1268</v>
      </c>
      <c r="C47">
        <v>144005</v>
      </c>
      <c r="D47">
        <v>16980</v>
      </c>
      <c r="E47">
        <v>2016</v>
      </c>
      <c r="F47" s="7">
        <v>1026</v>
      </c>
      <c r="G47" s="7">
        <v>1988</v>
      </c>
      <c r="H47" s="7">
        <v>8</v>
      </c>
      <c r="I47">
        <v>3.5999999999999997E-2</v>
      </c>
      <c r="J47">
        <v>0.2</v>
      </c>
      <c r="K47">
        <v>9654839</v>
      </c>
    </row>
    <row r="48" spans="1:11">
      <c r="A48" t="s">
        <v>1269</v>
      </c>
      <c r="B48" t="s">
        <v>1269</v>
      </c>
      <c r="C48">
        <v>201885</v>
      </c>
      <c r="D48">
        <v>17140</v>
      </c>
      <c r="E48">
        <v>2016</v>
      </c>
      <c r="F48" s="7">
        <v>7538</v>
      </c>
      <c r="G48" s="7">
        <v>6470</v>
      </c>
      <c r="H48" s="7">
        <v>15</v>
      </c>
      <c r="I48">
        <v>0.67700000000000005</v>
      </c>
      <c r="J48">
        <v>0.46899999999999997</v>
      </c>
      <c r="K48">
        <v>2209105</v>
      </c>
    </row>
    <row r="49" spans="1:11">
      <c r="A49" t="s">
        <v>47</v>
      </c>
      <c r="B49" t="s">
        <v>47</v>
      </c>
      <c r="C49">
        <v>217882</v>
      </c>
      <c r="D49">
        <v>42860</v>
      </c>
      <c r="E49">
        <v>2016</v>
      </c>
      <c r="F49" s="7">
        <v>11735</v>
      </c>
      <c r="G49" s="7">
        <v>14559</v>
      </c>
      <c r="H49" s="7">
        <v>16</v>
      </c>
      <c r="I49">
        <v>0.188</v>
      </c>
      <c r="J49">
        <v>0.56299999999999994</v>
      </c>
      <c r="K49">
        <v>75676</v>
      </c>
    </row>
    <row r="50" spans="1:11">
      <c r="A50" t="s">
        <v>48</v>
      </c>
      <c r="B50" t="s">
        <v>48</v>
      </c>
      <c r="C50">
        <v>202134</v>
      </c>
      <c r="D50">
        <v>17460</v>
      </c>
      <c r="E50">
        <v>2016</v>
      </c>
      <c r="F50" s="7">
        <v>3924</v>
      </c>
      <c r="G50" s="7">
        <v>3266</v>
      </c>
      <c r="H50" s="7">
        <v>13</v>
      </c>
      <c r="I50">
        <v>0.78800000000000003</v>
      </c>
      <c r="J50">
        <v>0.5</v>
      </c>
      <c r="K50">
        <v>2087581</v>
      </c>
    </row>
    <row r="51" spans="1:11">
      <c r="A51" t="s">
        <v>49</v>
      </c>
      <c r="B51" t="s">
        <v>1241</v>
      </c>
      <c r="C51">
        <v>218724</v>
      </c>
      <c r="D51">
        <v>34820</v>
      </c>
      <c r="E51">
        <v>2016</v>
      </c>
      <c r="F51" s="7">
        <v>3596</v>
      </c>
      <c r="G51" s="7">
        <v>3997</v>
      </c>
      <c r="H51" s="7">
        <v>8</v>
      </c>
      <c r="I51">
        <v>0.83299999999999996</v>
      </c>
      <c r="J51">
        <v>0.78100000000000003</v>
      </c>
      <c r="K51">
        <v>433687</v>
      </c>
    </row>
    <row r="52" spans="1:11">
      <c r="A52" t="s">
        <v>50</v>
      </c>
      <c r="B52" t="s">
        <v>50</v>
      </c>
      <c r="C52">
        <v>217819</v>
      </c>
      <c r="D52">
        <v>16700</v>
      </c>
      <c r="E52">
        <v>2016</v>
      </c>
      <c r="F52" s="7">
        <v>7263</v>
      </c>
      <c r="G52" s="7">
        <v>6929</v>
      </c>
      <c r="H52" s="7">
        <v>15</v>
      </c>
      <c r="I52">
        <v>0.60599999999999998</v>
      </c>
      <c r="J52">
        <v>0.69699999999999995</v>
      </c>
      <c r="K52">
        <v>752067</v>
      </c>
    </row>
    <row r="53" spans="1:11">
      <c r="A53" t="s">
        <v>51</v>
      </c>
      <c r="B53" t="s">
        <v>51</v>
      </c>
      <c r="C53">
        <v>190099</v>
      </c>
      <c r="D53">
        <v>45060</v>
      </c>
      <c r="E53">
        <v>2016</v>
      </c>
      <c r="F53" s="7">
        <v>2052</v>
      </c>
      <c r="G53" s="7">
        <v>1593</v>
      </c>
      <c r="H53" s="7">
        <v>11</v>
      </c>
      <c r="I53">
        <v>0.42899999999999999</v>
      </c>
      <c r="J53">
        <v>0.57699999999999996</v>
      </c>
      <c r="K53">
        <v>663877</v>
      </c>
    </row>
    <row r="54" spans="1:11">
      <c r="A54" t="s">
        <v>1270</v>
      </c>
      <c r="B54" t="s">
        <v>1270</v>
      </c>
      <c r="C54">
        <v>126614</v>
      </c>
      <c r="D54">
        <v>14500</v>
      </c>
      <c r="E54">
        <v>2016</v>
      </c>
      <c r="F54" s="7">
        <v>21244</v>
      </c>
      <c r="G54" s="7">
        <v>18378</v>
      </c>
      <c r="H54" s="7">
        <v>17</v>
      </c>
      <c r="I54">
        <v>0.59399999999999997</v>
      </c>
      <c r="J54">
        <v>0.58799999999999997</v>
      </c>
      <c r="K54">
        <v>324071</v>
      </c>
    </row>
    <row r="55" spans="1:11">
      <c r="A55" t="s">
        <v>52</v>
      </c>
      <c r="B55" t="s">
        <v>52</v>
      </c>
      <c r="C55">
        <v>126818</v>
      </c>
      <c r="D55">
        <v>22660</v>
      </c>
      <c r="E55">
        <v>2016</v>
      </c>
      <c r="F55" s="7">
        <v>38584</v>
      </c>
      <c r="G55" s="7">
        <v>54926</v>
      </c>
      <c r="H55" s="7">
        <v>17</v>
      </c>
      <c r="I55">
        <v>0.86699999999999999</v>
      </c>
      <c r="J55">
        <v>0.91200000000000003</v>
      </c>
      <c r="K55">
        <v>338940</v>
      </c>
    </row>
    <row r="56" spans="1:11">
      <c r="A56" t="s">
        <v>53</v>
      </c>
      <c r="B56" t="s">
        <v>53</v>
      </c>
      <c r="C56">
        <v>190150</v>
      </c>
      <c r="D56">
        <v>35620</v>
      </c>
      <c r="E56">
        <v>2016</v>
      </c>
      <c r="F56" s="7">
        <v>1098</v>
      </c>
      <c r="G56" s="7">
        <v>2477</v>
      </c>
      <c r="H56" s="7">
        <v>10</v>
      </c>
      <c r="I56">
        <v>0.30399999999999999</v>
      </c>
      <c r="J56">
        <v>0.34799999999999998</v>
      </c>
      <c r="K56">
        <v>19945132</v>
      </c>
    </row>
    <row r="57" spans="1:11">
      <c r="A57" t="s">
        <v>54</v>
      </c>
      <c r="B57" t="s">
        <v>54</v>
      </c>
      <c r="C57">
        <v>162283</v>
      </c>
      <c r="D57">
        <v>12580</v>
      </c>
      <c r="E57">
        <v>2016</v>
      </c>
      <c r="F57" s="7">
        <v>1336</v>
      </c>
      <c r="G57" s="7">
        <v>2375</v>
      </c>
      <c r="H57" s="7">
        <v>6</v>
      </c>
      <c r="I57">
        <v>0.375</v>
      </c>
      <c r="J57">
        <v>0.5</v>
      </c>
      <c r="K57">
        <v>2821292</v>
      </c>
    </row>
    <row r="58" spans="1:11">
      <c r="A58" t="s">
        <v>55</v>
      </c>
      <c r="B58" t="s">
        <v>55</v>
      </c>
      <c r="C58">
        <v>190415</v>
      </c>
      <c r="D58">
        <v>27060</v>
      </c>
      <c r="E58">
        <v>2016</v>
      </c>
      <c r="F58" s="7">
        <v>1475</v>
      </c>
      <c r="G58" s="7">
        <v>1814</v>
      </c>
      <c r="H58" s="7">
        <v>10</v>
      </c>
      <c r="I58">
        <v>0.25</v>
      </c>
      <c r="J58">
        <v>0.25</v>
      </c>
      <c r="K58">
        <v>105790</v>
      </c>
    </row>
    <row r="59" spans="1:11">
      <c r="A59" t="s">
        <v>56</v>
      </c>
      <c r="B59" t="s">
        <v>56</v>
      </c>
      <c r="C59">
        <v>181002</v>
      </c>
      <c r="D59">
        <v>36540</v>
      </c>
      <c r="E59">
        <v>2016</v>
      </c>
      <c r="F59" s="7">
        <v>29905</v>
      </c>
      <c r="G59" s="7">
        <v>19239</v>
      </c>
      <c r="H59" s="7">
        <v>18</v>
      </c>
      <c r="I59">
        <v>0.75</v>
      </c>
      <c r="J59">
        <v>0.73499999999999999</v>
      </c>
      <c r="K59">
        <v>932855</v>
      </c>
    </row>
    <row r="60" spans="1:11">
      <c r="A60" t="s">
        <v>57</v>
      </c>
      <c r="B60" t="s">
        <v>57</v>
      </c>
      <c r="C60">
        <v>110486</v>
      </c>
      <c r="D60">
        <v>12540</v>
      </c>
      <c r="E60">
        <v>2016</v>
      </c>
      <c r="F60" s="7">
        <v>3604</v>
      </c>
      <c r="G60" s="7">
        <v>3766</v>
      </c>
      <c r="H60" s="7">
        <v>7</v>
      </c>
      <c r="I60">
        <v>0.46400000000000002</v>
      </c>
      <c r="J60">
        <v>0.51600000000000001</v>
      </c>
      <c r="K60">
        <v>886002</v>
      </c>
    </row>
    <row r="61" spans="1:11">
      <c r="A61" t="s">
        <v>58</v>
      </c>
      <c r="B61" t="s">
        <v>58</v>
      </c>
      <c r="C61">
        <v>110608</v>
      </c>
      <c r="D61">
        <v>31080</v>
      </c>
      <c r="E61">
        <v>2016</v>
      </c>
      <c r="F61" s="7">
        <v>4764</v>
      </c>
      <c r="G61" s="7">
        <v>5134</v>
      </c>
      <c r="H61" s="7">
        <v>8</v>
      </c>
      <c r="I61">
        <v>0.28599999999999998</v>
      </c>
      <c r="J61">
        <v>0.67900000000000005</v>
      </c>
      <c r="K61">
        <v>13297429</v>
      </c>
    </row>
    <row r="62" spans="1:11">
      <c r="A62" t="s">
        <v>59</v>
      </c>
      <c r="B62" t="s">
        <v>59</v>
      </c>
      <c r="C62">
        <v>182670</v>
      </c>
      <c r="D62">
        <v>30100</v>
      </c>
      <c r="E62">
        <v>2016</v>
      </c>
      <c r="F62" s="7">
        <v>1851</v>
      </c>
      <c r="G62" s="7">
        <v>1298</v>
      </c>
      <c r="H62" s="7">
        <v>9</v>
      </c>
      <c r="I62">
        <v>0.52200000000000002</v>
      </c>
      <c r="J62">
        <v>0.52</v>
      </c>
      <c r="K62">
        <v>219734</v>
      </c>
    </row>
    <row r="63" spans="1:11">
      <c r="A63" t="s">
        <v>1271</v>
      </c>
      <c r="B63" t="s">
        <v>1271</v>
      </c>
      <c r="C63">
        <v>198385</v>
      </c>
      <c r="D63">
        <v>16740</v>
      </c>
      <c r="E63">
        <v>2016</v>
      </c>
      <c r="F63" s="7">
        <v>4471</v>
      </c>
      <c r="G63" s="7">
        <v>4320</v>
      </c>
      <c r="H63" s="7">
        <v>11</v>
      </c>
      <c r="I63">
        <v>0.42899999999999999</v>
      </c>
      <c r="J63">
        <v>0.16700000000000001</v>
      </c>
      <c r="K63">
        <v>2492928</v>
      </c>
    </row>
    <row r="64" spans="1:11">
      <c r="A64" t="s">
        <v>60</v>
      </c>
      <c r="B64" t="s">
        <v>60</v>
      </c>
      <c r="C64">
        <v>202480</v>
      </c>
      <c r="D64">
        <v>19430</v>
      </c>
      <c r="E64">
        <v>2016</v>
      </c>
      <c r="F64" s="7">
        <v>9104</v>
      </c>
      <c r="G64" s="7">
        <v>10567</v>
      </c>
      <c r="H64" s="7">
        <v>14</v>
      </c>
      <c r="I64">
        <v>0.81799999999999995</v>
      </c>
      <c r="J64">
        <v>0.83299999999999996</v>
      </c>
      <c r="K64">
        <v>805185</v>
      </c>
    </row>
    <row r="65" spans="1:11">
      <c r="A65" t="s">
        <v>61</v>
      </c>
      <c r="B65" t="s">
        <v>61</v>
      </c>
      <c r="C65">
        <v>130943</v>
      </c>
      <c r="D65">
        <v>37980</v>
      </c>
      <c r="E65">
        <v>2016</v>
      </c>
      <c r="F65" s="7">
        <v>4498</v>
      </c>
      <c r="G65" s="7">
        <v>6038</v>
      </c>
      <c r="H65" s="7">
        <v>11</v>
      </c>
      <c r="I65">
        <v>0.41399999999999998</v>
      </c>
      <c r="J65">
        <v>0.46899999999999997</v>
      </c>
      <c r="K65">
        <v>6153898</v>
      </c>
    </row>
    <row r="66" spans="1:11">
      <c r="A66" t="s">
        <v>62</v>
      </c>
      <c r="B66" t="s">
        <v>62</v>
      </c>
      <c r="C66">
        <v>130934</v>
      </c>
      <c r="D66">
        <v>20100</v>
      </c>
      <c r="E66">
        <v>2016</v>
      </c>
      <c r="F66" s="7">
        <v>677</v>
      </c>
      <c r="G66" s="7">
        <v>875</v>
      </c>
      <c r="H66" s="7">
        <v>7</v>
      </c>
      <c r="I66">
        <v>0.107</v>
      </c>
      <c r="J66">
        <v>3.6999999999999998E-2</v>
      </c>
      <c r="K66">
        <v>173906</v>
      </c>
    </row>
    <row r="67" spans="1:11">
      <c r="A67" t="s">
        <v>1272</v>
      </c>
      <c r="B67" t="s">
        <v>1272</v>
      </c>
      <c r="C67">
        <v>127060</v>
      </c>
      <c r="D67">
        <v>19740</v>
      </c>
      <c r="E67">
        <v>2016</v>
      </c>
      <c r="F67" s="7">
        <v>4988</v>
      </c>
      <c r="G67" s="7">
        <v>3836</v>
      </c>
      <c r="H67" s="7">
        <v>18</v>
      </c>
      <c r="I67">
        <v>0.77100000000000002</v>
      </c>
      <c r="J67">
        <v>0.79400000000000004</v>
      </c>
      <c r="K67">
        <v>2844505</v>
      </c>
    </row>
    <row r="68" spans="1:11">
      <c r="A68" t="s">
        <v>63</v>
      </c>
      <c r="B68" t="s">
        <v>63</v>
      </c>
      <c r="C68">
        <v>144740</v>
      </c>
      <c r="D68">
        <v>16980</v>
      </c>
      <c r="E68">
        <v>2016</v>
      </c>
      <c r="F68" s="7">
        <v>4031</v>
      </c>
      <c r="G68" s="7">
        <v>4520</v>
      </c>
      <c r="H68" s="7">
        <v>13</v>
      </c>
      <c r="I68">
        <v>0.51600000000000001</v>
      </c>
      <c r="J68">
        <v>0.1</v>
      </c>
      <c r="K68">
        <v>9654839</v>
      </c>
    </row>
    <row r="69" spans="1:11">
      <c r="A69" t="s">
        <v>64</v>
      </c>
      <c r="B69" t="s">
        <v>64</v>
      </c>
      <c r="C69">
        <v>169716</v>
      </c>
      <c r="D69">
        <v>19820</v>
      </c>
      <c r="E69">
        <v>2016</v>
      </c>
      <c r="F69" s="7" t="s">
        <v>1328</v>
      </c>
      <c r="G69" s="7" t="s">
        <v>1328</v>
      </c>
      <c r="H69" s="7" t="s">
        <v>1328</v>
      </c>
      <c r="I69" t="s">
        <v>1328</v>
      </c>
      <c r="J69" t="s">
        <v>1328</v>
      </c>
      <c r="K69">
        <v>4368028</v>
      </c>
    </row>
    <row r="70" spans="1:11">
      <c r="A70" t="s">
        <v>65</v>
      </c>
      <c r="B70" t="s">
        <v>65</v>
      </c>
      <c r="C70">
        <v>153269</v>
      </c>
      <c r="D70">
        <v>19780</v>
      </c>
      <c r="E70">
        <v>2016</v>
      </c>
      <c r="F70" s="7">
        <v>4079</v>
      </c>
      <c r="G70" s="7">
        <v>3542</v>
      </c>
      <c r="H70" s="7">
        <v>10</v>
      </c>
      <c r="I70">
        <v>0.42899999999999999</v>
      </c>
      <c r="J70">
        <v>0.379</v>
      </c>
      <c r="K70">
        <v>673388</v>
      </c>
    </row>
    <row r="71" spans="1:11">
      <c r="A71" t="s">
        <v>66</v>
      </c>
      <c r="B71" t="s">
        <v>66</v>
      </c>
      <c r="C71">
        <v>212054</v>
      </c>
      <c r="D71">
        <v>37980</v>
      </c>
      <c r="E71">
        <v>2016</v>
      </c>
      <c r="F71" s="7" t="s">
        <v>1328</v>
      </c>
      <c r="G71" s="7" t="s">
        <v>1328</v>
      </c>
      <c r="H71" s="7" t="s">
        <v>1328</v>
      </c>
      <c r="I71" t="s">
        <v>1328</v>
      </c>
      <c r="J71" t="s">
        <v>1328</v>
      </c>
      <c r="K71">
        <v>6153898</v>
      </c>
    </row>
    <row r="72" spans="1:11">
      <c r="A72" t="s">
        <v>67</v>
      </c>
      <c r="B72" t="s">
        <v>67</v>
      </c>
      <c r="C72">
        <v>198419</v>
      </c>
      <c r="D72">
        <v>20500</v>
      </c>
      <c r="E72">
        <v>2016</v>
      </c>
      <c r="F72" s="7">
        <v>18318</v>
      </c>
      <c r="G72" s="7">
        <v>19943</v>
      </c>
      <c r="H72" s="7">
        <v>14</v>
      </c>
      <c r="I72">
        <v>0.56699999999999995</v>
      </c>
      <c r="J72">
        <v>0.73299999999999998</v>
      </c>
      <c r="K72">
        <v>617871</v>
      </c>
    </row>
    <row r="73" spans="1:11">
      <c r="A73" t="s">
        <v>1273</v>
      </c>
      <c r="B73" t="s">
        <v>1273</v>
      </c>
      <c r="C73">
        <v>212106</v>
      </c>
      <c r="D73">
        <v>38300</v>
      </c>
      <c r="E73">
        <v>2016</v>
      </c>
      <c r="F73" s="7">
        <v>1828</v>
      </c>
      <c r="G73" s="7">
        <v>1762</v>
      </c>
      <c r="H73" s="7">
        <v>10</v>
      </c>
      <c r="I73">
        <v>0.48299999999999998</v>
      </c>
      <c r="J73">
        <v>0.57099999999999995</v>
      </c>
      <c r="K73">
        <v>2377735</v>
      </c>
    </row>
    <row r="74" spans="1:11">
      <c r="A74" t="s">
        <v>68</v>
      </c>
      <c r="B74" t="s">
        <v>68</v>
      </c>
      <c r="C74">
        <v>198464</v>
      </c>
      <c r="D74">
        <v>24780</v>
      </c>
      <c r="E74">
        <v>2016</v>
      </c>
      <c r="F74" s="7">
        <v>6987</v>
      </c>
      <c r="G74" s="7">
        <v>5546</v>
      </c>
      <c r="H74" s="7">
        <v>13</v>
      </c>
      <c r="I74">
        <v>0.38700000000000001</v>
      </c>
      <c r="J74">
        <v>0.48399999999999999</v>
      </c>
      <c r="K74">
        <v>169586</v>
      </c>
    </row>
    <row r="75" spans="1:11">
      <c r="A75" t="s">
        <v>69</v>
      </c>
      <c r="B75" t="s">
        <v>69</v>
      </c>
      <c r="C75">
        <v>144892</v>
      </c>
      <c r="D75">
        <v>16660</v>
      </c>
      <c r="E75">
        <v>2016</v>
      </c>
      <c r="F75" s="7">
        <v>3733</v>
      </c>
      <c r="G75" s="7">
        <v>2471</v>
      </c>
      <c r="H75" s="7">
        <v>9</v>
      </c>
      <c r="I75">
        <v>0.51600000000000001</v>
      </c>
      <c r="J75">
        <v>0.48399999999999999</v>
      </c>
      <c r="K75">
        <v>60259</v>
      </c>
    </row>
    <row r="76" spans="1:11">
      <c r="A76" t="s">
        <v>70</v>
      </c>
      <c r="B76" t="s">
        <v>70</v>
      </c>
      <c r="C76">
        <v>156620</v>
      </c>
      <c r="D76">
        <v>40080</v>
      </c>
      <c r="E76">
        <v>2016</v>
      </c>
      <c r="F76" s="7">
        <v>1179</v>
      </c>
      <c r="G76" s="7">
        <v>1510</v>
      </c>
      <c r="H76" s="7">
        <v>9</v>
      </c>
      <c r="I76">
        <v>0.30299999999999999</v>
      </c>
      <c r="J76">
        <v>0.6</v>
      </c>
      <c r="K76">
        <v>103239</v>
      </c>
    </row>
    <row r="77" spans="1:11">
      <c r="A77" t="s">
        <v>1274</v>
      </c>
      <c r="B77" t="s">
        <v>1274</v>
      </c>
      <c r="C77">
        <v>169798</v>
      </c>
      <c r="D77">
        <v>11460</v>
      </c>
      <c r="E77">
        <v>2016</v>
      </c>
      <c r="F77" s="7">
        <v>2191</v>
      </c>
      <c r="G77" s="7">
        <v>2072</v>
      </c>
      <c r="H77" s="7">
        <v>8</v>
      </c>
      <c r="I77">
        <v>0.46700000000000003</v>
      </c>
      <c r="J77">
        <v>0.58099999999999996</v>
      </c>
      <c r="K77">
        <v>370179</v>
      </c>
    </row>
    <row r="78" spans="1:11">
      <c r="A78" t="s">
        <v>1275</v>
      </c>
      <c r="B78" t="s">
        <v>1275</v>
      </c>
      <c r="C78">
        <v>235097</v>
      </c>
      <c r="D78">
        <v>44060</v>
      </c>
      <c r="E78">
        <v>2016</v>
      </c>
      <c r="F78" s="7">
        <v>2677</v>
      </c>
      <c r="G78" s="7">
        <v>5568</v>
      </c>
      <c r="H78" s="7">
        <v>9</v>
      </c>
      <c r="I78">
        <v>0.5</v>
      </c>
      <c r="J78">
        <v>0.31</v>
      </c>
      <c r="K78">
        <v>549234</v>
      </c>
    </row>
    <row r="79" spans="1:11">
      <c r="A79" t="s">
        <v>71</v>
      </c>
      <c r="B79" t="s">
        <v>71</v>
      </c>
      <c r="C79">
        <v>198516</v>
      </c>
      <c r="D79">
        <v>24660</v>
      </c>
      <c r="E79">
        <v>2016</v>
      </c>
      <c r="F79" s="7">
        <v>2828</v>
      </c>
      <c r="G79" s="7">
        <v>1795</v>
      </c>
      <c r="H79" s="7">
        <v>14</v>
      </c>
      <c r="I79">
        <v>0.23300000000000001</v>
      </c>
      <c r="J79">
        <v>0.188</v>
      </c>
      <c r="K79">
        <v>759364</v>
      </c>
    </row>
    <row r="80" spans="1:11">
      <c r="A80" t="s">
        <v>72</v>
      </c>
      <c r="B80" t="s">
        <v>72</v>
      </c>
      <c r="C80">
        <v>220075</v>
      </c>
      <c r="D80">
        <v>27740</v>
      </c>
      <c r="E80">
        <v>2016</v>
      </c>
      <c r="F80" s="7">
        <v>2013</v>
      </c>
      <c r="G80" s="7">
        <v>3149</v>
      </c>
      <c r="H80" s="7">
        <v>9</v>
      </c>
      <c r="I80">
        <v>0.61299999999999999</v>
      </c>
      <c r="J80">
        <v>0.51500000000000001</v>
      </c>
      <c r="K80">
        <v>203406</v>
      </c>
    </row>
    <row r="81" spans="1:11">
      <c r="A81" t="s">
        <v>73</v>
      </c>
      <c r="B81" t="s">
        <v>73</v>
      </c>
      <c r="C81">
        <v>150534</v>
      </c>
      <c r="D81">
        <v>21780</v>
      </c>
      <c r="E81">
        <v>2016</v>
      </c>
      <c r="F81" s="7">
        <v>2300</v>
      </c>
      <c r="G81" s="7">
        <v>4666</v>
      </c>
      <c r="H81" s="7">
        <v>12</v>
      </c>
      <c r="I81">
        <v>0.25</v>
      </c>
      <c r="J81">
        <v>0.26700000000000002</v>
      </c>
      <c r="K81">
        <v>314463</v>
      </c>
    </row>
    <row r="82" spans="1:11">
      <c r="A82" t="s">
        <v>74</v>
      </c>
      <c r="B82" t="s">
        <v>74</v>
      </c>
      <c r="C82">
        <v>129242</v>
      </c>
      <c r="D82">
        <v>35620</v>
      </c>
      <c r="E82">
        <v>2016</v>
      </c>
      <c r="F82" s="7">
        <v>1781</v>
      </c>
      <c r="G82" s="7">
        <v>1672</v>
      </c>
      <c r="H82" s="7">
        <v>13</v>
      </c>
      <c r="I82">
        <v>0.67700000000000005</v>
      </c>
      <c r="J82">
        <v>0.61299999999999999</v>
      </c>
      <c r="K82">
        <v>19945132</v>
      </c>
    </row>
    <row r="83" spans="1:11">
      <c r="A83" t="s">
        <v>75</v>
      </c>
      <c r="B83" t="s">
        <v>1242</v>
      </c>
      <c r="C83">
        <v>184603</v>
      </c>
      <c r="D83">
        <v>35620</v>
      </c>
      <c r="E83">
        <v>2016</v>
      </c>
      <c r="F83" s="7">
        <v>1824</v>
      </c>
      <c r="G83" s="7">
        <v>1828</v>
      </c>
      <c r="H83" s="7">
        <v>11</v>
      </c>
      <c r="I83">
        <v>0.34499999999999997</v>
      </c>
      <c r="J83">
        <v>0.20699999999999999</v>
      </c>
      <c r="K83">
        <v>19945132</v>
      </c>
    </row>
    <row r="84" spans="1:11">
      <c r="A84" t="s">
        <v>76</v>
      </c>
      <c r="B84" t="s">
        <v>76</v>
      </c>
      <c r="C84">
        <v>433660</v>
      </c>
      <c r="D84">
        <v>15980</v>
      </c>
      <c r="E84">
        <v>2016</v>
      </c>
      <c r="F84" s="7">
        <v>7650</v>
      </c>
      <c r="G84" s="7">
        <v>6940</v>
      </c>
      <c r="H84" s="7">
        <v>14</v>
      </c>
      <c r="I84">
        <v>0.65600000000000003</v>
      </c>
      <c r="J84">
        <v>0.63300000000000001</v>
      </c>
      <c r="K84">
        <v>707252</v>
      </c>
    </row>
    <row r="85" spans="1:11">
      <c r="A85" t="s">
        <v>77</v>
      </c>
      <c r="B85" t="s">
        <v>77</v>
      </c>
      <c r="C85">
        <v>133951</v>
      </c>
      <c r="D85">
        <v>33100</v>
      </c>
      <c r="E85">
        <v>2016</v>
      </c>
      <c r="F85" s="7">
        <v>2497</v>
      </c>
      <c r="G85" s="7">
        <v>1545</v>
      </c>
      <c r="H85" s="7">
        <v>15</v>
      </c>
      <c r="I85">
        <v>0.53600000000000003</v>
      </c>
      <c r="J85">
        <v>0.23300000000000001</v>
      </c>
      <c r="K85">
        <v>6031735</v>
      </c>
    </row>
    <row r="86" spans="1:11">
      <c r="A86" t="s">
        <v>78</v>
      </c>
      <c r="B86" t="s">
        <v>78</v>
      </c>
      <c r="C86">
        <v>133669</v>
      </c>
      <c r="D86">
        <v>33100</v>
      </c>
      <c r="E86">
        <v>2016</v>
      </c>
      <c r="F86" s="7">
        <v>2899</v>
      </c>
      <c r="G86" s="7">
        <v>2883</v>
      </c>
      <c r="H86" s="7">
        <v>12</v>
      </c>
      <c r="I86">
        <v>0.621</v>
      </c>
      <c r="J86">
        <v>0.6</v>
      </c>
      <c r="K86">
        <v>6031735</v>
      </c>
    </row>
    <row r="87" spans="1:11">
      <c r="A87" t="s">
        <v>79</v>
      </c>
      <c r="B87" t="s">
        <v>79</v>
      </c>
      <c r="C87">
        <v>134130</v>
      </c>
      <c r="D87">
        <v>23540</v>
      </c>
      <c r="E87">
        <v>2016</v>
      </c>
      <c r="F87" s="7">
        <v>29267</v>
      </c>
      <c r="G87" s="7">
        <v>40833</v>
      </c>
      <c r="H87" s="7">
        <v>14</v>
      </c>
      <c r="I87">
        <v>0.78100000000000003</v>
      </c>
      <c r="J87">
        <v>0.875</v>
      </c>
      <c r="K87">
        <v>326207</v>
      </c>
    </row>
    <row r="88" spans="1:11">
      <c r="A88" t="s">
        <v>80</v>
      </c>
      <c r="B88" t="s">
        <v>80</v>
      </c>
      <c r="C88">
        <v>133650</v>
      </c>
      <c r="D88">
        <v>45220</v>
      </c>
      <c r="E88">
        <v>2016</v>
      </c>
      <c r="F88" s="7">
        <v>1736</v>
      </c>
      <c r="G88" s="7">
        <v>804</v>
      </c>
      <c r="H88" s="7">
        <v>11</v>
      </c>
      <c r="I88">
        <v>0.27600000000000002</v>
      </c>
      <c r="J88">
        <v>0.46400000000000002</v>
      </c>
      <c r="K88">
        <v>375781</v>
      </c>
    </row>
    <row r="89" spans="1:11">
      <c r="A89" t="s">
        <v>81</v>
      </c>
      <c r="B89" t="s">
        <v>81</v>
      </c>
      <c r="C89">
        <v>134097</v>
      </c>
      <c r="D89">
        <v>45220</v>
      </c>
      <c r="E89">
        <v>2016</v>
      </c>
      <c r="F89" s="7">
        <v>13076</v>
      </c>
      <c r="G89" s="7">
        <v>16268</v>
      </c>
      <c r="H89" s="7">
        <v>13</v>
      </c>
      <c r="I89">
        <v>0.75800000000000001</v>
      </c>
      <c r="J89">
        <v>0.90900000000000003</v>
      </c>
      <c r="K89">
        <v>375781</v>
      </c>
    </row>
    <row r="90" spans="1:11">
      <c r="A90" t="s">
        <v>82</v>
      </c>
      <c r="B90" t="s">
        <v>82</v>
      </c>
      <c r="C90">
        <v>191241</v>
      </c>
      <c r="D90">
        <v>35620</v>
      </c>
      <c r="E90">
        <v>2016</v>
      </c>
      <c r="F90" s="7">
        <v>1888</v>
      </c>
      <c r="G90" s="7">
        <v>1723</v>
      </c>
      <c r="H90" s="7">
        <v>13</v>
      </c>
      <c r="I90">
        <v>0.25800000000000001</v>
      </c>
      <c r="J90">
        <v>0.107</v>
      </c>
      <c r="K90">
        <v>19945132</v>
      </c>
    </row>
    <row r="91" spans="1:11">
      <c r="A91" t="s">
        <v>83</v>
      </c>
      <c r="B91" t="s">
        <v>83</v>
      </c>
      <c r="C91">
        <v>110556</v>
      </c>
      <c r="D91">
        <v>23420</v>
      </c>
      <c r="E91">
        <v>2016</v>
      </c>
      <c r="F91" s="7">
        <v>10574</v>
      </c>
      <c r="G91" s="7">
        <v>7773</v>
      </c>
      <c r="H91" s="7">
        <v>17</v>
      </c>
      <c r="I91">
        <v>0.438</v>
      </c>
      <c r="J91">
        <v>0.25</v>
      </c>
      <c r="K91">
        <v>981015</v>
      </c>
    </row>
    <row r="92" spans="1:11">
      <c r="A92" t="s">
        <v>84</v>
      </c>
      <c r="B92" t="s">
        <v>84</v>
      </c>
      <c r="C92">
        <v>218070</v>
      </c>
      <c r="D92">
        <v>24860</v>
      </c>
      <c r="E92">
        <v>2016</v>
      </c>
      <c r="F92" s="7">
        <v>4077</v>
      </c>
      <c r="G92" s="7">
        <v>4004</v>
      </c>
      <c r="H92" s="7">
        <v>11</v>
      </c>
      <c r="I92">
        <v>0.7</v>
      </c>
      <c r="J92">
        <v>0.76700000000000002</v>
      </c>
      <c r="K92">
        <v>883741</v>
      </c>
    </row>
    <row r="93" spans="1:11">
      <c r="A93" t="s">
        <v>85</v>
      </c>
      <c r="B93" t="s">
        <v>85</v>
      </c>
      <c r="C93">
        <v>139931</v>
      </c>
      <c r="D93">
        <v>44340</v>
      </c>
      <c r="E93">
        <v>2016</v>
      </c>
      <c r="F93" s="7">
        <v>3261</v>
      </c>
      <c r="G93" s="7">
        <v>1977</v>
      </c>
      <c r="H93" s="7">
        <v>14</v>
      </c>
      <c r="I93">
        <v>0.34499999999999997</v>
      </c>
      <c r="J93">
        <v>0.23300000000000001</v>
      </c>
      <c r="K93">
        <v>74970</v>
      </c>
    </row>
    <row r="94" spans="1:11">
      <c r="A94" t="s">
        <v>86</v>
      </c>
      <c r="B94" t="s">
        <v>86</v>
      </c>
      <c r="C94">
        <v>198561</v>
      </c>
      <c r="D94">
        <v>23500</v>
      </c>
      <c r="E94">
        <v>2016</v>
      </c>
      <c r="F94" s="7">
        <v>6825</v>
      </c>
      <c r="G94" s="7">
        <v>5229</v>
      </c>
      <c r="H94" s="7">
        <v>13</v>
      </c>
      <c r="I94">
        <v>0.28999999999999998</v>
      </c>
      <c r="J94">
        <v>0.36399999999999999</v>
      </c>
      <c r="K94">
        <v>56022</v>
      </c>
    </row>
    <row r="95" spans="1:11">
      <c r="A95" t="s">
        <v>87</v>
      </c>
      <c r="B95" t="s">
        <v>87</v>
      </c>
      <c r="C95">
        <v>232186</v>
      </c>
      <c r="D95">
        <v>47900</v>
      </c>
      <c r="E95">
        <v>2016</v>
      </c>
      <c r="F95" s="7">
        <v>2558</v>
      </c>
      <c r="G95" s="7">
        <v>3200</v>
      </c>
      <c r="H95" s="7">
        <v>9</v>
      </c>
      <c r="I95">
        <v>0.34499999999999997</v>
      </c>
      <c r="J95">
        <v>0.222</v>
      </c>
      <c r="K95">
        <v>6194690</v>
      </c>
    </row>
    <row r="96" spans="1:11">
      <c r="A96" t="s">
        <v>88</v>
      </c>
      <c r="B96" t="s">
        <v>88</v>
      </c>
      <c r="C96">
        <v>131469</v>
      </c>
      <c r="D96">
        <v>47900</v>
      </c>
      <c r="E96">
        <v>2016</v>
      </c>
      <c r="F96" s="7">
        <v>6104</v>
      </c>
      <c r="G96" s="7">
        <v>3753</v>
      </c>
      <c r="H96" s="7">
        <v>14</v>
      </c>
      <c r="I96">
        <v>0.65600000000000003</v>
      </c>
      <c r="J96">
        <v>0.73299999999999998</v>
      </c>
      <c r="K96">
        <v>6194690</v>
      </c>
    </row>
    <row r="97" spans="1:11">
      <c r="A97" t="s">
        <v>89</v>
      </c>
      <c r="B97" t="s">
        <v>89</v>
      </c>
      <c r="C97">
        <v>131496</v>
      </c>
      <c r="D97">
        <v>47900</v>
      </c>
      <c r="E97">
        <v>2016</v>
      </c>
      <c r="F97" s="7">
        <v>1943</v>
      </c>
      <c r="G97" s="7">
        <v>2400</v>
      </c>
      <c r="H97" s="7">
        <v>10</v>
      </c>
      <c r="I97">
        <v>0.32300000000000001</v>
      </c>
      <c r="J97">
        <v>0.32300000000000001</v>
      </c>
      <c r="K97">
        <v>6194690</v>
      </c>
    </row>
    <row r="98" spans="1:11">
      <c r="A98" t="s">
        <v>90</v>
      </c>
      <c r="B98" t="s">
        <v>90</v>
      </c>
      <c r="C98">
        <v>139959</v>
      </c>
      <c r="D98">
        <v>12020</v>
      </c>
      <c r="E98">
        <v>2016</v>
      </c>
      <c r="F98" s="7">
        <v>15472</v>
      </c>
      <c r="G98" s="7">
        <v>15264</v>
      </c>
      <c r="H98" s="7">
        <v>16</v>
      </c>
      <c r="I98">
        <v>0.16700000000000001</v>
      </c>
      <c r="J98">
        <v>0.45200000000000001</v>
      </c>
      <c r="K98">
        <v>205869</v>
      </c>
    </row>
    <row r="99" spans="1:11">
      <c r="A99" t="s">
        <v>91</v>
      </c>
      <c r="B99" t="s">
        <v>91</v>
      </c>
      <c r="C99">
        <v>139940</v>
      </c>
      <c r="D99">
        <v>12060</v>
      </c>
      <c r="E99">
        <v>2016</v>
      </c>
      <c r="F99" s="7">
        <v>3396</v>
      </c>
      <c r="G99" s="7">
        <v>3350</v>
      </c>
      <c r="H99" s="7">
        <v>12</v>
      </c>
      <c r="I99">
        <v>0.26900000000000002</v>
      </c>
      <c r="J99">
        <v>0.33300000000000002</v>
      </c>
      <c r="K99">
        <v>5800308</v>
      </c>
    </row>
    <row r="100" spans="1:11">
      <c r="A100" t="s">
        <v>92</v>
      </c>
      <c r="B100" t="s">
        <v>92</v>
      </c>
      <c r="C100">
        <v>139755</v>
      </c>
      <c r="D100">
        <v>12060</v>
      </c>
      <c r="E100">
        <v>2016</v>
      </c>
      <c r="F100" s="7">
        <v>12095</v>
      </c>
      <c r="G100" s="7">
        <v>9565</v>
      </c>
      <c r="H100" s="7">
        <v>15</v>
      </c>
      <c r="I100">
        <v>0.56299999999999994</v>
      </c>
      <c r="J100">
        <v>0.41899999999999998</v>
      </c>
      <c r="K100">
        <v>5800308</v>
      </c>
    </row>
    <row r="101" spans="1:11">
      <c r="A101" t="s">
        <v>1276</v>
      </c>
      <c r="B101" t="s">
        <v>1276</v>
      </c>
      <c r="C101">
        <v>235316</v>
      </c>
      <c r="D101">
        <v>44060</v>
      </c>
      <c r="E101">
        <v>2016</v>
      </c>
      <c r="F101" s="7">
        <v>8695</v>
      </c>
      <c r="G101" s="7">
        <v>6150</v>
      </c>
      <c r="H101" s="7">
        <v>15</v>
      </c>
      <c r="I101">
        <v>0.51600000000000001</v>
      </c>
      <c r="J101">
        <v>0.58599999999999997</v>
      </c>
      <c r="K101">
        <v>549234</v>
      </c>
    </row>
    <row r="102" spans="1:11">
      <c r="A102" t="s">
        <v>93</v>
      </c>
      <c r="B102" t="s">
        <v>93</v>
      </c>
      <c r="C102">
        <v>159009</v>
      </c>
      <c r="D102">
        <v>33740</v>
      </c>
      <c r="E102">
        <v>2016</v>
      </c>
      <c r="F102" s="7">
        <v>1853</v>
      </c>
      <c r="G102" s="7">
        <v>1583</v>
      </c>
      <c r="H102" s="7">
        <v>9</v>
      </c>
      <c r="I102">
        <v>0.26500000000000001</v>
      </c>
      <c r="J102">
        <v>0.115</v>
      </c>
      <c r="K102">
        <v>210259</v>
      </c>
    </row>
    <row r="103" spans="1:11">
      <c r="A103" t="s">
        <v>94</v>
      </c>
      <c r="B103" t="s">
        <v>94</v>
      </c>
      <c r="C103">
        <v>104717</v>
      </c>
      <c r="D103">
        <v>38060</v>
      </c>
      <c r="E103">
        <v>2016</v>
      </c>
      <c r="F103" s="7">
        <v>7814</v>
      </c>
      <c r="G103" s="7">
        <v>3779</v>
      </c>
      <c r="H103" s="7">
        <v>15</v>
      </c>
      <c r="I103" t="s">
        <v>1328</v>
      </c>
      <c r="J103" t="s">
        <v>1328</v>
      </c>
      <c r="K103">
        <v>4556103</v>
      </c>
    </row>
    <row r="104" spans="1:11">
      <c r="A104" t="s">
        <v>95</v>
      </c>
      <c r="B104" t="s">
        <v>95</v>
      </c>
      <c r="C104">
        <v>240277</v>
      </c>
      <c r="D104">
        <v>24580</v>
      </c>
      <c r="E104">
        <v>2016</v>
      </c>
      <c r="F104" s="7">
        <v>3447</v>
      </c>
      <c r="G104" s="7">
        <v>3484</v>
      </c>
      <c r="H104" s="7">
        <v>9</v>
      </c>
      <c r="I104">
        <v>0.56699999999999995</v>
      </c>
      <c r="J104">
        <v>0.192</v>
      </c>
      <c r="K104">
        <v>320537</v>
      </c>
    </row>
    <row r="105" spans="1:11">
      <c r="A105" t="s">
        <v>96</v>
      </c>
      <c r="B105" t="s">
        <v>96</v>
      </c>
      <c r="C105">
        <v>232265</v>
      </c>
      <c r="D105">
        <v>47260</v>
      </c>
      <c r="E105">
        <v>2016</v>
      </c>
      <c r="F105" s="7">
        <v>1400</v>
      </c>
      <c r="G105" s="7">
        <v>3220</v>
      </c>
      <c r="H105" s="7">
        <v>6</v>
      </c>
      <c r="I105">
        <v>0.12</v>
      </c>
      <c r="J105">
        <v>0.65600000000000003</v>
      </c>
      <c r="K105">
        <v>1773787</v>
      </c>
    </row>
    <row r="106" spans="1:11">
      <c r="A106" t="s">
        <v>1277</v>
      </c>
      <c r="B106" t="s">
        <v>1277</v>
      </c>
      <c r="C106">
        <v>129525</v>
      </c>
      <c r="D106">
        <v>25540</v>
      </c>
      <c r="E106">
        <v>2016</v>
      </c>
      <c r="F106" s="7">
        <v>3023</v>
      </c>
      <c r="G106" s="7">
        <v>1935</v>
      </c>
      <c r="H106" s="7">
        <v>11</v>
      </c>
      <c r="I106">
        <v>6.9000000000000006E-2</v>
      </c>
      <c r="J106">
        <v>0.56699999999999995</v>
      </c>
      <c r="K106">
        <v>1215446</v>
      </c>
    </row>
    <row r="107" spans="1:11">
      <c r="A107" t="s">
        <v>97</v>
      </c>
      <c r="B107" t="s">
        <v>97</v>
      </c>
      <c r="C107">
        <v>166027</v>
      </c>
      <c r="D107">
        <v>14460</v>
      </c>
      <c r="E107">
        <v>2016</v>
      </c>
      <c r="F107" s="7">
        <v>4011</v>
      </c>
      <c r="G107" s="7">
        <v>4101</v>
      </c>
      <c r="H107" s="7">
        <v>15</v>
      </c>
      <c r="I107">
        <v>0.57699999999999996</v>
      </c>
      <c r="J107">
        <v>0.79200000000000004</v>
      </c>
      <c r="K107">
        <v>4850147</v>
      </c>
    </row>
    <row r="108" spans="1:11">
      <c r="A108" t="s">
        <v>98</v>
      </c>
      <c r="B108" t="s">
        <v>98</v>
      </c>
      <c r="C108">
        <v>141574</v>
      </c>
      <c r="D108">
        <v>46520</v>
      </c>
      <c r="E108">
        <v>2016</v>
      </c>
      <c r="F108" s="7">
        <v>131187</v>
      </c>
      <c r="G108" s="7">
        <v>120776</v>
      </c>
      <c r="H108" s="7">
        <v>19</v>
      </c>
      <c r="I108">
        <v>0.93500000000000005</v>
      </c>
      <c r="J108">
        <v>0.75900000000000001</v>
      </c>
      <c r="K108">
        <v>1023810</v>
      </c>
    </row>
    <row r="109" spans="1:11">
      <c r="A109" t="s">
        <v>1278</v>
      </c>
      <c r="B109" t="s">
        <v>1278</v>
      </c>
      <c r="C109">
        <v>198695</v>
      </c>
      <c r="D109">
        <v>24660</v>
      </c>
      <c r="E109">
        <v>2016</v>
      </c>
      <c r="F109" s="7">
        <v>6769</v>
      </c>
      <c r="G109" s="7">
        <v>6450</v>
      </c>
      <c r="H109" s="7">
        <v>16</v>
      </c>
      <c r="I109">
        <v>0.67700000000000005</v>
      </c>
      <c r="J109">
        <v>0.44800000000000001</v>
      </c>
      <c r="K109">
        <v>759364</v>
      </c>
    </row>
    <row r="110" spans="1:11">
      <c r="A110" t="s">
        <v>99</v>
      </c>
      <c r="B110" t="s">
        <v>99</v>
      </c>
      <c r="C110">
        <v>191649</v>
      </c>
      <c r="D110">
        <v>35620</v>
      </c>
      <c r="E110">
        <v>2016</v>
      </c>
      <c r="F110" s="7">
        <v>2123</v>
      </c>
      <c r="G110" s="7">
        <v>3887</v>
      </c>
      <c r="H110" s="7">
        <v>12</v>
      </c>
      <c r="I110">
        <v>0.65600000000000003</v>
      </c>
      <c r="J110">
        <v>0.82399999999999995</v>
      </c>
      <c r="K110">
        <v>19945132</v>
      </c>
    </row>
    <row r="111" spans="1:11">
      <c r="A111" t="s">
        <v>100</v>
      </c>
      <c r="B111" t="s">
        <v>100</v>
      </c>
      <c r="C111">
        <v>166124</v>
      </c>
      <c r="D111">
        <v>49340</v>
      </c>
      <c r="E111">
        <v>2016</v>
      </c>
      <c r="F111" s="7">
        <v>962</v>
      </c>
      <c r="G111" s="7">
        <v>1800</v>
      </c>
      <c r="H111" s="7">
        <v>8</v>
      </c>
      <c r="I111">
        <v>0.24099999999999999</v>
      </c>
      <c r="J111">
        <v>0.25900000000000001</v>
      </c>
      <c r="K111">
        <v>956771</v>
      </c>
    </row>
    <row r="112" spans="1:11">
      <c r="A112" t="s">
        <v>101</v>
      </c>
      <c r="B112" t="s">
        <v>101</v>
      </c>
      <c r="C112">
        <v>225511</v>
      </c>
      <c r="D112">
        <v>26420</v>
      </c>
      <c r="E112">
        <v>2016</v>
      </c>
      <c r="F112" s="7">
        <v>4591</v>
      </c>
      <c r="G112" s="7">
        <v>5973</v>
      </c>
      <c r="H112" s="7">
        <v>13</v>
      </c>
      <c r="I112">
        <v>0.59399999999999997</v>
      </c>
      <c r="J112">
        <v>0.438</v>
      </c>
      <c r="K112">
        <v>6797263</v>
      </c>
    </row>
    <row r="113" spans="1:11">
      <c r="A113" t="s">
        <v>102</v>
      </c>
      <c r="B113" t="s">
        <v>1243</v>
      </c>
      <c r="C113">
        <v>225399</v>
      </c>
      <c r="D113">
        <v>26420</v>
      </c>
      <c r="E113">
        <v>2016</v>
      </c>
      <c r="F113" s="7">
        <v>6686</v>
      </c>
      <c r="G113" s="7">
        <v>5678</v>
      </c>
      <c r="H113" s="7">
        <v>13</v>
      </c>
      <c r="I113">
        <v>0.5</v>
      </c>
      <c r="J113">
        <v>0.46899999999999997</v>
      </c>
      <c r="K113">
        <v>6797263</v>
      </c>
    </row>
    <row r="114" spans="1:11">
      <c r="A114" t="s">
        <v>103</v>
      </c>
      <c r="B114" t="s">
        <v>103</v>
      </c>
      <c r="C114">
        <v>131520</v>
      </c>
      <c r="D114">
        <v>47900</v>
      </c>
      <c r="E114">
        <v>2016</v>
      </c>
      <c r="F114" s="7">
        <v>1222</v>
      </c>
      <c r="G114" s="7">
        <v>939</v>
      </c>
      <c r="H114" s="7">
        <v>9</v>
      </c>
      <c r="I114">
        <v>0.56299999999999994</v>
      </c>
      <c r="J114">
        <v>0.64500000000000002</v>
      </c>
      <c r="K114">
        <v>6194690</v>
      </c>
    </row>
    <row r="115" spans="1:11">
      <c r="A115" t="s">
        <v>1279</v>
      </c>
      <c r="B115" t="s">
        <v>1279</v>
      </c>
      <c r="C115">
        <v>142285</v>
      </c>
      <c r="D115">
        <v>34140</v>
      </c>
      <c r="E115">
        <v>2016</v>
      </c>
      <c r="F115" s="7">
        <v>4938</v>
      </c>
      <c r="G115" s="7">
        <v>7499</v>
      </c>
      <c r="H115" s="7">
        <v>11</v>
      </c>
      <c r="I115">
        <v>0.46700000000000003</v>
      </c>
      <c r="J115">
        <v>0.51700000000000002</v>
      </c>
      <c r="K115">
        <v>38448</v>
      </c>
    </row>
    <row r="116" spans="1:11">
      <c r="A116" t="s">
        <v>104</v>
      </c>
      <c r="B116" t="s">
        <v>104</v>
      </c>
      <c r="C116">
        <v>142276</v>
      </c>
      <c r="D116">
        <v>38540</v>
      </c>
      <c r="E116">
        <v>2016</v>
      </c>
      <c r="F116" s="7">
        <v>6392</v>
      </c>
      <c r="G116" s="7">
        <v>8859</v>
      </c>
      <c r="H116" s="7">
        <v>9</v>
      </c>
      <c r="I116">
        <v>0.69699999999999995</v>
      </c>
      <c r="J116">
        <v>0.71899999999999997</v>
      </c>
      <c r="K116">
        <v>91550</v>
      </c>
    </row>
    <row r="117" spans="1:11">
      <c r="A117" t="s">
        <v>105</v>
      </c>
      <c r="B117" t="s">
        <v>105</v>
      </c>
      <c r="C117">
        <v>145637</v>
      </c>
      <c r="D117">
        <v>16580</v>
      </c>
      <c r="E117">
        <v>2016</v>
      </c>
      <c r="F117" s="7">
        <v>39260</v>
      </c>
      <c r="G117" s="7">
        <v>45410</v>
      </c>
      <c r="H117" s="7">
        <v>13</v>
      </c>
      <c r="I117">
        <v>0.61799999999999999</v>
      </c>
      <c r="J117">
        <v>0.76500000000000001</v>
      </c>
      <c r="K117">
        <v>224835</v>
      </c>
    </row>
    <row r="118" spans="1:11">
      <c r="A118" t="s">
        <v>106</v>
      </c>
      <c r="B118" t="s">
        <v>106</v>
      </c>
      <c r="C118">
        <v>145813</v>
      </c>
      <c r="D118">
        <v>14010</v>
      </c>
      <c r="E118">
        <v>2016</v>
      </c>
      <c r="F118" s="7">
        <v>11674</v>
      </c>
      <c r="G118" s="7">
        <v>10638</v>
      </c>
      <c r="H118" s="7">
        <v>12</v>
      </c>
      <c r="I118">
        <v>0.68799999999999994</v>
      </c>
      <c r="J118">
        <v>0.81799999999999995</v>
      </c>
      <c r="K118">
        <v>172910</v>
      </c>
    </row>
    <row r="119" spans="1:11">
      <c r="A119" t="s">
        <v>108</v>
      </c>
      <c r="B119" t="s">
        <v>108</v>
      </c>
      <c r="C119">
        <v>151351</v>
      </c>
      <c r="D119">
        <v>14020</v>
      </c>
      <c r="E119">
        <v>2016</v>
      </c>
      <c r="F119" s="7">
        <v>11687</v>
      </c>
      <c r="G119" s="7">
        <v>13510</v>
      </c>
      <c r="H119" s="7">
        <v>13</v>
      </c>
      <c r="I119">
        <v>0.5</v>
      </c>
      <c r="J119">
        <v>0.46899999999999997</v>
      </c>
      <c r="K119">
        <v>161778</v>
      </c>
    </row>
    <row r="120" spans="1:11">
      <c r="A120" t="s">
        <v>109</v>
      </c>
      <c r="B120" t="s">
        <v>109</v>
      </c>
      <c r="C120">
        <v>151324</v>
      </c>
      <c r="D120">
        <v>45460</v>
      </c>
      <c r="E120">
        <v>2016</v>
      </c>
      <c r="F120" s="7">
        <v>5510</v>
      </c>
      <c r="G120" s="7">
        <v>3555</v>
      </c>
      <c r="H120" s="7">
        <v>17</v>
      </c>
      <c r="I120">
        <v>0.51500000000000001</v>
      </c>
      <c r="J120">
        <v>0.54800000000000004</v>
      </c>
      <c r="K120">
        <v>186833</v>
      </c>
    </row>
    <row r="121" spans="1:11">
      <c r="A121" t="s">
        <v>110</v>
      </c>
      <c r="B121" t="s">
        <v>110</v>
      </c>
      <c r="C121">
        <v>191931</v>
      </c>
      <c r="D121">
        <v>35620</v>
      </c>
      <c r="E121">
        <v>2016</v>
      </c>
      <c r="F121" s="7">
        <v>1673</v>
      </c>
      <c r="G121" s="7">
        <v>2139</v>
      </c>
      <c r="H121" s="7">
        <v>9</v>
      </c>
      <c r="I121">
        <v>0.33300000000000002</v>
      </c>
      <c r="J121">
        <v>0.29399999999999998</v>
      </c>
      <c r="K121">
        <v>19945132</v>
      </c>
    </row>
    <row r="122" spans="1:11">
      <c r="A122" t="s">
        <v>111</v>
      </c>
      <c r="B122" t="s">
        <v>111</v>
      </c>
      <c r="C122">
        <v>153658</v>
      </c>
      <c r="D122">
        <v>26980</v>
      </c>
      <c r="E122">
        <v>2016</v>
      </c>
      <c r="F122" s="7">
        <v>22754</v>
      </c>
      <c r="G122" s="7">
        <v>13752</v>
      </c>
      <c r="H122" s="7">
        <v>17</v>
      </c>
      <c r="I122">
        <v>0.36399999999999999</v>
      </c>
      <c r="J122">
        <v>0.45200000000000001</v>
      </c>
      <c r="K122">
        <v>169258</v>
      </c>
    </row>
    <row r="123" spans="1:11">
      <c r="A123" t="s">
        <v>112</v>
      </c>
      <c r="B123" t="s">
        <v>112</v>
      </c>
      <c r="C123">
        <v>153603</v>
      </c>
      <c r="D123">
        <v>11180</v>
      </c>
      <c r="E123">
        <v>2016</v>
      </c>
      <c r="F123" s="7">
        <v>34113</v>
      </c>
      <c r="G123" s="7">
        <v>34172</v>
      </c>
      <c r="H123" s="7">
        <v>13</v>
      </c>
      <c r="I123">
        <v>0.63300000000000001</v>
      </c>
      <c r="J123">
        <v>0.65500000000000003</v>
      </c>
      <c r="K123">
        <v>123978</v>
      </c>
    </row>
    <row r="124" spans="1:11">
      <c r="A124" t="s">
        <v>113</v>
      </c>
      <c r="B124" t="s">
        <v>113</v>
      </c>
      <c r="C124">
        <v>151111</v>
      </c>
      <c r="D124">
        <v>26900</v>
      </c>
      <c r="E124">
        <v>2016</v>
      </c>
      <c r="F124" s="7" t="s">
        <v>1328</v>
      </c>
      <c r="G124" s="7" t="s">
        <v>1328</v>
      </c>
      <c r="H124" s="7" t="s">
        <v>1328</v>
      </c>
      <c r="I124" t="s">
        <v>1328</v>
      </c>
      <c r="J124" t="s">
        <v>1328</v>
      </c>
      <c r="K124">
        <v>2022451</v>
      </c>
    </row>
    <row r="125" spans="1:11">
      <c r="A125" t="s">
        <v>114</v>
      </c>
      <c r="B125" t="s">
        <v>114</v>
      </c>
      <c r="C125">
        <v>175856</v>
      </c>
      <c r="D125">
        <v>27140</v>
      </c>
      <c r="E125">
        <v>2016</v>
      </c>
      <c r="F125" s="7">
        <v>3086</v>
      </c>
      <c r="G125" s="7">
        <v>3291</v>
      </c>
      <c r="H125" s="7">
        <v>13</v>
      </c>
      <c r="I125">
        <v>0.40500000000000003</v>
      </c>
      <c r="J125">
        <v>0.34399999999999997</v>
      </c>
      <c r="K125">
        <v>600631</v>
      </c>
    </row>
    <row r="126" spans="1:11">
      <c r="A126" t="s">
        <v>115</v>
      </c>
      <c r="B126" t="s">
        <v>115</v>
      </c>
      <c r="C126">
        <v>134945</v>
      </c>
      <c r="D126">
        <v>27260</v>
      </c>
      <c r="E126">
        <v>2016</v>
      </c>
      <c r="F126" s="7">
        <v>2288</v>
      </c>
      <c r="G126" s="7">
        <v>2075</v>
      </c>
      <c r="H126" s="7">
        <v>7</v>
      </c>
      <c r="I126">
        <v>0.42899999999999999</v>
      </c>
      <c r="J126">
        <v>0.55900000000000005</v>
      </c>
      <c r="K126">
        <v>1492438</v>
      </c>
    </row>
    <row r="127" spans="1:11">
      <c r="A127" t="s">
        <v>116</v>
      </c>
      <c r="B127" t="s">
        <v>116</v>
      </c>
      <c r="C127">
        <v>101480</v>
      </c>
      <c r="D127">
        <v>11500</v>
      </c>
      <c r="E127">
        <v>2016</v>
      </c>
      <c r="F127" s="7">
        <v>3731</v>
      </c>
      <c r="G127" s="7">
        <v>3384</v>
      </c>
      <c r="H127" s="7">
        <v>11</v>
      </c>
      <c r="I127">
        <v>0.41199999999999998</v>
      </c>
      <c r="J127">
        <v>0.52900000000000003</v>
      </c>
      <c r="K127">
        <v>116746</v>
      </c>
    </row>
    <row r="128" spans="1:11">
      <c r="A128" t="s">
        <v>117</v>
      </c>
      <c r="B128" t="s">
        <v>117</v>
      </c>
      <c r="C128">
        <v>232423</v>
      </c>
      <c r="D128">
        <v>25500</v>
      </c>
      <c r="E128">
        <v>2016</v>
      </c>
      <c r="F128" s="7">
        <v>3694</v>
      </c>
      <c r="G128" s="7">
        <v>4338</v>
      </c>
      <c r="H128" s="7">
        <v>16</v>
      </c>
      <c r="I128">
        <v>0.73299999999999998</v>
      </c>
      <c r="J128">
        <v>0.54800000000000004</v>
      </c>
      <c r="K128">
        <v>133060</v>
      </c>
    </row>
    <row r="129" spans="1:11">
      <c r="A129" t="s">
        <v>118</v>
      </c>
      <c r="B129" t="s">
        <v>118</v>
      </c>
      <c r="C129">
        <v>155317</v>
      </c>
      <c r="D129">
        <v>29940</v>
      </c>
      <c r="E129">
        <v>2016</v>
      </c>
      <c r="F129" s="7">
        <v>22324</v>
      </c>
      <c r="G129" s="7">
        <v>19283</v>
      </c>
      <c r="H129" s="7">
        <v>16</v>
      </c>
      <c r="I129">
        <v>0.90900000000000003</v>
      </c>
      <c r="J129">
        <v>0.71</v>
      </c>
      <c r="K129">
        <v>117526</v>
      </c>
    </row>
    <row r="130" spans="1:11">
      <c r="A130" t="s">
        <v>267</v>
      </c>
      <c r="B130" t="s">
        <v>1250</v>
      </c>
      <c r="C130">
        <v>178402</v>
      </c>
      <c r="D130">
        <v>28140</v>
      </c>
      <c r="E130">
        <v>2016</v>
      </c>
      <c r="F130" s="7">
        <v>2893</v>
      </c>
      <c r="G130" s="7">
        <v>3796</v>
      </c>
      <c r="H130" s="7">
        <v>12</v>
      </c>
      <c r="I130">
        <v>0.53600000000000003</v>
      </c>
      <c r="J130">
        <v>0.8</v>
      </c>
      <c r="K130">
        <v>2121656</v>
      </c>
    </row>
    <row r="131" spans="1:11">
      <c r="A131" t="s">
        <v>1280</v>
      </c>
      <c r="B131" t="s">
        <v>1280</v>
      </c>
      <c r="C131">
        <v>155399</v>
      </c>
      <c r="D131">
        <v>31740</v>
      </c>
      <c r="E131">
        <v>2016</v>
      </c>
      <c r="F131" s="7">
        <v>22362</v>
      </c>
      <c r="G131" s="7">
        <v>30759</v>
      </c>
      <c r="H131" s="7">
        <v>11</v>
      </c>
      <c r="I131">
        <v>0.58599999999999997</v>
      </c>
      <c r="J131">
        <v>0.71</v>
      </c>
      <c r="K131">
        <v>136983</v>
      </c>
    </row>
    <row r="132" spans="1:11">
      <c r="A132" t="s">
        <v>119</v>
      </c>
      <c r="B132" t="s">
        <v>119</v>
      </c>
      <c r="C132">
        <v>486840</v>
      </c>
      <c r="D132">
        <v>12060</v>
      </c>
      <c r="E132">
        <v>2016</v>
      </c>
      <c r="F132" s="7">
        <v>7023</v>
      </c>
      <c r="G132" s="7">
        <v>5176</v>
      </c>
      <c r="H132" s="7">
        <v>12</v>
      </c>
      <c r="I132">
        <v>0.67900000000000005</v>
      </c>
      <c r="J132">
        <v>0.34499999999999997</v>
      </c>
      <c r="K132">
        <v>5800308</v>
      </c>
    </row>
    <row r="133" spans="1:11">
      <c r="A133" t="s">
        <v>120</v>
      </c>
      <c r="B133" t="s">
        <v>120</v>
      </c>
      <c r="C133">
        <v>203517</v>
      </c>
      <c r="D133">
        <v>10420</v>
      </c>
      <c r="E133">
        <v>2016</v>
      </c>
      <c r="F133" s="7">
        <v>4849</v>
      </c>
      <c r="G133" s="7">
        <v>3968</v>
      </c>
      <c r="H133" s="7">
        <v>11</v>
      </c>
      <c r="I133">
        <v>0.66700000000000004</v>
      </c>
      <c r="J133">
        <v>0.54800000000000004</v>
      </c>
      <c r="K133">
        <v>703787</v>
      </c>
    </row>
    <row r="134" spans="1:11">
      <c r="A134" t="s">
        <v>121</v>
      </c>
      <c r="B134" t="s">
        <v>121</v>
      </c>
      <c r="C134">
        <v>157085</v>
      </c>
      <c r="D134">
        <v>30460</v>
      </c>
      <c r="E134">
        <v>2016</v>
      </c>
      <c r="F134" s="7">
        <v>24334</v>
      </c>
      <c r="G134" s="7">
        <v>30453</v>
      </c>
      <c r="H134" s="7">
        <v>14</v>
      </c>
      <c r="I134">
        <v>0.67700000000000005</v>
      </c>
      <c r="J134">
        <v>0.81799999999999995</v>
      </c>
      <c r="K134">
        <v>504058</v>
      </c>
    </row>
    <row r="135" spans="1:11">
      <c r="A135" t="s">
        <v>1281</v>
      </c>
      <c r="B135" t="s">
        <v>1281</v>
      </c>
      <c r="C135">
        <v>213367</v>
      </c>
      <c r="D135">
        <v>37980</v>
      </c>
      <c r="E135">
        <v>2016</v>
      </c>
      <c r="F135" s="7">
        <v>1026</v>
      </c>
      <c r="G135" s="7">
        <v>1184</v>
      </c>
      <c r="H135" s="7">
        <v>10</v>
      </c>
      <c r="I135">
        <v>0.19400000000000001</v>
      </c>
      <c r="J135">
        <v>0.32300000000000001</v>
      </c>
      <c r="K135">
        <v>6153898</v>
      </c>
    </row>
    <row r="136" spans="1:11">
      <c r="A136" t="s">
        <v>123</v>
      </c>
      <c r="B136" t="s">
        <v>123</v>
      </c>
      <c r="C136">
        <v>213385</v>
      </c>
      <c r="D136">
        <v>10900</v>
      </c>
      <c r="E136">
        <v>2016</v>
      </c>
      <c r="F136" s="7">
        <v>1851</v>
      </c>
      <c r="G136" s="7">
        <v>1710</v>
      </c>
      <c r="H136" s="7">
        <v>15</v>
      </c>
      <c r="I136">
        <v>0.40699999999999997</v>
      </c>
      <c r="J136">
        <v>0.214</v>
      </c>
      <c r="K136">
        <v>843356</v>
      </c>
    </row>
    <row r="137" spans="1:11">
      <c r="A137" t="s">
        <v>124</v>
      </c>
      <c r="B137" t="s">
        <v>124</v>
      </c>
      <c r="C137">
        <v>226091</v>
      </c>
      <c r="D137">
        <v>13140</v>
      </c>
      <c r="E137">
        <v>2016</v>
      </c>
      <c r="F137" s="7">
        <v>3380</v>
      </c>
      <c r="G137" s="7">
        <v>2167</v>
      </c>
      <c r="H137" s="7">
        <v>14</v>
      </c>
      <c r="I137">
        <v>0.46700000000000003</v>
      </c>
      <c r="J137">
        <v>0.17899999999999999</v>
      </c>
      <c r="K137">
        <v>400286</v>
      </c>
    </row>
    <row r="138" spans="1:11">
      <c r="A138" t="s">
        <v>125</v>
      </c>
      <c r="B138" t="s">
        <v>125</v>
      </c>
      <c r="C138">
        <v>213543</v>
      </c>
      <c r="D138">
        <v>10900</v>
      </c>
      <c r="E138">
        <v>2016</v>
      </c>
      <c r="F138" s="7">
        <v>2561</v>
      </c>
      <c r="G138" s="7">
        <v>2293</v>
      </c>
      <c r="H138" s="7">
        <v>13</v>
      </c>
      <c r="I138">
        <v>0.59399999999999997</v>
      </c>
      <c r="J138">
        <v>0.68799999999999994</v>
      </c>
      <c r="K138">
        <v>843356</v>
      </c>
    </row>
    <row r="139" spans="1:11">
      <c r="A139" t="s">
        <v>126</v>
      </c>
      <c r="B139" t="s">
        <v>126</v>
      </c>
      <c r="C139">
        <v>232557</v>
      </c>
      <c r="D139">
        <v>31340</v>
      </c>
      <c r="E139">
        <v>2016</v>
      </c>
      <c r="F139" s="7">
        <v>6625</v>
      </c>
      <c r="G139" s="7">
        <v>4678</v>
      </c>
      <c r="H139" s="7">
        <v>11</v>
      </c>
      <c r="I139">
        <v>0.5</v>
      </c>
      <c r="J139">
        <v>0.69699999999999995</v>
      </c>
      <c r="K139">
        <v>258862</v>
      </c>
    </row>
    <row r="140" spans="1:11">
      <c r="A140" t="s">
        <v>127</v>
      </c>
      <c r="B140" t="s">
        <v>127</v>
      </c>
      <c r="C140">
        <v>219976</v>
      </c>
      <c r="D140">
        <v>34980</v>
      </c>
      <c r="E140">
        <v>2016</v>
      </c>
      <c r="F140" s="7">
        <v>3000</v>
      </c>
      <c r="G140" s="7">
        <v>3410</v>
      </c>
      <c r="H140" s="7">
        <v>14</v>
      </c>
      <c r="I140">
        <v>0.71899999999999997</v>
      </c>
      <c r="J140">
        <v>0.7</v>
      </c>
      <c r="K140">
        <v>1864558</v>
      </c>
    </row>
    <row r="141" spans="1:11">
      <c r="A141" t="s">
        <v>1282</v>
      </c>
      <c r="B141" t="s">
        <v>1282</v>
      </c>
      <c r="C141">
        <v>106245</v>
      </c>
      <c r="D141">
        <v>30780</v>
      </c>
      <c r="E141">
        <v>2016</v>
      </c>
      <c r="F141" s="7">
        <v>3806</v>
      </c>
      <c r="G141" s="7">
        <v>4634</v>
      </c>
      <c r="H141" s="7">
        <v>8</v>
      </c>
      <c r="I141">
        <v>0.5</v>
      </c>
      <c r="J141">
        <v>0.85699999999999998</v>
      </c>
      <c r="K141">
        <v>735686</v>
      </c>
    </row>
    <row r="142" spans="1:11">
      <c r="A142" t="s">
        <v>128</v>
      </c>
      <c r="B142" t="s">
        <v>1246</v>
      </c>
      <c r="C142">
        <v>192448</v>
      </c>
      <c r="D142">
        <v>35620</v>
      </c>
      <c r="E142">
        <v>2016</v>
      </c>
      <c r="F142" s="7">
        <v>2766</v>
      </c>
      <c r="G142" s="7">
        <v>2705</v>
      </c>
      <c r="H142" s="7">
        <v>13</v>
      </c>
      <c r="I142">
        <v>0.5</v>
      </c>
      <c r="J142">
        <v>0.78100000000000003</v>
      </c>
      <c r="K142">
        <v>19945132</v>
      </c>
    </row>
    <row r="143" spans="1:11">
      <c r="A143" t="s">
        <v>129</v>
      </c>
      <c r="B143" t="s">
        <v>1259</v>
      </c>
      <c r="C143">
        <v>117946</v>
      </c>
      <c r="D143">
        <v>31080</v>
      </c>
      <c r="E143">
        <v>2016</v>
      </c>
      <c r="F143" s="7">
        <v>5435</v>
      </c>
      <c r="G143" s="7">
        <v>4708</v>
      </c>
      <c r="H143" s="7">
        <v>14</v>
      </c>
      <c r="I143">
        <v>0.72699999999999998</v>
      </c>
      <c r="J143">
        <v>0.74199999999999999</v>
      </c>
      <c r="K143">
        <v>13297429</v>
      </c>
    </row>
    <row r="144" spans="1:11">
      <c r="A144" t="s">
        <v>130</v>
      </c>
      <c r="B144" t="s">
        <v>130</v>
      </c>
      <c r="C144">
        <v>110583</v>
      </c>
      <c r="D144">
        <v>31080</v>
      </c>
      <c r="E144">
        <v>2016</v>
      </c>
      <c r="F144" s="7">
        <v>17291</v>
      </c>
      <c r="G144" s="7">
        <v>17708</v>
      </c>
      <c r="H144" s="7">
        <v>19</v>
      </c>
      <c r="I144">
        <v>0.80600000000000005</v>
      </c>
      <c r="J144">
        <v>0.84399999999999997</v>
      </c>
      <c r="K144">
        <v>13297429</v>
      </c>
    </row>
    <row r="145" spans="1:11">
      <c r="A145" t="s">
        <v>131</v>
      </c>
      <c r="B145" t="s">
        <v>131</v>
      </c>
      <c r="C145">
        <v>232566</v>
      </c>
      <c r="D145">
        <v>40060</v>
      </c>
      <c r="E145">
        <v>2016</v>
      </c>
      <c r="F145" s="7" t="s">
        <v>1328</v>
      </c>
      <c r="G145" s="7" t="s">
        <v>1328</v>
      </c>
      <c r="H145" s="7" t="s">
        <v>1328</v>
      </c>
      <c r="I145" t="s">
        <v>1328</v>
      </c>
      <c r="J145" t="s">
        <v>1328</v>
      </c>
      <c r="K145">
        <v>1267408</v>
      </c>
    </row>
    <row r="146" spans="1:11">
      <c r="A146" t="s">
        <v>132</v>
      </c>
      <c r="B146" t="s">
        <v>132</v>
      </c>
      <c r="C146">
        <v>160658</v>
      </c>
      <c r="D146">
        <v>29180</v>
      </c>
      <c r="E146">
        <v>2016</v>
      </c>
      <c r="F146" s="7">
        <v>3785</v>
      </c>
      <c r="G146" s="7">
        <v>5060</v>
      </c>
      <c r="H146" s="7">
        <v>12</v>
      </c>
      <c r="I146">
        <v>0.20699999999999999</v>
      </c>
      <c r="J146">
        <v>0.60599999999999998</v>
      </c>
      <c r="K146">
        <v>483889</v>
      </c>
    </row>
    <row r="147" spans="1:11">
      <c r="A147" t="s">
        <v>133</v>
      </c>
      <c r="B147" t="s">
        <v>133</v>
      </c>
      <c r="C147">
        <v>159647</v>
      </c>
      <c r="D147">
        <v>40820</v>
      </c>
      <c r="E147">
        <v>2016</v>
      </c>
      <c r="F147" s="7">
        <v>2747</v>
      </c>
      <c r="G147" s="7">
        <v>2314</v>
      </c>
      <c r="H147" s="7">
        <v>12</v>
      </c>
      <c r="I147">
        <v>0.33300000000000002</v>
      </c>
      <c r="J147">
        <v>0.3</v>
      </c>
      <c r="K147">
        <v>48584</v>
      </c>
    </row>
    <row r="148" spans="1:11">
      <c r="A148" t="s">
        <v>134</v>
      </c>
      <c r="B148" t="s">
        <v>134</v>
      </c>
      <c r="C148">
        <v>157289</v>
      </c>
      <c r="D148">
        <v>31140</v>
      </c>
      <c r="E148">
        <v>2016</v>
      </c>
      <c r="F148" s="7">
        <v>34334</v>
      </c>
      <c r="G148" s="7">
        <v>26352</v>
      </c>
      <c r="H148" s="7">
        <v>17</v>
      </c>
      <c r="I148">
        <v>0.78100000000000003</v>
      </c>
      <c r="J148">
        <v>0.5</v>
      </c>
      <c r="K148">
        <v>1263416</v>
      </c>
    </row>
    <row r="149" spans="1:11">
      <c r="A149" t="s">
        <v>135</v>
      </c>
      <c r="B149" t="s">
        <v>135</v>
      </c>
      <c r="C149">
        <v>146719</v>
      </c>
      <c r="D149">
        <v>16980</v>
      </c>
      <c r="E149">
        <v>2016</v>
      </c>
      <c r="F149" s="7">
        <v>4144</v>
      </c>
      <c r="G149" s="7">
        <v>2772</v>
      </c>
      <c r="H149" s="7">
        <v>12</v>
      </c>
      <c r="I149">
        <v>0.625</v>
      </c>
      <c r="J149">
        <v>0.32100000000000001</v>
      </c>
      <c r="K149">
        <v>9654839</v>
      </c>
    </row>
    <row r="150" spans="1:11">
      <c r="A150" t="s">
        <v>1283</v>
      </c>
      <c r="B150" t="s">
        <v>1283</v>
      </c>
      <c r="C150">
        <v>163046</v>
      </c>
      <c r="D150">
        <v>12580</v>
      </c>
      <c r="E150">
        <v>2016</v>
      </c>
      <c r="F150" s="7">
        <v>1894</v>
      </c>
      <c r="G150" s="7">
        <v>1558</v>
      </c>
      <c r="H150" s="7">
        <v>10</v>
      </c>
      <c r="I150">
        <v>0.19400000000000001</v>
      </c>
      <c r="J150">
        <v>6.9000000000000006E-2</v>
      </c>
      <c r="K150">
        <v>2821292</v>
      </c>
    </row>
    <row r="151" spans="1:11">
      <c r="A151" t="s">
        <v>136</v>
      </c>
      <c r="B151" t="s">
        <v>136</v>
      </c>
      <c r="C151">
        <v>159391</v>
      </c>
      <c r="D151">
        <v>12940</v>
      </c>
      <c r="E151">
        <v>2016</v>
      </c>
      <c r="F151" s="7">
        <v>12673</v>
      </c>
      <c r="G151" s="7">
        <v>9027</v>
      </c>
      <c r="H151" s="7">
        <v>11</v>
      </c>
      <c r="I151">
        <v>0.31</v>
      </c>
      <c r="J151">
        <v>0.69</v>
      </c>
      <c r="K151">
        <v>864779</v>
      </c>
    </row>
    <row r="152" spans="1:11">
      <c r="A152" t="s">
        <v>137</v>
      </c>
      <c r="B152" t="s">
        <v>137</v>
      </c>
      <c r="C152">
        <v>161253</v>
      </c>
      <c r="D152">
        <v>12620</v>
      </c>
      <c r="E152">
        <v>2016</v>
      </c>
      <c r="F152" s="7" t="s">
        <v>1328</v>
      </c>
      <c r="G152" s="7" t="s">
        <v>1328</v>
      </c>
      <c r="H152" s="7" t="s">
        <v>1328</v>
      </c>
      <c r="I152" t="s">
        <v>1328</v>
      </c>
      <c r="J152" t="s">
        <v>1328</v>
      </c>
      <c r="K152">
        <v>151714</v>
      </c>
    </row>
    <row r="153" spans="1:11">
      <c r="A153" t="s">
        <v>138</v>
      </c>
      <c r="B153" t="s">
        <v>138</v>
      </c>
      <c r="C153">
        <v>192703</v>
      </c>
      <c r="D153">
        <v>35620</v>
      </c>
      <c r="E153">
        <v>2016</v>
      </c>
      <c r="F153" s="7">
        <v>2310</v>
      </c>
      <c r="G153" s="7">
        <v>1966</v>
      </c>
      <c r="H153" s="7">
        <v>11</v>
      </c>
      <c r="I153">
        <v>0.58799999999999997</v>
      </c>
      <c r="J153">
        <v>0.61799999999999999</v>
      </c>
      <c r="K153">
        <v>19945132</v>
      </c>
    </row>
    <row r="154" spans="1:11">
      <c r="A154" t="s">
        <v>139</v>
      </c>
      <c r="B154" t="s">
        <v>139</v>
      </c>
      <c r="C154">
        <v>192819</v>
      </c>
      <c r="D154">
        <v>39100</v>
      </c>
      <c r="E154">
        <v>2016</v>
      </c>
      <c r="F154" s="7">
        <v>2343</v>
      </c>
      <c r="G154" s="7">
        <v>2472</v>
      </c>
      <c r="H154" s="7">
        <v>13</v>
      </c>
      <c r="I154">
        <v>0.67700000000000005</v>
      </c>
      <c r="J154">
        <v>0.80600000000000005</v>
      </c>
      <c r="K154">
        <v>682352</v>
      </c>
    </row>
    <row r="155" spans="1:11">
      <c r="A155" t="s">
        <v>1284</v>
      </c>
      <c r="B155" t="s">
        <v>1284</v>
      </c>
      <c r="C155">
        <v>239105</v>
      </c>
      <c r="D155">
        <v>33340</v>
      </c>
      <c r="E155">
        <v>2016</v>
      </c>
      <c r="F155" s="7">
        <v>7579</v>
      </c>
      <c r="G155" s="7">
        <v>10487</v>
      </c>
      <c r="H155" s="7">
        <v>13</v>
      </c>
      <c r="I155">
        <v>0.64700000000000002</v>
      </c>
      <c r="J155">
        <v>0.72699999999999998</v>
      </c>
      <c r="K155">
        <v>1574201</v>
      </c>
    </row>
    <row r="156" spans="1:11">
      <c r="A156" t="s">
        <v>140</v>
      </c>
      <c r="B156" t="s">
        <v>140</v>
      </c>
      <c r="C156">
        <v>237525</v>
      </c>
      <c r="D156">
        <v>26580</v>
      </c>
      <c r="E156">
        <v>2016</v>
      </c>
      <c r="F156" s="7">
        <v>4204</v>
      </c>
      <c r="G156" s="7">
        <v>6642</v>
      </c>
      <c r="H156" s="7">
        <v>9</v>
      </c>
      <c r="I156">
        <v>0.53300000000000003</v>
      </c>
      <c r="J156">
        <v>0.5</v>
      </c>
      <c r="K156">
        <v>368494</v>
      </c>
    </row>
    <row r="157" spans="1:11">
      <c r="A157" t="s">
        <v>141</v>
      </c>
      <c r="B157" t="s">
        <v>141</v>
      </c>
      <c r="C157">
        <v>163286</v>
      </c>
      <c r="D157">
        <v>47900</v>
      </c>
      <c r="E157">
        <v>2016</v>
      </c>
      <c r="F157" s="7">
        <v>20027</v>
      </c>
      <c r="G157" s="7">
        <v>15387</v>
      </c>
      <c r="H157" s="7">
        <v>16</v>
      </c>
      <c r="I157">
        <v>0.441</v>
      </c>
      <c r="J157">
        <v>0.32300000000000001</v>
      </c>
      <c r="K157">
        <v>6194690</v>
      </c>
    </row>
    <row r="158" spans="1:11">
      <c r="A158" t="s">
        <v>142</v>
      </c>
      <c r="B158" t="s">
        <v>142</v>
      </c>
      <c r="C158">
        <v>166629</v>
      </c>
      <c r="D158">
        <v>44140</v>
      </c>
      <c r="E158">
        <v>2016</v>
      </c>
      <c r="F158" s="7" t="s">
        <v>1328</v>
      </c>
      <c r="G158" s="7" t="s">
        <v>1328</v>
      </c>
      <c r="H158" s="7" t="s">
        <v>1328</v>
      </c>
      <c r="I158" t="s">
        <v>1328</v>
      </c>
      <c r="J158" t="s">
        <v>1328</v>
      </c>
      <c r="K158">
        <v>701824</v>
      </c>
    </row>
    <row r="159" spans="1:11">
      <c r="A159" t="s">
        <v>143</v>
      </c>
      <c r="B159" t="s">
        <v>143</v>
      </c>
      <c r="C159">
        <v>159717</v>
      </c>
      <c r="D159">
        <v>29340</v>
      </c>
      <c r="E159">
        <v>2016</v>
      </c>
      <c r="F159" s="7">
        <v>3224</v>
      </c>
      <c r="G159" s="7">
        <v>2825</v>
      </c>
      <c r="H159" s="7">
        <v>12</v>
      </c>
      <c r="I159">
        <v>0.45500000000000002</v>
      </c>
      <c r="J159">
        <v>0.46899999999999997</v>
      </c>
      <c r="K159">
        <v>215028</v>
      </c>
    </row>
    <row r="160" spans="1:11">
      <c r="A160" t="s">
        <v>144</v>
      </c>
      <c r="B160" t="s">
        <v>144</v>
      </c>
      <c r="C160">
        <v>220862</v>
      </c>
      <c r="D160">
        <v>32820</v>
      </c>
      <c r="E160">
        <v>2016</v>
      </c>
      <c r="F160" s="7">
        <v>8964</v>
      </c>
      <c r="G160" s="7">
        <v>9108</v>
      </c>
      <c r="H160" s="7">
        <v>17</v>
      </c>
      <c r="I160">
        <v>0.57599999999999996</v>
      </c>
      <c r="J160">
        <v>0.67600000000000005</v>
      </c>
      <c r="K160">
        <v>1330255</v>
      </c>
    </row>
    <row r="161" spans="1:11">
      <c r="A161" t="s">
        <v>145</v>
      </c>
      <c r="B161" t="s">
        <v>145</v>
      </c>
      <c r="C161">
        <v>140447</v>
      </c>
      <c r="D161">
        <v>31420</v>
      </c>
      <c r="E161">
        <v>2016</v>
      </c>
      <c r="F161" s="7">
        <v>2658</v>
      </c>
      <c r="G161" s="7">
        <v>1718</v>
      </c>
      <c r="H161" s="7">
        <v>11</v>
      </c>
      <c r="I161">
        <v>0.34499999999999997</v>
      </c>
      <c r="J161">
        <v>0.35499999999999998</v>
      </c>
      <c r="K161">
        <v>231502</v>
      </c>
    </row>
    <row r="162" spans="1:11">
      <c r="A162" t="s">
        <v>1285</v>
      </c>
      <c r="B162" t="s">
        <v>1286</v>
      </c>
      <c r="C162">
        <v>135726</v>
      </c>
      <c r="D162">
        <v>33100</v>
      </c>
      <c r="E162">
        <v>2016</v>
      </c>
      <c r="F162" s="7">
        <v>7544</v>
      </c>
      <c r="G162" s="7">
        <v>5875</v>
      </c>
      <c r="H162" s="7">
        <v>15</v>
      </c>
      <c r="I162">
        <v>0.67700000000000005</v>
      </c>
      <c r="J162">
        <v>0.71</v>
      </c>
      <c r="K162">
        <v>6031735</v>
      </c>
    </row>
    <row r="163" spans="1:11">
      <c r="A163" t="s">
        <v>146</v>
      </c>
      <c r="B163" t="s">
        <v>1260</v>
      </c>
      <c r="C163">
        <v>204024</v>
      </c>
      <c r="D163">
        <v>17140</v>
      </c>
      <c r="E163">
        <v>2016</v>
      </c>
      <c r="F163" s="7">
        <v>3637</v>
      </c>
      <c r="G163" s="7">
        <v>2984</v>
      </c>
      <c r="H163" s="7">
        <v>12</v>
      </c>
      <c r="I163">
        <v>0.67700000000000005</v>
      </c>
      <c r="J163">
        <v>0.67700000000000005</v>
      </c>
      <c r="K163">
        <v>2209105</v>
      </c>
    </row>
    <row r="164" spans="1:11">
      <c r="A164" t="s">
        <v>147</v>
      </c>
      <c r="B164" t="s">
        <v>147</v>
      </c>
      <c r="C164">
        <v>170976</v>
      </c>
      <c r="D164">
        <v>11460</v>
      </c>
      <c r="E164">
        <v>2016</v>
      </c>
      <c r="F164" s="7">
        <v>23021</v>
      </c>
      <c r="G164" s="7">
        <v>19040</v>
      </c>
      <c r="H164" s="7">
        <v>16</v>
      </c>
      <c r="I164">
        <v>0.60599999999999998</v>
      </c>
      <c r="J164">
        <v>0.433</v>
      </c>
      <c r="K164">
        <v>370179</v>
      </c>
    </row>
    <row r="165" spans="1:11">
      <c r="A165" t="s">
        <v>148</v>
      </c>
      <c r="B165" t="s">
        <v>148</v>
      </c>
      <c r="C165">
        <v>171100</v>
      </c>
      <c r="D165">
        <v>29620</v>
      </c>
      <c r="E165">
        <v>2016</v>
      </c>
      <c r="F165" s="7">
        <v>37333</v>
      </c>
      <c r="G165" s="7">
        <v>43918</v>
      </c>
      <c r="H165" s="7">
        <v>13</v>
      </c>
      <c r="I165">
        <v>0.57599999999999996</v>
      </c>
      <c r="J165">
        <v>0.57599999999999996</v>
      </c>
      <c r="K165">
        <v>540409</v>
      </c>
    </row>
    <row r="166" spans="1:11">
      <c r="A166" t="s">
        <v>149</v>
      </c>
      <c r="B166" t="s">
        <v>149</v>
      </c>
      <c r="C166">
        <v>220978</v>
      </c>
      <c r="D166">
        <v>34980</v>
      </c>
      <c r="E166">
        <v>2016</v>
      </c>
      <c r="F166" s="7">
        <v>4400</v>
      </c>
      <c r="G166" s="7">
        <v>4800</v>
      </c>
      <c r="H166" s="7">
        <v>16</v>
      </c>
      <c r="I166">
        <v>0.26700000000000002</v>
      </c>
      <c r="J166">
        <v>0.3</v>
      </c>
      <c r="K166">
        <v>1864558</v>
      </c>
    </row>
    <row r="167" spans="1:11">
      <c r="A167" t="s">
        <v>1287</v>
      </c>
      <c r="B167" t="s">
        <v>1287</v>
      </c>
      <c r="C167">
        <v>240453</v>
      </c>
      <c r="D167">
        <v>33340</v>
      </c>
      <c r="E167">
        <v>2016</v>
      </c>
      <c r="F167" s="7">
        <v>4626</v>
      </c>
      <c r="G167" s="7">
        <v>4883</v>
      </c>
      <c r="H167" s="7">
        <v>11</v>
      </c>
      <c r="I167">
        <v>0.3</v>
      </c>
      <c r="J167">
        <v>0.54800000000000004</v>
      </c>
      <c r="K167">
        <v>1574201</v>
      </c>
    </row>
    <row r="168" spans="1:11">
      <c r="A168" t="s">
        <v>150</v>
      </c>
      <c r="B168" t="s">
        <v>150</v>
      </c>
      <c r="C168">
        <v>174066</v>
      </c>
      <c r="D168">
        <v>33460</v>
      </c>
      <c r="E168">
        <v>2016</v>
      </c>
      <c r="F168" s="7">
        <v>62574</v>
      </c>
      <c r="G168" s="7">
        <v>50149</v>
      </c>
      <c r="H168" s="7">
        <v>15</v>
      </c>
      <c r="I168">
        <v>0.85699999999999998</v>
      </c>
      <c r="J168">
        <v>0.61299999999999999</v>
      </c>
      <c r="K168">
        <v>3562548</v>
      </c>
    </row>
    <row r="169" spans="1:11">
      <c r="A169" t="s">
        <v>151</v>
      </c>
      <c r="B169" t="s">
        <v>151</v>
      </c>
      <c r="C169">
        <v>176080</v>
      </c>
      <c r="D169">
        <v>44260</v>
      </c>
      <c r="E169">
        <v>2016</v>
      </c>
      <c r="F169" s="7">
        <v>9161</v>
      </c>
      <c r="G169" s="7">
        <v>8112</v>
      </c>
      <c r="H169" s="7">
        <v>16</v>
      </c>
      <c r="I169">
        <v>0.53100000000000003</v>
      </c>
      <c r="J169">
        <v>0.21199999999999999</v>
      </c>
      <c r="K169">
        <v>60687</v>
      </c>
    </row>
    <row r="170" spans="1:11">
      <c r="A170" t="s">
        <v>152</v>
      </c>
      <c r="B170" t="s">
        <v>152</v>
      </c>
      <c r="C170">
        <v>176044</v>
      </c>
      <c r="D170">
        <v>24900</v>
      </c>
      <c r="E170">
        <v>2016</v>
      </c>
      <c r="F170" s="7">
        <v>1507</v>
      </c>
      <c r="G170" s="7">
        <v>2152</v>
      </c>
      <c r="H170" s="7">
        <v>8</v>
      </c>
      <c r="I170">
        <v>9.0999999999999998E-2</v>
      </c>
      <c r="J170">
        <v>0.13300000000000001</v>
      </c>
      <c r="K170">
        <v>40351</v>
      </c>
    </row>
    <row r="171" spans="1:11">
      <c r="A171" t="s">
        <v>153</v>
      </c>
      <c r="B171" t="s">
        <v>153</v>
      </c>
      <c r="C171">
        <v>178396</v>
      </c>
      <c r="D171">
        <v>17860</v>
      </c>
      <c r="E171">
        <v>2016</v>
      </c>
      <c r="F171" s="7">
        <v>32477</v>
      </c>
      <c r="G171" s="7">
        <v>26505</v>
      </c>
      <c r="H171" s="7">
        <v>11</v>
      </c>
      <c r="I171">
        <v>0.81799999999999995</v>
      </c>
      <c r="J171">
        <v>0.48499999999999999</v>
      </c>
      <c r="K171">
        <v>204912</v>
      </c>
    </row>
    <row r="172" spans="1:11">
      <c r="A172" t="s">
        <v>154</v>
      </c>
      <c r="B172" t="s">
        <v>154</v>
      </c>
      <c r="C172">
        <v>179566</v>
      </c>
      <c r="D172">
        <v>44180</v>
      </c>
      <c r="E172">
        <v>2016</v>
      </c>
      <c r="F172" s="7">
        <v>9214</v>
      </c>
      <c r="G172" s="7">
        <v>7804</v>
      </c>
      <c r="H172" s="7">
        <v>16</v>
      </c>
      <c r="I172">
        <v>0.68600000000000005</v>
      </c>
      <c r="J172">
        <v>0.625</v>
      </c>
      <c r="K172">
        <v>458977</v>
      </c>
    </row>
    <row r="173" spans="1:11">
      <c r="A173" t="s">
        <v>155</v>
      </c>
      <c r="B173" t="s">
        <v>155</v>
      </c>
      <c r="C173">
        <v>185572</v>
      </c>
      <c r="D173">
        <v>35620</v>
      </c>
      <c r="E173">
        <v>2016</v>
      </c>
      <c r="F173" s="7" t="s">
        <v>1328</v>
      </c>
      <c r="G173" s="7" t="s">
        <v>1328</v>
      </c>
      <c r="H173" s="7" t="s">
        <v>1328</v>
      </c>
      <c r="I173" t="s">
        <v>1328</v>
      </c>
      <c r="J173" t="s">
        <v>1328</v>
      </c>
      <c r="K173">
        <v>19945132</v>
      </c>
    </row>
    <row r="174" spans="1:11">
      <c r="A174" t="s">
        <v>156</v>
      </c>
      <c r="B174" t="s">
        <v>156</v>
      </c>
      <c r="C174">
        <v>180489</v>
      </c>
      <c r="D174">
        <v>33540</v>
      </c>
      <c r="E174">
        <v>2016</v>
      </c>
      <c r="F174" s="7">
        <v>3898</v>
      </c>
      <c r="G174" s="7">
        <v>6079</v>
      </c>
      <c r="H174" s="7">
        <v>8</v>
      </c>
      <c r="I174">
        <v>0.28599999999999998</v>
      </c>
      <c r="J174">
        <v>0.20699999999999999</v>
      </c>
      <c r="K174">
        <v>114490</v>
      </c>
    </row>
    <row r="175" spans="1:11">
      <c r="A175" t="s">
        <v>1288</v>
      </c>
      <c r="B175" t="s">
        <v>1288</v>
      </c>
      <c r="C175">
        <v>180461</v>
      </c>
      <c r="D175">
        <v>14580</v>
      </c>
      <c r="E175">
        <v>2016</v>
      </c>
      <c r="F175" s="7">
        <v>7044</v>
      </c>
      <c r="G175" s="7">
        <v>6053</v>
      </c>
      <c r="H175" s="7">
        <v>8</v>
      </c>
      <c r="I175">
        <v>0.125</v>
      </c>
      <c r="J175">
        <v>0.25</v>
      </c>
      <c r="K175">
        <v>106484</v>
      </c>
    </row>
    <row r="176" spans="1:11">
      <c r="A176" t="s">
        <v>157</v>
      </c>
      <c r="B176" t="s">
        <v>157</v>
      </c>
      <c r="C176">
        <v>157386</v>
      </c>
      <c r="D176">
        <v>30460</v>
      </c>
      <c r="E176">
        <v>2016</v>
      </c>
      <c r="F176" s="7">
        <v>6393</v>
      </c>
      <c r="G176" s="7">
        <v>8974</v>
      </c>
      <c r="H176" s="7">
        <v>13</v>
      </c>
      <c r="I176">
        <v>0.32300000000000001</v>
      </c>
      <c r="J176">
        <v>9.7000000000000003E-2</v>
      </c>
      <c r="K176">
        <v>504058</v>
      </c>
    </row>
    <row r="177" spans="1:11">
      <c r="A177" t="s">
        <v>158</v>
      </c>
      <c r="B177" t="s">
        <v>158</v>
      </c>
      <c r="C177">
        <v>163453</v>
      </c>
      <c r="D177">
        <v>12580</v>
      </c>
      <c r="E177">
        <v>2016</v>
      </c>
      <c r="F177" s="7">
        <v>1861</v>
      </c>
      <c r="G177" s="7">
        <v>1232</v>
      </c>
      <c r="H177" s="7">
        <v>7</v>
      </c>
      <c r="I177">
        <v>0.46400000000000002</v>
      </c>
      <c r="J177">
        <v>0.5</v>
      </c>
      <c r="K177">
        <v>2821292</v>
      </c>
    </row>
    <row r="178" spans="1:11">
      <c r="A178" t="s">
        <v>159</v>
      </c>
      <c r="B178" t="s">
        <v>159</v>
      </c>
      <c r="C178">
        <v>163462</v>
      </c>
      <c r="D178">
        <v>23900</v>
      </c>
      <c r="E178">
        <v>2016</v>
      </c>
      <c r="F178" s="7" t="s">
        <v>1328</v>
      </c>
      <c r="G178" s="7" t="s">
        <v>1328</v>
      </c>
      <c r="H178" s="7" t="s">
        <v>1328</v>
      </c>
      <c r="I178" t="s">
        <v>1328</v>
      </c>
      <c r="J178" t="s">
        <v>1328</v>
      </c>
      <c r="K178">
        <v>102585</v>
      </c>
    </row>
    <row r="179" spans="1:11">
      <c r="A179" t="s">
        <v>160</v>
      </c>
      <c r="B179" t="s">
        <v>160</v>
      </c>
      <c r="C179">
        <v>157401</v>
      </c>
      <c r="D179">
        <v>34660</v>
      </c>
      <c r="E179">
        <v>2016</v>
      </c>
      <c r="F179" s="7">
        <v>5207</v>
      </c>
      <c r="G179" s="7">
        <v>5566</v>
      </c>
      <c r="H179" s="7">
        <v>11</v>
      </c>
      <c r="I179">
        <v>0.9</v>
      </c>
      <c r="J179">
        <v>0.81299999999999994</v>
      </c>
      <c r="K179">
        <v>37459</v>
      </c>
    </row>
    <row r="180" spans="1:11">
      <c r="A180" t="s">
        <v>161</v>
      </c>
      <c r="B180" t="s">
        <v>161</v>
      </c>
      <c r="C180">
        <v>199102</v>
      </c>
      <c r="D180">
        <v>24660</v>
      </c>
      <c r="E180">
        <v>2016</v>
      </c>
      <c r="F180" s="7">
        <v>1453</v>
      </c>
      <c r="G180" s="7">
        <v>1082</v>
      </c>
      <c r="H180" s="7">
        <v>9</v>
      </c>
      <c r="I180">
        <v>0.33300000000000002</v>
      </c>
      <c r="J180">
        <v>0.214</v>
      </c>
      <c r="K180">
        <v>759364</v>
      </c>
    </row>
    <row r="181" spans="1:11">
      <c r="A181" t="s">
        <v>162</v>
      </c>
      <c r="B181" t="s">
        <v>162</v>
      </c>
      <c r="C181">
        <v>199157</v>
      </c>
      <c r="D181">
        <v>20500</v>
      </c>
      <c r="E181">
        <v>2016</v>
      </c>
      <c r="F181" s="7">
        <v>2847</v>
      </c>
      <c r="G181" s="7">
        <v>2702</v>
      </c>
      <c r="H181" s="7">
        <v>9</v>
      </c>
      <c r="I181">
        <v>0.17199999999999999</v>
      </c>
      <c r="J181">
        <v>0.13800000000000001</v>
      </c>
      <c r="K181">
        <v>617871</v>
      </c>
    </row>
    <row r="182" spans="1:11">
      <c r="A182" t="s">
        <v>1289</v>
      </c>
      <c r="B182" t="s">
        <v>1289</v>
      </c>
      <c r="C182">
        <v>500000</v>
      </c>
      <c r="D182">
        <v>47900</v>
      </c>
      <c r="E182">
        <v>2016</v>
      </c>
      <c r="F182" s="7">
        <v>4906</v>
      </c>
      <c r="G182" s="7">
        <v>3377</v>
      </c>
      <c r="H182" s="7">
        <v>12</v>
      </c>
      <c r="I182">
        <v>0.31</v>
      </c>
      <c r="J182">
        <v>0.53800000000000003</v>
      </c>
      <c r="K182">
        <v>6194690</v>
      </c>
    </row>
    <row r="183" spans="1:11">
      <c r="A183" t="s">
        <v>163</v>
      </c>
      <c r="B183" t="s">
        <v>163</v>
      </c>
      <c r="C183">
        <v>199193</v>
      </c>
      <c r="D183">
        <v>39580</v>
      </c>
      <c r="E183">
        <v>2016</v>
      </c>
      <c r="F183" s="7">
        <v>8712</v>
      </c>
      <c r="G183" s="7">
        <v>9879</v>
      </c>
      <c r="H183" s="7">
        <v>16</v>
      </c>
      <c r="I183">
        <v>0.5</v>
      </c>
      <c r="J183">
        <v>0.53300000000000003</v>
      </c>
      <c r="K183">
        <v>1304489</v>
      </c>
    </row>
    <row r="184" spans="1:11">
      <c r="A184" t="s">
        <v>164</v>
      </c>
      <c r="B184" t="s">
        <v>164</v>
      </c>
      <c r="C184">
        <v>181464</v>
      </c>
      <c r="D184">
        <v>30700</v>
      </c>
      <c r="E184">
        <v>2016</v>
      </c>
      <c r="F184" s="7">
        <v>147714</v>
      </c>
      <c r="G184" s="7">
        <v>145493</v>
      </c>
      <c r="H184" s="7">
        <v>18</v>
      </c>
      <c r="I184">
        <v>0.88900000000000001</v>
      </c>
      <c r="J184">
        <v>0.69699999999999995</v>
      </c>
      <c r="K184">
        <v>329397</v>
      </c>
    </row>
    <row r="185" spans="1:11">
      <c r="A185" t="s">
        <v>165</v>
      </c>
      <c r="B185" t="s">
        <v>165</v>
      </c>
      <c r="C185">
        <v>182290</v>
      </c>
      <c r="D185">
        <v>39900</v>
      </c>
      <c r="E185">
        <v>2016</v>
      </c>
      <c r="F185" s="7">
        <v>4268</v>
      </c>
      <c r="G185" s="7">
        <v>4382</v>
      </c>
      <c r="H185" s="7">
        <v>12</v>
      </c>
      <c r="I185">
        <v>0.4</v>
      </c>
      <c r="J185">
        <v>0.28599999999999998</v>
      </c>
      <c r="K185">
        <v>460369</v>
      </c>
    </row>
    <row r="186" spans="1:11">
      <c r="A186" t="s">
        <v>1290</v>
      </c>
      <c r="B186" t="s">
        <v>1290</v>
      </c>
      <c r="C186">
        <v>183044</v>
      </c>
      <c r="D186">
        <v>18180</v>
      </c>
      <c r="E186">
        <v>2016</v>
      </c>
      <c r="F186" s="7">
        <v>6282</v>
      </c>
      <c r="G186" s="7">
        <v>5357</v>
      </c>
      <c r="H186" s="7">
        <v>12</v>
      </c>
      <c r="I186">
        <v>0.7</v>
      </c>
      <c r="J186">
        <v>0.625</v>
      </c>
      <c r="K186">
        <v>150071</v>
      </c>
    </row>
    <row r="187" spans="1:11">
      <c r="A187" t="s">
        <v>166</v>
      </c>
      <c r="B187" t="s">
        <v>166</v>
      </c>
      <c r="C187">
        <v>187985</v>
      </c>
      <c r="D187">
        <v>10740</v>
      </c>
      <c r="E187">
        <v>2016</v>
      </c>
      <c r="F187" s="7">
        <v>16494</v>
      </c>
      <c r="G187" s="7">
        <v>21085</v>
      </c>
      <c r="H187" s="7">
        <v>15</v>
      </c>
      <c r="I187">
        <v>0.54800000000000004</v>
      </c>
      <c r="J187">
        <v>0.61299999999999999</v>
      </c>
      <c r="K187">
        <v>905506</v>
      </c>
    </row>
    <row r="188" spans="1:11">
      <c r="A188" t="s">
        <v>167</v>
      </c>
      <c r="B188" t="s">
        <v>167</v>
      </c>
      <c r="C188">
        <v>188030</v>
      </c>
      <c r="D188">
        <v>29740</v>
      </c>
      <c r="E188">
        <v>2016</v>
      </c>
      <c r="F188" s="7">
        <v>15299</v>
      </c>
      <c r="G188" s="7">
        <v>9299</v>
      </c>
      <c r="H188" s="7">
        <v>14</v>
      </c>
      <c r="I188">
        <v>0.82399999999999995</v>
      </c>
      <c r="J188">
        <v>0.60699999999999998</v>
      </c>
      <c r="K188">
        <v>213862</v>
      </c>
    </row>
    <row r="189" spans="1:11">
      <c r="A189" t="s">
        <v>1291</v>
      </c>
      <c r="B189" t="s">
        <v>1291</v>
      </c>
      <c r="C189">
        <v>159939</v>
      </c>
      <c r="D189">
        <v>35380</v>
      </c>
      <c r="E189">
        <v>2016</v>
      </c>
      <c r="F189" s="7">
        <v>4992</v>
      </c>
      <c r="G189" s="7">
        <v>4106</v>
      </c>
      <c r="H189" s="7">
        <v>17</v>
      </c>
      <c r="I189">
        <v>0.54300000000000004</v>
      </c>
      <c r="J189">
        <v>0.2</v>
      </c>
      <c r="K189">
        <v>1267693</v>
      </c>
    </row>
    <row r="190" spans="1:11">
      <c r="A190" t="s">
        <v>168</v>
      </c>
      <c r="B190" t="s">
        <v>168</v>
      </c>
      <c r="C190">
        <v>193973</v>
      </c>
      <c r="D190">
        <v>15380</v>
      </c>
      <c r="E190">
        <v>2016</v>
      </c>
      <c r="F190" s="7">
        <v>1115</v>
      </c>
      <c r="G190" s="7">
        <v>1552</v>
      </c>
      <c r="H190" s="7">
        <v>9</v>
      </c>
      <c r="I190">
        <v>0.433</v>
      </c>
      <c r="J190">
        <v>0.438</v>
      </c>
      <c r="K190">
        <v>1155507</v>
      </c>
    </row>
    <row r="191" spans="1:11">
      <c r="A191" t="s">
        <v>169</v>
      </c>
      <c r="B191" t="s">
        <v>1247</v>
      </c>
      <c r="C191">
        <v>159966</v>
      </c>
      <c r="D191">
        <v>26380</v>
      </c>
      <c r="E191">
        <v>2016</v>
      </c>
      <c r="F191" s="7">
        <v>3691</v>
      </c>
      <c r="G191" s="7">
        <v>2349</v>
      </c>
      <c r="H191" s="7">
        <v>8</v>
      </c>
      <c r="I191">
        <v>0.32100000000000001</v>
      </c>
      <c r="J191">
        <v>0.33300000000000002</v>
      </c>
      <c r="K191">
        <v>211190</v>
      </c>
    </row>
    <row r="192" spans="1:11">
      <c r="A192" t="s">
        <v>177</v>
      </c>
      <c r="B192" t="s">
        <v>1248</v>
      </c>
      <c r="C192">
        <v>147703</v>
      </c>
      <c r="D192">
        <v>16980</v>
      </c>
      <c r="E192">
        <v>2016</v>
      </c>
      <c r="F192" s="7">
        <v>6704</v>
      </c>
      <c r="G192" s="7">
        <v>6142</v>
      </c>
      <c r="H192" s="7">
        <v>15</v>
      </c>
      <c r="I192">
        <v>0.63300000000000001</v>
      </c>
      <c r="J192">
        <v>0.67700000000000005</v>
      </c>
      <c r="K192">
        <v>9654839</v>
      </c>
    </row>
    <row r="193" spans="1:11">
      <c r="A193" t="s">
        <v>1292</v>
      </c>
      <c r="B193" t="s">
        <v>1292</v>
      </c>
      <c r="C193">
        <v>185828</v>
      </c>
      <c r="D193">
        <v>35620</v>
      </c>
      <c r="E193">
        <v>2016</v>
      </c>
      <c r="F193" s="7">
        <v>2097</v>
      </c>
      <c r="G193" s="7">
        <v>2514</v>
      </c>
      <c r="H193" s="7">
        <v>10</v>
      </c>
      <c r="I193">
        <v>0.19400000000000001</v>
      </c>
      <c r="J193">
        <v>0.371</v>
      </c>
      <c r="K193">
        <v>19945132</v>
      </c>
    </row>
    <row r="194" spans="1:11">
      <c r="A194" t="s">
        <v>170</v>
      </c>
      <c r="B194" t="s">
        <v>170</v>
      </c>
      <c r="C194">
        <v>232937</v>
      </c>
      <c r="D194">
        <v>47260</v>
      </c>
      <c r="E194">
        <v>2016</v>
      </c>
      <c r="F194" s="7">
        <v>921</v>
      </c>
      <c r="G194" s="7">
        <v>913</v>
      </c>
      <c r="H194" s="7">
        <v>7</v>
      </c>
      <c r="I194">
        <v>0.16</v>
      </c>
      <c r="J194">
        <v>8.3000000000000004E-2</v>
      </c>
      <c r="K194">
        <v>1773787</v>
      </c>
    </row>
    <row r="195" spans="1:11">
      <c r="A195" t="s">
        <v>1257</v>
      </c>
      <c r="B195" t="s">
        <v>1256</v>
      </c>
      <c r="C195">
        <v>101879</v>
      </c>
      <c r="D195">
        <v>26620</v>
      </c>
      <c r="E195">
        <v>2016</v>
      </c>
      <c r="F195" s="7" t="s">
        <v>1328</v>
      </c>
      <c r="G195" s="7" t="s">
        <v>1328</v>
      </c>
      <c r="H195" s="7" t="s">
        <v>1328</v>
      </c>
      <c r="I195" t="s">
        <v>1328</v>
      </c>
      <c r="J195" t="s">
        <v>1328</v>
      </c>
      <c r="K195">
        <v>457597</v>
      </c>
    </row>
    <row r="196" spans="1:11">
      <c r="A196" t="s">
        <v>171</v>
      </c>
      <c r="B196" t="s">
        <v>171</v>
      </c>
      <c r="C196">
        <v>199120</v>
      </c>
      <c r="D196">
        <v>20500</v>
      </c>
      <c r="E196">
        <v>2016</v>
      </c>
      <c r="F196" s="7">
        <v>23629</v>
      </c>
      <c r="G196" s="7">
        <v>31939</v>
      </c>
      <c r="H196" s="7">
        <v>16</v>
      </c>
      <c r="I196">
        <v>0.67700000000000005</v>
      </c>
      <c r="J196">
        <v>0.90600000000000003</v>
      </c>
      <c r="K196">
        <v>617871</v>
      </c>
    </row>
    <row r="197" spans="1:11">
      <c r="A197" t="s">
        <v>172</v>
      </c>
      <c r="B197" t="s">
        <v>172</v>
      </c>
      <c r="C197">
        <v>200280</v>
      </c>
      <c r="D197">
        <v>24220</v>
      </c>
      <c r="E197">
        <v>2016</v>
      </c>
      <c r="F197" s="7">
        <v>13562</v>
      </c>
      <c r="G197" s="7">
        <v>12458</v>
      </c>
      <c r="H197" s="7">
        <v>14</v>
      </c>
      <c r="I197">
        <v>0.61799999999999999</v>
      </c>
      <c r="J197">
        <v>0.74299999999999999</v>
      </c>
      <c r="K197">
        <v>104749</v>
      </c>
    </row>
    <row r="198" spans="1:11">
      <c r="A198" t="s">
        <v>173</v>
      </c>
      <c r="B198" t="s">
        <v>173</v>
      </c>
      <c r="C198">
        <v>200332</v>
      </c>
      <c r="D198">
        <v>22020</v>
      </c>
      <c r="E198">
        <v>2016</v>
      </c>
      <c r="F198" s="7">
        <v>7905</v>
      </c>
      <c r="G198" s="7">
        <v>6835</v>
      </c>
      <c r="H198" s="7">
        <v>11</v>
      </c>
      <c r="I198">
        <v>0.61299999999999999</v>
      </c>
      <c r="J198">
        <v>0.46899999999999997</v>
      </c>
      <c r="K198">
        <v>238644</v>
      </c>
    </row>
    <row r="199" spans="1:11">
      <c r="A199" t="s">
        <v>174</v>
      </c>
      <c r="B199" t="s">
        <v>174</v>
      </c>
      <c r="C199">
        <v>136172</v>
      </c>
      <c r="D199">
        <v>27260</v>
      </c>
      <c r="E199">
        <v>2016</v>
      </c>
      <c r="F199" s="7">
        <v>4517</v>
      </c>
      <c r="G199" s="7">
        <v>4119</v>
      </c>
      <c r="H199" s="7">
        <v>11</v>
      </c>
      <c r="I199">
        <v>0.65600000000000003</v>
      </c>
      <c r="J199">
        <v>0.41899999999999998</v>
      </c>
      <c r="K199">
        <v>1492438</v>
      </c>
    </row>
    <row r="200" spans="1:11">
      <c r="A200" t="s">
        <v>175</v>
      </c>
      <c r="B200" t="s">
        <v>175</v>
      </c>
      <c r="C200">
        <v>227216</v>
      </c>
      <c r="D200">
        <v>19100</v>
      </c>
      <c r="E200">
        <v>2016</v>
      </c>
      <c r="F200" s="7">
        <v>4039</v>
      </c>
      <c r="G200" s="7">
        <v>6986</v>
      </c>
      <c r="H200" s="7">
        <v>13</v>
      </c>
      <c r="I200">
        <v>0.60599999999999998</v>
      </c>
      <c r="J200">
        <v>0.68799999999999994</v>
      </c>
      <c r="K200">
        <v>7175708</v>
      </c>
    </row>
    <row r="201" spans="1:11">
      <c r="A201" t="s">
        <v>1293</v>
      </c>
      <c r="B201" t="s">
        <v>1293</v>
      </c>
      <c r="C201">
        <v>167358</v>
      </c>
      <c r="D201">
        <v>14460</v>
      </c>
      <c r="E201">
        <v>2016</v>
      </c>
      <c r="F201" s="7">
        <v>2134</v>
      </c>
      <c r="G201" s="7">
        <v>3246</v>
      </c>
      <c r="H201" s="7">
        <v>10</v>
      </c>
      <c r="I201">
        <v>0.19400000000000001</v>
      </c>
      <c r="J201">
        <v>0.33300000000000002</v>
      </c>
      <c r="K201">
        <v>4850147</v>
      </c>
    </row>
    <row r="202" spans="1:11">
      <c r="A202" t="s">
        <v>1294</v>
      </c>
      <c r="B202" t="s">
        <v>1294</v>
      </c>
      <c r="C202">
        <v>105330</v>
      </c>
      <c r="D202">
        <v>22380</v>
      </c>
      <c r="E202">
        <v>2016</v>
      </c>
      <c r="F202" s="7">
        <v>9190</v>
      </c>
      <c r="G202" s="7">
        <v>4505</v>
      </c>
      <c r="H202" s="7">
        <v>14</v>
      </c>
      <c r="I202">
        <v>0.84799999999999998</v>
      </c>
      <c r="J202">
        <v>0.72399999999999998</v>
      </c>
      <c r="K202">
        <v>141966</v>
      </c>
    </row>
    <row r="203" spans="1:11">
      <c r="A203" t="s">
        <v>176</v>
      </c>
      <c r="B203" t="s">
        <v>176</v>
      </c>
      <c r="C203">
        <v>127741</v>
      </c>
      <c r="D203">
        <v>24540</v>
      </c>
      <c r="E203">
        <v>2016</v>
      </c>
      <c r="F203" s="7">
        <v>12288</v>
      </c>
      <c r="G203" s="7">
        <v>12548</v>
      </c>
      <c r="H203" s="7">
        <v>13</v>
      </c>
      <c r="I203">
        <v>0.46700000000000003</v>
      </c>
      <c r="J203">
        <v>0.66700000000000004</v>
      </c>
      <c r="K203">
        <v>294582</v>
      </c>
    </row>
    <row r="204" spans="1:11">
      <c r="A204" t="s">
        <v>178</v>
      </c>
      <c r="B204" t="s">
        <v>178</v>
      </c>
      <c r="C204">
        <v>157447</v>
      </c>
      <c r="D204">
        <v>17140</v>
      </c>
      <c r="E204">
        <v>2016</v>
      </c>
      <c r="F204" s="7">
        <v>1787</v>
      </c>
      <c r="G204" s="7">
        <v>2574</v>
      </c>
      <c r="H204" s="7">
        <v>8</v>
      </c>
      <c r="I204" t="s">
        <v>1328</v>
      </c>
      <c r="J204" t="s">
        <v>1328</v>
      </c>
      <c r="K204">
        <v>2209105</v>
      </c>
    </row>
    <row r="205" spans="1:11">
      <c r="A205" t="s">
        <v>179</v>
      </c>
      <c r="B205" t="s">
        <v>179</v>
      </c>
      <c r="C205">
        <v>147767</v>
      </c>
      <c r="D205">
        <v>16980</v>
      </c>
      <c r="E205">
        <v>2016</v>
      </c>
      <c r="F205" s="7">
        <v>9716</v>
      </c>
      <c r="G205" s="7">
        <v>13764</v>
      </c>
      <c r="H205" s="7">
        <v>12</v>
      </c>
      <c r="I205">
        <v>0.45200000000000001</v>
      </c>
      <c r="J205">
        <v>0.51600000000000001</v>
      </c>
      <c r="K205">
        <v>9654839</v>
      </c>
    </row>
    <row r="206" spans="1:11">
      <c r="A206" t="s">
        <v>180</v>
      </c>
      <c r="B206" t="s">
        <v>180</v>
      </c>
      <c r="C206">
        <v>160038</v>
      </c>
      <c r="D206">
        <v>35060</v>
      </c>
      <c r="E206">
        <v>2016</v>
      </c>
      <c r="F206" s="7">
        <v>2902</v>
      </c>
      <c r="G206" s="7">
        <v>3857</v>
      </c>
      <c r="H206" s="7">
        <v>9</v>
      </c>
      <c r="I206">
        <v>0.24099999999999999</v>
      </c>
      <c r="J206">
        <v>0.48499999999999999</v>
      </c>
      <c r="K206">
        <v>38829</v>
      </c>
    </row>
    <row r="207" spans="1:11">
      <c r="A207" t="s">
        <v>181</v>
      </c>
      <c r="B207" t="s">
        <v>181</v>
      </c>
      <c r="C207">
        <v>152080</v>
      </c>
      <c r="D207">
        <v>43780</v>
      </c>
      <c r="E207">
        <v>2016</v>
      </c>
      <c r="F207" s="7">
        <v>14002</v>
      </c>
      <c r="G207" s="7">
        <v>16483</v>
      </c>
      <c r="H207" s="7">
        <v>13</v>
      </c>
      <c r="I207">
        <v>0.219</v>
      </c>
      <c r="J207">
        <v>0.20699999999999999</v>
      </c>
      <c r="K207">
        <v>322094</v>
      </c>
    </row>
    <row r="208" spans="1:11">
      <c r="A208" t="s">
        <v>182</v>
      </c>
      <c r="B208" t="s">
        <v>182</v>
      </c>
      <c r="C208">
        <v>171571</v>
      </c>
      <c r="D208">
        <v>19820</v>
      </c>
      <c r="E208">
        <v>2016</v>
      </c>
      <c r="F208" s="7">
        <v>3796</v>
      </c>
      <c r="G208" s="7">
        <v>6980</v>
      </c>
      <c r="H208" s="7">
        <v>12</v>
      </c>
      <c r="I208">
        <v>0.58099999999999996</v>
      </c>
      <c r="J208">
        <v>0.68799999999999994</v>
      </c>
      <c r="K208">
        <v>4368028</v>
      </c>
    </row>
    <row r="209" spans="1:11">
      <c r="A209" t="s">
        <v>183</v>
      </c>
      <c r="B209" t="s">
        <v>183</v>
      </c>
      <c r="C209">
        <v>204857</v>
      </c>
      <c r="D209">
        <v>11900</v>
      </c>
      <c r="E209">
        <v>2016</v>
      </c>
      <c r="F209" s="7">
        <v>30906</v>
      </c>
      <c r="G209" s="7">
        <v>23783</v>
      </c>
      <c r="H209" s="7">
        <v>14</v>
      </c>
      <c r="I209">
        <v>0.75800000000000001</v>
      </c>
      <c r="J209">
        <v>0.79300000000000004</v>
      </c>
      <c r="K209">
        <v>64461</v>
      </c>
    </row>
    <row r="210" spans="1:11">
      <c r="A210" t="s">
        <v>184</v>
      </c>
      <c r="B210" t="s">
        <v>184</v>
      </c>
      <c r="C210">
        <v>204796</v>
      </c>
      <c r="D210">
        <v>18140</v>
      </c>
      <c r="E210">
        <v>2016</v>
      </c>
      <c r="F210" s="7">
        <v>27263</v>
      </c>
      <c r="G210" s="7">
        <v>23544</v>
      </c>
      <c r="H210" s="7">
        <v>15</v>
      </c>
      <c r="I210">
        <v>0.71399999999999997</v>
      </c>
      <c r="J210">
        <v>0.65700000000000003</v>
      </c>
      <c r="K210">
        <v>2054988</v>
      </c>
    </row>
    <row r="211" spans="1:11">
      <c r="A211" t="s">
        <v>185</v>
      </c>
      <c r="B211" t="s">
        <v>185</v>
      </c>
      <c r="C211">
        <v>207500</v>
      </c>
      <c r="D211">
        <v>36420</v>
      </c>
      <c r="E211">
        <v>2016</v>
      </c>
      <c r="F211" s="7">
        <v>11034</v>
      </c>
      <c r="G211" s="7">
        <v>12246</v>
      </c>
      <c r="H211" s="7">
        <v>15</v>
      </c>
      <c r="I211">
        <v>0.42899999999999999</v>
      </c>
      <c r="J211">
        <v>0.64500000000000002</v>
      </c>
      <c r="K211">
        <v>1375610</v>
      </c>
    </row>
    <row r="212" spans="1:11">
      <c r="A212" t="s">
        <v>186</v>
      </c>
      <c r="B212" t="s">
        <v>186</v>
      </c>
      <c r="C212">
        <v>207388</v>
      </c>
      <c r="D212">
        <v>44660</v>
      </c>
      <c r="E212">
        <v>2016</v>
      </c>
      <c r="F212" s="7" t="s">
        <v>1328</v>
      </c>
      <c r="G212" s="7" t="s">
        <v>1328</v>
      </c>
      <c r="H212" s="7" t="s">
        <v>1328</v>
      </c>
      <c r="I212" t="s">
        <v>1328</v>
      </c>
      <c r="J212" t="s">
        <v>1328</v>
      </c>
      <c r="K212">
        <v>81842</v>
      </c>
    </row>
    <row r="213" spans="1:11">
      <c r="A213" t="s">
        <v>1295</v>
      </c>
      <c r="B213" t="s">
        <v>1295</v>
      </c>
      <c r="C213">
        <v>232982</v>
      </c>
      <c r="D213">
        <v>47260</v>
      </c>
      <c r="E213">
        <v>2016</v>
      </c>
      <c r="F213" s="7" t="s">
        <v>1328</v>
      </c>
      <c r="G213" s="7" t="s">
        <v>1328</v>
      </c>
      <c r="H213" s="7" t="s">
        <v>1328</v>
      </c>
      <c r="I213" t="s">
        <v>1328</v>
      </c>
      <c r="J213" t="s">
        <v>1328</v>
      </c>
      <c r="K213">
        <v>1773787</v>
      </c>
    </row>
    <row r="214" spans="1:11">
      <c r="A214" t="s">
        <v>187</v>
      </c>
      <c r="B214" t="s">
        <v>187</v>
      </c>
      <c r="C214">
        <v>176017</v>
      </c>
      <c r="D214">
        <v>37060</v>
      </c>
      <c r="E214">
        <v>2016</v>
      </c>
      <c r="F214" s="7">
        <v>9588</v>
      </c>
      <c r="G214" s="7">
        <v>8289</v>
      </c>
      <c r="H214" s="7">
        <v>18</v>
      </c>
      <c r="I214">
        <v>0.66700000000000004</v>
      </c>
      <c r="J214">
        <v>0.68799999999999994</v>
      </c>
      <c r="K214">
        <v>54507</v>
      </c>
    </row>
    <row r="215" spans="1:11">
      <c r="A215" t="s">
        <v>188</v>
      </c>
      <c r="B215" t="s">
        <v>188</v>
      </c>
      <c r="C215">
        <v>181394</v>
      </c>
      <c r="D215">
        <v>36540</v>
      </c>
      <c r="E215">
        <v>2016</v>
      </c>
      <c r="F215" s="7">
        <v>4579</v>
      </c>
      <c r="G215" s="7">
        <v>3826</v>
      </c>
      <c r="H215" s="7">
        <v>12</v>
      </c>
      <c r="I215">
        <v>0.59399999999999997</v>
      </c>
      <c r="J215" t="s">
        <v>1328</v>
      </c>
      <c r="K215">
        <v>932855</v>
      </c>
    </row>
    <row r="216" spans="1:11">
      <c r="A216" t="s">
        <v>1296</v>
      </c>
      <c r="B216" t="s">
        <v>1296</v>
      </c>
      <c r="C216">
        <v>207582</v>
      </c>
      <c r="D216">
        <v>46140</v>
      </c>
      <c r="E216">
        <v>2016</v>
      </c>
      <c r="F216" s="7">
        <v>6300</v>
      </c>
      <c r="G216" s="7">
        <v>5283</v>
      </c>
      <c r="H216" s="7">
        <v>10</v>
      </c>
      <c r="I216">
        <v>0.46700000000000003</v>
      </c>
      <c r="J216">
        <v>0.5</v>
      </c>
      <c r="K216">
        <v>995533</v>
      </c>
    </row>
    <row r="217" spans="1:11">
      <c r="A217" t="s">
        <v>189</v>
      </c>
      <c r="B217" t="s">
        <v>189</v>
      </c>
      <c r="C217">
        <v>209551</v>
      </c>
      <c r="D217">
        <v>21660</v>
      </c>
      <c r="E217">
        <v>2016</v>
      </c>
      <c r="F217" s="7">
        <v>15874</v>
      </c>
      <c r="G217" s="7">
        <v>31475</v>
      </c>
      <c r="H217" s="7">
        <v>10</v>
      </c>
      <c r="I217">
        <v>0.53300000000000003</v>
      </c>
      <c r="J217">
        <v>0.69699999999999995</v>
      </c>
      <c r="K217">
        <v>369207</v>
      </c>
    </row>
    <row r="218" spans="1:11">
      <c r="A218" t="s">
        <v>190</v>
      </c>
      <c r="B218" t="s">
        <v>190</v>
      </c>
      <c r="C218">
        <v>209542</v>
      </c>
      <c r="D218">
        <v>18700</v>
      </c>
      <c r="E218">
        <v>2016</v>
      </c>
      <c r="F218" s="7">
        <v>11984</v>
      </c>
      <c r="G218" s="7">
        <v>13807</v>
      </c>
      <c r="H218" s="7">
        <v>10</v>
      </c>
      <c r="I218">
        <v>0.2</v>
      </c>
      <c r="J218">
        <v>0.61799999999999999</v>
      </c>
      <c r="K218">
        <v>91236</v>
      </c>
    </row>
    <row r="219" spans="1:11">
      <c r="A219" t="s">
        <v>191</v>
      </c>
      <c r="B219" t="s">
        <v>191</v>
      </c>
      <c r="C219">
        <v>120883</v>
      </c>
      <c r="D219">
        <v>44700</v>
      </c>
      <c r="E219">
        <v>2016</v>
      </c>
      <c r="F219" s="7">
        <v>7428</v>
      </c>
      <c r="G219" s="7">
        <v>8626</v>
      </c>
      <c r="H219" s="7">
        <v>9</v>
      </c>
      <c r="I219">
        <v>0.56699999999999995</v>
      </c>
      <c r="J219">
        <v>0.77400000000000002</v>
      </c>
      <c r="K219">
        <v>740281</v>
      </c>
    </row>
    <row r="220" spans="1:11">
      <c r="A220" t="s">
        <v>192</v>
      </c>
      <c r="B220" t="s">
        <v>192</v>
      </c>
      <c r="C220">
        <v>215062</v>
      </c>
      <c r="D220">
        <v>37980</v>
      </c>
      <c r="E220">
        <v>2016</v>
      </c>
      <c r="F220" s="7">
        <v>2737</v>
      </c>
      <c r="G220" s="7">
        <v>2721</v>
      </c>
      <c r="H220" s="7">
        <v>12</v>
      </c>
      <c r="I220">
        <v>0.5</v>
      </c>
      <c r="J220">
        <v>0.32</v>
      </c>
      <c r="K220">
        <v>6153898</v>
      </c>
    </row>
    <row r="221" spans="1:11">
      <c r="A221" t="s">
        <v>193</v>
      </c>
      <c r="B221" t="s">
        <v>193</v>
      </c>
      <c r="C221">
        <v>214777</v>
      </c>
      <c r="D221">
        <v>44300</v>
      </c>
      <c r="E221">
        <v>2016</v>
      </c>
      <c r="F221" s="7">
        <v>66672</v>
      </c>
      <c r="G221" s="7">
        <v>56977</v>
      </c>
      <c r="H221" s="7">
        <v>17</v>
      </c>
      <c r="I221">
        <v>0.82399999999999995</v>
      </c>
      <c r="J221">
        <v>0.92300000000000004</v>
      </c>
      <c r="K221">
        <v>160049</v>
      </c>
    </row>
    <row r="222" spans="1:11">
      <c r="A222" t="s">
        <v>1297</v>
      </c>
      <c r="B222" t="s">
        <v>1297</v>
      </c>
      <c r="C222">
        <v>121150</v>
      </c>
      <c r="D222">
        <v>31080</v>
      </c>
      <c r="E222">
        <v>2016</v>
      </c>
      <c r="F222" s="7">
        <v>5394</v>
      </c>
      <c r="G222" s="7">
        <v>3525</v>
      </c>
      <c r="H222" s="7">
        <v>13</v>
      </c>
      <c r="I222">
        <v>0.54800000000000004</v>
      </c>
      <c r="J222">
        <v>0.4</v>
      </c>
      <c r="K222">
        <v>13297429</v>
      </c>
    </row>
    <row r="223" spans="1:11">
      <c r="A223" t="s">
        <v>194</v>
      </c>
      <c r="B223" t="s">
        <v>194</v>
      </c>
      <c r="C223">
        <v>215293</v>
      </c>
      <c r="D223">
        <v>38300</v>
      </c>
      <c r="E223">
        <v>2016</v>
      </c>
      <c r="F223" s="7">
        <v>6528</v>
      </c>
      <c r="G223" s="7">
        <v>8528</v>
      </c>
      <c r="H223" s="7">
        <v>15</v>
      </c>
      <c r="I223">
        <v>0.71899999999999997</v>
      </c>
      <c r="J223">
        <v>0.80600000000000005</v>
      </c>
      <c r="K223">
        <v>2377735</v>
      </c>
    </row>
    <row r="224" spans="1:11">
      <c r="A224" t="s">
        <v>1298</v>
      </c>
      <c r="B224" t="s">
        <v>1298</v>
      </c>
      <c r="C224">
        <v>209825</v>
      </c>
      <c r="D224">
        <v>38900</v>
      </c>
      <c r="E224">
        <v>2016</v>
      </c>
      <c r="F224" s="7">
        <v>3857</v>
      </c>
      <c r="G224" s="7">
        <v>3042</v>
      </c>
      <c r="H224" s="7">
        <v>15</v>
      </c>
      <c r="I224">
        <v>0.51600000000000001</v>
      </c>
      <c r="J224">
        <v>0.23300000000000001</v>
      </c>
      <c r="K224">
        <v>2432261</v>
      </c>
    </row>
    <row r="225" spans="1:11">
      <c r="A225" t="s">
        <v>195</v>
      </c>
      <c r="B225" t="s">
        <v>195</v>
      </c>
      <c r="C225">
        <v>209807</v>
      </c>
      <c r="D225">
        <v>38900</v>
      </c>
      <c r="E225">
        <v>2016</v>
      </c>
      <c r="F225" s="7">
        <v>2770</v>
      </c>
      <c r="G225" s="7">
        <v>4082</v>
      </c>
      <c r="H225" s="7">
        <v>11</v>
      </c>
      <c r="I225">
        <v>0.32100000000000001</v>
      </c>
      <c r="J225">
        <v>0.31</v>
      </c>
      <c r="K225">
        <v>2432261</v>
      </c>
    </row>
    <row r="226" spans="1:11">
      <c r="A226" t="s">
        <v>196</v>
      </c>
      <c r="B226" t="s">
        <v>196</v>
      </c>
      <c r="C226">
        <v>227526</v>
      </c>
      <c r="D226">
        <v>26420</v>
      </c>
      <c r="E226">
        <v>2016</v>
      </c>
      <c r="F226" s="7">
        <v>1901</v>
      </c>
      <c r="G226" s="7">
        <v>1668</v>
      </c>
      <c r="H226" s="7">
        <v>8</v>
      </c>
      <c r="I226">
        <v>0.26500000000000001</v>
      </c>
      <c r="J226">
        <v>0.32100000000000001</v>
      </c>
      <c r="K226">
        <v>6797263</v>
      </c>
    </row>
    <row r="227" spans="1:11">
      <c r="A227" t="s">
        <v>197</v>
      </c>
      <c r="B227" t="s">
        <v>197</v>
      </c>
      <c r="C227">
        <v>218539</v>
      </c>
      <c r="D227">
        <v>43900</v>
      </c>
      <c r="E227">
        <v>2016</v>
      </c>
      <c r="F227" s="7">
        <v>1902</v>
      </c>
      <c r="G227" s="7">
        <v>1719</v>
      </c>
      <c r="H227" s="7">
        <v>8</v>
      </c>
      <c r="I227">
        <v>0.14299999999999999</v>
      </c>
      <c r="J227">
        <v>0.42899999999999999</v>
      </c>
      <c r="K227">
        <v>303005</v>
      </c>
    </row>
    <row r="228" spans="1:11">
      <c r="A228" t="s">
        <v>198</v>
      </c>
      <c r="B228" t="s">
        <v>198</v>
      </c>
      <c r="C228">
        <v>186131</v>
      </c>
      <c r="D228">
        <v>45940</v>
      </c>
      <c r="E228">
        <v>2016</v>
      </c>
      <c r="F228" s="7">
        <v>2268</v>
      </c>
      <c r="G228" s="7">
        <v>2257</v>
      </c>
      <c r="H228" s="7">
        <v>7</v>
      </c>
      <c r="I228">
        <v>0.625</v>
      </c>
      <c r="J228">
        <v>0.58299999999999996</v>
      </c>
      <c r="K228">
        <v>380199</v>
      </c>
    </row>
    <row r="229" spans="1:11">
      <c r="A229" t="s">
        <v>199</v>
      </c>
      <c r="B229" t="s">
        <v>199</v>
      </c>
      <c r="C229">
        <v>217402</v>
      </c>
      <c r="D229">
        <v>39300</v>
      </c>
      <c r="E229">
        <v>2016</v>
      </c>
      <c r="F229" s="7">
        <v>2245</v>
      </c>
      <c r="G229" s="7">
        <v>1439</v>
      </c>
      <c r="H229" s="7">
        <v>13</v>
      </c>
      <c r="I229">
        <v>0.313</v>
      </c>
      <c r="J229">
        <v>0.188</v>
      </c>
      <c r="K229">
        <v>1648701</v>
      </c>
    </row>
    <row r="230" spans="1:11">
      <c r="A230" t="s">
        <v>200</v>
      </c>
      <c r="B230" t="s">
        <v>200</v>
      </c>
      <c r="C230">
        <v>243780</v>
      </c>
      <c r="D230">
        <v>29200</v>
      </c>
      <c r="E230">
        <v>2016</v>
      </c>
      <c r="F230" s="7">
        <v>40379</v>
      </c>
      <c r="G230" s="7">
        <v>40230</v>
      </c>
      <c r="H230" s="7">
        <v>16</v>
      </c>
      <c r="I230">
        <v>0.69699999999999995</v>
      </c>
      <c r="J230">
        <v>0.68799999999999994</v>
      </c>
      <c r="K230">
        <v>221393</v>
      </c>
    </row>
    <row r="231" spans="1:11">
      <c r="A231" t="s">
        <v>201</v>
      </c>
      <c r="B231" t="s">
        <v>201</v>
      </c>
      <c r="C231">
        <v>151102</v>
      </c>
      <c r="D231">
        <v>23060</v>
      </c>
      <c r="E231">
        <v>2016</v>
      </c>
      <c r="F231" s="7">
        <v>6144</v>
      </c>
      <c r="G231" s="7">
        <v>6268</v>
      </c>
      <c r="H231" s="7">
        <v>12</v>
      </c>
      <c r="I231">
        <v>0.219</v>
      </c>
      <c r="J231">
        <v>0.39400000000000002</v>
      </c>
      <c r="K231">
        <v>405357</v>
      </c>
    </row>
    <row r="232" spans="1:11">
      <c r="A232" t="s">
        <v>202</v>
      </c>
      <c r="B232" t="s">
        <v>202</v>
      </c>
      <c r="C232">
        <v>130226</v>
      </c>
      <c r="D232">
        <v>35300</v>
      </c>
      <c r="E232">
        <v>2016</v>
      </c>
      <c r="F232" s="7">
        <v>2086</v>
      </c>
      <c r="G232" s="7">
        <v>1939</v>
      </c>
      <c r="H232" s="7">
        <v>11</v>
      </c>
      <c r="I232">
        <v>9.7000000000000003E-2</v>
      </c>
      <c r="J232">
        <v>6.0999999999999999E-2</v>
      </c>
      <c r="K232">
        <v>865595</v>
      </c>
    </row>
    <row r="233" spans="1:11">
      <c r="A233" t="s">
        <v>203</v>
      </c>
      <c r="B233" t="s">
        <v>203</v>
      </c>
      <c r="C233">
        <v>233277</v>
      </c>
      <c r="D233">
        <v>40220</v>
      </c>
      <c r="E233">
        <v>2016</v>
      </c>
      <c r="F233" s="7">
        <v>5858</v>
      </c>
      <c r="G233" s="7">
        <v>4538</v>
      </c>
      <c r="H233" s="7">
        <v>10</v>
      </c>
      <c r="I233">
        <v>0.48299999999999998</v>
      </c>
      <c r="J233">
        <v>0.75</v>
      </c>
      <c r="K233">
        <v>313594</v>
      </c>
    </row>
    <row r="234" spans="1:11">
      <c r="A234" t="s">
        <v>204</v>
      </c>
      <c r="B234" t="s">
        <v>204</v>
      </c>
      <c r="C234">
        <v>217484</v>
      </c>
      <c r="D234">
        <v>39300</v>
      </c>
      <c r="E234">
        <v>2016</v>
      </c>
      <c r="F234" s="7">
        <v>1644</v>
      </c>
      <c r="G234" s="7">
        <v>4161</v>
      </c>
      <c r="H234" s="7">
        <v>10</v>
      </c>
      <c r="I234">
        <v>0.69</v>
      </c>
      <c r="J234">
        <v>0.64300000000000002</v>
      </c>
      <c r="K234">
        <v>1648701</v>
      </c>
    </row>
    <row r="235" spans="1:11">
      <c r="A235" t="s">
        <v>1299</v>
      </c>
      <c r="B235" t="s">
        <v>1299</v>
      </c>
      <c r="C235">
        <v>227757</v>
      </c>
      <c r="D235">
        <v>26420</v>
      </c>
      <c r="E235">
        <v>2016</v>
      </c>
      <c r="F235" s="7">
        <v>4455</v>
      </c>
      <c r="G235" s="7">
        <v>5312</v>
      </c>
      <c r="H235" s="7">
        <v>12</v>
      </c>
      <c r="I235">
        <v>0.67700000000000005</v>
      </c>
      <c r="J235">
        <v>0.69699999999999995</v>
      </c>
      <c r="K235">
        <v>6797263</v>
      </c>
    </row>
    <row r="236" spans="1:11">
      <c r="A236" t="s">
        <v>1300</v>
      </c>
      <c r="B236" t="s">
        <v>1300</v>
      </c>
      <c r="C236">
        <v>233374</v>
      </c>
      <c r="D236">
        <v>40060</v>
      </c>
      <c r="E236">
        <v>2016</v>
      </c>
      <c r="F236" s="7" t="s">
        <v>1328</v>
      </c>
      <c r="G236" s="7" t="s">
        <v>1328</v>
      </c>
      <c r="H236" s="7" t="s">
        <v>1328</v>
      </c>
      <c r="I236" t="s">
        <v>1328</v>
      </c>
      <c r="J236" t="s">
        <v>1328</v>
      </c>
      <c r="K236">
        <v>1267408</v>
      </c>
    </row>
    <row r="237" spans="1:11">
      <c r="A237" t="s">
        <v>205</v>
      </c>
      <c r="B237" t="s">
        <v>205</v>
      </c>
      <c r="C237">
        <v>186283</v>
      </c>
      <c r="D237">
        <v>45940</v>
      </c>
      <c r="E237">
        <v>2016</v>
      </c>
      <c r="F237" s="7">
        <v>2374</v>
      </c>
      <c r="G237" s="7">
        <v>2539</v>
      </c>
      <c r="H237" s="7">
        <v>9</v>
      </c>
      <c r="I237">
        <v>0.48499999999999999</v>
      </c>
      <c r="J237">
        <v>0.5</v>
      </c>
      <c r="K237">
        <v>380199</v>
      </c>
    </row>
    <row r="238" spans="1:11">
      <c r="A238" t="s">
        <v>206</v>
      </c>
      <c r="B238" t="s">
        <v>206</v>
      </c>
      <c r="C238">
        <v>215655</v>
      </c>
      <c r="D238">
        <v>38300</v>
      </c>
      <c r="E238">
        <v>2016</v>
      </c>
      <c r="F238" s="7">
        <v>2316</v>
      </c>
      <c r="G238" s="7">
        <v>2382</v>
      </c>
      <c r="H238" s="7">
        <v>11</v>
      </c>
      <c r="I238">
        <v>0.59399999999999997</v>
      </c>
      <c r="J238">
        <v>0.46899999999999997</v>
      </c>
      <c r="K238">
        <v>2377735</v>
      </c>
    </row>
    <row r="239" spans="1:11">
      <c r="A239" t="s">
        <v>207</v>
      </c>
      <c r="B239" t="s">
        <v>207</v>
      </c>
      <c r="C239">
        <v>186380</v>
      </c>
      <c r="D239">
        <v>35620</v>
      </c>
      <c r="E239">
        <v>2016</v>
      </c>
      <c r="F239" s="7">
        <v>3771</v>
      </c>
      <c r="G239" s="7">
        <v>2526</v>
      </c>
      <c r="H239" s="7">
        <v>13</v>
      </c>
      <c r="I239">
        <v>0.125</v>
      </c>
      <c r="J239">
        <v>0.21199999999999999</v>
      </c>
      <c r="K239">
        <v>19945132</v>
      </c>
    </row>
    <row r="240" spans="1:11">
      <c r="A240" t="s">
        <v>208</v>
      </c>
      <c r="B240" t="s">
        <v>208</v>
      </c>
      <c r="C240">
        <v>110617</v>
      </c>
      <c r="D240">
        <v>40900</v>
      </c>
      <c r="E240">
        <v>2016</v>
      </c>
      <c r="F240" s="7">
        <v>3928</v>
      </c>
      <c r="G240" s="7">
        <v>2995</v>
      </c>
      <c r="H240" s="7">
        <v>12</v>
      </c>
      <c r="I240">
        <v>0.78800000000000003</v>
      </c>
      <c r="J240">
        <v>0.25800000000000001</v>
      </c>
      <c r="K240">
        <v>2306739</v>
      </c>
    </row>
    <row r="241" spans="1:11">
      <c r="A241" t="s">
        <v>209</v>
      </c>
      <c r="B241" t="s">
        <v>209</v>
      </c>
      <c r="C241">
        <v>130253</v>
      </c>
      <c r="D241">
        <v>35300</v>
      </c>
      <c r="E241">
        <v>2016</v>
      </c>
      <c r="F241" s="7">
        <v>1268</v>
      </c>
      <c r="G241" s="7">
        <v>2181</v>
      </c>
      <c r="H241" s="7">
        <v>10</v>
      </c>
      <c r="I241">
        <v>0.51700000000000002</v>
      </c>
      <c r="J241">
        <v>0.32100000000000001</v>
      </c>
      <c r="K241">
        <v>865595</v>
      </c>
    </row>
    <row r="242" spans="1:11">
      <c r="A242" t="s">
        <v>210</v>
      </c>
      <c r="B242" t="s">
        <v>210</v>
      </c>
      <c r="C242">
        <v>215743</v>
      </c>
      <c r="D242">
        <v>11020</v>
      </c>
      <c r="E242">
        <v>2016</v>
      </c>
      <c r="F242" s="7" t="s">
        <v>1328</v>
      </c>
      <c r="G242" s="7" t="s">
        <v>1328</v>
      </c>
      <c r="H242" s="7" t="s">
        <v>1328</v>
      </c>
      <c r="I242" t="s">
        <v>1328</v>
      </c>
      <c r="J242" t="s">
        <v>1328</v>
      </c>
      <c r="K242">
        <v>124724</v>
      </c>
    </row>
    <row r="243" spans="1:11">
      <c r="A243" t="s">
        <v>211</v>
      </c>
      <c r="B243" t="s">
        <v>211</v>
      </c>
      <c r="C243">
        <v>215770</v>
      </c>
      <c r="D243">
        <v>37980</v>
      </c>
      <c r="E243">
        <v>2016</v>
      </c>
      <c r="F243" s="7" t="s">
        <v>1328</v>
      </c>
      <c r="G243" s="7" t="s">
        <v>1328</v>
      </c>
      <c r="H243" s="7" t="s">
        <v>1328</v>
      </c>
      <c r="I243" t="s">
        <v>1328</v>
      </c>
      <c r="J243" t="s">
        <v>1328</v>
      </c>
      <c r="K243">
        <v>6153898</v>
      </c>
    </row>
    <row r="244" spans="1:11">
      <c r="A244" t="s">
        <v>212</v>
      </c>
      <c r="B244" t="s">
        <v>212</v>
      </c>
      <c r="C244">
        <v>179159</v>
      </c>
      <c r="D244">
        <v>41180</v>
      </c>
      <c r="E244">
        <v>2016</v>
      </c>
      <c r="F244" s="7">
        <v>7092</v>
      </c>
      <c r="G244" s="7">
        <v>5718</v>
      </c>
      <c r="H244" s="7">
        <v>17</v>
      </c>
      <c r="I244">
        <v>0.68799999999999994</v>
      </c>
      <c r="J244">
        <v>0.67700000000000005</v>
      </c>
      <c r="K244">
        <v>2815582</v>
      </c>
    </row>
    <row r="245" spans="1:11">
      <c r="A245" t="s">
        <v>213</v>
      </c>
      <c r="B245" t="s">
        <v>213</v>
      </c>
      <c r="C245">
        <v>123554</v>
      </c>
      <c r="D245">
        <v>41860</v>
      </c>
      <c r="E245">
        <v>2016</v>
      </c>
      <c r="F245" s="7">
        <v>3249</v>
      </c>
      <c r="G245" s="7">
        <v>3044</v>
      </c>
      <c r="H245" s="7">
        <v>13</v>
      </c>
      <c r="I245">
        <v>0.214</v>
      </c>
      <c r="J245">
        <v>0.32100000000000001</v>
      </c>
      <c r="K245">
        <v>4713476</v>
      </c>
    </row>
    <row r="246" spans="1:11">
      <c r="A246" t="s">
        <v>214</v>
      </c>
      <c r="B246" t="s">
        <v>214</v>
      </c>
      <c r="C246">
        <v>186432</v>
      </c>
      <c r="D246">
        <v>35620</v>
      </c>
      <c r="E246">
        <v>2016</v>
      </c>
      <c r="F246" s="7">
        <v>1606</v>
      </c>
      <c r="G246" s="7">
        <v>1139</v>
      </c>
      <c r="H246" s="7">
        <v>11</v>
      </c>
      <c r="I246">
        <v>0.14299999999999999</v>
      </c>
      <c r="J246">
        <v>0.20699999999999999</v>
      </c>
      <c r="K246">
        <v>19945132</v>
      </c>
    </row>
    <row r="247" spans="1:11">
      <c r="A247" t="s">
        <v>215</v>
      </c>
      <c r="B247" t="s">
        <v>1249</v>
      </c>
      <c r="C247">
        <v>227881</v>
      </c>
      <c r="D247">
        <v>26660</v>
      </c>
      <c r="E247">
        <v>2016</v>
      </c>
      <c r="F247" s="7">
        <v>6589</v>
      </c>
      <c r="G247" s="7">
        <v>4158</v>
      </c>
      <c r="H247" s="7">
        <v>13</v>
      </c>
      <c r="I247">
        <v>0.438</v>
      </c>
      <c r="J247">
        <v>0.6</v>
      </c>
      <c r="K247">
        <v>74442</v>
      </c>
    </row>
    <row r="248" spans="1:11">
      <c r="A248" t="s">
        <v>216</v>
      </c>
      <c r="B248" t="s">
        <v>216</v>
      </c>
      <c r="C248">
        <v>102049</v>
      </c>
      <c r="D248">
        <v>13820</v>
      </c>
      <c r="E248">
        <v>2016</v>
      </c>
      <c r="F248" s="7">
        <v>2279</v>
      </c>
      <c r="G248" s="7">
        <v>5408</v>
      </c>
      <c r="H248" s="7">
        <v>9</v>
      </c>
      <c r="I248">
        <v>0.55600000000000005</v>
      </c>
      <c r="J248">
        <v>0.60599999999999998</v>
      </c>
      <c r="K248">
        <v>1097733</v>
      </c>
    </row>
    <row r="249" spans="1:11">
      <c r="A249" t="s">
        <v>217</v>
      </c>
      <c r="B249" t="s">
        <v>217</v>
      </c>
      <c r="C249">
        <v>122436</v>
      </c>
      <c r="D249">
        <v>41740</v>
      </c>
      <c r="E249">
        <v>2016</v>
      </c>
      <c r="F249" s="7">
        <v>5893</v>
      </c>
      <c r="G249" s="7">
        <v>6282</v>
      </c>
      <c r="H249" s="7">
        <v>13</v>
      </c>
      <c r="I249">
        <v>0.68799999999999994</v>
      </c>
      <c r="J249">
        <v>0.61299999999999999</v>
      </c>
      <c r="K249">
        <v>3283104</v>
      </c>
    </row>
    <row r="250" spans="1:11">
      <c r="A250" t="s">
        <v>218</v>
      </c>
      <c r="B250" t="s">
        <v>218</v>
      </c>
      <c r="C250">
        <v>122409</v>
      </c>
      <c r="D250">
        <v>41740</v>
      </c>
      <c r="E250">
        <v>2016</v>
      </c>
      <c r="F250" s="7">
        <v>4176</v>
      </c>
      <c r="G250" s="7">
        <v>4794</v>
      </c>
      <c r="H250" s="7">
        <v>12</v>
      </c>
      <c r="I250">
        <v>0.38700000000000001</v>
      </c>
      <c r="J250">
        <v>0.48299999999999998</v>
      </c>
      <c r="K250">
        <v>3283104</v>
      </c>
    </row>
    <row r="251" spans="1:11">
      <c r="A251" t="s">
        <v>1301</v>
      </c>
      <c r="B251" t="s">
        <v>1301</v>
      </c>
      <c r="C251">
        <v>122612</v>
      </c>
      <c r="D251">
        <v>41860</v>
      </c>
      <c r="E251">
        <v>2016</v>
      </c>
      <c r="F251" s="7">
        <v>4462</v>
      </c>
      <c r="G251" s="7">
        <v>3004</v>
      </c>
      <c r="H251" s="7">
        <v>15</v>
      </c>
      <c r="I251">
        <v>0.54800000000000004</v>
      </c>
      <c r="J251">
        <v>0.4</v>
      </c>
      <c r="K251">
        <v>4713476</v>
      </c>
    </row>
    <row r="252" spans="1:11">
      <c r="A252" t="s">
        <v>219</v>
      </c>
      <c r="B252" t="s">
        <v>219</v>
      </c>
      <c r="C252">
        <v>122755</v>
      </c>
      <c r="D252">
        <v>41940</v>
      </c>
      <c r="E252">
        <v>2016</v>
      </c>
      <c r="F252" s="7">
        <v>3867</v>
      </c>
      <c r="G252" s="7">
        <v>2641</v>
      </c>
      <c r="H252" s="7">
        <v>13</v>
      </c>
      <c r="I252">
        <v>0.41899999999999998</v>
      </c>
      <c r="J252">
        <v>0.129</v>
      </c>
      <c r="K252">
        <v>2002076</v>
      </c>
    </row>
    <row r="253" spans="1:11">
      <c r="A253" t="s">
        <v>220</v>
      </c>
      <c r="B253" t="s">
        <v>220</v>
      </c>
      <c r="C253">
        <v>122931</v>
      </c>
      <c r="D253">
        <v>41940</v>
      </c>
      <c r="E253">
        <v>2016</v>
      </c>
      <c r="F253" s="7">
        <v>3484</v>
      </c>
      <c r="G253" s="7">
        <v>2848</v>
      </c>
      <c r="H253" s="7">
        <v>12</v>
      </c>
      <c r="I253">
        <v>0.71</v>
      </c>
      <c r="J253">
        <v>0.68799999999999994</v>
      </c>
      <c r="K253">
        <v>2002076</v>
      </c>
    </row>
    <row r="254" spans="1:11">
      <c r="A254" t="s">
        <v>221</v>
      </c>
      <c r="B254" t="s">
        <v>221</v>
      </c>
      <c r="C254">
        <v>236595</v>
      </c>
      <c r="D254">
        <v>42660</v>
      </c>
      <c r="E254">
        <v>2016</v>
      </c>
      <c r="F254" s="7">
        <v>1343</v>
      </c>
      <c r="G254" s="7">
        <v>2072</v>
      </c>
      <c r="H254" s="7">
        <v>8</v>
      </c>
      <c r="I254">
        <v>0.621</v>
      </c>
      <c r="J254">
        <v>0.45200000000000001</v>
      </c>
      <c r="K254">
        <v>3824567</v>
      </c>
    </row>
    <row r="255" spans="1:11">
      <c r="A255" t="s">
        <v>222</v>
      </c>
      <c r="B255" t="s">
        <v>222</v>
      </c>
      <c r="C255">
        <v>186584</v>
      </c>
      <c r="D255">
        <v>35620</v>
      </c>
      <c r="E255">
        <v>2016</v>
      </c>
      <c r="F255" s="7">
        <v>3792</v>
      </c>
      <c r="G255" s="7">
        <v>4250</v>
      </c>
      <c r="H255" s="7">
        <v>12</v>
      </c>
      <c r="I255">
        <v>0.46700000000000003</v>
      </c>
      <c r="J255">
        <v>0.77800000000000002</v>
      </c>
      <c r="K255">
        <v>19945132</v>
      </c>
    </row>
    <row r="256" spans="1:11">
      <c r="A256" t="s">
        <v>223</v>
      </c>
      <c r="B256" t="s">
        <v>223</v>
      </c>
      <c r="C256">
        <v>228431</v>
      </c>
      <c r="D256">
        <v>34860</v>
      </c>
      <c r="E256">
        <v>2016</v>
      </c>
      <c r="F256" s="7">
        <v>3893</v>
      </c>
      <c r="G256" s="7">
        <v>3728</v>
      </c>
      <c r="H256" s="7">
        <v>14</v>
      </c>
      <c r="I256">
        <v>0.58799999999999997</v>
      </c>
      <c r="J256">
        <v>0.75</v>
      </c>
      <c r="K256">
        <v>65455</v>
      </c>
    </row>
    <row r="257" spans="1:11">
      <c r="A257" t="s">
        <v>224</v>
      </c>
      <c r="B257" t="s">
        <v>224</v>
      </c>
      <c r="C257">
        <v>195474</v>
      </c>
      <c r="D257">
        <v>10580</v>
      </c>
      <c r="E257">
        <v>2016</v>
      </c>
      <c r="F257" s="7">
        <v>1095</v>
      </c>
      <c r="G257" s="7">
        <v>1080</v>
      </c>
      <c r="H257" s="7">
        <v>9</v>
      </c>
      <c r="I257">
        <v>0.55200000000000005</v>
      </c>
      <c r="J257">
        <v>0.55900000000000005</v>
      </c>
      <c r="K257">
        <v>892531</v>
      </c>
    </row>
    <row r="258" spans="1:11">
      <c r="A258" t="s">
        <v>225</v>
      </c>
      <c r="B258" t="s">
        <v>225</v>
      </c>
      <c r="C258">
        <v>149231</v>
      </c>
      <c r="D258">
        <v>41180</v>
      </c>
      <c r="E258">
        <v>2016</v>
      </c>
      <c r="F258" s="7">
        <v>3240</v>
      </c>
      <c r="G258" s="7">
        <v>3487</v>
      </c>
      <c r="H258" s="7">
        <v>11</v>
      </c>
      <c r="I258">
        <v>0.308</v>
      </c>
      <c r="J258">
        <v>0.45200000000000001</v>
      </c>
      <c r="K258">
        <v>2815582</v>
      </c>
    </row>
    <row r="259" spans="1:11">
      <c r="A259" t="s">
        <v>1302</v>
      </c>
      <c r="B259" t="s">
        <v>1302</v>
      </c>
      <c r="C259">
        <v>228246</v>
      </c>
      <c r="D259">
        <v>19100</v>
      </c>
      <c r="E259">
        <v>2016</v>
      </c>
      <c r="F259" s="7">
        <v>6222</v>
      </c>
      <c r="G259" s="7">
        <v>8625</v>
      </c>
      <c r="H259" s="7">
        <v>16</v>
      </c>
      <c r="I259">
        <v>0.81799999999999995</v>
      </c>
      <c r="J259">
        <v>0.81299999999999994</v>
      </c>
      <c r="K259">
        <v>7175708</v>
      </c>
    </row>
    <row r="260" spans="1:11">
      <c r="A260" t="s">
        <v>226</v>
      </c>
      <c r="B260" t="s">
        <v>226</v>
      </c>
      <c r="C260">
        <v>102094</v>
      </c>
      <c r="D260">
        <v>33660</v>
      </c>
      <c r="E260">
        <v>2016</v>
      </c>
      <c r="F260" s="7">
        <v>3480</v>
      </c>
      <c r="G260" s="7">
        <v>2417</v>
      </c>
      <c r="H260" s="7">
        <v>12</v>
      </c>
      <c r="I260">
        <v>0.46400000000000002</v>
      </c>
      <c r="J260">
        <v>0.38700000000000001</v>
      </c>
      <c r="K260">
        <v>432418</v>
      </c>
    </row>
    <row r="261" spans="1:11">
      <c r="A261" t="s">
        <v>227</v>
      </c>
      <c r="B261" t="s">
        <v>227</v>
      </c>
      <c r="C261">
        <v>218663</v>
      </c>
      <c r="D261">
        <v>17900</v>
      </c>
      <c r="E261">
        <v>2016</v>
      </c>
      <c r="F261" s="7">
        <v>17423</v>
      </c>
      <c r="G261" s="7">
        <v>18581</v>
      </c>
      <c r="H261" s="7">
        <v>16</v>
      </c>
      <c r="I261">
        <v>0.41899999999999998</v>
      </c>
      <c r="J261">
        <v>0.54800000000000004</v>
      </c>
      <c r="K261">
        <v>807629</v>
      </c>
    </row>
    <row r="262" spans="1:11">
      <c r="A262" t="s">
        <v>228</v>
      </c>
      <c r="B262" t="s">
        <v>228</v>
      </c>
      <c r="C262">
        <v>218733</v>
      </c>
      <c r="D262">
        <v>36700</v>
      </c>
      <c r="E262">
        <v>2016</v>
      </c>
      <c r="F262" s="7">
        <v>1552</v>
      </c>
      <c r="G262" s="7">
        <v>1541</v>
      </c>
      <c r="H262" s="7">
        <v>8</v>
      </c>
      <c r="I262">
        <v>0.17399999999999999</v>
      </c>
      <c r="J262">
        <v>0.111</v>
      </c>
      <c r="K262">
        <v>87513</v>
      </c>
    </row>
    <row r="263" spans="1:11">
      <c r="A263" t="s">
        <v>229</v>
      </c>
      <c r="B263" t="s">
        <v>229</v>
      </c>
      <c r="C263">
        <v>219471</v>
      </c>
      <c r="D263">
        <v>46820</v>
      </c>
      <c r="E263">
        <v>2016</v>
      </c>
      <c r="F263" s="7">
        <v>1943</v>
      </c>
      <c r="G263" s="7">
        <v>2893</v>
      </c>
      <c r="H263" s="7">
        <v>8</v>
      </c>
      <c r="I263">
        <v>0.48399999999999999</v>
      </c>
      <c r="J263">
        <v>0.61299999999999999</v>
      </c>
      <c r="K263">
        <v>14435</v>
      </c>
    </row>
    <row r="264" spans="1:11">
      <c r="A264" t="s">
        <v>230</v>
      </c>
      <c r="B264" t="s">
        <v>230</v>
      </c>
      <c r="C264">
        <v>219356</v>
      </c>
      <c r="D264">
        <v>15100</v>
      </c>
      <c r="E264">
        <v>2016</v>
      </c>
      <c r="F264" s="7">
        <v>3622</v>
      </c>
      <c r="G264" s="7">
        <v>6660</v>
      </c>
      <c r="H264" s="7">
        <v>9</v>
      </c>
      <c r="I264">
        <v>0.156</v>
      </c>
      <c r="J264">
        <v>0.182</v>
      </c>
      <c r="K264">
        <v>33644</v>
      </c>
    </row>
    <row r="265" spans="1:11">
      <c r="A265" t="s">
        <v>231</v>
      </c>
      <c r="B265" t="s">
        <v>231</v>
      </c>
      <c r="C265">
        <v>137351</v>
      </c>
      <c r="D265">
        <v>45300</v>
      </c>
      <c r="E265">
        <v>2016</v>
      </c>
      <c r="F265" s="7">
        <v>8507</v>
      </c>
      <c r="G265" s="7">
        <v>6281</v>
      </c>
      <c r="H265" s="7">
        <v>16</v>
      </c>
      <c r="I265">
        <v>0.34399999999999997</v>
      </c>
      <c r="J265">
        <v>0.438</v>
      </c>
      <c r="K265">
        <v>3014255</v>
      </c>
    </row>
    <row r="266" spans="1:11">
      <c r="A266" t="s">
        <v>232</v>
      </c>
      <c r="B266" t="s">
        <v>232</v>
      </c>
      <c r="C266">
        <v>179557</v>
      </c>
      <c r="D266">
        <v>16020</v>
      </c>
      <c r="E266">
        <v>2016</v>
      </c>
      <c r="F266" s="7">
        <v>3749</v>
      </c>
      <c r="G266" s="7">
        <v>3277</v>
      </c>
      <c r="H266" s="7">
        <v>11</v>
      </c>
      <c r="I266">
        <v>0.33300000000000002</v>
      </c>
      <c r="J266">
        <v>0.35499999999999998</v>
      </c>
      <c r="K266">
        <v>97413</v>
      </c>
    </row>
    <row r="267" spans="1:11">
      <c r="A267" t="s">
        <v>233</v>
      </c>
      <c r="B267" t="s">
        <v>233</v>
      </c>
      <c r="C267">
        <v>160612</v>
      </c>
      <c r="D267">
        <v>25220</v>
      </c>
      <c r="E267">
        <v>2016</v>
      </c>
      <c r="F267" s="7">
        <v>2100</v>
      </c>
      <c r="G267" s="7">
        <v>2000</v>
      </c>
      <c r="H267" s="7">
        <v>11</v>
      </c>
      <c r="I267">
        <v>0.41899999999999998</v>
      </c>
      <c r="J267">
        <v>0.379</v>
      </c>
      <c r="K267">
        <v>128788</v>
      </c>
    </row>
    <row r="268" spans="1:11">
      <c r="A268" t="s">
        <v>1303</v>
      </c>
      <c r="B268" t="s">
        <v>1303</v>
      </c>
      <c r="C268">
        <v>123961</v>
      </c>
      <c r="D268">
        <v>31080</v>
      </c>
      <c r="E268">
        <v>2016</v>
      </c>
      <c r="F268" s="7">
        <v>32400</v>
      </c>
      <c r="G268" s="7">
        <v>12640</v>
      </c>
      <c r="H268" s="7">
        <v>19</v>
      </c>
      <c r="I268">
        <v>0.91700000000000004</v>
      </c>
      <c r="J268">
        <v>0.5</v>
      </c>
      <c r="K268">
        <v>13297429</v>
      </c>
    </row>
    <row r="269" spans="1:11">
      <c r="A269" t="s">
        <v>234</v>
      </c>
      <c r="B269" t="s">
        <v>234</v>
      </c>
      <c r="C269">
        <v>149222</v>
      </c>
      <c r="D269">
        <v>16060</v>
      </c>
      <c r="E269">
        <v>2016</v>
      </c>
      <c r="F269" s="7">
        <v>5036</v>
      </c>
      <c r="G269" s="7">
        <v>4592</v>
      </c>
      <c r="H269" s="7">
        <v>13</v>
      </c>
      <c r="I269">
        <v>0.69699999999999995</v>
      </c>
      <c r="J269">
        <v>0.51600000000000001</v>
      </c>
      <c r="K269">
        <v>137357</v>
      </c>
    </row>
    <row r="270" spans="1:11">
      <c r="A270" t="s">
        <v>235</v>
      </c>
      <c r="B270" t="s">
        <v>235</v>
      </c>
      <c r="C270">
        <v>176372</v>
      </c>
      <c r="D270">
        <v>25620</v>
      </c>
      <c r="E270">
        <v>2016</v>
      </c>
      <c r="F270" s="7">
        <v>4256</v>
      </c>
      <c r="G270" s="7">
        <v>3686</v>
      </c>
      <c r="H270" s="7">
        <v>14</v>
      </c>
      <c r="I270">
        <v>0.68600000000000005</v>
      </c>
      <c r="J270">
        <v>0.58799999999999997</v>
      </c>
      <c r="K270">
        <v>169965</v>
      </c>
    </row>
    <row r="271" spans="1:11">
      <c r="A271" t="s">
        <v>236</v>
      </c>
      <c r="B271" t="s">
        <v>236</v>
      </c>
      <c r="C271">
        <v>160621</v>
      </c>
      <c r="D271">
        <v>12940</v>
      </c>
      <c r="E271">
        <v>2016</v>
      </c>
      <c r="F271" s="7">
        <v>1373</v>
      </c>
      <c r="G271" s="7">
        <v>2194</v>
      </c>
      <c r="H271" s="7">
        <v>10</v>
      </c>
      <c r="I271">
        <v>0.32300000000000001</v>
      </c>
      <c r="J271">
        <v>0.44400000000000001</v>
      </c>
      <c r="K271">
        <v>864779</v>
      </c>
    </row>
    <row r="272" spans="1:11">
      <c r="A272" t="s">
        <v>237</v>
      </c>
      <c r="B272" t="s">
        <v>237</v>
      </c>
      <c r="C272">
        <v>230603</v>
      </c>
      <c r="D272">
        <v>16260</v>
      </c>
      <c r="E272">
        <v>2016</v>
      </c>
      <c r="F272" s="7">
        <v>6165</v>
      </c>
      <c r="G272" s="7">
        <v>7164</v>
      </c>
      <c r="H272" s="7">
        <v>8</v>
      </c>
      <c r="I272">
        <v>0.5</v>
      </c>
      <c r="J272">
        <v>0.48299999999999998</v>
      </c>
      <c r="K272">
        <v>50204</v>
      </c>
    </row>
    <row r="273" spans="1:11">
      <c r="A273" t="s">
        <v>238</v>
      </c>
      <c r="B273" t="s">
        <v>238</v>
      </c>
      <c r="C273">
        <v>195164</v>
      </c>
      <c r="D273">
        <v>18500</v>
      </c>
      <c r="E273">
        <v>2016</v>
      </c>
      <c r="F273" s="7" t="s">
        <v>1328</v>
      </c>
      <c r="G273" s="7" t="s">
        <v>1328</v>
      </c>
      <c r="H273" s="7" t="s">
        <v>1328</v>
      </c>
      <c r="I273" t="s">
        <v>1328</v>
      </c>
      <c r="J273" t="s">
        <v>1328</v>
      </c>
      <c r="K273">
        <v>96217</v>
      </c>
    </row>
    <row r="274" spans="1:11">
      <c r="A274" t="s">
        <v>1304</v>
      </c>
      <c r="B274" t="s">
        <v>1304</v>
      </c>
      <c r="C274">
        <v>195173</v>
      </c>
      <c r="D274">
        <v>15100</v>
      </c>
      <c r="E274">
        <v>2016</v>
      </c>
      <c r="F274" s="7">
        <v>958</v>
      </c>
      <c r="G274" s="7">
        <v>1220</v>
      </c>
      <c r="H274" s="7">
        <v>12</v>
      </c>
      <c r="I274">
        <v>0.23300000000000001</v>
      </c>
      <c r="J274">
        <v>6.7000000000000004E-2</v>
      </c>
      <c r="K274">
        <v>33644</v>
      </c>
    </row>
    <row r="275" spans="1:11">
      <c r="A275" t="s">
        <v>239</v>
      </c>
      <c r="B275" t="s">
        <v>239</v>
      </c>
      <c r="C275">
        <v>195809</v>
      </c>
      <c r="D275">
        <v>35620</v>
      </c>
      <c r="E275">
        <v>2016</v>
      </c>
      <c r="F275" s="7">
        <v>5054</v>
      </c>
      <c r="G275" s="7">
        <v>3527</v>
      </c>
      <c r="H275" s="7">
        <v>15</v>
      </c>
      <c r="I275">
        <v>0.54500000000000004</v>
      </c>
      <c r="J275">
        <v>0.57599999999999996</v>
      </c>
      <c r="K275">
        <v>19945132</v>
      </c>
    </row>
    <row r="276" spans="1:11">
      <c r="A276" t="s">
        <v>240</v>
      </c>
      <c r="B276" t="s">
        <v>240</v>
      </c>
      <c r="C276">
        <v>243744</v>
      </c>
      <c r="D276">
        <v>41940</v>
      </c>
      <c r="E276">
        <v>2016</v>
      </c>
      <c r="F276" s="7">
        <v>30528</v>
      </c>
      <c r="G276" s="7">
        <v>36136</v>
      </c>
      <c r="H276" s="7">
        <v>16</v>
      </c>
      <c r="I276">
        <v>0.76700000000000002</v>
      </c>
      <c r="J276">
        <v>0.94299999999999995</v>
      </c>
      <c r="K276">
        <v>2002076</v>
      </c>
    </row>
    <row r="277" spans="1:11">
      <c r="A277" t="s">
        <v>241</v>
      </c>
      <c r="B277" t="s">
        <v>241</v>
      </c>
      <c r="C277">
        <v>137546</v>
      </c>
      <c r="D277">
        <v>36740</v>
      </c>
      <c r="E277">
        <v>2016</v>
      </c>
      <c r="F277" s="7">
        <v>2777</v>
      </c>
      <c r="G277" s="7">
        <v>1746</v>
      </c>
      <c r="H277" s="7">
        <v>10</v>
      </c>
      <c r="I277">
        <v>0.379</v>
      </c>
      <c r="J277">
        <v>0.55200000000000005</v>
      </c>
      <c r="K277">
        <v>2482497</v>
      </c>
    </row>
    <row r="278" spans="1:11">
      <c r="A278" t="s">
        <v>242</v>
      </c>
      <c r="B278" t="s">
        <v>242</v>
      </c>
      <c r="C278">
        <v>196097</v>
      </c>
      <c r="D278">
        <v>35620</v>
      </c>
      <c r="E278">
        <v>2016</v>
      </c>
      <c r="F278" s="7">
        <v>3726</v>
      </c>
      <c r="G278" s="7">
        <v>3365</v>
      </c>
      <c r="H278" s="7">
        <v>12</v>
      </c>
      <c r="I278">
        <v>0.38700000000000001</v>
      </c>
      <c r="J278">
        <v>0.53100000000000003</v>
      </c>
      <c r="K278">
        <v>19945132</v>
      </c>
    </row>
    <row r="279" spans="1:11">
      <c r="A279" t="s">
        <v>243</v>
      </c>
      <c r="B279" t="s">
        <v>243</v>
      </c>
      <c r="C279">
        <v>196413</v>
      </c>
      <c r="D279">
        <v>45060</v>
      </c>
      <c r="E279">
        <v>2016</v>
      </c>
      <c r="F279" s="7">
        <v>3107</v>
      </c>
      <c r="G279" s="7">
        <v>2437</v>
      </c>
      <c r="H279" s="7">
        <v>13</v>
      </c>
      <c r="I279">
        <v>0.74199999999999999</v>
      </c>
      <c r="J279">
        <v>0.3</v>
      </c>
      <c r="K279">
        <v>663877</v>
      </c>
    </row>
    <row r="280" spans="1:11">
      <c r="A280" t="s">
        <v>1305</v>
      </c>
      <c r="B280" t="s">
        <v>1305</v>
      </c>
      <c r="C280">
        <v>228875</v>
      </c>
      <c r="D280">
        <v>19100</v>
      </c>
      <c r="E280">
        <v>2016</v>
      </c>
      <c r="F280" s="7">
        <v>19164</v>
      </c>
      <c r="G280" s="7">
        <v>16856</v>
      </c>
      <c r="H280" s="7">
        <v>11</v>
      </c>
      <c r="I280">
        <v>0.65500000000000003</v>
      </c>
      <c r="J280">
        <v>0.53100000000000003</v>
      </c>
      <c r="K280">
        <v>7175708</v>
      </c>
    </row>
    <row r="281" spans="1:11">
      <c r="A281" t="s">
        <v>1306</v>
      </c>
      <c r="B281" t="s">
        <v>1306</v>
      </c>
      <c r="C281">
        <v>216339</v>
      </c>
      <c r="D281">
        <v>37980</v>
      </c>
      <c r="E281">
        <v>2016</v>
      </c>
      <c r="F281" s="7">
        <v>9776</v>
      </c>
      <c r="G281" s="7">
        <v>3145</v>
      </c>
      <c r="H281" s="7">
        <v>18</v>
      </c>
      <c r="I281">
        <v>0.75</v>
      </c>
      <c r="J281">
        <v>0.75</v>
      </c>
      <c r="K281">
        <v>6153898</v>
      </c>
    </row>
    <row r="282" spans="1:11">
      <c r="A282" t="s">
        <v>244</v>
      </c>
      <c r="B282" t="s">
        <v>244</v>
      </c>
      <c r="C282">
        <v>221759</v>
      </c>
      <c r="D282">
        <v>28940</v>
      </c>
      <c r="E282">
        <v>2016</v>
      </c>
      <c r="F282" s="7">
        <v>11754</v>
      </c>
      <c r="G282" s="7">
        <v>10406</v>
      </c>
      <c r="H282" s="7">
        <v>14</v>
      </c>
      <c r="I282">
        <v>0.63600000000000001</v>
      </c>
      <c r="J282">
        <v>0.25</v>
      </c>
      <c r="K282">
        <v>847741</v>
      </c>
    </row>
    <row r="283" spans="1:11">
      <c r="A283" t="s">
        <v>245</v>
      </c>
      <c r="B283" t="s">
        <v>245</v>
      </c>
      <c r="C283">
        <v>221838</v>
      </c>
      <c r="D283">
        <v>34980</v>
      </c>
      <c r="E283">
        <v>2016</v>
      </c>
      <c r="F283" s="7">
        <v>2796</v>
      </c>
      <c r="G283" s="7">
        <v>2772</v>
      </c>
      <c r="H283" s="7">
        <v>10</v>
      </c>
      <c r="I283">
        <v>0.53300000000000003</v>
      </c>
      <c r="J283">
        <v>0.32300000000000001</v>
      </c>
      <c r="K283">
        <v>1864558</v>
      </c>
    </row>
    <row r="284" spans="1:11">
      <c r="A284" t="s">
        <v>246</v>
      </c>
      <c r="B284" t="s">
        <v>246</v>
      </c>
      <c r="C284">
        <v>221847</v>
      </c>
      <c r="D284">
        <v>18260</v>
      </c>
      <c r="E284">
        <v>2016</v>
      </c>
      <c r="F284" s="7">
        <v>3532</v>
      </c>
      <c r="G284" s="7">
        <v>4917</v>
      </c>
      <c r="H284" s="7">
        <v>11</v>
      </c>
      <c r="I284">
        <v>0.32300000000000001</v>
      </c>
      <c r="J284">
        <v>0.441</v>
      </c>
      <c r="K284">
        <v>108913</v>
      </c>
    </row>
    <row r="285" spans="1:11">
      <c r="A285" t="s">
        <v>247</v>
      </c>
      <c r="B285" t="s">
        <v>247</v>
      </c>
      <c r="C285">
        <v>228778</v>
      </c>
      <c r="D285">
        <v>12420</v>
      </c>
      <c r="E285">
        <v>2016</v>
      </c>
      <c r="F285" s="7">
        <v>56257</v>
      </c>
      <c r="G285" s="7">
        <v>40378</v>
      </c>
      <c r="H285" s="7">
        <v>20</v>
      </c>
      <c r="I285">
        <v>0.90900000000000003</v>
      </c>
      <c r="J285">
        <v>0.9</v>
      </c>
      <c r="K285">
        <v>2065007</v>
      </c>
    </row>
    <row r="286" spans="1:11">
      <c r="A286" t="s">
        <v>248</v>
      </c>
      <c r="B286" t="s">
        <v>248</v>
      </c>
      <c r="C286">
        <v>228723</v>
      </c>
      <c r="D286">
        <v>17780</v>
      </c>
      <c r="E286">
        <v>2016</v>
      </c>
      <c r="F286" s="7">
        <v>25053</v>
      </c>
      <c r="G286" s="7">
        <v>19635</v>
      </c>
      <c r="H286" s="7">
        <v>15</v>
      </c>
      <c r="I286">
        <v>0.77400000000000002</v>
      </c>
      <c r="J286">
        <v>0.7</v>
      </c>
      <c r="K286">
        <v>254963</v>
      </c>
    </row>
    <row r="287" spans="1:11">
      <c r="A287" t="s">
        <v>249</v>
      </c>
      <c r="B287" t="s">
        <v>249</v>
      </c>
      <c r="C287">
        <v>229063</v>
      </c>
      <c r="D287">
        <v>26420</v>
      </c>
      <c r="E287">
        <v>2016</v>
      </c>
      <c r="F287" s="7">
        <v>1233</v>
      </c>
      <c r="G287" s="7">
        <v>2574</v>
      </c>
      <c r="H287" s="7">
        <v>6</v>
      </c>
      <c r="I287">
        <v>0.45700000000000002</v>
      </c>
      <c r="J287">
        <v>0.4</v>
      </c>
      <c r="K287">
        <v>6797263</v>
      </c>
    </row>
    <row r="288" spans="1:11">
      <c r="A288" t="s">
        <v>250</v>
      </c>
      <c r="B288" t="s">
        <v>250</v>
      </c>
      <c r="C288">
        <v>228459</v>
      </c>
      <c r="D288">
        <v>12420</v>
      </c>
      <c r="E288">
        <v>2016</v>
      </c>
      <c r="F288" s="7">
        <v>11151</v>
      </c>
      <c r="G288" s="7">
        <v>13750</v>
      </c>
      <c r="H288" s="7">
        <v>13</v>
      </c>
      <c r="I288">
        <v>0.61299999999999999</v>
      </c>
      <c r="J288">
        <v>0.629</v>
      </c>
      <c r="K288">
        <v>2065007</v>
      </c>
    </row>
    <row r="289" spans="1:11">
      <c r="A289" t="s">
        <v>251</v>
      </c>
      <c r="B289" t="s">
        <v>251</v>
      </c>
      <c r="C289">
        <v>229115</v>
      </c>
      <c r="D289">
        <v>31180</v>
      </c>
      <c r="E289">
        <v>2016</v>
      </c>
      <c r="F289" s="7">
        <v>5901</v>
      </c>
      <c r="G289" s="7">
        <v>9202</v>
      </c>
      <c r="H289" s="7">
        <v>14</v>
      </c>
      <c r="I289">
        <v>0.46700000000000003</v>
      </c>
      <c r="J289">
        <v>0.5</v>
      </c>
      <c r="K289">
        <v>311320</v>
      </c>
    </row>
    <row r="290" spans="1:11">
      <c r="A290" t="s">
        <v>1307</v>
      </c>
      <c r="B290" t="s">
        <v>1308</v>
      </c>
      <c r="C290">
        <v>217864</v>
      </c>
      <c r="D290">
        <v>16700</v>
      </c>
      <c r="E290">
        <v>2016</v>
      </c>
      <c r="F290" s="7">
        <v>1303</v>
      </c>
      <c r="G290" s="7">
        <v>1184</v>
      </c>
      <c r="H290" s="7">
        <v>12</v>
      </c>
      <c r="I290">
        <v>0.2</v>
      </c>
      <c r="J290">
        <v>0.23499999999999999</v>
      </c>
      <c r="K290">
        <v>752067</v>
      </c>
    </row>
    <row r="291" spans="1:11">
      <c r="A291" t="s">
        <v>252</v>
      </c>
      <c r="B291" t="s">
        <v>252</v>
      </c>
      <c r="C291">
        <v>206084</v>
      </c>
      <c r="D291">
        <v>45780</v>
      </c>
      <c r="E291">
        <v>2016</v>
      </c>
      <c r="F291" s="7">
        <v>4817</v>
      </c>
      <c r="G291" s="7">
        <v>3656</v>
      </c>
      <c r="H291" s="7">
        <v>14</v>
      </c>
      <c r="I291">
        <v>0.20699999999999999</v>
      </c>
      <c r="J291">
        <v>3.4000000000000002E-2</v>
      </c>
      <c r="K291">
        <v>648677</v>
      </c>
    </row>
    <row r="292" spans="1:11">
      <c r="A292" t="s">
        <v>253</v>
      </c>
      <c r="B292" t="s">
        <v>253</v>
      </c>
      <c r="C292">
        <v>164076</v>
      </c>
      <c r="D292">
        <v>12580</v>
      </c>
      <c r="E292">
        <v>2016</v>
      </c>
      <c r="F292" s="7">
        <v>4274</v>
      </c>
      <c r="G292" s="7">
        <v>3100</v>
      </c>
      <c r="H292" s="7">
        <v>13</v>
      </c>
      <c r="I292">
        <v>0.81299999999999994</v>
      </c>
      <c r="J292">
        <v>0.84399999999999997</v>
      </c>
      <c r="K292">
        <v>2821292</v>
      </c>
    </row>
    <row r="293" spans="1:11">
      <c r="A293" t="s">
        <v>254</v>
      </c>
      <c r="B293" t="s">
        <v>254</v>
      </c>
      <c r="C293">
        <v>102368</v>
      </c>
      <c r="D293">
        <v>45980</v>
      </c>
      <c r="E293">
        <v>2016</v>
      </c>
      <c r="F293" s="7">
        <v>7015</v>
      </c>
      <c r="G293" s="7">
        <v>4989</v>
      </c>
      <c r="H293" s="7">
        <v>15</v>
      </c>
      <c r="I293">
        <v>0.438</v>
      </c>
      <c r="J293">
        <v>0.313</v>
      </c>
      <c r="K293">
        <v>33564</v>
      </c>
    </row>
    <row r="294" spans="1:11">
      <c r="A294" t="s">
        <v>1309</v>
      </c>
      <c r="B294" t="s">
        <v>1309</v>
      </c>
      <c r="C294">
        <v>160755</v>
      </c>
      <c r="D294">
        <v>35380</v>
      </c>
      <c r="E294">
        <v>2016</v>
      </c>
      <c r="F294" s="7">
        <v>3893</v>
      </c>
      <c r="G294" s="7">
        <v>2502</v>
      </c>
      <c r="H294" s="7">
        <v>15</v>
      </c>
      <c r="I294">
        <v>0.313</v>
      </c>
      <c r="J294">
        <v>0.156</v>
      </c>
      <c r="K294">
        <v>1267693</v>
      </c>
    </row>
    <row r="295" spans="1:11">
      <c r="A295" t="s">
        <v>255</v>
      </c>
      <c r="B295" t="s">
        <v>255</v>
      </c>
      <c r="C295">
        <v>207971</v>
      </c>
      <c r="D295">
        <v>46140</v>
      </c>
      <c r="E295">
        <v>2016</v>
      </c>
      <c r="F295" s="7">
        <v>3113</v>
      </c>
      <c r="G295" s="7">
        <v>4947</v>
      </c>
      <c r="H295" s="7">
        <v>15</v>
      </c>
      <c r="I295">
        <v>0.46899999999999997</v>
      </c>
      <c r="J295">
        <v>0.71</v>
      </c>
      <c r="K295">
        <v>995533</v>
      </c>
    </row>
    <row r="296" spans="1:11">
      <c r="A296" t="s">
        <v>256</v>
      </c>
      <c r="B296" t="s">
        <v>256</v>
      </c>
      <c r="C296">
        <v>100663</v>
      </c>
      <c r="D296">
        <v>13820</v>
      </c>
      <c r="E296">
        <v>2016</v>
      </c>
      <c r="F296" s="7">
        <v>4634</v>
      </c>
      <c r="G296" s="7">
        <v>3115</v>
      </c>
      <c r="H296" s="7">
        <v>17</v>
      </c>
      <c r="I296">
        <v>0.28100000000000003</v>
      </c>
      <c r="J296">
        <v>0.25</v>
      </c>
      <c r="K296">
        <v>1097733</v>
      </c>
    </row>
    <row r="297" spans="1:11">
      <c r="A297" t="s">
        <v>10</v>
      </c>
      <c r="B297" t="s">
        <v>1239</v>
      </c>
      <c r="C297">
        <v>196060</v>
      </c>
      <c r="D297">
        <v>10580</v>
      </c>
      <c r="E297">
        <v>2016</v>
      </c>
      <c r="F297" s="7">
        <v>1219</v>
      </c>
      <c r="G297" s="7">
        <v>1216</v>
      </c>
      <c r="H297" s="7">
        <v>6</v>
      </c>
      <c r="I297">
        <v>0.65400000000000003</v>
      </c>
      <c r="J297">
        <v>0.37</v>
      </c>
      <c r="K297">
        <v>892531</v>
      </c>
    </row>
    <row r="298" spans="1:11">
      <c r="A298" t="s">
        <v>257</v>
      </c>
      <c r="B298" t="s">
        <v>257</v>
      </c>
      <c r="C298">
        <v>110644</v>
      </c>
      <c r="D298">
        <v>40900</v>
      </c>
      <c r="E298">
        <v>2016</v>
      </c>
      <c r="F298" s="7">
        <v>5587</v>
      </c>
      <c r="G298" s="7">
        <v>5637</v>
      </c>
      <c r="H298" s="7">
        <v>9</v>
      </c>
      <c r="I298">
        <v>0.5</v>
      </c>
      <c r="J298">
        <v>0.51700000000000002</v>
      </c>
      <c r="K298">
        <v>2306739</v>
      </c>
    </row>
    <row r="299" spans="1:11">
      <c r="A299" t="s">
        <v>1310</v>
      </c>
      <c r="B299" t="s">
        <v>1310</v>
      </c>
      <c r="C299">
        <v>110653</v>
      </c>
      <c r="D299">
        <v>31080</v>
      </c>
      <c r="E299">
        <v>2016</v>
      </c>
      <c r="F299" s="7">
        <v>3556</v>
      </c>
      <c r="G299" s="7">
        <v>4071</v>
      </c>
      <c r="H299" s="7">
        <v>11</v>
      </c>
      <c r="I299">
        <v>0.46400000000000002</v>
      </c>
      <c r="J299">
        <v>0.61299999999999999</v>
      </c>
      <c r="K299">
        <v>13297429</v>
      </c>
    </row>
    <row r="300" spans="1:11">
      <c r="A300" t="s">
        <v>258</v>
      </c>
      <c r="B300" t="s">
        <v>258</v>
      </c>
      <c r="C300">
        <v>110671</v>
      </c>
      <c r="D300">
        <v>40140</v>
      </c>
      <c r="E300">
        <v>2016</v>
      </c>
      <c r="F300" s="7">
        <v>2896</v>
      </c>
      <c r="G300" s="7">
        <v>2730</v>
      </c>
      <c r="H300" s="7">
        <v>8</v>
      </c>
      <c r="I300">
        <v>0.34499999999999997</v>
      </c>
      <c r="J300">
        <v>7.0999999999999994E-2</v>
      </c>
      <c r="K300">
        <v>4463228</v>
      </c>
    </row>
    <row r="301" spans="1:11">
      <c r="A301" t="s">
        <v>259</v>
      </c>
      <c r="B301" t="s">
        <v>259</v>
      </c>
      <c r="C301">
        <v>110705</v>
      </c>
      <c r="D301">
        <v>42200</v>
      </c>
      <c r="E301">
        <v>2016</v>
      </c>
      <c r="F301" s="7">
        <v>2599</v>
      </c>
      <c r="G301" s="7">
        <v>3359</v>
      </c>
      <c r="H301" s="7">
        <v>13</v>
      </c>
      <c r="I301">
        <v>0.25900000000000001</v>
      </c>
      <c r="J301">
        <v>0.48099999999999998</v>
      </c>
      <c r="K301">
        <v>445953</v>
      </c>
    </row>
    <row r="302" spans="1:11">
      <c r="A302" t="s">
        <v>260</v>
      </c>
      <c r="B302" t="s">
        <v>260</v>
      </c>
      <c r="C302">
        <v>132903</v>
      </c>
      <c r="D302">
        <v>36740</v>
      </c>
      <c r="E302">
        <v>2016</v>
      </c>
      <c r="F302" s="7">
        <v>5869</v>
      </c>
      <c r="G302" s="7">
        <v>6227</v>
      </c>
      <c r="H302" s="7">
        <v>13</v>
      </c>
      <c r="I302">
        <v>0.46899999999999997</v>
      </c>
      <c r="J302">
        <v>0.75800000000000001</v>
      </c>
      <c r="K302">
        <v>2482497</v>
      </c>
    </row>
    <row r="303" spans="1:11">
      <c r="A303" t="s">
        <v>261</v>
      </c>
      <c r="B303" t="s">
        <v>261</v>
      </c>
      <c r="C303">
        <v>110662</v>
      </c>
      <c r="D303">
        <v>31080</v>
      </c>
      <c r="E303">
        <v>2016</v>
      </c>
      <c r="F303" s="7">
        <v>17435</v>
      </c>
      <c r="G303" s="7">
        <v>10536</v>
      </c>
      <c r="H303" s="7">
        <v>14</v>
      </c>
      <c r="I303">
        <v>0.75800000000000001</v>
      </c>
      <c r="J303">
        <v>0.64700000000000002</v>
      </c>
      <c r="K303">
        <v>13297429</v>
      </c>
    </row>
    <row r="304" spans="1:11">
      <c r="A304" t="s">
        <v>262</v>
      </c>
      <c r="B304" t="s">
        <v>262</v>
      </c>
      <c r="C304">
        <v>129020</v>
      </c>
      <c r="D304">
        <v>25540</v>
      </c>
      <c r="E304">
        <v>2016</v>
      </c>
      <c r="F304" s="7">
        <v>3923</v>
      </c>
      <c r="G304" s="7">
        <v>3997</v>
      </c>
      <c r="H304" s="7">
        <v>14</v>
      </c>
      <c r="I304">
        <v>0.51600000000000001</v>
      </c>
      <c r="J304">
        <v>0.38700000000000001</v>
      </c>
      <c r="K304">
        <v>1215446</v>
      </c>
    </row>
    <row r="305" spans="1:11">
      <c r="A305" t="s">
        <v>263</v>
      </c>
      <c r="B305" t="s">
        <v>263</v>
      </c>
      <c r="C305">
        <v>145600</v>
      </c>
      <c r="D305">
        <v>16980</v>
      </c>
      <c r="E305">
        <v>2016</v>
      </c>
      <c r="F305" s="7">
        <v>3463</v>
      </c>
      <c r="G305" s="7">
        <v>3159</v>
      </c>
      <c r="H305" s="7">
        <v>13</v>
      </c>
      <c r="I305">
        <v>0.38700000000000001</v>
      </c>
      <c r="J305">
        <v>0.45200000000000001</v>
      </c>
      <c r="K305">
        <v>9654839</v>
      </c>
    </row>
    <row r="306" spans="1:11">
      <c r="A306" t="s">
        <v>107</v>
      </c>
      <c r="B306" t="s">
        <v>1244</v>
      </c>
      <c r="C306">
        <v>225627</v>
      </c>
      <c r="D306">
        <v>41700</v>
      </c>
      <c r="E306">
        <v>2016</v>
      </c>
      <c r="F306" s="7">
        <v>2226</v>
      </c>
      <c r="G306" s="7">
        <v>3063</v>
      </c>
      <c r="H306" s="7">
        <v>8</v>
      </c>
      <c r="I306" t="s">
        <v>1328</v>
      </c>
      <c r="J306" t="s">
        <v>1328</v>
      </c>
      <c r="K306">
        <v>2410897</v>
      </c>
    </row>
    <row r="307" spans="1:11">
      <c r="A307" t="s">
        <v>122</v>
      </c>
      <c r="B307" t="s">
        <v>1245</v>
      </c>
      <c r="C307">
        <v>159993</v>
      </c>
      <c r="D307">
        <v>33740</v>
      </c>
      <c r="E307">
        <v>2016</v>
      </c>
      <c r="F307" s="7">
        <v>2284</v>
      </c>
      <c r="G307" s="7">
        <v>2425</v>
      </c>
      <c r="H307" s="7">
        <v>10</v>
      </c>
      <c r="I307">
        <v>0.438</v>
      </c>
      <c r="J307">
        <v>0.27300000000000002</v>
      </c>
      <c r="K307">
        <v>210259</v>
      </c>
    </row>
    <row r="308" spans="1:11">
      <c r="A308" t="s">
        <v>264</v>
      </c>
      <c r="B308" t="s">
        <v>264</v>
      </c>
      <c r="C308">
        <v>166513</v>
      </c>
      <c r="D308">
        <v>31700</v>
      </c>
      <c r="E308">
        <v>2016</v>
      </c>
      <c r="F308" s="7">
        <v>1752</v>
      </c>
      <c r="G308" s="7">
        <v>1334</v>
      </c>
      <c r="H308" s="7">
        <v>11</v>
      </c>
      <c r="I308" t="s">
        <v>1328</v>
      </c>
      <c r="J308" t="s">
        <v>1328</v>
      </c>
      <c r="K308">
        <v>414216</v>
      </c>
    </row>
    <row r="309" spans="1:11">
      <c r="A309" t="s">
        <v>265</v>
      </c>
      <c r="B309" t="s">
        <v>265</v>
      </c>
      <c r="C309">
        <v>163268</v>
      </c>
      <c r="D309">
        <v>12580</v>
      </c>
      <c r="E309">
        <v>2016</v>
      </c>
      <c r="F309" s="7">
        <v>3035</v>
      </c>
      <c r="G309" s="7">
        <v>2502</v>
      </c>
      <c r="H309" s="7">
        <v>11</v>
      </c>
      <c r="I309">
        <v>0.46200000000000002</v>
      </c>
      <c r="J309">
        <v>0.4</v>
      </c>
      <c r="K309">
        <v>2821292</v>
      </c>
    </row>
    <row r="310" spans="1:11">
      <c r="A310" t="s">
        <v>266</v>
      </c>
      <c r="B310" t="s">
        <v>266</v>
      </c>
      <c r="C310">
        <v>163338</v>
      </c>
      <c r="D310">
        <v>41540</v>
      </c>
      <c r="E310">
        <v>2016</v>
      </c>
      <c r="F310" s="7">
        <v>10059</v>
      </c>
      <c r="G310" s="7">
        <v>10168</v>
      </c>
      <c r="H310" s="7">
        <v>19</v>
      </c>
      <c r="I310">
        <v>0.75900000000000001</v>
      </c>
      <c r="J310">
        <v>0.379</v>
      </c>
      <c r="K310">
        <v>396768</v>
      </c>
    </row>
    <row r="311" spans="1:11">
      <c r="A311" t="s">
        <v>1311</v>
      </c>
      <c r="B311" t="s">
        <v>1311</v>
      </c>
      <c r="C311">
        <v>199111</v>
      </c>
      <c r="D311">
        <v>11700</v>
      </c>
      <c r="E311">
        <v>2016</v>
      </c>
      <c r="F311" s="7">
        <v>4399</v>
      </c>
      <c r="G311" s="7">
        <v>3159</v>
      </c>
      <c r="H311" s="7">
        <v>12</v>
      </c>
      <c r="I311">
        <v>0.55600000000000005</v>
      </c>
      <c r="J311">
        <v>0.26700000000000002</v>
      </c>
      <c r="K311">
        <v>452631</v>
      </c>
    </row>
    <row r="312" spans="1:11">
      <c r="A312" t="s">
        <v>268</v>
      </c>
      <c r="B312" t="s">
        <v>268</v>
      </c>
      <c r="C312">
        <v>199148</v>
      </c>
      <c r="D312">
        <v>24660</v>
      </c>
      <c r="E312">
        <v>2016</v>
      </c>
      <c r="F312" s="7">
        <v>5363</v>
      </c>
      <c r="G312" s="7">
        <v>6956</v>
      </c>
      <c r="H312" s="7">
        <v>11</v>
      </c>
      <c r="I312">
        <v>0.66700000000000004</v>
      </c>
      <c r="J312">
        <v>0.64500000000000002</v>
      </c>
      <c r="K312">
        <v>759364</v>
      </c>
    </row>
    <row r="313" spans="1:11">
      <c r="A313" t="s">
        <v>269</v>
      </c>
      <c r="B313" t="s">
        <v>269</v>
      </c>
      <c r="C313">
        <v>199218</v>
      </c>
      <c r="D313">
        <v>48900</v>
      </c>
      <c r="E313">
        <v>2016</v>
      </c>
      <c r="F313" s="7">
        <v>6239</v>
      </c>
      <c r="G313" s="7">
        <v>6115</v>
      </c>
      <c r="H313" s="7">
        <v>11</v>
      </c>
      <c r="I313">
        <v>0.75</v>
      </c>
      <c r="J313">
        <v>0.65600000000000003</v>
      </c>
      <c r="K313">
        <v>274689</v>
      </c>
    </row>
    <row r="314" spans="1:11">
      <c r="A314" t="s">
        <v>270</v>
      </c>
      <c r="B314" t="s">
        <v>270</v>
      </c>
      <c r="C314">
        <v>154095</v>
      </c>
      <c r="D314">
        <v>47940</v>
      </c>
      <c r="E314">
        <v>2016</v>
      </c>
      <c r="F314" s="7">
        <v>27329</v>
      </c>
      <c r="G314" s="7">
        <v>40537</v>
      </c>
      <c r="H314" s="7">
        <v>12</v>
      </c>
      <c r="I314">
        <v>0.55900000000000005</v>
      </c>
      <c r="J314">
        <v>0.65600000000000003</v>
      </c>
      <c r="K314">
        <v>170217</v>
      </c>
    </row>
    <row r="315" spans="1:11">
      <c r="A315" t="s">
        <v>271</v>
      </c>
      <c r="B315" t="s">
        <v>271</v>
      </c>
      <c r="C315">
        <v>182281</v>
      </c>
      <c r="D315">
        <v>29820</v>
      </c>
      <c r="E315">
        <v>2016</v>
      </c>
      <c r="F315" s="7">
        <v>6870</v>
      </c>
      <c r="G315" s="7">
        <v>7768</v>
      </c>
      <c r="H315" s="7">
        <v>15</v>
      </c>
      <c r="I315">
        <v>0.53300000000000003</v>
      </c>
      <c r="J315">
        <v>0.78800000000000003</v>
      </c>
      <c r="K315">
        <v>2113943</v>
      </c>
    </row>
    <row r="316" spans="1:11">
      <c r="A316" t="s">
        <v>272</v>
      </c>
      <c r="B316" t="s">
        <v>272</v>
      </c>
      <c r="C316">
        <v>218742</v>
      </c>
      <c r="D316">
        <v>43900</v>
      </c>
      <c r="E316">
        <v>2016</v>
      </c>
      <c r="F316" s="7">
        <v>1972</v>
      </c>
      <c r="G316" s="7">
        <v>1410</v>
      </c>
      <c r="H316" s="7">
        <v>9</v>
      </c>
      <c r="I316">
        <v>0.5</v>
      </c>
      <c r="J316">
        <v>0.33300000000000002</v>
      </c>
      <c r="K316">
        <v>303005</v>
      </c>
    </row>
    <row r="317" spans="1:11">
      <c r="A317" t="s">
        <v>273</v>
      </c>
      <c r="B317" t="s">
        <v>273</v>
      </c>
      <c r="C317">
        <v>228769</v>
      </c>
      <c r="D317">
        <v>19100</v>
      </c>
      <c r="E317">
        <v>2016</v>
      </c>
      <c r="F317" s="7">
        <v>10176</v>
      </c>
      <c r="G317" s="7">
        <v>9505</v>
      </c>
      <c r="H317" s="7">
        <v>13</v>
      </c>
      <c r="I317">
        <v>0.65500000000000003</v>
      </c>
      <c r="J317">
        <v>0.73499999999999999</v>
      </c>
      <c r="K317">
        <v>7175708</v>
      </c>
    </row>
    <row r="318" spans="1:11">
      <c r="A318" t="s">
        <v>274</v>
      </c>
      <c r="B318" t="s">
        <v>274</v>
      </c>
      <c r="C318">
        <v>221768</v>
      </c>
      <c r="D318">
        <v>32280</v>
      </c>
      <c r="E318">
        <v>2016</v>
      </c>
      <c r="F318" s="7">
        <v>2641</v>
      </c>
      <c r="G318" s="7">
        <v>4359</v>
      </c>
      <c r="H318" s="7">
        <v>8</v>
      </c>
      <c r="I318">
        <v>0.27300000000000002</v>
      </c>
      <c r="J318">
        <v>0.36699999999999999</v>
      </c>
      <c r="K318">
        <v>33312</v>
      </c>
    </row>
    <row r="319" spans="1:11">
      <c r="A319" t="s">
        <v>275</v>
      </c>
      <c r="B319" t="s">
        <v>275</v>
      </c>
      <c r="C319">
        <v>230764</v>
      </c>
      <c r="D319">
        <v>41620</v>
      </c>
      <c r="E319">
        <v>2016</v>
      </c>
      <c r="F319" s="7">
        <v>13917</v>
      </c>
      <c r="G319" s="7">
        <v>13446</v>
      </c>
      <c r="H319" s="7">
        <v>14</v>
      </c>
      <c r="I319">
        <v>0.32300000000000001</v>
      </c>
      <c r="J319">
        <v>0.60599999999999998</v>
      </c>
      <c r="K319">
        <v>1197715</v>
      </c>
    </row>
    <row r="320" spans="1:11">
      <c r="A320" t="s">
        <v>276</v>
      </c>
      <c r="B320" t="s">
        <v>276</v>
      </c>
      <c r="C320">
        <v>230728</v>
      </c>
      <c r="D320">
        <v>30860</v>
      </c>
      <c r="E320">
        <v>2016</v>
      </c>
      <c r="F320" s="7">
        <v>12569</v>
      </c>
      <c r="G320" s="7">
        <v>13144</v>
      </c>
      <c r="H320" s="7">
        <v>14</v>
      </c>
      <c r="I320">
        <v>0.188</v>
      </c>
      <c r="J320">
        <v>0.44800000000000001</v>
      </c>
      <c r="K320">
        <v>137909</v>
      </c>
    </row>
    <row r="321" spans="1:11">
      <c r="A321" t="s">
        <v>277</v>
      </c>
      <c r="B321" t="s">
        <v>277</v>
      </c>
      <c r="C321">
        <v>230737</v>
      </c>
      <c r="D321">
        <v>39340</v>
      </c>
      <c r="E321">
        <v>2016</v>
      </c>
      <c r="F321" s="7">
        <v>6222</v>
      </c>
      <c r="G321" s="7">
        <v>7208</v>
      </c>
      <c r="H321" s="7">
        <v>8</v>
      </c>
      <c r="I321">
        <v>0.5</v>
      </c>
      <c r="J321">
        <v>0.438</v>
      </c>
      <c r="K321">
        <v>609431</v>
      </c>
    </row>
    <row r="322" spans="1:11">
      <c r="A322" t="s">
        <v>278</v>
      </c>
      <c r="B322" t="s">
        <v>278</v>
      </c>
      <c r="C322">
        <v>228796</v>
      </c>
      <c r="D322">
        <v>21340</v>
      </c>
      <c r="E322">
        <v>2016</v>
      </c>
      <c r="F322" s="7">
        <v>9458</v>
      </c>
      <c r="G322" s="7">
        <v>5361</v>
      </c>
      <c r="H322" s="7">
        <v>14</v>
      </c>
      <c r="I322">
        <v>0.28100000000000003</v>
      </c>
      <c r="J322">
        <v>0.20699999999999999</v>
      </c>
      <c r="K322">
        <v>852702</v>
      </c>
    </row>
    <row r="323" spans="1:11">
      <c r="A323" t="s">
        <v>1312</v>
      </c>
      <c r="B323" t="s">
        <v>1312</v>
      </c>
      <c r="C323">
        <v>227368</v>
      </c>
      <c r="D323">
        <v>32580</v>
      </c>
      <c r="E323">
        <v>2016</v>
      </c>
      <c r="F323" s="7">
        <v>5147</v>
      </c>
      <c r="G323" s="7">
        <v>5389</v>
      </c>
      <c r="H323" s="7">
        <v>11</v>
      </c>
      <c r="I323">
        <v>0.38700000000000001</v>
      </c>
      <c r="J323">
        <v>0.23300000000000001</v>
      </c>
      <c r="K323">
        <v>845787</v>
      </c>
    </row>
    <row r="324" spans="1:11">
      <c r="A324" t="s">
        <v>279</v>
      </c>
      <c r="B324" t="s">
        <v>279</v>
      </c>
      <c r="C324">
        <v>229027</v>
      </c>
      <c r="D324">
        <v>41700</v>
      </c>
      <c r="E324">
        <v>2016</v>
      </c>
      <c r="F324" s="7">
        <v>7197</v>
      </c>
      <c r="G324" s="7">
        <v>6440</v>
      </c>
      <c r="H324" s="7">
        <v>12</v>
      </c>
      <c r="I324">
        <v>0.72699999999999998</v>
      </c>
      <c r="J324">
        <v>0.69</v>
      </c>
      <c r="K324">
        <v>2410897</v>
      </c>
    </row>
    <row r="325" spans="1:11">
      <c r="A325" t="s">
        <v>280</v>
      </c>
      <c r="B325" t="s">
        <v>280</v>
      </c>
      <c r="C325">
        <v>152600</v>
      </c>
      <c r="D325">
        <v>16980</v>
      </c>
      <c r="E325">
        <v>2016</v>
      </c>
      <c r="F325" s="7">
        <v>6328</v>
      </c>
      <c r="G325" s="7">
        <v>6997</v>
      </c>
      <c r="H325" s="7">
        <v>15</v>
      </c>
      <c r="I325">
        <v>0.77100000000000002</v>
      </c>
      <c r="J325">
        <v>0.75800000000000001</v>
      </c>
      <c r="K325">
        <v>9654839</v>
      </c>
    </row>
    <row r="326" spans="1:11">
      <c r="A326" t="s">
        <v>1313</v>
      </c>
      <c r="B326" t="s">
        <v>1313</v>
      </c>
      <c r="C326">
        <v>221999</v>
      </c>
      <c r="D326">
        <v>34980</v>
      </c>
      <c r="E326">
        <v>2016</v>
      </c>
      <c r="F326" s="7" t="s">
        <v>1328</v>
      </c>
      <c r="G326" s="7" t="s">
        <v>1328</v>
      </c>
      <c r="H326" s="7" t="s">
        <v>1328</v>
      </c>
      <c r="I326" t="s">
        <v>1328</v>
      </c>
      <c r="J326" t="s">
        <v>1328</v>
      </c>
      <c r="K326">
        <v>1864558</v>
      </c>
    </row>
    <row r="327" spans="1:11">
      <c r="A327" t="s">
        <v>1314</v>
      </c>
      <c r="B327" t="s">
        <v>1314</v>
      </c>
      <c r="C327">
        <v>234030</v>
      </c>
      <c r="D327">
        <v>40060</v>
      </c>
      <c r="E327">
        <v>2016</v>
      </c>
      <c r="F327" s="7">
        <v>4424</v>
      </c>
      <c r="G327" s="7">
        <v>4024</v>
      </c>
      <c r="H327" s="7">
        <v>10</v>
      </c>
      <c r="I327">
        <v>0.45200000000000001</v>
      </c>
      <c r="J327">
        <v>0.56699999999999995</v>
      </c>
      <c r="K327">
        <v>1267408</v>
      </c>
    </row>
    <row r="328" spans="1:11">
      <c r="A328" t="s">
        <v>1315</v>
      </c>
      <c r="B328" t="s">
        <v>1315</v>
      </c>
      <c r="C328">
        <v>231174</v>
      </c>
      <c r="D328">
        <v>15540</v>
      </c>
      <c r="E328">
        <v>2016</v>
      </c>
      <c r="F328" s="7" t="s">
        <v>1328</v>
      </c>
      <c r="G328" s="7" t="s">
        <v>1328</v>
      </c>
      <c r="H328" s="7" t="s">
        <v>1328</v>
      </c>
      <c r="I328" t="s">
        <v>1328</v>
      </c>
      <c r="J328" t="s">
        <v>1328</v>
      </c>
      <c r="K328">
        <v>220519</v>
      </c>
    </row>
    <row r="329" spans="1:11">
      <c r="A329" t="s">
        <v>281</v>
      </c>
      <c r="B329" t="s">
        <v>281</v>
      </c>
      <c r="C329">
        <v>216597</v>
      </c>
      <c r="D329">
        <v>37980</v>
      </c>
      <c r="E329">
        <v>2016</v>
      </c>
      <c r="F329" s="7">
        <v>3564</v>
      </c>
      <c r="G329" s="7">
        <v>4660</v>
      </c>
      <c r="H329" s="7">
        <v>12</v>
      </c>
      <c r="I329">
        <v>0.73499999999999999</v>
      </c>
      <c r="J329">
        <v>0.39400000000000002</v>
      </c>
      <c r="K329">
        <v>6153898</v>
      </c>
    </row>
    <row r="330" spans="1:11">
      <c r="A330" t="s">
        <v>282</v>
      </c>
      <c r="B330" t="s">
        <v>282</v>
      </c>
      <c r="C330">
        <v>234076</v>
      </c>
      <c r="D330">
        <v>16820</v>
      </c>
      <c r="E330">
        <v>2016</v>
      </c>
      <c r="F330" s="7">
        <v>9110</v>
      </c>
      <c r="G330" s="7">
        <v>6977</v>
      </c>
      <c r="H330" s="7">
        <v>13</v>
      </c>
      <c r="I330">
        <v>0.58099999999999996</v>
      </c>
      <c r="J330">
        <v>0.54800000000000004</v>
      </c>
      <c r="K330">
        <v>214982</v>
      </c>
    </row>
    <row r="331" spans="1:11">
      <c r="A331" t="s">
        <v>283</v>
      </c>
      <c r="B331" t="s">
        <v>283</v>
      </c>
      <c r="C331">
        <v>233921</v>
      </c>
      <c r="D331">
        <v>13980</v>
      </c>
      <c r="E331">
        <v>2016</v>
      </c>
      <c r="F331" s="7">
        <v>9718</v>
      </c>
      <c r="G331" s="7">
        <v>7954</v>
      </c>
      <c r="H331" s="7">
        <v>16</v>
      </c>
      <c r="I331">
        <v>0.59399999999999997</v>
      </c>
      <c r="J331">
        <v>0.54800000000000004</v>
      </c>
      <c r="K331">
        <v>166085</v>
      </c>
    </row>
    <row r="332" spans="1:11">
      <c r="A332" t="s">
        <v>1316</v>
      </c>
      <c r="B332" t="s">
        <v>1316</v>
      </c>
      <c r="C332">
        <v>234085</v>
      </c>
      <c r="D332">
        <v>31340</v>
      </c>
      <c r="E332">
        <v>2016</v>
      </c>
      <c r="F332" s="7" t="s">
        <v>1328</v>
      </c>
      <c r="G332" s="7" t="s">
        <v>1328</v>
      </c>
      <c r="H332" s="7" t="s">
        <v>1328</v>
      </c>
      <c r="I332" t="s">
        <v>1328</v>
      </c>
      <c r="J332" t="s">
        <v>1328</v>
      </c>
      <c r="K332">
        <v>258862</v>
      </c>
    </row>
    <row r="333" spans="1:11">
      <c r="A333" t="s">
        <v>1258</v>
      </c>
      <c r="B333" t="s">
        <v>1258</v>
      </c>
      <c r="C333">
        <v>197197</v>
      </c>
      <c r="D333">
        <v>35620</v>
      </c>
      <c r="E333">
        <v>2016</v>
      </c>
      <c r="F333" s="7" t="s">
        <v>1328</v>
      </c>
      <c r="G333" s="7" t="s">
        <v>1328</v>
      </c>
      <c r="H333" s="7" t="s">
        <v>1328</v>
      </c>
      <c r="I333" t="s">
        <v>1328</v>
      </c>
      <c r="J333" t="s">
        <v>1328</v>
      </c>
      <c r="K333">
        <v>19945132</v>
      </c>
    </row>
    <row r="334" spans="1:11">
      <c r="A334" t="s">
        <v>1317</v>
      </c>
      <c r="B334" t="s">
        <v>1317</v>
      </c>
      <c r="C334">
        <v>199847</v>
      </c>
      <c r="D334">
        <v>49180</v>
      </c>
      <c r="E334">
        <v>2016</v>
      </c>
      <c r="F334" s="7">
        <v>10561</v>
      </c>
      <c r="G334" s="7">
        <v>9069</v>
      </c>
      <c r="H334" s="7">
        <v>13</v>
      </c>
      <c r="I334">
        <v>0.375</v>
      </c>
      <c r="J334">
        <v>0.5</v>
      </c>
      <c r="K334">
        <v>659348</v>
      </c>
    </row>
    <row r="335" spans="1:11">
      <c r="A335" t="s">
        <v>284</v>
      </c>
      <c r="B335" t="s">
        <v>284</v>
      </c>
      <c r="C335">
        <v>236948</v>
      </c>
      <c r="D335">
        <v>42660</v>
      </c>
      <c r="E335">
        <v>2016</v>
      </c>
      <c r="F335" s="7">
        <v>44680</v>
      </c>
      <c r="G335" s="7">
        <v>60829</v>
      </c>
      <c r="H335" s="7">
        <v>17</v>
      </c>
      <c r="I335">
        <v>0.91200000000000003</v>
      </c>
      <c r="J335">
        <v>0.91200000000000003</v>
      </c>
      <c r="K335">
        <v>3824567</v>
      </c>
    </row>
    <row r="336" spans="1:11">
      <c r="A336" t="s">
        <v>1318</v>
      </c>
      <c r="B336" t="s">
        <v>1318</v>
      </c>
      <c r="C336">
        <v>236939</v>
      </c>
      <c r="D336">
        <v>39420</v>
      </c>
      <c r="E336">
        <v>2016</v>
      </c>
      <c r="F336" s="7">
        <v>9639</v>
      </c>
      <c r="G336" s="7">
        <v>8740</v>
      </c>
      <c r="H336" s="7">
        <v>13</v>
      </c>
      <c r="I336">
        <v>0.5</v>
      </c>
      <c r="J336">
        <v>0.313</v>
      </c>
      <c r="K336">
        <v>47881</v>
      </c>
    </row>
    <row r="337" spans="1:11">
      <c r="A337" t="s">
        <v>285</v>
      </c>
      <c r="B337" t="s">
        <v>285</v>
      </c>
      <c r="C337">
        <v>230782</v>
      </c>
      <c r="D337">
        <v>36260</v>
      </c>
      <c r="E337">
        <v>2016</v>
      </c>
      <c r="F337" s="7">
        <v>3838</v>
      </c>
      <c r="G337" s="7">
        <v>3696</v>
      </c>
      <c r="H337" s="7">
        <v>9</v>
      </c>
      <c r="I337">
        <v>0.214</v>
      </c>
      <c r="J337">
        <v>0.22600000000000001</v>
      </c>
      <c r="K337">
        <v>656094</v>
      </c>
    </row>
    <row r="338" spans="1:11">
      <c r="A338" t="s">
        <v>1319</v>
      </c>
      <c r="B338" t="s">
        <v>1319</v>
      </c>
      <c r="C338">
        <v>238032</v>
      </c>
      <c r="D338">
        <v>34060</v>
      </c>
      <c r="E338">
        <v>2016</v>
      </c>
      <c r="F338" s="7">
        <v>4254</v>
      </c>
      <c r="G338" s="7">
        <v>8714</v>
      </c>
      <c r="H338" s="7">
        <v>9</v>
      </c>
      <c r="I338">
        <v>0.17199999999999999</v>
      </c>
      <c r="J338">
        <v>0.53300000000000003</v>
      </c>
      <c r="K338">
        <v>139604</v>
      </c>
    </row>
    <row r="339" spans="1:11">
      <c r="A339" t="s">
        <v>286</v>
      </c>
      <c r="B339" t="s">
        <v>286</v>
      </c>
      <c r="C339">
        <v>200004</v>
      </c>
      <c r="D339">
        <v>19000</v>
      </c>
      <c r="E339">
        <v>2016</v>
      </c>
      <c r="F339" s="7">
        <v>2636</v>
      </c>
      <c r="G339" s="7">
        <v>2323</v>
      </c>
      <c r="H339" s="7">
        <v>14</v>
      </c>
      <c r="I339">
        <v>0.35299999999999998</v>
      </c>
      <c r="J339">
        <v>0.53100000000000003</v>
      </c>
      <c r="K339">
        <v>56250</v>
      </c>
    </row>
    <row r="340" spans="1:11">
      <c r="A340" t="s">
        <v>287</v>
      </c>
      <c r="B340" t="s">
        <v>287</v>
      </c>
      <c r="C340">
        <v>149772</v>
      </c>
      <c r="D340">
        <v>31380</v>
      </c>
      <c r="E340">
        <v>2016</v>
      </c>
      <c r="F340" s="7">
        <v>3034</v>
      </c>
      <c r="G340" s="7">
        <v>3362</v>
      </c>
      <c r="H340" s="7">
        <v>11</v>
      </c>
      <c r="I340">
        <v>9.7000000000000003E-2</v>
      </c>
      <c r="J340">
        <v>0.20699999999999999</v>
      </c>
      <c r="K340">
        <v>29495</v>
      </c>
    </row>
    <row r="341" spans="1:11">
      <c r="A341" t="s">
        <v>288</v>
      </c>
      <c r="B341" t="s">
        <v>288</v>
      </c>
      <c r="C341">
        <v>157951</v>
      </c>
      <c r="D341">
        <v>14540</v>
      </c>
      <c r="E341">
        <v>2016</v>
      </c>
      <c r="F341" s="7">
        <v>8887</v>
      </c>
      <c r="G341" s="7">
        <v>9435</v>
      </c>
      <c r="H341" s="7">
        <v>13</v>
      </c>
      <c r="I341">
        <v>0.88900000000000001</v>
      </c>
      <c r="J341">
        <v>0.83299999999999996</v>
      </c>
      <c r="K341">
        <v>171748</v>
      </c>
    </row>
    <row r="342" spans="1:11">
      <c r="A342" t="s">
        <v>289</v>
      </c>
      <c r="B342" t="s">
        <v>289</v>
      </c>
      <c r="C342">
        <v>172699</v>
      </c>
      <c r="D342">
        <v>28020</v>
      </c>
      <c r="E342">
        <v>2016</v>
      </c>
      <c r="F342" s="7">
        <v>4917</v>
      </c>
      <c r="G342" s="7">
        <v>8342</v>
      </c>
      <c r="H342" s="7">
        <v>8</v>
      </c>
      <c r="I342">
        <v>0.45500000000000002</v>
      </c>
      <c r="J342">
        <v>0.61099999999999999</v>
      </c>
      <c r="K342">
        <v>258871</v>
      </c>
    </row>
    <row r="343" spans="1:11">
      <c r="A343" t="s">
        <v>290</v>
      </c>
      <c r="B343" t="s">
        <v>290</v>
      </c>
      <c r="C343">
        <v>156125</v>
      </c>
      <c r="D343">
        <v>48620</v>
      </c>
      <c r="E343">
        <v>2016</v>
      </c>
      <c r="F343" s="7">
        <v>31650</v>
      </c>
      <c r="G343" s="7">
        <v>27706</v>
      </c>
      <c r="H343" s="7">
        <v>14</v>
      </c>
      <c r="I343">
        <v>0.75</v>
      </c>
      <c r="J343">
        <v>0.66700000000000004</v>
      </c>
      <c r="K343">
        <v>640682</v>
      </c>
    </row>
    <row r="344" spans="1:11">
      <c r="A344" t="s">
        <v>1320</v>
      </c>
      <c r="B344" t="s">
        <v>1320</v>
      </c>
      <c r="C344">
        <v>231624</v>
      </c>
      <c r="D344">
        <v>47260</v>
      </c>
      <c r="E344">
        <v>2016</v>
      </c>
      <c r="F344" s="7">
        <v>3218</v>
      </c>
      <c r="G344" s="7">
        <v>2209</v>
      </c>
      <c r="H344" s="7">
        <v>11</v>
      </c>
      <c r="I344">
        <v>0.33300000000000002</v>
      </c>
      <c r="J344">
        <v>0.22600000000000001</v>
      </c>
      <c r="K344">
        <v>1773787</v>
      </c>
    </row>
    <row r="345" spans="1:11">
      <c r="A345" t="s">
        <v>291</v>
      </c>
      <c r="B345" t="s">
        <v>291</v>
      </c>
      <c r="C345">
        <v>218964</v>
      </c>
      <c r="D345">
        <v>16740</v>
      </c>
      <c r="E345">
        <v>2016</v>
      </c>
      <c r="F345" s="7">
        <v>7404</v>
      </c>
      <c r="G345" s="7">
        <v>3209</v>
      </c>
      <c r="H345" s="7">
        <v>13</v>
      </c>
      <c r="I345">
        <v>0.438</v>
      </c>
      <c r="J345">
        <v>0.625</v>
      </c>
      <c r="K345">
        <v>2492928</v>
      </c>
    </row>
    <row r="346" spans="1:11">
      <c r="A346" t="s">
        <v>292</v>
      </c>
      <c r="B346" t="s">
        <v>292</v>
      </c>
      <c r="C346">
        <v>240444</v>
      </c>
      <c r="D346">
        <v>31540</v>
      </c>
      <c r="E346">
        <v>2016</v>
      </c>
      <c r="F346" s="7">
        <v>85774</v>
      </c>
      <c r="G346" s="7">
        <v>73999</v>
      </c>
      <c r="H346" s="7">
        <v>17</v>
      </c>
      <c r="I346">
        <v>0.78800000000000003</v>
      </c>
      <c r="J346">
        <v>0.91200000000000003</v>
      </c>
      <c r="K346">
        <v>655902</v>
      </c>
    </row>
    <row r="347" spans="1:11">
      <c r="A347" t="s">
        <v>293</v>
      </c>
      <c r="B347" t="s">
        <v>293</v>
      </c>
      <c r="C347">
        <v>218973</v>
      </c>
      <c r="D347">
        <v>43900</v>
      </c>
      <c r="E347">
        <v>2016</v>
      </c>
      <c r="F347" s="7">
        <v>2260</v>
      </c>
      <c r="G347" s="7">
        <v>4531</v>
      </c>
      <c r="H347" s="7">
        <v>9</v>
      </c>
      <c r="I347">
        <v>0.47099999999999997</v>
      </c>
      <c r="J347">
        <v>0.371</v>
      </c>
      <c r="K347">
        <v>303005</v>
      </c>
    </row>
    <row r="348" spans="1:11">
      <c r="A348" t="s">
        <v>1321</v>
      </c>
      <c r="B348" t="s">
        <v>1321</v>
      </c>
      <c r="C348">
        <v>206604</v>
      </c>
      <c r="D348">
        <v>19430</v>
      </c>
      <c r="E348">
        <v>2016</v>
      </c>
      <c r="F348" s="7">
        <v>4426</v>
      </c>
      <c r="G348" s="7">
        <v>3534</v>
      </c>
      <c r="H348" s="7">
        <v>16</v>
      </c>
      <c r="I348">
        <v>0.48399999999999999</v>
      </c>
      <c r="J348">
        <v>0.17899999999999999</v>
      </c>
      <c r="K348">
        <v>805185</v>
      </c>
    </row>
    <row r="349" spans="1:11">
      <c r="A349" t="s">
        <v>1322</v>
      </c>
      <c r="B349" t="s">
        <v>1322</v>
      </c>
      <c r="C349">
        <v>240727</v>
      </c>
      <c r="D349">
        <v>29660</v>
      </c>
      <c r="E349">
        <v>2016</v>
      </c>
      <c r="F349" s="7">
        <v>15500</v>
      </c>
      <c r="G349" s="7">
        <v>9879</v>
      </c>
      <c r="H349" s="7">
        <v>18</v>
      </c>
      <c r="I349">
        <v>0.76700000000000002</v>
      </c>
      <c r="J349">
        <v>0.74199999999999999</v>
      </c>
      <c r="K349">
        <v>36877</v>
      </c>
    </row>
    <row r="350" spans="1:11">
      <c r="A350" t="s">
        <v>1323</v>
      </c>
      <c r="B350" t="s">
        <v>1323</v>
      </c>
      <c r="C350">
        <v>206622</v>
      </c>
      <c r="D350">
        <v>17140</v>
      </c>
      <c r="E350">
        <v>2016</v>
      </c>
      <c r="F350" s="7">
        <v>9232</v>
      </c>
      <c r="G350" s="7">
        <v>8681</v>
      </c>
      <c r="H350" s="7">
        <v>13</v>
      </c>
      <c r="I350">
        <v>0.6</v>
      </c>
      <c r="J350">
        <v>0.61299999999999999</v>
      </c>
      <c r="K350">
        <v>2209105</v>
      </c>
    </row>
    <row r="351" spans="1:11">
      <c r="A351" t="s">
        <v>294</v>
      </c>
      <c r="B351" t="s">
        <v>294</v>
      </c>
      <c r="C351">
        <v>130794</v>
      </c>
      <c r="D351">
        <v>35300</v>
      </c>
      <c r="E351">
        <v>2016</v>
      </c>
      <c r="F351" s="7">
        <v>5282</v>
      </c>
      <c r="G351" s="7">
        <v>4479</v>
      </c>
      <c r="H351" s="7">
        <v>10</v>
      </c>
      <c r="I351">
        <v>0.625</v>
      </c>
      <c r="J351">
        <v>0.69199999999999995</v>
      </c>
      <c r="K351">
        <v>865595</v>
      </c>
    </row>
    <row r="352" spans="1:11">
      <c r="A352" t="s">
        <v>295</v>
      </c>
      <c r="B352" t="s">
        <v>295</v>
      </c>
      <c r="C352">
        <v>206695</v>
      </c>
      <c r="D352">
        <v>49660</v>
      </c>
      <c r="E352">
        <v>2016</v>
      </c>
      <c r="F352" s="7">
        <v>2193</v>
      </c>
      <c r="G352" s="7">
        <v>1100</v>
      </c>
      <c r="H352" s="7">
        <v>10</v>
      </c>
      <c r="I352">
        <v>0.32300000000000001</v>
      </c>
      <c r="J352">
        <v>0.54800000000000004</v>
      </c>
      <c r="K352">
        <v>550227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FCEB-C7EB-4D63-914D-23947C5A6265}">
  <dimension ref="A1:R386"/>
  <sheetViews>
    <sheetView workbookViewId="0"/>
  </sheetViews>
  <sheetFormatPr baseColWidth="10" defaultColWidth="8.83203125" defaultRowHeight="15"/>
  <cols>
    <col min="2" max="2" width="22.6640625" customWidth="1"/>
  </cols>
  <sheetData>
    <row r="1" spans="1:18">
      <c r="A1" s="2" t="s">
        <v>2</v>
      </c>
      <c r="B1" s="2" t="s">
        <v>297</v>
      </c>
      <c r="C1" s="2" t="s">
        <v>1262</v>
      </c>
      <c r="D1" s="2" t="s">
        <v>1251</v>
      </c>
      <c r="E1" s="2" t="s">
        <v>1263</v>
      </c>
      <c r="F1" s="2" t="s">
        <v>1252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  <c r="L1" s="2" t="s">
        <v>303</v>
      </c>
      <c r="M1" s="2" t="s">
        <v>304</v>
      </c>
      <c r="N1" s="2" t="s">
        <v>305</v>
      </c>
      <c r="O1" s="2" t="s">
        <v>306</v>
      </c>
      <c r="P1" s="2" t="s">
        <v>307</v>
      </c>
      <c r="Q1" s="2" t="s">
        <v>1253</v>
      </c>
      <c r="R1" s="2" t="s">
        <v>1264</v>
      </c>
    </row>
    <row r="2" spans="1:18">
      <c r="A2">
        <v>998</v>
      </c>
      <c r="B2" t="s">
        <v>308</v>
      </c>
      <c r="C2" t="s">
        <v>1261</v>
      </c>
      <c r="D2" t="s">
        <v>1254</v>
      </c>
      <c r="E2">
        <v>263718787</v>
      </c>
      <c r="F2">
        <v>266205658</v>
      </c>
      <c r="G2">
        <v>268779366</v>
      </c>
      <c r="H2">
        <v>271230523</v>
      </c>
      <c r="I2">
        <v>273817755</v>
      </c>
      <c r="J2">
        <v>276425937</v>
      </c>
      <c r="K2">
        <v>278995907</v>
      </c>
      <c r="L2">
        <v>281262885</v>
      </c>
      <c r="M2">
        <v>283180665</v>
      </c>
      <c r="N2">
        <v>284873351</v>
      </c>
      <c r="O2">
        <v>286193652</v>
      </c>
      <c r="P2">
        <v>286656077</v>
      </c>
      <c r="Q2">
        <v>287835880</v>
      </c>
      <c r="R2">
        <v>289370890</v>
      </c>
    </row>
    <row r="3" spans="1:18">
      <c r="A3">
        <v>10180</v>
      </c>
      <c r="B3" t="s">
        <v>309</v>
      </c>
      <c r="C3" t="s">
        <v>1261</v>
      </c>
      <c r="D3" t="s">
        <v>1254</v>
      </c>
      <c r="E3">
        <v>165673</v>
      </c>
      <c r="F3">
        <v>167069</v>
      </c>
      <c r="G3">
        <v>168246</v>
      </c>
      <c r="H3">
        <v>168614</v>
      </c>
      <c r="I3">
        <v>169859</v>
      </c>
      <c r="J3">
        <v>171579</v>
      </c>
      <c r="K3">
        <v>172242</v>
      </c>
      <c r="L3">
        <v>172915</v>
      </c>
      <c r="M3">
        <v>174005</v>
      </c>
      <c r="N3">
        <v>175187</v>
      </c>
      <c r="O3">
        <v>176883</v>
      </c>
      <c r="P3">
        <v>177831</v>
      </c>
      <c r="Q3">
        <v>179665</v>
      </c>
      <c r="R3">
        <v>181591</v>
      </c>
    </row>
    <row r="4" spans="1:18">
      <c r="A4">
        <v>10420</v>
      </c>
      <c r="B4" t="s">
        <v>310</v>
      </c>
      <c r="C4" t="s">
        <v>1261</v>
      </c>
      <c r="D4" t="s">
        <v>1254</v>
      </c>
      <c r="E4">
        <v>703057</v>
      </c>
      <c r="F4">
        <v>703272</v>
      </c>
      <c r="G4">
        <v>702245</v>
      </c>
      <c r="H4">
        <v>703809</v>
      </c>
      <c r="I4">
        <v>705134</v>
      </c>
      <c r="J4">
        <v>704664</v>
      </c>
      <c r="K4">
        <v>703862</v>
      </c>
      <c r="L4">
        <v>704229</v>
      </c>
      <c r="M4">
        <v>703925</v>
      </c>
      <c r="N4">
        <v>703361</v>
      </c>
      <c r="O4">
        <v>701674</v>
      </c>
      <c r="P4">
        <v>696512</v>
      </c>
      <c r="Q4">
        <v>697511</v>
      </c>
      <c r="R4">
        <v>698398</v>
      </c>
    </row>
    <row r="5" spans="1:18">
      <c r="A5">
        <v>10500</v>
      </c>
      <c r="B5" t="s">
        <v>311</v>
      </c>
      <c r="C5" t="s">
        <v>1261</v>
      </c>
      <c r="D5" t="s">
        <v>1254</v>
      </c>
      <c r="E5">
        <v>154227</v>
      </c>
      <c r="F5">
        <v>154933</v>
      </c>
      <c r="G5">
        <v>154669</v>
      </c>
      <c r="H5">
        <v>153680</v>
      </c>
      <c r="I5">
        <v>153263</v>
      </c>
      <c r="J5">
        <v>152018</v>
      </c>
      <c r="K5">
        <v>151044</v>
      </c>
      <c r="L5">
        <v>150387</v>
      </c>
      <c r="M5">
        <v>150440</v>
      </c>
      <c r="N5">
        <v>149530</v>
      </c>
      <c r="O5">
        <v>148249</v>
      </c>
      <c r="P5">
        <v>144933</v>
      </c>
      <c r="Q5">
        <v>145796</v>
      </c>
      <c r="R5">
        <v>145508</v>
      </c>
    </row>
    <row r="6" spans="1:18">
      <c r="A6">
        <v>10540</v>
      </c>
      <c r="B6" t="s">
        <v>312</v>
      </c>
      <c r="C6" t="s">
        <v>1261</v>
      </c>
      <c r="D6" t="s">
        <v>1254</v>
      </c>
      <c r="E6">
        <v>116840</v>
      </c>
      <c r="F6">
        <v>117938</v>
      </c>
      <c r="G6">
        <v>117865</v>
      </c>
      <c r="H6">
        <v>117822</v>
      </c>
      <c r="I6">
        <v>118285</v>
      </c>
      <c r="J6">
        <v>119295</v>
      </c>
      <c r="K6">
        <v>121648</v>
      </c>
      <c r="L6">
        <v>123657</v>
      </c>
      <c r="M6">
        <v>125788</v>
      </c>
      <c r="N6">
        <v>127700</v>
      </c>
      <c r="O6">
        <v>128981</v>
      </c>
      <c r="P6">
        <v>130120</v>
      </c>
      <c r="Q6">
        <v>130622</v>
      </c>
      <c r="R6">
        <v>131496</v>
      </c>
    </row>
    <row r="7" spans="1:18">
      <c r="A7">
        <v>10580</v>
      </c>
      <c r="B7" t="s">
        <v>313</v>
      </c>
      <c r="C7" t="s">
        <v>1261</v>
      </c>
      <c r="D7" t="s">
        <v>1254</v>
      </c>
      <c r="E7">
        <v>871603</v>
      </c>
      <c r="F7">
        <v>875387</v>
      </c>
      <c r="G7">
        <v>879397</v>
      </c>
      <c r="H7">
        <v>883854</v>
      </c>
      <c r="I7">
        <v>886981</v>
      </c>
      <c r="J7">
        <v>889918</v>
      </c>
      <c r="K7">
        <v>892762</v>
      </c>
      <c r="L7">
        <v>897172</v>
      </c>
      <c r="M7">
        <v>899605</v>
      </c>
      <c r="N7">
        <v>898791</v>
      </c>
      <c r="O7">
        <v>899724</v>
      </c>
      <c r="P7">
        <v>904824</v>
      </c>
      <c r="Q7">
        <v>903595</v>
      </c>
      <c r="R7">
        <v>904682</v>
      </c>
    </row>
    <row r="8" spans="1:18">
      <c r="A8">
        <v>10740</v>
      </c>
      <c r="B8" t="s">
        <v>314</v>
      </c>
      <c r="C8" t="s">
        <v>1261</v>
      </c>
      <c r="D8" t="s">
        <v>1254</v>
      </c>
      <c r="E8">
        <v>889434</v>
      </c>
      <c r="F8">
        <v>897378</v>
      </c>
      <c r="G8">
        <v>900747</v>
      </c>
      <c r="H8">
        <v>903185</v>
      </c>
      <c r="I8">
        <v>902178</v>
      </c>
      <c r="J8">
        <v>903085</v>
      </c>
      <c r="K8">
        <v>905774</v>
      </c>
      <c r="L8">
        <v>908217</v>
      </c>
      <c r="M8">
        <v>910284</v>
      </c>
      <c r="N8">
        <v>913231</v>
      </c>
      <c r="O8">
        <v>917579</v>
      </c>
      <c r="P8">
        <v>919392</v>
      </c>
      <c r="Q8">
        <v>920138</v>
      </c>
      <c r="R8">
        <v>922296</v>
      </c>
    </row>
    <row r="9" spans="1:18">
      <c r="A9">
        <v>10780</v>
      </c>
      <c r="B9" t="s">
        <v>315</v>
      </c>
      <c r="C9" t="s">
        <v>1261</v>
      </c>
      <c r="D9" t="s">
        <v>1254</v>
      </c>
      <c r="E9">
        <v>154112</v>
      </c>
      <c r="F9">
        <v>154538</v>
      </c>
      <c r="G9">
        <v>154643</v>
      </c>
      <c r="H9">
        <v>154972</v>
      </c>
      <c r="I9">
        <v>155021</v>
      </c>
      <c r="J9">
        <v>154658</v>
      </c>
      <c r="K9">
        <v>154763</v>
      </c>
      <c r="L9">
        <v>154292</v>
      </c>
      <c r="M9">
        <v>153614</v>
      </c>
      <c r="N9">
        <v>153019</v>
      </c>
      <c r="O9">
        <v>151800</v>
      </c>
      <c r="P9">
        <v>150882</v>
      </c>
      <c r="Q9">
        <v>149068</v>
      </c>
      <c r="R9">
        <v>148171</v>
      </c>
    </row>
    <row r="10" spans="1:18">
      <c r="A10">
        <v>10900</v>
      </c>
      <c r="B10" t="s">
        <v>316</v>
      </c>
      <c r="C10" t="s">
        <v>1261</v>
      </c>
      <c r="D10" t="s">
        <v>1254</v>
      </c>
      <c r="E10">
        <v>822144</v>
      </c>
      <c r="F10">
        <v>826750</v>
      </c>
      <c r="G10">
        <v>829566</v>
      </c>
      <c r="H10">
        <v>830735</v>
      </c>
      <c r="I10">
        <v>835077</v>
      </c>
      <c r="J10">
        <v>838490</v>
      </c>
      <c r="K10">
        <v>843181</v>
      </c>
      <c r="L10">
        <v>849703</v>
      </c>
      <c r="M10">
        <v>855983</v>
      </c>
      <c r="N10">
        <v>858656</v>
      </c>
      <c r="O10">
        <v>861557</v>
      </c>
      <c r="P10">
        <v>870135</v>
      </c>
      <c r="Q10">
        <v>870570</v>
      </c>
      <c r="R10">
        <v>873555</v>
      </c>
    </row>
    <row r="11" spans="1:18">
      <c r="A11">
        <v>11020</v>
      </c>
      <c r="B11" t="s">
        <v>317</v>
      </c>
      <c r="C11" t="s">
        <v>1261</v>
      </c>
      <c r="D11" t="s">
        <v>1254</v>
      </c>
      <c r="E11">
        <v>127089</v>
      </c>
      <c r="F11">
        <v>127192</v>
      </c>
      <c r="G11">
        <v>126931</v>
      </c>
      <c r="H11">
        <v>126389</v>
      </c>
      <c r="I11">
        <v>125986</v>
      </c>
      <c r="J11">
        <v>125469</v>
      </c>
      <c r="K11">
        <v>124764</v>
      </c>
      <c r="L11">
        <v>124310</v>
      </c>
      <c r="M11">
        <v>123854</v>
      </c>
      <c r="N11">
        <v>123376</v>
      </c>
      <c r="O11">
        <v>122666</v>
      </c>
      <c r="P11">
        <v>122150</v>
      </c>
      <c r="Q11">
        <v>120734</v>
      </c>
      <c r="R11">
        <v>120273</v>
      </c>
    </row>
    <row r="12" spans="1:18">
      <c r="A12">
        <v>11100</v>
      </c>
      <c r="B12" t="s">
        <v>318</v>
      </c>
      <c r="C12" t="s">
        <v>1261</v>
      </c>
      <c r="D12" t="s">
        <v>1254</v>
      </c>
      <c r="E12">
        <v>252739</v>
      </c>
      <c r="F12">
        <v>256366</v>
      </c>
      <c r="G12">
        <v>258511</v>
      </c>
      <c r="H12">
        <v>259908</v>
      </c>
      <c r="I12">
        <v>262135</v>
      </c>
      <c r="J12">
        <v>263232</v>
      </c>
      <c r="K12">
        <v>264785</v>
      </c>
      <c r="L12">
        <v>266308</v>
      </c>
      <c r="M12">
        <v>266497</v>
      </c>
      <c r="N12">
        <v>267174</v>
      </c>
      <c r="O12">
        <v>269029</v>
      </c>
      <c r="P12">
        <v>269804</v>
      </c>
      <c r="Q12">
        <v>270589</v>
      </c>
      <c r="R12">
        <v>272395</v>
      </c>
    </row>
    <row r="13" spans="1:18">
      <c r="A13">
        <v>11180</v>
      </c>
      <c r="B13" t="s">
        <v>319</v>
      </c>
      <c r="C13" t="s">
        <v>1261</v>
      </c>
      <c r="D13" t="s">
        <v>1254</v>
      </c>
      <c r="E13">
        <v>115952</v>
      </c>
      <c r="F13">
        <v>117552</v>
      </c>
      <c r="G13">
        <v>118366</v>
      </c>
      <c r="H13">
        <v>120499</v>
      </c>
      <c r="I13">
        <v>122552</v>
      </c>
      <c r="J13">
        <v>123653</v>
      </c>
      <c r="K13">
        <v>123972</v>
      </c>
      <c r="L13">
        <v>124446</v>
      </c>
      <c r="M13">
        <v>123798</v>
      </c>
      <c r="N13">
        <v>124556</v>
      </c>
      <c r="O13">
        <v>125347</v>
      </c>
      <c r="P13">
        <v>126440</v>
      </c>
      <c r="Q13">
        <v>124836</v>
      </c>
      <c r="R13">
        <v>125156</v>
      </c>
    </row>
    <row r="14" spans="1:18">
      <c r="A14">
        <v>11260</v>
      </c>
      <c r="B14" t="s">
        <v>320</v>
      </c>
      <c r="C14" t="s">
        <v>1261</v>
      </c>
      <c r="D14" t="s">
        <v>1254</v>
      </c>
      <c r="E14">
        <v>383520</v>
      </c>
      <c r="F14">
        <v>388580</v>
      </c>
      <c r="G14">
        <v>392786</v>
      </c>
      <c r="H14">
        <v>398109</v>
      </c>
      <c r="I14">
        <v>399295</v>
      </c>
      <c r="J14">
        <v>400037</v>
      </c>
      <c r="K14">
        <v>402960</v>
      </c>
      <c r="L14">
        <v>402227</v>
      </c>
      <c r="M14">
        <v>399416</v>
      </c>
      <c r="N14">
        <v>398135</v>
      </c>
      <c r="O14">
        <v>398397</v>
      </c>
      <c r="P14">
        <v>400167</v>
      </c>
      <c r="Q14">
        <v>400455</v>
      </c>
      <c r="R14">
        <v>401314</v>
      </c>
    </row>
    <row r="15" spans="1:18">
      <c r="A15">
        <v>11460</v>
      </c>
      <c r="B15" t="s">
        <v>321</v>
      </c>
      <c r="C15" t="s">
        <v>1261</v>
      </c>
      <c r="D15" t="s">
        <v>1254</v>
      </c>
      <c r="E15">
        <v>346099</v>
      </c>
      <c r="F15">
        <v>350678</v>
      </c>
      <c r="G15">
        <v>353787</v>
      </c>
      <c r="H15">
        <v>358086</v>
      </c>
      <c r="I15">
        <v>362657</v>
      </c>
      <c r="J15">
        <v>366217</v>
      </c>
      <c r="K15">
        <v>370164</v>
      </c>
      <c r="L15">
        <v>373451</v>
      </c>
      <c r="M15">
        <v>374825</v>
      </c>
      <c r="N15">
        <v>373011</v>
      </c>
      <c r="O15">
        <v>371834</v>
      </c>
      <c r="P15">
        <v>365013</v>
      </c>
      <c r="Q15">
        <v>366504</v>
      </c>
      <c r="R15">
        <v>365536</v>
      </c>
    </row>
    <row r="16" spans="1:18">
      <c r="A16">
        <v>11500</v>
      </c>
      <c r="B16" t="s">
        <v>322</v>
      </c>
      <c r="C16" t="s">
        <v>1261</v>
      </c>
      <c r="D16" t="s">
        <v>1254</v>
      </c>
      <c r="E16">
        <v>118493</v>
      </c>
      <c r="F16">
        <v>118132</v>
      </c>
      <c r="G16">
        <v>117880</v>
      </c>
      <c r="H16">
        <v>117465</v>
      </c>
      <c r="I16">
        <v>117209</v>
      </c>
      <c r="J16">
        <v>117048</v>
      </c>
      <c r="K16">
        <v>116810</v>
      </c>
      <c r="L16">
        <v>116796</v>
      </c>
      <c r="M16">
        <v>116622</v>
      </c>
      <c r="N16">
        <v>116669</v>
      </c>
      <c r="O16">
        <v>116243</v>
      </c>
      <c r="P16">
        <v>115678</v>
      </c>
      <c r="Q16">
        <v>115780</v>
      </c>
      <c r="R16">
        <v>116429</v>
      </c>
    </row>
    <row r="17" spans="1:18">
      <c r="A17">
        <v>11540</v>
      </c>
      <c r="B17" t="s">
        <v>323</v>
      </c>
      <c r="C17" t="s">
        <v>1261</v>
      </c>
      <c r="D17" t="s">
        <v>1254</v>
      </c>
      <c r="E17">
        <v>225987</v>
      </c>
      <c r="F17">
        <v>228018</v>
      </c>
      <c r="G17">
        <v>229551</v>
      </c>
      <c r="H17">
        <v>231310</v>
      </c>
      <c r="I17">
        <v>233393</v>
      </c>
      <c r="J17">
        <v>235357</v>
      </c>
      <c r="K17">
        <v>236862</v>
      </c>
      <c r="L17">
        <v>238918</v>
      </c>
      <c r="M17">
        <v>240660</v>
      </c>
      <c r="N17">
        <v>242015</v>
      </c>
      <c r="O17">
        <v>243451</v>
      </c>
      <c r="P17">
        <v>243903</v>
      </c>
      <c r="Q17">
        <v>244981</v>
      </c>
      <c r="R17">
        <v>246433</v>
      </c>
    </row>
    <row r="18" spans="1:18">
      <c r="A18">
        <v>11700</v>
      </c>
      <c r="B18" t="s">
        <v>324</v>
      </c>
      <c r="C18" t="s">
        <v>1261</v>
      </c>
      <c r="D18" t="s">
        <v>1254</v>
      </c>
      <c r="E18">
        <v>425434</v>
      </c>
      <c r="F18">
        <v>428568</v>
      </c>
      <c r="G18">
        <v>431781</v>
      </c>
      <c r="H18">
        <v>436989</v>
      </c>
      <c r="I18">
        <v>441196</v>
      </c>
      <c r="J18">
        <v>446457</v>
      </c>
      <c r="K18">
        <v>452542</v>
      </c>
      <c r="L18">
        <v>457567</v>
      </c>
      <c r="M18">
        <v>462324</v>
      </c>
      <c r="N18">
        <v>466006</v>
      </c>
      <c r="O18">
        <v>469781</v>
      </c>
      <c r="P18">
        <v>473350</v>
      </c>
      <c r="Q18">
        <v>476584</v>
      </c>
      <c r="R18">
        <v>480171</v>
      </c>
    </row>
    <row r="19" spans="1:18">
      <c r="A19">
        <v>12020</v>
      </c>
      <c r="B19" t="s">
        <v>325</v>
      </c>
      <c r="C19" t="s">
        <v>1261</v>
      </c>
      <c r="D19" t="s">
        <v>1254</v>
      </c>
      <c r="E19">
        <v>193456</v>
      </c>
      <c r="F19">
        <v>194477</v>
      </c>
      <c r="G19">
        <v>196186</v>
      </c>
      <c r="H19">
        <v>197886</v>
      </c>
      <c r="I19">
        <v>198748</v>
      </c>
      <c r="J19">
        <v>203049</v>
      </c>
      <c r="K19">
        <v>205850</v>
      </c>
      <c r="L19">
        <v>209508</v>
      </c>
      <c r="M19">
        <v>212076</v>
      </c>
      <c r="N19">
        <v>214486</v>
      </c>
      <c r="O19">
        <v>215712</v>
      </c>
      <c r="P19">
        <v>218314</v>
      </c>
      <c r="Q19">
        <v>220331</v>
      </c>
      <c r="R19">
        <v>222060</v>
      </c>
    </row>
    <row r="20" spans="1:18">
      <c r="A20">
        <v>12060</v>
      </c>
      <c r="B20" t="s">
        <v>326</v>
      </c>
      <c r="C20" t="s">
        <v>1261</v>
      </c>
      <c r="D20" t="s">
        <v>1254</v>
      </c>
      <c r="E20">
        <v>5303075</v>
      </c>
      <c r="F20">
        <v>5368727</v>
      </c>
      <c r="G20">
        <v>5448515</v>
      </c>
      <c r="H20">
        <v>5516376</v>
      </c>
      <c r="I20">
        <v>5600845</v>
      </c>
      <c r="J20">
        <v>5695632</v>
      </c>
      <c r="K20">
        <v>5800316</v>
      </c>
      <c r="L20">
        <v>5886680</v>
      </c>
      <c r="M20">
        <v>5962727</v>
      </c>
      <c r="N20">
        <v>6039848</v>
      </c>
      <c r="O20">
        <v>6105757</v>
      </c>
      <c r="P20">
        <v>6145550</v>
      </c>
      <c r="Q20">
        <v>6223443</v>
      </c>
      <c r="R20">
        <v>6292404</v>
      </c>
    </row>
    <row r="21" spans="1:18">
      <c r="A21">
        <v>12100</v>
      </c>
      <c r="B21" t="s">
        <v>327</v>
      </c>
      <c r="C21" t="s">
        <v>1261</v>
      </c>
      <c r="D21" t="s">
        <v>1254</v>
      </c>
      <c r="E21">
        <v>274943</v>
      </c>
      <c r="F21">
        <v>276084</v>
      </c>
      <c r="G21">
        <v>277274</v>
      </c>
      <c r="H21">
        <v>278140</v>
      </c>
      <c r="I21">
        <v>277553</v>
      </c>
      <c r="J21">
        <v>276237</v>
      </c>
      <c r="K21">
        <v>274324</v>
      </c>
      <c r="L21">
        <v>273651</v>
      </c>
      <c r="M21">
        <v>273295</v>
      </c>
      <c r="N21">
        <v>274085</v>
      </c>
      <c r="O21">
        <v>274190</v>
      </c>
      <c r="P21">
        <v>274956</v>
      </c>
      <c r="Q21">
        <v>275382</v>
      </c>
      <c r="R21">
        <v>275213</v>
      </c>
    </row>
    <row r="22" spans="1:18">
      <c r="A22">
        <v>12220</v>
      </c>
      <c r="B22" t="s">
        <v>328</v>
      </c>
      <c r="C22" t="s">
        <v>1261</v>
      </c>
      <c r="D22" t="s">
        <v>1254</v>
      </c>
      <c r="E22">
        <v>140975</v>
      </c>
      <c r="F22">
        <v>145014</v>
      </c>
      <c r="G22">
        <v>150195</v>
      </c>
      <c r="H22">
        <v>154196</v>
      </c>
      <c r="I22">
        <v>157684</v>
      </c>
      <c r="J22">
        <v>160934</v>
      </c>
      <c r="K22">
        <v>164008</v>
      </c>
      <c r="L22">
        <v>167184</v>
      </c>
      <c r="M22">
        <v>170423</v>
      </c>
      <c r="N22">
        <v>172030</v>
      </c>
      <c r="O22">
        <v>174754</v>
      </c>
      <c r="P22">
        <v>177596</v>
      </c>
      <c r="Q22">
        <v>180698</v>
      </c>
      <c r="R22">
        <v>183215</v>
      </c>
    </row>
    <row r="23" spans="1:18">
      <c r="A23">
        <v>12260</v>
      </c>
      <c r="B23" t="s">
        <v>329</v>
      </c>
      <c r="C23" t="s">
        <v>1261</v>
      </c>
      <c r="D23" t="s">
        <v>1254</v>
      </c>
      <c r="E23">
        <v>566672</v>
      </c>
      <c r="F23">
        <v>570754</v>
      </c>
      <c r="G23">
        <v>576013</v>
      </c>
      <c r="H23">
        <v>579495</v>
      </c>
      <c r="I23">
        <v>582602</v>
      </c>
      <c r="J23">
        <v>588955</v>
      </c>
      <c r="K23">
        <v>594350</v>
      </c>
      <c r="L23">
        <v>599308</v>
      </c>
      <c r="M23">
        <v>603251</v>
      </c>
      <c r="N23">
        <v>607877</v>
      </c>
      <c r="O23">
        <v>612172</v>
      </c>
      <c r="P23">
        <v>616187</v>
      </c>
      <c r="Q23">
        <v>623985</v>
      </c>
      <c r="R23">
        <v>629429</v>
      </c>
    </row>
    <row r="24" spans="1:18">
      <c r="A24">
        <v>12420</v>
      </c>
      <c r="B24" t="s">
        <v>330</v>
      </c>
      <c r="C24" t="s">
        <v>1261</v>
      </c>
      <c r="D24" t="s">
        <v>1254</v>
      </c>
      <c r="E24">
        <v>1727600</v>
      </c>
      <c r="F24">
        <v>1781093</v>
      </c>
      <c r="G24">
        <v>1835567</v>
      </c>
      <c r="H24">
        <v>1884778</v>
      </c>
      <c r="I24">
        <v>1944376</v>
      </c>
      <c r="J24">
        <v>2004539</v>
      </c>
      <c r="K24">
        <v>2064915</v>
      </c>
      <c r="L24">
        <v>2118521</v>
      </c>
      <c r="M24">
        <v>2169743</v>
      </c>
      <c r="N24">
        <v>2231398</v>
      </c>
      <c r="O24">
        <v>2300135</v>
      </c>
      <c r="P24">
        <v>2358634</v>
      </c>
      <c r="Q24">
        <v>2423170</v>
      </c>
      <c r="R24">
        <v>2473275</v>
      </c>
    </row>
    <row r="25" spans="1:18">
      <c r="A25">
        <v>12540</v>
      </c>
      <c r="B25" t="s">
        <v>331</v>
      </c>
      <c r="C25" t="s">
        <v>1261</v>
      </c>
      <c r="D25" t="s">
        <v>1254</v>
      </c>
      <c r="E25">
        <v>841554</v>
      </c>
      <c r="F25">
        <v>849606</v>
      </c>
      <c r="G25">
        <v>856127</v>
      </c>
      <c r="H25">
        <v>865259</v>
      </c>
      <c r="I25">
        <v>873177</v>
      </c>
      <c r="J25">
        <v>880708</v>
      </c>
      <c r="K25">
        <v>886081</v>
      </c>
      <c r="L25">
        <v>893150</v>
      </c>
      <c r="M25">
        <v>900315</v>
      </c>
      <c r="N25">
        <v>906453</v>
      </c>
      <c r="O25">
        <v>905910</v>
      </c>
      <c r="P25">
        <v>912709</v>
      </c>
      <c r="Q25">
        <v>916751</v>
      </c>
      <c r="R25">
        <v>913820</v>
      </c>
    </row>
    <row r="26" spans="1:18">
      <c r="A26">
        <v>12580</v>
      </c>
      <c r="B26" t="s">
        <v>332</v>
      </c>
      <c r="C26" t="s">
        <v>1261</v>
      </c>
      <c r="D26" t="s">
        <v>1254</v>
      </c>
      <c r="E26">
        <v>2716811</v>
      </c>
      <c r="F26">
        <v>2739196</v>
      </c>
      <c r="G26">
        <v>2764471</v>
      </c>
      <c r="H26">
        <v>2782512</v>
      </c>
      <c r="I26">
        <v>2798729</v>
      </c>
      <c r="J26">
        <v>2812978</v>
      </c>
      <c r="K26">
        <v>2821424</v>
      </c>
      <c r="L26">
        <v>2830275</v>
      </c>
      <c r="M26">
        <v>2837598</v>
      </c>
      <c r="N26">
        <v>2842883</v>
      </c>
      <c r="O26">
        <v>2842668</v>
      </c>
      <c r="P26">
        <v>2843219</v>
      </c>
      <c r="Q26">
        <v>2834813</v>
      </c>
      <c r="R26">
        <v>2834316</v>
      </c>
    </row>
    <row r="27" spans="1:18">
      <c r="A27">
        <v>12620</v>
      </c>
      <c r="B27" t="s">
        <v>333</v>
      </c>
      <c r="C27" t="s">
        <v>1261</v>
      </c>
      <c r="D27" t="s">
        <v>1254</v>
      </c>
      <c r="E27">
        <v>153877</v>
      </c>
      <c r="F27">
        <v>153842</v>
      </c>
      <c r="G27">
        <v>153501</v>
      </c>
      <c r="H27">
        <v>153444</v>
      </c>
      <c r="I27">
        <v>153487</v>
      </c>
      <c r="J27">
        <v>152271</v>
      </c>
      <c r="K27">
        <v>151703</v>
      </c>
      <c r="L27">
        <v>152112</v>
      </c>
      <c r="M27">
        <v>152166</v>
      </c>
      <c r="N27">
        <v>152234</v>
      </c>
      <c r="O27">
        <v>152169</v>
      </c>
      <c r="P27">
        <v>153359</v>
      </c>
      <c r="Q27">
        <v>154728</v>
      </c>
      <c r="R27">
        <v>155312</v>
      </c>
    </row>
    <row r="28" spans="1:18">
      <c r="A28">
        <v>12700</v>
      </c>
      <c r="B28" t="s">
        <v>334</v>
      </c>
      <c r="C28" t="s">
        <v>1261</v>
      </c>
      <c r="D28" t="s">
        <v>1254</v>
      </c>
      <c r="E28">
        <v>216289</v>
      </c>
      <c r="F28">
        <v>217298</v>
      </c>
      <c r="G28">
        <v>218300</v>
      </c>
      <c r="H28">
        <v>219597</v>
      </c>
      <c r="I28">
        <v>220938</v>
      </c>
      <c r="J28">
        <v>222109</v>
      </c>
      <c r="K28">
        <v>223471</v>
      </c>
      <c r="L28">
        <v>225110</v>
      </c>
      <c r="M28">
        <v>226622</v>
      </c>
      <c r="N28">
        <v>227312</v>
      </c>
      <c r="O28">
        <v>228012</v>
      </c>
      <c r="P28">
        <v>232315</v>
      </c>
      <c r="Q28">
        <v>232078</v>
      </c>
      <c r="R28">
        <v>231735</v>
      </c>
    </row>
    <row r="29" spans="1:18">
      <c r="A29">
        <v>12940</v>
      </c>
      <c r="B29" t="s">
        <v>335</v>
      </c>
      <c r="C29" t="s">
        <v>1261</v>
      </c>
      <c r="D29" t="s">
        <v>1254</v>
      </c>
      <c r="E29">
        <v>827959</v>
      </c>
      <c r="F29">
        <v>833044</v>
      </c>
      <c r="G29">
        <v>839003</v>
      </c>
      <c r="H29">
        <v>846054</v>
      </c>
      <c r="I29">
        <v>852164</v>
      </c>
      <c r="J29">
        <v>857755</v>
      </c>
      <c r="K29">
        <v>864743</v>
      </c>
      <c r="L29">
        <v>863436</v>
      </c>
      <c r="M29">
        <v>865057</v>
      </c>
      <c r="N29">
        <v>868080</v>
      </c>
      <c r="O29">
        <v>870286</v>
      </c>
      <c r="P29">
        <v>872646</v>
      </c>
      <c r="Q29">
        <v>872347</v>
      </c>
      <c r="R29">
        <v>873661</v>
      </c>
    </row>
    <row r="30" spans="1:18">
      <c r="A30">
        <v>12980</v>
      </c>
      <c r="B30" t="s">
        <v>336</v>
      </c>
      <c r="C30" t="s">
        <v>1261</v>
      </c>
      <c r="D30" t="s">
        <v>1254</v>
      </c>
      <c r="E30">
        <v>135967</v>
      </c>
      <c r="F30">
        <v>135180</v>
      </c>
      <c r="G30">
        <v>134878</v>
      </c>
      <c r="H30">
        <v>134960</v>
      </c>
      <c r="I30">
        <v>135079</v>
      </c>
      <c r="J30">
        <v>134665</v>
      </c>
      <c r="K30">
        <v>134688</v>
      </c>
      <c r="L30">
        <v>134526</v>
      </c>
      <c r="M30">
        <v>134311</v>
      </c>
      <c r="N30">
        <v>134314</v>
      </c>
      <c r="O30">
        <v>134200</v>
      </c>
      <c r="P30">
        <v>133878</v>
      </c>
      <c r="Q30">
        <v>133424</v>
      </c>
      <c r="R30">
        <v>133366</v>
      </c>
    </row>
    <row r="31" spans="1:18">
      <c r="A31">
        <v>13020</v>
      </c>
      <c r="B31" t="s">
        <v>337</v>
      </c>
      <c r="C31" t="s">
        <v>1261</v>
      </c>
      <c r="D31" t="s">
        <v>1254</v>
      </c>
      <c r="E31">
        <v>107710</v>
      </c>
      <c r="F31">
        <v>107578</v>
      </c>
      <c r="G31">
        <v>107260</v>
      </c>
      <c r="H31">
        <v>107221</v>
      </c>
      <c r="I31">
        <v>106599</v>
      </c>
      <c r="J31">
        <v>105916</v>
      </c>
      <c r="K31">
        <v>105184</v>
      </c>
      <c r="L31">
        <v>104967</v>
      </c>
      <c r="M31">
        <v>104674</v>
      </c>
      <c r="N31">
        <v>104079</v>
      </c>
      <c r="O31">
        <v>103742</v>
      </c>
      <c r="P31">
        <v>103108</v>
      </c>
      <c r="Q31">
        <v>102638</v>
      </c>
      <c r="R31">
        <v>102500</v>
      </c>
    </row>
    <row r="32" spans="1:18">
      <c r="A32">
        <v>13140</v>
      </c>
      <c r="B32" t="s">
        <v>338</v>
      </c>
      <c r="C32" t="s">
        <v>1261</v>
      </c>
      <c r="D32" t="s">
        <v>1254</v>
      </c>
      <c r="E32">
        <v>389399</v>
      </c>
      <c r="F32">
        <v>391632</v>
      </c>
      <c r="G32">
        <v>390922</v>
      </c>
      <c r="H32">
        <v>393098</v>
      </c>
      <c r="I32">
        <v>394119</v>
      </c>
      <c r="J32">
        <v>397910</v>
      </c>
      <c r="K32">
        <v>400237</v>
      </c>
      <c r="L32">
        <v>402279</v>
      </c>
      <c r="M32">
        <v>397657</v>
      </c>
      <c r="N32">
        <v>397323</v>
      </c>
      <c r="O32">
        <v>397237</v>
      </c>
      <c r="P32">
        <v>395526</v>
      </c>
      <c r="Q32">
        <v>394489</v>
      </c>
      <c r="R32">
        <v>395479</v>
      </c>
    </row>
    <row r="33" spans="1:18">
      <c r="A33">
        <v>13220</v>
      </c>
      <c r="B33" t="s">
        <v>339</v>
      </c>
      <c r="C33" t="s">
        <v>1261</v>
      </c>
      <c r="D33" t="s">
        <v>1254</v>
      </c>
      <c r="E33">
        <v>124943</v>
      </c>
      <c r="F33">
        <v>125252</v>
      </c>
      <c r="G33">
        <v>125089</v>
      </c>
      <c r="H33">
        <v>124316</v>
      </c>
      <c r="I33">
        <v>123289</v>
      </c>
      <c r="J33">
        <v>121997</v>
      </c>
      <c r="K33">
        <v>120335</v>
      </c>
      <c r="L33">
        <v>118537</v>
      </c>
      <c r="M33">
        <v>117118</v>
      </c>
      <c r="N33">
        <v>115943</v>
      </c>
      <c r="O33">
        <v>114822</v>
      </c>
      <c r="P33">
        <v>113815</v>
      </c>
      <c r="Q33">
        <v>112189</v>
      </c>
      <c r="R33">
        <v>111428</v>
      </c>
    </row>
    <row r="34" spans="1:18">
      <c r="A34">
        <v>13380</v>
      </c>
      <c r="B34" t="s">
        <v>340</v>
      </c>
      <c r="C34" t="s">
        <v>1261</v>
      </c>
      <c r="D34" t="s">
        <v>1254</v>
      </c>
      <c r="E34">
        <v>201471</v>
      </c>
      <c r="F34">
        <v>203109</v>
      </c>
      <c r="G34">
        <v>204189</v>
      </c>
      <c r="H34">
        <v>205103</v>
      </c>
      <c r="I34">
        <v>206873</v>
      </c>
      <c r="J34">
        <v>210224</v>
      </c>
      <c r="K34">
        <v>214400</v>
      </c>
      <c r="L34">
        <v>218946</v>
      </c>
      <c r="M34">
        <v>222242</v>
      </c>
      <c r="N34">
        <v>225421</v>
      </c>
      <c r="O34">
        <v>227449</v>
      </c>
      <c r="P34">
        <v>226701</v>
      </c>
      <c r="Q34">
        <v>230598</v>
      </c>
      <c r="R34">
        <v>231919</v>
      </c>
    </row>
    <row r="35" spans="1:18">
      <c r="A35">
        <v>13460</v>
      </c>
      <c r="B35" t="s">
        <v>341</v>
      </c>
      <c r="C35" t="s">
        <v>1261</v>
      </c>
      <c r="D35" t="s">
        <v>1254</v>
      </c>
      <c r="E35">
        <v>157697</v>
      </c>
      <c r="F35">
        <v>159445</v>
      </c>
      <c r="G35">
        <v>160974</v>
      </c>
      <c r="H35">
        <v>164745</v>
      </c>
      <c r="I35">
        <v>168775</v>
      </c>
      <c r="J35">
        <v>173308</v>
      </c>
      <c r="K35">
        <v>179485</v>
      </c>
      <c r="L35">
        <v>185374</v>
      </c>
      <c r="M35">
        <v>189910</v>
      </c>
      <c r="N35">
        <v>195275</v>
      </c>
      <c r="O35">
        <v>199464</v>
      </c>
      <c r="P35">
        <v>205283</v>
      </c>
      <c r="Q35">
        <v>206483</v>
      </c>
      <c r="R35">
        <v>208513</v>
      </c>
    </row>
    <row r="36" spans="1:18">
      <c r="A36">
        <v>13740</v>
      </c>
      <c r="B36" t="s">
        <v>342</v>
      </c>
      <c r="C36" t="s">
        <v>1261</v>
      </c>
      <c r="D36" t="s">
        <v>1254</v>
      </c>
      <c r="E36">
        <v>167596</v>
      </c>
      <c r="F36">
        <v>169134</v>
      </c>
      <c r="G36">
        <v>171153</v>
      </c>
      <c r="H36">
        <v>173677</v>
      </c>
      <c r="I36">
        <v>175356</v>
      </c>
      <c r="J36">
        <v>176865</v>
      </c>
      <c r="K36">
        <v>178373</v>
      </c>
      <c r="L36">
        <v>180087</v>
      </c>
      <c r="M36">
        <v>180923</v>
      </c>
      <c r="N36">
        <v>182465</v>
      </c>
      <c r="O36">
        <v>184726</v>
      </c>
      <c r="P36">
        <v>187351</v>
      </c>
      <c r="Q36">
        <v>190275</v>
      </c>
      <c r="R36">
        <v>191435</v>
      </c>
    </row>
    <row r="37" spans="1:18">
      <c r="A37">
        <v>13780</v>
      </c>
      <c r="B37" t="s">
        <v>343</v>
      </c>
      <c r="C37" t="s">
        <v>1261</v>
      </c>
      <c r="D37" t="s">
        <v>1254</v>
      </c>
      <c r="E37">
        <v>251728</v>
      </c>
      <c r="F37">
        <v>251458</v>
      </c>
      <c r="G37">
        <v>251144</v>
      </c>
      <c r="H37">
        <v>251184</v>
      </c>
      <c r="I37">
        <v>251193</v>
      </c>
      <c r="J37">
        <v>250330</v>
      </c>
      <c r="K37">
        <v>249300</v>
      </c>
      <c r="L37">
        <v>248689</v>
      </c>
      <c r="M37">
        <v>248426</v>
      </c>
      <c r="N37">
        <v>247533</v>
      </c>
      <c r="O37">
        <v>246504</v>
      </c>
      <c r="P37">
        <v>246642</v>
      </c>
      <c r="Q37">
        <v>245024</v>
      </c>
      <c r="R37">
        <v>243792</v>
      </c>
    </row>
    <row r="38" spans="1:18">
      <c r="A38">
        <v>13820</v>
      </c>
      <c r="B38" t="s">
        <v>344</v>
      </c>
      <c r="C38" t="s">
        <v>1261</v>
      </c>
      <c r="D38" t="s">
        <v>1254</v>
      </c>
      <c r="E38">
        <v>1062299</v>
      </c>
      <c r="F38">
        <v>1066967</v>
      </c>
      <c r="G38">
        <v>1072868</v>
      </c>
      <c r="H38">
        <v>1080550</v>
      </c>
      <c r="I38">
        <v>1086106</v>
      </c>
      <c r="J38">
        <v>1092150</v>
      </c>
      <c r="K38">
        <v>1097647</v>
      </c>
      <c r="L38">
        <v>1102770</v>
      </c>
      <c r="M38">
        <v>1107463</v>
      </c>
      <c r="N38">
        <v>1112118</v>
      </c>
      <c r="O38">
        <v>1116638</v>
      </c>
      <c r="P38">
        <v>1117014</v>
      </c>
      <c r="Q38">
        <v>1116348</v>
      </c>
      <c r="R38">
        <v>1119562</v>
      </c>
    </row>
    <row r="39" spans="1:18">
      <c r="A39">
        <v>13900</v>
      </c>
      <c r="B39" t="s">
        <v>345</v>
      </c>
      <c r="C39" t="s">
        <v>1261</v>
      </c>
      <c r="D39" t="s">
        <v>1254</v>
      </c>
      <c r="E39">
        <v>111206</v>
      </c>
      <c r="F39">
        <v>113327</v>
      </c>
      <c r="G39">
        <v>116539</v>
      </c>
      <c r="H39">
        <v>120508</v>
      </c>
      <c r="I39">
        <v>123850</v>
      </c>
      <c r="J39">
        <v>127462</v>
      </c>
      <c r="K39">
        <v>129785</v>
      </c>
      <c r="L39">
        <v>131140</v>
      </c>
      <c r="M39">
        <v>131811</v>
      </c>
      <c r="N39">
        <v>132775</v>
      </c>
      <c r="O39">
        <v>133785</v>
      </c>
      <c r="P39">
        <v>134406</v>
      </c>
      <c r="Q39">
        <v>134963</v>
      </c>
      <c r="R39">
        <v>135786</v>
      </c>
    </row>
    <row r="40" spans="1:18">
      <c r="A40">
        <v>13980</v>
      </c>
      <c r="B40" t="s">
        <v>346</v>
      </c>
      <c r="C40" t="s">
        <v>1261</v>
      </c>
      <c r="D40" t="s">
        <v>1254</v>
      </c>
      <c r="E40">
        <v>163115</v>
      </c>
      <c r="F40">
        <v>163343</v>
      </c>
      <c r="G40">
        <v>163956</v>
      </c>
      <c r="H40">
        <v>165000</v>
      </c>
      <c r="I40">
        <v>165353</v>
      </c>
      <c r="J40">
        <v>165333</v>
      </c>
      <c r="K40">
        <v>166139</v>
      </c>
      <c r="L40">
        <v>166007</v>
      </c>
      <c r="M40">
        <v>166780</v>
      </c>
      <c r="N40">
        <v>166737</v>
      </c>
      <c r="O40">
        <v>166286</v>
      </c>
      <c r="P40">
        <v>165703</v>
      </c>
      <c r="Q40">
        <v>165660</v>
      </c>
      <c r="R40">
        <v>165749</v>
      </c>
    </row>
    <row r="41" spans="1:18">
      <c r="A41">
        <v>14010</v>
      </c>
      <c r="B41" t="s">
        <v>347</v>
      </c>
      <c r="C41" t="s">
        <v>1261</v>
      </c>
      <c r="D41" t="s">
        <v>1254</v>
      </c>
      <c r="E41">
        <v>169808</v>
      </c>
      <c r="F41">
        <v>170902</v>
      </c>
      <c r="G41">
        <v>172693</v>
      </c>
      <c r="H41">
        <v>174985</v>
      </c>
      <c r="I41">
        <v>174031</v>
      </c>
      <c r="J41">
        <v>173055</v>
      </c>
      <c r="K41">
        <v>172957</v>
      </c>
      <c r="L41">
        <v>172536</v>
      </c>
      <c r="M41">
        <v>172103</v>
      </c>
      <c r="N41">
        <v>170976</v>
      </c>
      <c r="O41">
        <v>170949</v>
      </c>
      <c r="P41">
        <v>171109</v>
      </c>
      <c r="Q41">
        <v>170918</v>
      </c>
      <c r="R41">
        <v>170441</v>
      </c>
    </row>
    <row r="42" spans="1:18">
      <c r="A42">
        <v>14020</v>
      </c>
      <c r="B42" t="s">
        <v>348</v>
      </c>
      <c r="C42" t="s">
        <v>1261</v>
      </c>
      <c r="D42" t="s">
        <v>1254</v>
      </c>
      <c r="E42">
        <v>159950</v>
      </c>
      <c r="F42">
        <v>160810</v>
      </c>
      <c r="G42">
        <v>161197</v>
      </c>
      <c r="H42">
        <v>160817</v>
      </c>
      <c r="I42">
        <v>161248</v>
      </c>
      <c r="J42">
        <v>161138</v>
      </c>
      <c r="K42">
        <v>161893</v>
      </c>
      <c r="L42">
        <v>161864</v>
      </c>
      <c r="M42">
        <v>161733</v>
      </c>
      <c r="N42">
        <v>161687</v>
      </c>
      <c r="O42">
        <v>160903</v>
      </c>
      <c r="P42">
        <v>161690</v>
      </c>
      <c r="Q42">
        <v>161108</v>
      </c>
      <c r="R42">
        <v>160874</v>
      </c>
    </row>
    <row r="43" spans="1:18">
      <c r="A43">
        <v>14100</v>
      </c>
      <c r="B43" t="s">
        <v>349</v>
      </c>
      <c r="C43" t="s">
        <v>1261</v>
      </c>
      <c r="D43" t="s">
        <v>1254</v>
      </c>
      <c r="E43">
        <v>85652</v>
      </c>
      <c r="F43">
        <v>85441</v>
      </c>
      <c r="G43">
        <v>85462</v>
      </c>
      <c r="H43">
        <v>85584</v>
      </c>
      <c r="I43">
        <v>85531</v>
      </c>
      <c r="J43">
        <v>84973</v>
      </c>
      <c r="K43">
        <v>84379</v>
      </c>
      <c r="L43">
        <v>83855</v>
      </c>
      <c r="M43">
        <v>83405</v>
      </c>
      <c r="N43">
        <v>83150</v>
      </c>
      <c r="O43">
        <v>82817</v>
      </c>
      <c r="P43">
        <v>83070</v>
      </c>
      <c r="Q43">
        <v>83343</v>
      </c>
      <c r="R43">
        <v>83299</v>
      </c>
    </row>
    <row r="44" spans="1:18">
      <c r="A44">
        <v>14260</v>
      </c>
      <c r="B44" t="s">
        <v>350</v>
      </c>
      <c r="C44" t="s">
        <v>1261</v>
      </c>
      <c r="D44" t="s">
        <v>1254</v>
      </c>
      <c r="E44">
        <v>617891</v>
      </c>
      <c r="F44">
        <v>627764</v>
      </c>
      <c r="G44">
        <v>637590</v>
      </c>
      <c r="H44">
        <v>649437</v>
      </c>
      <c r="I44">
        <v>662904</v>
      </c>
      <c r="J44">
        <v>674981</v>
      </c>
      <c r="K44">
        <v>691695</v>
      </c>
      <c r="L44">
        <v>710044</v>
      </c>
      <c r="M44">
        <v>729282</v>
      </c>
      <c r="N44">
        <v>749581</v>
      </c>
      <c r="O44">
        <v>770223</v>
      </c>
      <c r="P44">
        <v>797026</v>
      </c>
      <c r="Q44">
        <v>811355</v>
      </c>
      <c r="R44">
        <v>824657</v>
      </c>
    </row>
    <row r="45" spans="1:18">
      <c r="A45">
        <v>14460</v>
      </c>
      <c r="B45" t="s">
        <v>351</v>
      </c>
      <c r="C45" t="s">
        <v>1261</v>
      </c>
      <c r="D45" t="s">
        <v>1254</v>
      </c>
      <c r="E45">
        <v>4567869</v>
      </c>
      <c r="F45">
        <v>4617467</v>
      </c>
      <c r="G45">
        <v>4670666</v>
      </c>
      <c r="H45">
        <v>4723453</v>
      </c>
      <c r="I45">
        <v>4774046</v>
      </c>
      <c r="J45">
        <v>4812312</v>
      </c>
      <c r="K45">
        <v>4849741</v>
      </c>
      <c r="L45">
        <v>4889220</v>
      </c>
      <c r="M45">
        <v>4912542</v>
      </c>
      <c r="N45">
        <v>4932771</v>
      </c>
      <c r="O45">
        <v>4933650</v>
      </c>
      <c r="P45">
        <v>4906460</v>
      </c>
      <c r="Q45">
        <v>4903026</v>
      </c>
      <c r="R45">
        <v>4919179</v>
      </c>
    </row>
    <row r="46" spans="1:18">
      <c r="A46">
        <v>14500</v>
      </c>
      <c r="B46" t="s">
        <v>352</v>
      </c>
      <c r="C46" t="s">
        <v>1261</v>
      </c>
      <c r="D46" t="s">
        <v>1254</v>
      </c>
      <c r="E46">
        <v>295131</v>
      </c>
      <c r="F46">
        <v>300434</v>
      </c>
      <c r="G46">
        <v>305430</v>
      </c>
      <c r="H46">
        <v>310586</v>
      </c>
      <c r="I46">
        <v>313911</v>
      </c>
      <c r="J46">
        <v>320154</v>
      </c>
      <c r="K46">
        <v>323865</v>
      </c>
      <c r="L46">
        <v>325475</v>
      </c>
      <c r="M46">
        <v>328259</v>
      </c>
      <c r="N46">
        <v>329194</v>
      </c>
      <c r="O46">
        <v>330938</v>
      </c>
      <c r="P46">
        <v>327084</v>
      </c>
      <c r="Q46">
        <v>327339</v>
      </c>
      <c r="R46">
        <v>326831</v>
      </c>
    </row>
    <row r="47" spans="1:18">
      <c r="A47">
        <v>14540</v>
      </c>
      <c r="B47" t="s">
        <v>353</v>
      </c>
      <c r="C47" t="s">
        <v>1261</v>
      </c>
      <c r="D47" t="s">
        <v>1254</v>
      </c>
      <c r="E47">
        <v>159333</v>
      </c>
      <c r="F47">
        <v>160929</v>
      </c>
      <c r="G47">
        <v>162341</v>
      </c>
      <c r="H47">
        <v>164495</v>
      </c>
      <c r="I47">
        <v>166417</v>
      </c>
      <c r="J47">
        <v>169252</v>
      </c>
      <c r="K47">
        <v>171804</v>
      </c>
      <c r="L47">
        <v>174654</v>
      </c>
      <c r="M47">
        <v>176436</v>
      </c>
      <c r="N47">
        <v>178450</v>
      </c>
      <c r="O47">
        <v>180070</v>
      </c>
      <c r="P47">
        <v>182603</v>
      </c>
      <c r="Q47">
        <v>185996</v>
      </c>
      <c r="R47">
        <v>188840</v>
      </c>
    </row>
    <row r="48" spans="1:18">
      <c r="A48">
        <v>14740</v>
      </c>
      <c r="B48" t="s">
        <v>354</v>
      </c>
      <c r="C48" t="s">
        <v>1261</v>
      </c>
      <c r="D48" t="s">
        <v>1254</v>
      </c>
      <c r="E48">
        <v>251762</v>
      </c>
      <c r="F48">
        <v>254685</v>
      </c>
      <c r="G48">
        <v>255017</v>
      </c>
      <c r="H48">
        <v>253403</v>
      </c>
      <c r="I48">
        <v>254705</v>
      </c>
      <c r="J48">
        <v>260904</v>
      </c>
      <c r="K48">
        <v>265159</v>
      </c>
      <c r="L48">
        <v>268681</v>
      </c>
      <c r="M48">
        <v>271938</v>
      </c>
      <c r="N48">
        <v>274963</v>
      </c>
      <c r="O48">
        <v>275823</v>
      </c>
      <c r="P48">
        <v>276589</v>
      </c>
      <c r="Q48">
        <v>277813</v>
      </c>
      <c r="R48">
        <v>277658</v>
      </c>
    </row>
    <row r="49" spans="1:18">
      <c r="A49">
        <v>14860</v>
      </c>
      <c r="B49" t="s">
        <v>355</v>
      </c>
      <c r="C49" t="s">
        <v>1261</v>
      </c>
      <c r="D49" t="s">
        <v>1254</v>
      </c>
      <c r="E49">
        <v>919702</v>
      </c>
      <c r="F49">
        <v>929775</v>
      </c>
      <c r="G49">
        <v>938339</v>
      </c>
      <c r="H49">
        <v>944612</v>
      </c>
      <c r="I49">
        <v>950338</v>
      </c>
      <c r="J49">
        <v>952518</v>
      </c>
      <c r="K49">
        <v>953669</v>
      </c>
      <c r="L49">
        <v>954050</v>
      </c>
      <c r="M49">
        <v>956852</v>
      </c>
      <c r="N49">
        <v>957097</v>
      </c>
      <c r="O49">
        <v>953891</v>
      </c>
      <c r="P49">
        <v>961771</v>
      </c>
      <c r="Q49">
        <v>961923</v>
      </c>
      <c r="R49">
        <v>963780</v>
      </c>
    </row>
    <row r="50" spans="1:18">
      <c r="A50">
        <v>15180</v>
      </c>
      <c r="B50" t="s">
        <v>356</v>
      </c>
      <c r="C50" t="s">
        <v>1261</v>
      </c>
      <c r="D50" t="s">
        <v>1254</v>
      </c>
      <c r="E50">
        <v>407541</v>
      </c>
      <c r="F50">
        <v>412772</v>
      </c>
      <c r="G50">
        <v>415102</v>
      </c>
      <c r="H50">
        <v>416219</v>
      </c>
      <c r="I50">
        <v>417498</v>
      </c>
      <c r="J50">
        <v>417572</v>
      </c>
      <c r="K50">
        <v>419104</v>
      </c>
      <c r="L50">
        <v>419418</v>
      </c>
      <c r="M50">
        <v>419064</v>
      </c>
      <c r="N50">
        <v>419958</v>
      </c>
      <c r="O50">
        <v>421480</v>
      </c>
      <c r="P50">
        <v>422636</v>
      </c>
      <c r="Q50">
        <v>424911</v>
      </c>
      <c r="R50">
        <v>426710</v>
      </c>
    </row>
    <row r="51" spans="1:18">
      <c r="A51">
        <v>15260</v>
      </c>
      <c r="B51" t="s">
        <v>357</v>
      </c>
      <c r="C51" t="s">
        <v>1261</v>
      </c>
      <c r="D51" t="s">
        <v>1254</v>
      </c>
      <c r="E51">
        <v>112378</v>
      </c>
      <c r="F51">
        <v>112178</v>
      </c>
      <c r="G51">
        <v>112026</v>
      </c>
      <c r="H51">
        <v>111984</v>
      </c>
      <c r="I51">
        <v>112260</v>
      </c>
      <c r="J51">
        <v>112915</v>
      </c>
      <c r="K51">
        <v>113230</v>
      </c>
      <c r="L51">
        <v>113753</v>
      </c>
      <c r="M51">
        <v>113781</v>
      </c>
      <c r="N51">
        <v>113629</v>
      </c>
      <c r="O51">
        <v>113511</v>
      </c>
      <c r="P51">
        <v>113959</v>
      </c>
      <c r="Q51">
        <v>114538</v>
      </c>
      <c r="R51">
        <v>116074</v>
      </c>
    </row>
    <row r="52" spans="1:18">
      <c r="A52">
        <v>15380</v>
      </c>
      <c r="B52" t="s">
        <v>358</v>
      </c>
      <c r="C52" t="s">
        <v>1261</v>
      </c>
      <c r="D52" t="s">
        <v>1254</v>
      </c>
      <c r="E52">
        <v>1136632</v>
      </c>
      <c r="F52">
        <v>1140622</v>
      </c>
      <c r="G52">
        <v>1143708</v>
      </c>
      <c r="H52">
        <v>1148113</v>
      </c>
      <c r="I52">
        <v>1152225</v>
      </c>
      <c r="J52">
        <v>1154153</v>
      </c>
      <c r="K52">
        <v>1155397</v>
      </c>
      <c r="L52">
        <v>1159165</v>
      </c>
      <c r="M52">
        <v>1163185</v>
      </c>
      <c r="N52">
        <v>1165340</v>
      </c>
      <c r="O52">
        <v>1164468</v>
      </c>
      <c r="P52">
        <v>1164631</v>
      </c>
      <c r="Q52">
        <v>1158890</v>
      </c>
      <c r="R52">
        <v>1155604</v>
      </c>
    </row>
    <row r="53" spans="1:18">
      <c r="A53">
        <v>15500</v>
      </c>
      <c r="B53" t="s">
        <v>359</v>
      </c>
      <c r="C53" t="s">
        <v>1261</v>
      </c>
      <c r="D53" t="s">
        <v>1254</v>
      </c>
      <c r="E53">
        <v>151452</v>
      </c>
      <c r="F53">
        <v>152782</v>
      </c>
      <c r="G53">
        <v>153421</v>
      </c>
      <c r="H53">
        <v>154381</v>
      </c>
      <c r="I53">
        <v>155658</v>
      </c>
      <c r="J53">
        <v>157367</v>
      </c>
      <c r="K53">
        <v>160663</v>
      </c>
      <c r="L53">
        <v>163671</v>
      </c>
      <c r="M53">
        <v>166901</v>
      </c>
      <c r="N53">
        <v>169590</v>
      </c>
      <c r="O53">
        <v>171960</v>
      </c>
      <c r="P53">
        <v>173968</v>
      </c>
      <c r="Q53">
        <v>176618</v>
      </c>
      <c r="R53">
        <v>179165</v>
      </c>
    </row>
    <row r="54" spans="1:18">
      <c r="A54">
        <v>15540</v>
      </c>
      <c r="B54" t="s">
        <v>360</v>
      </c>
      <c r="C54" t="s">
        <v>1261</v>
      </c>
      <c r="D54" t="s">
        <v>1254</v>
      </c>
      <c r="E54">
        <v>211648</v>
      </c>
      <c r="F54">
        <v>213820</v>
      </c>
      <c r="G54">
        <v>215032</v>
      </c>
      <c r="H54">
        <v>216378</v>
      </c>
      <c r="I54">
        <v>217712</v>
      </c>
      <c r="J54">
        <v>219701</v>
      </c>
      <c r="K54">
        <v>220494</v>
      </c>
      <c r="L54">
        <v>222432</v>
      </c>
      <c r="M54">
        <v>223841</v>
      </c>
      <c r="N54">
        <v>224648</v>
      </c>
      <c r="O54">
        <v>225717</v>
      </c>
      <c r="P54">
        <v>227196</v>
      </c>
      <c r="Q54">
        <v>227566</v>
      </c>
      <c r="R54">
        <v>227942</v>
      </c>
    </row>
    <row r="55" spans="1:18">
      <c r="A55">
        <v>15680</v>
      </c>
      <c r="B55" t="s">
        <v>361</v>
      </c>
      <c r="C55" t="s">
        <v>1261</v>
      </c>
      <c r="D55" t="s">
        <v>1254</v>
      </c>
      <c r="E55">
        <v>105758</v>
      </c>
      <c r="F55">
        <v>107518</v>
      </c>
      <c r="G55">
        <v>108717</v>
      </c>
      <c r="H55">
        <v>109094</v>
      </c>
      <c r="I55">
        <v>109745</v>
      </c>
      <c r="J55">
        <v>110772</v>
      </c>
      <c r="K55">
        <v>111500</v>
      </c>
      <c r="L55">
        <v>112174</v>
      </c>
      <c r="M55">
        <v>112427</v>
      </c>
      <c r="N55">
        <v>113172</v>
      </c>
      <c r="O55">
        <v>113999</v>
      </c>
      <c r="P55">
        <v>114650</v>
      </c>
      <c r="Q55">
        <v>114783</v>
      </c>
      <c r="R55">
        <v>115281</v>
      </c>
    </row>
    <row r="56" spans="1:18">
      <c r="A56">
        <v>15940</v>
      </c>
      <c r="B56" t="s">
        <v>362</v>
      </c>
      <c r="C56" t="s">
        <v>1261</v>
      </c>
      <c r="D56" t="s">
        <v>1254</v>
      </c>
      <c r="E56">
        <v>404317</v>
      </c>
      <c r="F56">
        <v>403896</v>
      </c>
      <c r="G56">
        <v>404461</v>
      </c>
      <c r="H56">
        <v>404867</v>
      </c>
      <c r="I56">
        <v>405644</v>
      </c>
      <c r="J56">
        <v>404863</v>
      </c>
      <c r="K56">
        <v>403961</v>
      </c>
      <c r="L56">
        <v>402666</v>
      </c>
      <c r="M56">
        <v>402202</v>
      </c>
      <c r="N56">
        <v>401805</v>
      </c>
      <c r="O56">
        <v>401224</v>
      </c>
      <c r="P56">
        <v>400492</v>
      </c>
      <c r="Q56">
        <v>399471</v>
      </c>
      <c r="R56">
        <v>399474</v>
      </c>
    </row>
    <row r="57" spans="1:18">
      <c r="A57">
        <v>15980</v>
      </c>
      <c r="B57" t="s">
        <v>363</v>
      </c>
      <c r="C57" t="s">
        <v>1261</v>
      </c>
      <c r="D57" t="s">
        <v>1254</v>
      </c>
      <c r="E57">
        <v>619982</v>
      </c>
      <c r="F57">
        <v>628655</v>
      </c>
      <c r="G57">
        <v>639773</v>
      </c>
      <c r="H57">
        <v>653285</v>
      </c>
      <c r="I57">
        <v>668448</v>
      </c>
      <c r="J57">
        <v>688440</v>
      </c>
      <c r="K57">
        <v>708970</v>
      </c>
      <c r="L57">
        <v>723989</v>
      </c>
      <c r="M57">
        <v>735249</v>
      </c>
      <c r="N57">
        <v>749512</v>
      </c>
      <c r="O57">
        <v>765547</v>
      </c>
      <c r="P57">
        <v>790888</v>
      </c>
      <c r="Q57">
        <v>822391</v>
      </c>
      <c r="R57">
        <v>834573</v>
      </c>
    </row>
    <row r="58" spans="1:18">
      <c r="A58">
        <v>16020</v>
      </c>
      <c r="B58" t="s">
        <v>364</v>
      </c>
      <c r="C58" t="s">
        <v>1261</v>
      </c>
      <c r="D58" t="s">
        <v>1254</v>
      </c>
      <c r="E58">
        <v>96458</v>
      </c>
      <c r="F58">
        <v>97003</v>
      </c>
      <c r="G58">
        <v>97251</v>
      </c>
      <c r="H58">
        <v>97250</v>
      </c>
      <c r="I58">
        <v>97502</v>
      </c>
      <c r="J58">
        <v>97470</v>
      </c>
      <c r="K58">
        <v>97330</v>
      </c>
      <c r="L58">
        <v>97058</v>
      </c>
      <c r="M58">
        <v>97249</v>
      </c>
      <c r="N58">
        <v>97193</v>
      </c>
      <c r="O58">
        <v>97552</v>
      </c>
      <c r="P58">
        <v>97743</v>
      </c>
      <c r="Q58">
        <v>98303</v>
      </c>
      <c r="R58">
        <v>98223</v>
      </c>
    </row>
    <row r="59" spans="1:18">
      <c r="A59">
        <v>16060</v>
      </c>
      <c r="B59" t="s">
        <v>365</v>
      </c>
      <c r="C59" t="s">
        <v>1261</v>
      </c>
      <c r="D59" t="s">
        <v>1254</v>
      </c>
      <c r="E59">
        <v>139349</v>
      </c>
      <c r="F59">
        <v>139675</v>
      </c>
      <c r="G59">
        <v>138209</v>
      </c>
      <c r="H59">
        <v>139360</v>
      </c>
      <c r="I59">
        <v>138740</v>
      </c>
      <c r="J59">
        <v>138289</v>
      </c>
      <c r="K59">
        <v>137319</v>
      </c>
      <c r="L59">
        <v>135866</v>
      </c>
      <c r="M59">
        <v>134976</v>
      </c>
      <c r="N59">
        <v>133935</v>
      </c>
      <c r="O59">
        <v>133323</v>
      </c>
      <c r="P59">
        <v>132959</v>
      </c>
      <c r="Q59">
        <v>132412</v>
      </c>
      <c r="R59">
        <v>132173</v>
      </c>
    </row>
    <row r="60" spans="1:18">
      <c r="A60">
        <v>16180</v>
      </c>
      <c r="B60" t="s">
        <v>366</v>
      </c>
      <c r="C60" t="s">
        <v>1261</v>
      </c>
      <c r="D60" t="s">
        <v>1254</v>
      </c>
      <c r="E60">
        <v>55044</v>
      </c>
      <c r="F60">
        <v>54992</v>
      </c>
      <c r="G60">
        <v>54878</v>
      </c>
      <c r="H60">
        <v>54531</v>
      </c>
      <c r="I60">
        <v>55150</v>
      </c>
      <c r="J60">
        <v>55439</v>
      </c>
      <c r="K60">
        <v>55866</v>
      </c>
      <c r="L60">
        <v>56491</v>
      </c>
      <c r="M60">
        <v>57370</v>
      </c>
      <c r="N60">
        <v>58260</v>
      </c>
      <c r="O60">
        <v>58686</v>
      </c>
      <c r="P60">
        <v>58764</v>
      </c>
      <c r="Q60">
        <v>58065</v>
      </c>
      <c r="R60">
        <v>58036</v>
      </c>
    </row>
    <row r="61" spans="1:18">
      <c r="A61">
        <v>16220</v>
      </c>
      <c r="B61" t="s">
        <v>367</v>
      </c>
      <c r="C61" t="s">
        <v>1261</v>
      </c>
      <c r="D61" t="s">
        <v>1254</v>
      </c>
      <c r="E61">
        <v>75463</v>
      </c>
      <c r="F61">
        <v>76361</v>
      </c>
      <c r="G61">
        <v>78489</v>
      </c>
      <c r="H61">
        <v>80978</v>
      </c>
      <c r="I61">
        <v>81195</v>
      </c>
      <c r="J61">
        <v>81894</v>
      </c>
      <c r="K61">
        <v>80643</v>
      </c>
      <c r="L61">
        <v>79190</v>
      </c>
      <c r="M61">
        <v>78653</v>
      </c>
      <c r="N61">
        <v>79183</v>
      </c>
      <c r="O61">
        <v>80299</v>
      </c>
      <c r="P61">
        <v>79635</v>
      </c>
      <c r="Q61">
        <v>79523</v>
      </c>
      <c r="R61">
        <v>79941</v>
      </c>
    </row>
    <row r="62" spans="1:18">
      <c r="A62">
        <v>16300</v>
      </c>
      <c r="B62" t="s">
        <v>368</v>
      </c>
      <c r="C62" t="s">
        <v>1261</v>
      </c>
      <c r="D62" t="s">
        <v>1254</v>
      </c>
      <c r="E62">
        <v>258511</v>
      </c>
      <c r="F62">
        <v>261375</v>
      </c>
      <c r="G62">
        <v>262537</v>
      </c>
      <c r="H62">
        <v>263606</v>
      </c>
      <c r="I62">
        <v>265477</v>
      </c>
      <c r="J62">
        <v>267786</v>
      </c>
      <c r="K62">
        <v>269939</v>
      </c>
      <c r="L62">
        <v>272715</v>
      </c>
      <c r="M62">
        <v>274409</v>
      </c>
      <c r="N62">
        <v>275868</v>
      </c>
      <c r="O62">
        <v>276621</v>
      </c>
      <c r="P62">
        <v>276009</v>
      </c>
      <c r="Q62">
        <v>275631</v>
      </c>
      <c r="R62">
        <v>275668</v>
      </c>
    </row>
    <row r="63" spans="1:18">
      <c r="A63">
        <v>16540</v>
      </c>
      <c r="B63" t="s">
        <v>369</v>
      </c>
      <c r="C63" t="s">
        <v>1261</v>
      </c>
      <c r="D63" t="s">
        <v>1254</v>
      </c>
      <c r="E63">
        <v>149933</v>
      </c>
      <c r="F63">
        <v>150989</v>
      </c>
      <c r="G63">
        <v>151590</v>
      </c>
      <c r="H63">
        <v>152107</v>
      </c>
      <c r="I63">
        <v>152819</v>
      </c>
      <c r="J63">
        <v>153297</v>
      </c>
      <c r="K63">
        <v>154136</v>
      </c>
      <c r="L63">
        <v>154962</v>
      </c>
      <c r="M63">
        <v>155205</v>
      </c>
      <c r="N63">
        <v>155814</v>
      </c>
      <c r="O63">
        <v>155949</v>
      </c>
      <c r="P63">
        <v>156573</v>
      </c>
      <c r="Q63">
        <v>156951</v>
      </c>
      <c r="R63">
        <v>157854</v>
      </c>
    </row>
    <row r="64" spans="1:18">
      <c r="A64">
        <v>16580</v>
      </c>
      <c r="B64" t="s">
        <v>370</v>
      </c>
      <c r="C64" t="s">
        <v>1261</v>
      </c>
      <c r="D64" t="s">
        <v>1254</v>
      </c>
      <c r="E64">
        <v>218190</v>
      </c>
      <c r="F64">
        <v>219528</v>
      </c>
      <c r="G64">
        <v>220485</v>
      </c>
      <c r="H64">
        <v>221916</v>
      </c>
      <c r="I64">
        <v>223099</v>
      </c>
      <c r="J64">
        <v>224166</v>
      </c>
      <c r="K64">
        <v>224840</v>
      </c>
      <c r="L64">
        <v>224667</v>
      </c>
      <c r="M64">
        <v>223868</v>
      </c>
      <c r="N64">
        <v>222972</v>
      </c>
      <c r="O64">
        <v>222335</v>
      </c>
      <c r="P64">
        <v>223362</v>
      </c>
      <c r="Q64">
        <v>222844</v>
      </c>
      <c r="R64">
        <v>222358</v>
      </c>
    </row>
    <row r="65" spans="1:18">
      <c r="A65">
        <v>16620</v>
      </c>
      <c r="B65" t="s">
        <v>371</v>
      </c>
      <c r="C65" t="s">
        <v>1261</v>
      </c>
      <c r="D65" t="s">
        <v>1254</v>
      </c>
      <c r="E65">
        <v>277921</v>
      </c>
      <c r="F65">
        <v>277361</v>
      </c>
      <c r="G65">
        <v>277677</v>
      </c>
      <c r="H65">
        <v>276823</v>
      </c>
      <c r="I65">
        <v>275423</v>
      </c>
      <c r="J65">
        <v>273071</v>
      </c>
      <c r="K65">
        <v>270787</v>
      </c>
      <c r="L65">
        <v>267206</v>
      </c>
      <c r="M65">
        <v>263466</v>
      </c>
      <c r="N65">
        <v>260828</v>
      </c>
      <c r="O65">
        <v>258068</v>
      </c>
      <c r="P65">
        <v>255300</v>
      </c>
      <c r="Q65">
        <v>252129</v>
      </c>
      <c r="R65">
        <v>250458</v>
      </c>
    </row>
    <row r="66" spans="1:18">
      <c r="A66">
        <v>16700</v>
      </c>
      <c r="B66" t="s">
        <v>372</v>
      </c>
      <c r="C66" t="s">
        <v>1261</v>
      </c>
      <c r="D66" t="s">
        <v>1254</v>
      </c>
      <c r="E66">
        <v>667147</v>
      </c>
      <c r="F66">
        <v>679672</v>
      </c>
      <c r="G66">
        <v>693984</v>
      </c>
      <c r="H66">
        <v>707045</v>
      </c>
      <c r="I66">
        <v>721173</v>
      </c>
      <c r="J66">
        <v>738057</v>
      </c>
      <c r="K66">
        <v>752834</v>
      </c>
      <c r="L66">
        <v>765626</v>
      </c>
      <c r="M66">
        <v>776775</v>
      </c>
      <c r="N66">
        <v>789852</v>
      </c>
      <c r="O66">
        <v>803475</v>
      </c>
      <c r="P66">
        <v>814823</v>
      </c>
      <c r="Q66">
        <v>830352</v>
      </c>
      <c r="R66">
        <v>849417</v>
      </c>
    </row>
    <row r="67" spans="1:18">
      <c r="A67">
        <v>16740</v>
      </c>
      <c r="B67" t="s">
        <v>373</v>
      </c>
      <c r="C67" t="s">
        <v>1261</v>
      </c>
      <c r="D67" t="s">
        <v>1254</v>
      </c>
      <c r="E67">
        <v>2249938</v>
      </c>
      <c r="F67">
        <v>2280323</v>
      </c>
      <c r="G67">
        <v>2316865</v>
      </c>
      <c r="H67">
        <v>2355919</v>
      </c>
      <c r="I67">
        <v>2396711</v>
      </c>
      <c r="J67">
        <v>2443016</v>
      </c>
      <c r="K67">
        <v>2493738</v>
      </c>
      <c r="L67">
        <v>2542910</v>
      </c>
      <c r="M67">
        <v>2584646</v>
      </c>
      <c r="N67">
        <v>2626694</v>
      </c>
      <c r="O67">
        <v>2669651</v>
      </c>
      <c r="P67">
        <v>2707454</v>
      </c>
      <c r="Q67">
        <v>2754657</v>
      </c>
      <c r="R67">
        <v>2805115</v>
      </c>
    </row>
    <row r="68" spans="1:18">
      <c r="A68">
        <v>16820</v>
      </c>
      <c r="B68" t="s">
        <v>374</v>
      </c>
      <c r="C68" t="s">
        <v>1261</v>
      </c>
      <c r="D68" t="s">
        <v>1254</v>
      </c>
      <c r="E68">
        <v>201949</v>
      </c>
      <c r="F68">
        <v>203871</v>
      </c>
      <c r="G68">
        <v>205979</v>
      </c>
      <c r="H68">
        <v>207384</v>
      </c>
      <c r="I68">
        <v>210010</v>
      </c>
      <c r="J68">
        <v>212514</v>
      </c>
      <c r="K68">
        <v>214974</v>
      </c>
      <c r="L68">
        <v>217661</v>
      </c>
      <c r="M68">
        <v>219086</v>
      </c>
      <c r="N68">
        <v>220686</v>
      </c>
      <c r="O68">
        <v>221620</v>
      </c>
      <c r="P68">
        <v>223267</v>
      </c>
      <c r="Q68">
        <v>223996</v>
      </c>
      <c r="R68">
        <v>225127</v>
      </c>
    </row>
    <row r="69" spans="1:18">
      <c r="A69">
        <v>16860</v>
      </c>
      <c r="B69" t="s">
        <v>375</v>
      </c>
      <c r="C69" t="s">
        <v>1261</v>
      </c>
      <c r="D69" t="s">
        <v>1254</v>
      </c>
      <c r="E69">
        <v>529033</v>
      </c>
      <c r="F69">
        <v>533078</v>
      </c>
      <c r="G69">
        <v>537077</v>
      </c>
      <c r="H69">
        <v>540656</v>
      </c>
      <c r="I69">
        <v>542153</v>
      </c>
      <c r="J69">
        <v>544658</v>
      </c>
      <c r="K69">
        <v>548785</v>
      </c>
      <c r="L69">
        <v>552242</v>
      </c>
      <c r="M69">
        <v>556415</v>
      </c>
      <c r="N69">
        <v>559673</v>
      </c>
      <c r="O69">
        <v>563952</v>
      </c>
      <c r="P69">
        <v>567446</v>
      </c>
      <c r="Q69">
        <v>574461</v>
      </c>
      <c r="R69">
        <v>580971</v>
      </c>
    </row>
    <row r="70" spans="1:18">
      <c r="A70">
        <v>16940</v>
      </c>
      <c r="B70" t="s">
        <v>376</v>
      </c>
      <c r="C70" t="s">
        <v>1261</v>
      </c>
      <c r="D70" t="s">
        <v>1254</v>
      </c>
      <c r="E70">
        <v>92247</v>
      </c>
      <c r="F70">
        <v>92619</v>
      </c>
      <c r="G70">
        <v>94766</v>
      </c>
      <c r="H70">
        <v>95803</v>
      </c>
      <c r="I70">
        <v>96145</v>
      </c>
      <c r="J70">
        <v>97116</v>
      </c>
      <c r="K70">
        <v>98067</v>
      </c>
      <c r="L70">
        <v>98636</v>
      </c>
      <c r="M70">
        <v>99308</v>
      </c>
      <c r="N70">
        <v>99914</v>
      </c>
      <c r="O70">
        <v>100730</v>
      </c>
      <c r="P70">
        <v>100827</v>
      </c>
      <c r="Q70">
        <v>100781</v>
      </c>
      <c r="R70">
        <v>100984</v>
      </c>
    </row>
    <row r="71" spans="1:18">
      <c r="A71">
        <v>16980</v>
      </c>
      <c r="B71" t="s">
        <v>377</v>
      </c>
      <c r="C71" t="s">
        <v>1261</v>
      </c>
      <c r="D71" t="s">
        <v>1254</v>
      </c>
      <c r="E71">
        <v>9475529</v>
      </c>
      <c r="F71">
        <v>9525380</v>
      </c>
      <c r="G71">
        <v>9572335</v>
      </c>
      <c r="H71">
        <v>9614209</v>
      </c>
      <c r="I71">
        <v>9643982</v>
      </c>
      <c r="J71">
        <v>9655619</v>
      </c>
      <c r="K71">
        <v>9656432</v>
      </c>
      <c r="L71">
        <v>9655887</v>
      </c>
      <c r="M71">
        <v>9646352</v>
      </c>
      <c r="N71">
        <v>9634076</v>
      </c>
      <c r="O71">
        <v>9604412</v>
      </c>
      <c r="P71">
        <v>9525011</v>
      </c>
      <c r="Q71">
        <v>9447064</v>
      </c>
      <c r="R71">
        <v>9430313</v>
      </c>
    </row>
    <row r="72" spans="1:18">
      <c r="A72">
        <v>17020</v>
      </c>
      <c r="B72" t="s">
        <v>378</v>
      </c>
      <c r="C72" t="s">
        <v>1261</v>
      </c>
      <c r="D72" t="s">
        <v>1254</v>
      </c>
      <c r="E72">
        <v>219882</v>
      </c>
      <c r="F72">
        <v>219638</v>
      </c>
      <c r="G72">
        <v>220253</v>
      </c>
      <c r="H72">
        <v>220746</v>
      </c>
      <c r="I72">
        <v>222335</v>
      </c>
      <c r="J72">
        <v>223167</v>
      </c>
      <c r="K72">
        <v>224454</v>
      </c>
      <c r="L72">
        <v>226630</v>
      </c>
      <c r="M72">
        <v>227962</v>
      </c>
      <c r="N72">
        <v>216206</v>
      </c>
      <c r="O72">
        <v>210151</v>
      </c>
      <c r="P72">
        <v>206336</v>
      </c>
      <c r="Q72">
        <v>207369</v>
      </c>
      <c r="R72">
        <v>207172</v>
      </c>
    </row>
    <row r="73" spans="1:18">
      <c r="A73">
        <v>17140</v>
      </c>
      <c r="B73" t="s">
        <v>379</v>
      </c>
      <c r="C73" t="s">
        <v>1261</v>
      </c>
      <c r="D73" t="s">
        <v>1254</v>
      </c>
      <c r="E73">
        <v>2141549</v>
      </c>
      <c r="F73">
        <v>2149841</v>
      </c>
      <c r="G73">
        <v>2158821</v>
      </c>
      <c r="H73">
        <v>2170953</v>
      </c>
      <c r="I73">
        <v>2183787</v>
      </c>
      <c r="J73">
        <v>2195796</v>
      </c>
      <c r="K73">
        <v>2208942</v>
      </c>
      <c r="L73">
        <v>2222957</v>
      </c>
      <c r="M73">
        <v>2234793</v>
      </c>
      <c r="N73">
        <v>2248317</v>
      </c>
      <c r="O73">
        <v>2259056</v>
      </c>
      <c r="P73">
        <v>2259645</v>
      </c>
      <c r="Q73">
        <v>2265592</v>
      </c>
      <c r="R73">
        <v>2278452</v>
      </c>
    </row>
    <row r="74" spans="1:18">
      <c r="A74">
        <v>17300</v>
      </c>
      <c r="B74" t="s">
        <v>380</v>
      </c>
      <c r="C74" t="s">
        <v>1261</v>
      </c>
      <c r="D74" t="s">
        <v>1254</v>
      </c>
      <c r="E74">
        <v>275142</v>
      </c>
      <c r="F74">
        <v>278310</v>
      </c>
      <c r="G74">
        <v>289063</v>
      </c>
      <c r="H74">
        <v>287831</v>
      </c>
      <c r="I74">
        <v>292807</v>
      </c>
      <c r="J74">
        <v>296839</v>
      </c>
      <c r="K74">
        <v>298403</v>
      </c>
      <c r="L74">
        <v>304258</v>
      </c>
      <c r="M74">
        <v>310842</v>
      </c>
      <c r="N74">
        <v>316267</v>
      </c>
      <c r="O74">
        <v>321827</v>
      </c>
      <c r="P74">
        <v>328949</v>
      </c>
      <c r="Q74">
        <v>335527</v>
      </c>
      <c r="R74">
        <v>340495</v>
      </c>
    </row>
    <row r="75" spans="1:18">
      <c r="A75">
        <v>17420</v>
      </c>
      <c r="B75" t="s">
        <v>381</v>
      </c>
      <c r="C75" t="s">
        <v>1261</v>
      </c>
      <c r="D75" t="s">
        <v>1254</v>
      </c>
      <c r="E75">
        <v>115911</v>
      </c>
      <c r="F75">
        <v>116648</v>
      </c>
      <c r="G75">
        <v>117815</v>
      </c>
      <c r="H75">
        <v>118613</v>
      </c>
      <c r="I75">
        <v>119723</v>
      </c>
      <c r="J75">
        <v>120870</v>
      </c>
      <c r="K75">
        <v>121546</v>
      </c>
      <c r="L75">
        <v>122674</v>
      </c>
      <c r="M75">
        <v>124524</v>
      </c>
      <c r="N75">
        <v>125405</v>
      </c>
      <c r="O75">
        <v>126394</v>
      </c>
      <c r="P75">
        <v>127469</v>
      </c>
      <c r="Q75">
        <v>128317</v>
      </c>
      <c r="R75">
        <v>129612</v>
      </c>
    </row>
    <row r="76" spans="1:18">
      <c r="A76">
        <v>17460</v>
      </c>
      <c r="B76" t="s">
        <v>382</v>
      </c>
      <c r="C76" t="s">
        <v>1261</v>
      </c>
      <c r="D76" t="s">
        <v>1254</v>
      </c>
      <c r="E76">
        <v>2076521</v>
      </c>
      <c r="F76">
        <v>2074333</v>
      </c>
      <c r="G76">
        <v>2074413</v>
      </c>
      <c r="H76">
        <v>2081047</v>
      </c>
      <c r="I76">
        <v>2085571</v>
      </c>
      <c r="J76">
        <v>2086509</v>
      </c>
      <c r="K76">
        <v>2087456</v>
      </c>
      <c r="L76">
        <v>2087871</v>
      </c>
      <c r="M76">
        <v>2088149</v>
      </c>
      <c r="N76">
        <v>2087392</v>
      </c>
      <c r="O76">
        <v>2086620</v>
      </c>
      <c r="P76">
        <v>2073036</v>
      </c>
      <c r="Q76">
        <v>2063741</v>
      </c>
      <c r="R76">
        <v>2062087</v>
      </c>
    </row>
    <row r="77" spans="1:18">
      <c r="A77">
        <v>17660</v>
      </c>
      <c r="B77" t="s">
        <v>383</v>
      </c>
      <c r="C77" t="s">
        <v>1261</v>
      </c>
      <c r="D77" t="s">
        <v>1254</v>
      </c>
      <c r="E77">
        <v>138902</v>
      </c>
      <c r="F77">
        <v>141197</v>
      </c>
      <c r="G77">
        <v>142556</v>
      </c>
      <c r="H77">
        <v>144581</v>
      </c>
      <c r="I77">
        <v>147432</v>
      </c>
      <c r="J77">
        <v>150504</v>
      </c>
      <c r="K77">
        <v>154354</v>
      </c>
      <c r="L77">
        <v>158944</v>
      </c>
      <c r="M77">
        <v>162860</v>
      </c>
      <c r="N77">
        <v>167469</v>
      </c>
      <c r="O77">
        <v>172785</v>
      </c>
      <c r="P77">
        <v>180058</v>
      </c>
      <c r="Q77">
        <v>183290</v>
      </c>
      <c r="R77">
        <v>185010</v>
      </c>
    </row>
    <row r="78" spans="1:18">
      <c r="A78">
        <v>17780</v>
      </c>
      <c r="B78" t="s">
        <v>384</v>
      </c>
      <c r="C78" t="s">
        <v>1261</v>
      </c>
      <c r="D78" t="s">
        <v>1254</v>
      </c>
      <c r="E78">
        <v>229471</v>
      </c>
      <c r="F78">
        <v>231518</v>
      </c>
      <c r="G78">
        <v>234291</v>
      </c>
      <c r="H78">
        <v>238015</v>
      </c>
      <c r="I78">
        <v>243106</v>
      </c>
      <c r="J78">
        <v>250932</v>
      </c>
      <c r="K78">
        <v>254919</v>
      </c>
      <c r="L78">
        <v>259613</v>
      </c>
      <c r="M78">
        <v>262055</v>
      </c>
      <c r="N78">
        <v>265501</v>
      </c>
      <c r="O78">
        <v>268953</v>
      </c>
      <c r="P78">
        <v>272667</v>
      </c>
      <c r="Q78">
        <v>277751</v>
      </c>
      <c r="R78">
        <v>281445</v>
      </c>
    </row>
    <row r="79" spans="1:18">
      <c r="A79">
        <v>17820</v>
      </c>
      <c r="B79" t="s">
        <v>385</v>
      </c>
      <c r="C79" t="s">
        <v>1261</v>
      </c>
      <c r="D79" t="s">
        <v>1254</v>
      </c>
      <c r="E79">
        <v>650611</v>
      </c>
      <c r="F79">
        <v>661004</v>
      </c>
      <c r="G79">
        <v>669817</v>
      </c>
      <c r="H79">
        <v>679233</v>
      </c>
      <c r="I79">
        <v>687337</v>
      </c>
      <c r="J79">
        <v>698671</v>
      </c>
      <c r="K79">
        <v>714179</v>
      </c>
      <c r="L79">
        <v>727221</v>
      </c>
      <c r="M79">
        <v>739845</v>
      </c>
      <c r="N79">
        <v>749558</v>
      </c>
      <c r="O79">
        <v>757128</v>
      </c>
      <c r="P79">
        <v>762232</v>
      </c>
      <c r="Q79">
        <v>765456</v>
      </c>
      <c r="R79">
        <v>768832</v>
      </c>
    </row>
    <row r="80" spans="1:18">
      <c r="A80">
        <v>17860</v>
      </c>
      <c r="B80" t="s">
        <v>386</v>
      </c>
      <c r="C80" t="s">
        <v>1261</v>
      </c>
      <c r="D80" t="s">
        <v>1254</v>
      </c>
      <c r="E80">
        <v>190975</v>
      </c>
      <c r="F80">
        <v>194186</v>
      </c>
      <c r="G80">
        <v>196836</v>
      </c>
      <c r="H80">
        <v>199246</v>
      </c>
      <c r="I80">
        <v>201050</v>
      </c>
      <c r="J80">
        <v>202849</v>
      </c>
      <c r="K80">
        <v>204946</v>
      </c>
      <c r="L80">
        <v>206747</v>
      </c>
      <c r="M80">
        <v>208039</v>
      </c>
      <c r="N80">
        <v>209569</v>
      </c>
      <c r="O80">
        <v>210850</v>
      </c>
      <c r="P80">
        <v>212936</v>
      </c>
      <c r="Q80">
        <v>214663</v>
      </c>
      <c r="R80">
        <v>216511</v>
      </c>
    </row>
    <row r="81" spans="1:18">
      <c r="A81">
        <v>17900</v>
      </c>
      <c r="B81" t="s">
        <v>387</v>
      </c>
      <c r="C81" t="s">
        <v>1261</v>
      </c>
      <c r="D81" t="s">
        <v>1254</v>
      </c>
      <c r="E81">
        <v>769294</v>
      </c>
      <c r="F81">
        <v>774398</v>
      </c>
      <c r="G81">
        <v>779984</v>
      </c>
      <c r="H81">
        <v>786096</v>
      </c>
      <c r="I81">
        <v>792645</v>
      </c>
      <c r="J81">
        <v>801380</v>
      </c>
      <c r="K81">
        <v>807908</v>
      </c>
      <c r="L81">
        <v>813987</v>
      </c>
      <c r="M81">
        <v>819515</v>
      </c>
      <c r="N81">
        <v>825129</v>
      </c>
      <c r="O81">
        <v>830137</v>
      </c>
      <c r="P81">
        <v>837804</v>
      </c>
      <c r="Q81">
        <v>848112</v>
      </c>
      <c r="R81">
        <v>858302</v>
      </c>
    </row>
    <row r="82" spans="1:18">
      <c r="A82">
        <v>17980</v>
      </c>
      <c r="B82" t="s">
        <v>388</v>
      </c>
      <c r="C82" t="s">
        <v>1261</v>
      </c>
      <c r="D82" t="s">
        <v>1254</v>
      </c>
      <c r="E82">
        <v>309646</v>
      </c>
      <c r="F82">
        <v>316160</v>
      </c>
      <c r="G82">
        <v>324289</v>
      </c>
      <c r="H82">
        <v>330220</v>
      </c>
      <c r="I82">
        <v>328321</v>
      </c>
      <c r="J82">
        <v>326506</v>
      </c>
      <c r="K82">
        <v>323312</v>
      </c>
      <c r="L82">
        <v>320695</v>
      </c>
      <c r="M82">
        <v>323682</v>
      </c>
      <c r="N82">
        <v>327435</v>
      </c>
      <c r="O82">
        <v>329196</v>
      </c>
      <c r="P82">
        <v>326478</v>
      </c>
      <c r="Q82">
        <v>323826</v>
      </c>
      <c r="R82">
        <v>323768</v>
      </c>
    </row>
    <row r="83" spans="1:18">
      <c r="A83">
        <v>18020</v>
      </c>
      <c r="B83" t="s">
        <v>389</v>
      </c>
      <c r="C83" t="s">
        <v>1261</v>
      </c>
      <c r="D83" t="s">
        <v>1254</v>
      </c>
      <c r="E83">
        <v>76773</v>
      </c>
      <c r="F83">
        <v>77385</v>
      </c>
      <c r="G83">
        <v>78566</v>
      </c>
      <c r="H83">
        <v>79016</v>
      </c>
      <c r="I83">
        <v>79654</v>
      </c>
      <c r="J83">
        <v>80403</v>
      </c>
      <c r="K83">
        <v>81035</v>
      </c>
      <c r="L83">
        <v>80902</v>
      </c>
      <c r="M83">
        <v>81282</v>
      </c>
      <c r="N83">
        <v>82045</v>
      </c>
      <c r="O83">
        <v>82218</v>
      </c>
      <c r="P83">
        <v>82729</v>
      </c>
      <c r="Q83">
        <v>83394</v>
      </c>
      <c r="R83">
        <v>84003</v>
      </c>
    </row>
    <row r="84" spans="1:18">
      <c r="A84">
        <v>18140</v>
      </c>
      <c r="B84" t="s">
        <v>390</v>
      </c>
      <c r="C84" t="s">
        <v>1261</v>
      </c>
      <c r="D84" t="s">
        <v>1254</v>
      </c>
      <c r="E84">
        <v>1906456</v>
      </c>
      <c r="F84">
        <v>1926815</v>
      </c>
      <c r="G84">
        <v>1948076</v>
      </c>
      <c r="H84">
        <v>1975360</v>
      </c>
      <c r="I84">
        <v>2003354</v>
      </c>
      <c r="J84">
        <v>2029729</v>
      </c>
      <c r="K84">
        <v>2055047</v>
      </c>
      <c r="L84">
        <v>2085945</v>
      </c>
      <c r="M84">
        <v>2107893</v>
      </c>
      <c r="N84">
        <v>2128071</v>
      </c>
      <c r="O84">
        <v>2141895</v>
      </c>
      <c r="P84">
        <v>2146927</v>
      </c>
      <c r="Q84">
        <v>2162066</v>
      </c>
      <c r="R84">
        <v>2180271</v>
      </c>
    </row>
    <row r="85" spans="1:18">
      <c r="A85">
        <v>18580</v>
      </c>
      <c r="B85" t="s">
        <v>391</v>
      </c>
      <c r="C85" t="s">
        <v>1261</v>
      </c>
      <c r="D85" t="s">
        <v>1254</v>
      </c>
      <c r="E85">
        <v>404486</v>
      </c>
      <c r="F85">
        <v>406770</v>
      </c>
      <c r="G85">
        <v>411466</v>
      </c>
      <c r="H85">
        <v>416542</v>
      </c>
      <c r="I85">
        <v>419964</v>
      </c>
      <c r="J85">
        <v>423451</v>
      </c>
      <c r="K85">
        <v>423993</v>
      </c>
      <c r="L85">
        <v>422659</v>
      </c>
      <c r="M85">
        <v>422025</v>
      </c>
      <c r="N85">
        <v>421457</v>
      </c>
      <c r="O85">
        <v>422239</v>
      </c>
      <c r="P85">
        <v>423059</v>
      </c>
      <c r="Q85">
        <v>421677</v>
      </c>
      <c r="R85">
        <v>422949</v>
      </c>
    </row>
    <row r="86" spans="1:18">
      <c r="A86">
        <v>18700</v>
      </c>
      <c r="B86" t="s">
        <v>392</v>
      </c>
      <c r="C86" t="s">
        <v>1261</v>
      </c>
      <c r="D86" t="s">
        <v>1254</v>
      </c>
      <c r="E86">
        <v>85619</v>
      </c>
      <c r="F86">
        <v>86494</v>
      </c>
      <c r="G86">
        <v>87095</v>
      </c>
      <c r="H86">
        <v>86784</v>
      </c>
      <c r="I86">
        <v>88034</v>
      </c>
      <c r="J86">
        <v>89368</v>
      </c>
      <c r="K86">
        <v>91178</v>
      </c>
      <c r="L86">
        <v>93257</v>
      </c>
      <c r="M86">
        <v>94042</v>
      </c>
      <c r="N86">
        <v>94844</v>
      </c>
      <c r="O86">
        <v>95214</v>
      </c>
      <c r="P86">
        <v>96321</v>
      </c>
      <c r="Q86">
        <v>97661</v>
      </c>
      <c r="R86">
        <v>97713</v>
      </c>
    </row>
    <row r="87" spans="1:18">
      <c r="A87">
        <v>18880</v>
      </c>
      <c r="B87" t="s">
        <v>393</v>
      </c>
      <c r="C87" t="s">
        <v>1261</v>
      </c>
      <c r="D87" t="s">
        <v>1254</v>
      </c>
      <c r="E87">
        <v>235907</v>
      </c>
      <c r="F87">
        <v>238654</v>
      </c>
      <c r="G87">
        <v>246864</v>
      </c>
      <c r="H87">
        <v>251744</v>
      </c>
      <c r="I87">
        <v>255707</v>
      </c>
      <c r="J87">
        <v>260683</v>
      </c>
      <c r="K87">
        <v>265460</v>
      </c>
      <c r="L87">
        <v>271267</v>
      </c>
      <c r="M87">
        <v>277296</v>
      </c>
      <c r="N87">
        <v>284042</v>
      </c>
      <c r="O87">
        <v>288026</v>
      </c>
      <c r="P87">
        <v>293662</v>
      </c>
      <c r="Q87">
        <v>299868</v>
      </c>
      <c r="R87">
        <v>304818</v>
      </c>
    </row>
    <row r="88" spans="1:18">
      <c r="A88">
        <v>19060</v>
      </c>
      <c r="B88" t="s">
        <v>394</v>
      </c>
      <c r="C88" t="s">
        <v>1261</v>
      </c>
      <c r="D88" t="s">
        <v>1254</v>
      </c>
      <c r="E88">
        <v>103126</v>
      </c>
      <c r="F88">
        <v>102399</v>
      </c>
      <c r="G88">
        <v>101419</v>
      </c>
      <c r="H88">
        <v>100666</v>
      </c>
      <c r="I88">
        <v>99805</v>
      </c>
      <c r="J88">
        <v>98920</v>
      </c>
      <c r="K88">
        <v>98290</v>
      </c>
      <c r="L88">
        <v>97217</v>
      </c>
      <c r="M88">
        <v>96403</v>
      </c>
      <c r="N88">
        <v>95701</v>
      </c>
      <c r="O88">
        <v>94849</v>
      </c>
      <c r="P88">
        <v>94584</v>
      </c>
      <c r="Q88">
        <v>94168</v>
      </c>
      <c r="R88">
        <v>94140</v>
      </c>
    </row>
    <row r="89" spans="1:18">
      <c r="A89">
        <v>19100</v>
      </c>
      <c r="B89" t="s">
        <v>395</v>
      </c>
      <c r="C89" t="s">
        <v>1261</v>
      </c>
      <c r="D89" t="s">
        <v>1254</v>
      </c>
      <c r="E89">
        <v>6391451</v>
      </c>
      <c r="F89">
        <v>6507200</v>
      </c>
      <c r="G89">
        <v>6638289</v>
      </c>
      <c r="H89">
        <v>6744646</v>
      </c>
      <c r="I89">
        <v>6877353</v>
      </c>
      <c r="J89">
        <v>7026835</v>
      </c>
      <c r="K89">
        <v>7176620</v>
      </c>
      <c r="L89">
        <v>7315457</v>
      </c>
      <c r="M89">
        <v>7432101</v>
      </c>
      <c r="N89">
        <v>7545583</v>
      </c>
      <c r="O89">
        <v>7666418</v>
      </c>
      <c r="P89">
        <v>7774647</v>
      </c>
      <c r="Q89">
        <v>7947439</v>
      </c>
      <c r="R89">
        <v>8100037</v>
      </c>
    </row>
    <row r="90" spans="1:18">
      <c r="A90">
        <v>19140</v>
      </c>
      <c r="B90" t="s">
        <v>396</v>
      </c>
      <c r="C90" t="s">
        <v>1261</v>
      </c>
      <c r="D90" t="s">
        <v>1254</v>
      </c>
      <c r="E90">
        <v>142245</v>
      </c>
      <c r="F90">
        <v>142133</v>
      </c>
      <c r="G90">
        <v>141985</v>
      </c>
      <c r="H90">
        <v>141499</v>
      </c>
      <c r="I90">
        <v>141769</v>
      </c>
      <c r="J90">
        <v>142446</v>
      </c>
      <c r="K90">
        <v>142913</v>
      </c>
      <c r="L90">
        <v>143008</v>
      </c>
      <c r="M90">
        <v>142988</v>
      </c>
      <c r="N90">
        <v>143183</v>
      </c>
      <c r="O90">
        <v>142796</v>
      </c>
      <c r="P90">
        <v>142687</v>
      </c>
      <c r="Q90">
        <v>143505</v>
      </c>
      <c r="R90">
        <v>144722</v>
      </c>
    </row>
    <row r="91" spans="1:18">
      <c r="A91">
        <v>19180</v>
      </c>
      <c r="B91" t="s">
        <v>397</v>
      </c>
      <c r="C91" t="s">
        <v>1261</v>
      </c>
      <c r="D91" t="s">
        <v>1254</v>
      </c>
      <c r="E91">
        <v>81617</v>
      </c>
      <c r="F91">
        <v>81302</v>
      </c>
      <c r="G91">
        <v>80657</v>
      </c>
      <c r="H91">
        <v>80285</v>
      </c>
      <c r="I91">
        <v>79393</v>
      </c>
      <c r="J91">
        <v>78696</v>
      </c>
      <c r="K91">
        <v>77897</v>
      </c>
      <c r="L91">
        <v>77026</v>
      </c>
      <c r="M91">
        <v>75921</v>
      </c>
      <c r="N91">
        <v>74871</v>
      </c>
      <c r="O91">
        <v>74009</v>
      </c>
      <c r="P91">
        <v>73164</v>
      </c>
      <c r="Q91">
        <v>72103</v>
      </c>
      <c r="R91">
        <v>71652</v>
      </c>
    </row>
    <row r="92" spans="1:18">
      <c r="A92">
        <v>19300</v>
      </c>
      <c r="B92" t="s">
        <v>398</v>
      </c>
      <c r="C92" t="s">
        <v>1261</v>
      </c>
      <c r="D92" t="s">
        <v>1254</v>
      </c>
      <c r="E92">
        <v>183200</v>
      </c>
      <c r="F92">
        <v>186981</v>
      </c>
      <c r="G92">
        <v>190941</v>
      </c>
      <c r="H92">
        <v>196067</v>
      </c>
      <c r="I92">
        <v>200759</v>
      </c>
      <c r="J92">
        <v>204925</v>
      </c>
      <c r="K92">
        <v>210004</v>
      </c>
      <c r="L92">
        <v>215365</v>
      </c>
      <c r="M92">
        <v>221132</v>
      </c>
      <c r="N92">
        <v>227079</v>
      </c>
      <c r="O92">
        <v>233227</v>
      </c>
      <c r="P92">
        <v>239439</v>
      </c>
      <c r="Q92">
        <v>246531</v>
      </c>
      <c r="R92">
        <v>253507</v>
      </c>
    </row>
    <row r="93" spans="1:18">
      <c r="A93">
        <v>19340</v>
      </c>
      <c r="B93" t="s">
        <v>399</v>
      </c>
      <c r="C93" t="s">
        <v>1261</v>
      </c>
      <c r="D93" t="s">
        <v>1254</v>
      </c>
      <c r="E93">
        <v>379921</v>
      </c>
      <c r="F93">
        <v>381514</v>
      </c>
      <c r="G93">
        <v>383897</v>
      </c>
      <c r="H93">
        <v>385950</v>
      </c>
      <c r="I93">
        <v>386816</v>
      </c>
      <c r="J93">
        <v>386743</v>
      </c>
      <c r="K93">
        <v>386144</v>
      </c>
      <c r="L93">
        <v>385612</v>
      </c>
      <c r="M93">
        <v>385016</v>
      </c>
      <c r="N93">
        <v>384985</v>
      </c>
      <c r="O93">
        <v>383768</v>
      </c>
      <c r="P93">
        <v>381639</v>
      </c>
      <c r="Q93">
        <v>379439</v>
      </c>
      <c r="R93">
        <v>379441</v>
      </c>
    </row>
    <row r="94" spans="1:18">
      <c r="A94">
        <v>19430</v>
      </c>
      <c r="B94" t="s">
        <v>400</v>
      </c>
      <c r="C94" t="s">
        <v>1261</v>
      </c>
      <c r="D94" t="s">
        <v>1254</v>
      </c>
      <c r="E94">
        <v>799815</v>
      </c>
      <c r="F94">
        <v>801527</v>
      </c>
      <c r="G94">
        <v>802802</v>
      </c>
      <c r="H94">
        <v>803112</v>
      </c>
      <c r="I94">
        <v>803249</v>
      </c>
      <c r="J94">
        <v>802897</v>
      </c>
      <c r="K94">
        <v>805086</v>
      </c>
      <c r="L94">
        <v>807112</v>
      </c>
      <c r="M94">
        <v>809348</v>
      </c>
      <c r="N94">
        <v>812591</v>
      </c>
      <c r="O94">
        <v>814209</v>
      </c>
      <c r="P94">
        <v>813802</v>
      </c>
      <c r="Q94">
        <v>812714</v>
      </c>
      <c r="R94">
        <v>814363</v>
      </c>
    </row>
    <row r="95" spans="1:18">
      <c r="A95">
        <v>19460</v>
      </c>
      <c r="B95" t="s">
        <v>401</v>
      </c>
      <c r="C95" t="s">
        <v>1261</v>
      </c>
      <c r="D95" t="s">
        <v>1254</v>
      </c>
      <c r="E95">
        <v>154048</v>
      </c>
      <c r="F95">
        <v>154545</v>
      </c>
      <c r="G95">
        <v>154760</v>
      </c>
      <c r="H95">
        <v>154372</v>
      </c>
      <c r="I95">
        <v>154475</v>
      </c>
      <c r="J95">
        <v>154349</v>
      </c>
      <c r="K95">
        <v>154563</v>
      </c>
      <c r="L95">
        <v>154610</v>
      </c>
      <c r="M95">
        <v>155126</v>
      </c>
      <c r="N95">
        <v>155859</v>
      </c>
      <c r="O95">
        <v>156377</v>
      </c>
      <c r="P95">
        <v>156448</v>
      </c>
      <c r="Q95">
        <v>157418</v>
      </c>
      <c r="R95">
        <v>158635</v>
      </c>
    </row>
    <row r="96" spans="1:18">
      <c r="A96">
        <v>19500</v>
      </c>
      <c r="B96" t="s">
        <v>402</v>
      </c>
      <c r="C96" t="s">
        <v>1261</v>
      </c>
      <c r="D96" t="s">
        <v>1254</v>
      </c>
      <c r="E96">
        <v>110803</v>
      </c>
      <c r="F96">
        <v>110788</v>
      </c>
      <c r="G96">
        <v>110321</v>
      </c>
      <c r="H96">
        <v>109823</v>
      </c>
      <c r="I96">
        <v>108855</v>
      </c>
      <c r="J96">
        <v>107755</v>
      </c>
      <c r="K96">
        <v>106832</v>
      </c>
      <c r="L96">
        <v>105958</v>
      </c>
      <c r="M96">
        <v>105075</v>
      </c>
      <c r="N96">
        <v>104620</v>
      </c>
      <c r="O96">
        <v>103752</v>
      </c>
      <c r="P96">
        <v>102597</v>
      </c>
      <c r="Q96">
        <v>101333</v>
      </c>
      <c r="R96">
        <v>100591</v>
      </c>
    </row>
    <row r="97" spans="1:18">
      <c r="A97">
        <v>19660</v>
      </c>
      <c r="B97" t="s">
        <v>403</v>
      </c>
      <c r="C97" t="s">
        <v>1261</v>
      </c>
      <c r="D97" t="s">
        <v>1254</v>
      </c>
      <c r="E97">
        <v>590342</v>
      </c>
      <c r="F97">
        <v>591098</v>
      </c>
      <c r="G97">
        <v>593476</v>
      </c>
      <c r="H97">
        <v>598074</v>
      </c>
      <c r="I97">
        <v>605730</v>
      </c>
      <c r="J97">
        <v>617539</v>
      </c>
      <c r="K97">
        <v>631664</v>
      </c>
      <c r="L97">
        <v>643106</v>
      </c>
      <c r="M97">
        <v>652635</v>
      </c>
      <c r="N97">
        <v>661722</v>
      </c>
      <c r="O97">
        <v>671804</v>
      </c>
      <c r="P97">
        <v>687342</v>
      </c>
      <c r="Q97">
        <v>706423</v>
      </c>
      <c r="R97">
        <v>721796</v>
      </c>
    </row>
    <row r="98" spans="1:18">
      <c r="A98">
        <v>19740</v>
      </c>
      <c r="B98" t="s">
        <v>404</v>
      </c>
      <c r="C98" t="s">
        <v>1261</v>
      </c>
      <c r="D98" t="s">
        <v>1254</v>
      </c>
      <c r="E98">
        <v>2554106</v>
      </c>
      <c r="F98">
        <v>2600806</v>
      </c>
      <c r="G98">
        <v>2646393</v>
      </c>
      <c r="H98">
        <v>2694842</v>
      </c>
      <c r="I98">
        <v>2746356</v>
      </c>
      <c r="J98">
        <v>2803288</v>
      </c>
      <c r="K98">
        <v>2845074</v>
      </c>
      <c r="L98">
        <v>2877961</v>
      </c>
      <c r="M98">
        <v>2915881</v>
      </c>
      <c r="N98">
        <v>2944333</v>
      </c>
      <c r="O98">
        <v>2970119</v>
      </c>
      <c r="P98">
        <v>2978016</v>
      </c>
      <c r="Q98">
        <v>2986190</v>
      </c>
      <c r="R98">
        <v>3005131</v>
      </c>
    </row>
    <row r="99" spans="1:18">
      <c r="A99">
        <v>19780</v>
      </c>
      <c r="B99" t="s">
        <v>405</v>
      </c>
      <c r="C99" t="s">
        <v>1261</v>
      </c>
      <c r="D99" t="s">
        <v>1254</v>
      </c>
      <c r="E99">
        <v>608998</v>
      </c>
      <c r="F99">
        <v>618648</v>
      </c>
      <c r="G99">
        <v>627432</v>
      </c>
      <c r="H99">
        <v>638819</v>
      </c>
      <c r="I99">
        <v>650974</v>
      </c>
      <c r="J99">
        <v>661212</v>
      </c>
      <c r="K99">
        <v>673194</v>
      </c>
      <c r="L99">
        <v>684038</v>
      </c>
      <c r="M99">
        <v>693742</v>
      </c>
      <c r="N99">
        <v>703296</v>
      </c>
      <c r="O99">
        <v>711200</v>
      </c>
      <c r="P99">
        <v>720756</v>
      </c>
      <c r="Q99">
        <v>729303</v>
      </c>
      <c r="R99">
        <v>737164</v>
      </c>
    </row>
    <row r="100" spans="1:18">
      <c r="A100">
        <v>19820</v>
      </c>
      <c r="B100" t="s">
        <v>406</v>
      </c>
      <c r="C100" t="s">
        <v>1261</v>
      </c>
      <c r="D100" t="s">
        <v>1254</v>
      </c>
      <c r="E100">
        <v>4293284</v>
      </c>
      <c r="F100">
        <v>4301641</v>
      </c>
      <c r="G100">
        <v>4319028</v>
      </c>
      <c r="H100">
        <v>4331922</v>
      </c>
      <c r="I100">
        <v>4345692</v>
      </c>
      <c r="J100">
        <v>4352394</v>
      </c>
      <c r="K100">
        <v>4367436</v>
      </c>
      <c r="L100">
        <v>4381076</v>
      </c>
      <c r="M100">
        <v>4390557</v>
      </c>
      <c r="N100">
        <v>4394145</v>
      </c>
      <c r="O100">
        <v>4385248</v>
      </c>
      <c r="P100">
        <v>4369283</v>
      </c>
      <c r="Q100">
        <v>4348636</v>
      </c>
      <c r="R100">
        <v>4342304</v>
      </c>
    </row>
    <row r="101" spans="1:18">
      <c r="A101">
        <v>20020</v>
      </c>
      <c r="B101" t="s">
        <v>407</v>
      </c>
      <c r="C101" t="s">
        <v>1261</v>
      </c>
      <c r="D101" t="s">
        <v>1254</v>
      </c>
      <c r="E101">
        <v>145895</v>
      </c>
      <c r="F101">
        <v>146758</v>
      </c>
      <c r="G101">
        <v>147699</v>
      </c>
      <c r="H101">
        <v>147804</v>
      </c>
      <c r="I101">
        <v>148281</v>
      </c>
      <c r="J101">
        <v>148542</v>
      </c>
      <c r="K101">
        <v>148472</v>
      </c>
      <c r="L101">
        <v>148624</v>
      </c>
      <c r="M101">
        <v>149067</v>
      </c>
      <c r="N101">
        <v>150494</v>
      </c>
      <c r="O101">
        <v>151151</v>
      </c>
      <c r="P101">
        <v>151523</v>
      </c>
      <c r="Q101">
        <v>152477</v>
      </c>
      <c r="R101">
        <v>153349</v>
      </c>
    </row>
    <row r="102" spans="1:18">
      <c r="A102">
        <v>20100</v>
      </c>
      <c r="B102" t="s">
        <v>408</v>
      </c>
      <c r="C102" t="s">
        <v>1261</v>
      </c>
      <c r="D102" t="s">
        <v>1254</v>
      </c>
      <c r="E102">
        <v>162940</v>
      </c>
      <c r="F102">
        <v>164997</v>
      </c>
      <c r="G102">
        <v>167072</v>
      </c>
      <c r="H102">
        <v>168711</v>
      </c>
      <c r="I102">
        <v>171031</v>
      </c>
      <c r="J102">
        <v>172605</v>
      </c>
      <c r="K102">
        <v>173940</v>
      </c>
      <c r="L102">
        <v>175786</v>
      </c>
      <c r="M102">
        <v>177853</v>
      </c>
      <c r="N102">
        <v>180255</v>
      </c>
      <c r="O102">
        <v>182315</v>
      </c>
      <c r="P102">
        <v>185043</v>
      </c>
      <c r="Q102">
        <v>187758</v>
      </c>
      <c r="R102">
        <v>189789</v>
      </c>
    </row>
    <row r="103" spans="1:18">
      <c r="A103">
        <v>20220</v>
      </c>
      <c r="B103" t="s">
        <v>409</v>
      </c>
      <c r="C103" t="s">
        <v>1261</v>
      </c>
      <c r="D103" t="s">
        <v>1254</v>
      </c>
      <c r="E103">
        <v>93972</v>
      </c>
      <c r="F103">
        <v>94854</v>
      </c>
      <c r="G103">
        <v>95544</v>
      </c>
      <c r="H103">
        <v>96515</v>
      </c>
      <c r="I103">
        <v>97237</v>
      </c>
      <c r="J103">
        <v>97794</v>
      </c>
      <c r="K103">
        <v>97843</v>
      </c>
      <c r="L103">
        <v>98355</v>
      </c>
      <c r="M103">
        <v>98316</v>
      </c>
      <c r="N103">
        <v>98959</v>
      </c>
      <c r="O103">
        <v>99308</v>
      </c>
      <c r="P103">
        <v>98854</v>
      </c>
      <c r="Q103">
        <v>98715</v>
      </c>
      <c r="R103">
        <v>98887</v>
      </c>
    </row>
    <row r="104" spans="1:18">
      <c r="A104">
        <v>20260</v>
      </c>
      <c r="B104" t="s">
        <v>410</v>
      </c>
      <c r="C104" t="s">
        <v>1261</v>
      </c>
      <c r="D104" t="s">
        <v>1254</v>
      </c>
      <c r="E104">
        <v>290614</v>
      </c>
      <c r="F104">
        <v>290956</v>
      </c>
      <c r="G104">
        <v>290825</v>
      </c>
      <c r="H104">
        <v>291136</v>
      </c>
      <c r="I104">
        <v>291503</v>
      </c>
      <c r="J104">
        <v>291279</v>
      </c>
      <c r="K104">
        <v>291213</v>
      </c>
      <c r="L104">
        <v>291236</v>
      </c>
      <c r="M104">
        <v>291834</v>
      </c>
      <c r="N104">
        <v>291727</v>
      </c>
      <c r="O104">
        <v>291531</v>
      </c>
      <c r="P104">
        <v>291020</v>
      </c>
      <c r="Q104">
        <v>291240</v>
      </c>
      <c r="R104">
        <v>292458</v>
      </c>
    </row>
    <row r="105" spans="1:18">
      <c r="A105">
        <v>20500</v>
      </c>
      <c r="B105" t="s">
        <v>411</v>
      </c>
      <c r="C105" t="s">
        <v>1261</v>
      </c>
      <c r="D105" t="s">
        <v>1254</v>
      </c>
      <c r="E105">
        <v>566275</v>
      </c>
      <c r="F105">
        <v>572531</v>
      </c>
      <c r="G105">
        <v>581763</v>
      </c>
      <c r="H105">
        <v>590363</v>
      </c>
      <c r="I105">
        <v>599215</v>
      </c>
      <c r="J105">
        <v>607634</v>
      </c>
      <c r="K105">
        <v>617947</v>
      </c>
      <c r="L105">
        <v>625313</v>
      </c>
      <c r="M105">
        <v>637232</v>
      </c>
      <c r="N105">
        <v>644257</v>
      </c>
      <c r="O105">
        <v>646081</v>
      </c>
      <c r="P105">
        <v>657196</v>
      </c>
      <c r="Q105">
        <v>664529</v>
      </c>
      <c r="R105">
        <v>671071</v>
      </c>
    </row>
    <row r="106" spans="1:18">
      <c r="A106">
        <v>20700</v>
      </c>
      <c r="B106" t="s">
        <v>412</v>
      </c>
      <c r="C106" t="s">
        <v>1261</v>
      </c>
      <c r="D106" t="s">
        <v>1254</v>
      </c>
      <c r="E106">
        <v>169809</v>
      </c>
      <c r="F106">
        <v>169701</v>
      </c>
      <c r="G106">
        <v>168281</v>
      </c>
      <c r="H106">
        <v>166870</v>
      </c>
      <c r="I106">
        <v>166649</v>
      </c>
      <c r="J106">
        <v>165695</v>
      </c>
      <c r="K106">
        <v>165244</v>
      </c>
      <c r="L106">
        <v>166769</v>
      </c>
      <c r="M106">
        <v>168072</v>
      </c>
      <c r="N106">
        <v>168447</v>
      </c>
      <c r="O106">
        <v>168314</v>
      </c>
      <c r="P106">
        <v>168676</v>
      </c>
      <c r="Q106">
        <v>167451</v>
      </c>
      <c r="R106">
        <v>166053</v>
      </c>
    </row>
    <row r="107" spans="1:18">
      <c r="A107">
        <v>20740</v>
      </c>
      <c r="B107" t="s">
        <v>413</v>
      </c>
      <c r="C107" t="s">
        <v>1261</v>
      </c>
      <c r="D107" t="s">
        <v>1254</v>
      </c>
      <c r="E107">
        <v>161709</v>
      </c>
      <c r="F107">
        <v>163165</v>
      </c>
      <c r="G107">
        <v>164387</v>
      </c>
      <c r="H107">
        <v>165547</v>
      </c>
      <c r="I107">
        <v>165972</v>
      </c>
      <c r="J107">
        <v>166668</v>
      </c>
      <c r="K107">
        <v>167865</v>
      </c>
      <c r="L107">
        <v>168956</v>
      </c>
      <c r="M107">
        <v>170097</v>
      </c>
      <c r="N107">
        <v>171106</v>
      </c>
      <c r="O107">
        <v>172238</v>
      </c>
      <c r="P107">
        <v>172607</v>
      </c>
      <c r="Q107">
        <v>173539</v>
      </c>
      <c r="R107">
        <v>174873</v>
      </c>
    </row>
    <row r="108" spans="1:18">
      <c r="A108">
        <v>20940</v>
      </c>
      <c r="B108" t="s">
        <v>414</v>
      </c>
      <c r="C108" t="s">
        <v>1261</v>
      </c>
      <c r="D108" t="s">
        <v>1254</v>
      </c>
      <c r="E108">
        <v>174685</v>
      </c>
      <c r="F108">
        <v>175632</v>
      </c>
      <c r="G108">
        <v>176308</v>
      </c>
      <c r="H108">
        <v>176043</v>
      </c>
      <c r="I108">
        <v>177447</v>
      </c>
      <c r="J108">
        <v>178280</v>
      </c>
      <c r="K108">
        <v>179377</v>
      </c>
      <c r="L108">
        <v>180662</v>
      </c>
      <c r="M108">
        <v>180396</v>
      </c>
      <c r="N108">
        <v>179694</v>
      </c>
      <c r="O108">
        <v>179612</v>
      </c>
      <c r="P108">
        <v>179138</v>
      </c>
      <c r="Q108">
        <v>178940</v>
      </c>
      <c r="R108">
        <v>179057</v>
      </c>
    </row>
    <row r="109" spans="1:18">
      <c r="A109">
        <v>21060</v>
      </c>
      <c r="B109" t="s">
        <v>415</v>
      </c>
      <c r="C109" t="s">
        <v>1261</v>
      </c>
      <c r="D109" t="s">
        <v>1254</v>
      </c>
      <c r="E109">
        <v>149882</v>
      </c>
      <c r="F109">
        <v>151525</v>
      </c>
      <c r="G109">
        <v>151871</v>
      </c>
      <c r="H109">
        <v>152744</v>
      </c>
      <c r="I109">
        <v>152356</v>
      </c>
      <c r="J109">
        <v>148904</v>
      </c>
      <c r="K109">
        <v>149841</v>
      </c>
      <c r="L109">
        <v>151451</v>
      </c>
      <c r="M109">
        <v>154405</v>
      </c>
      <c r="N109">
        <v>155123</v>
      </c>
      <c r="O109">
        <v>155728</v>
      </c>
      <c r="P109">
        <v>157024</v>
      </c>
      <c r="Q109">
        <v>156903</v>
      </c>
      <c r="R109">
        <v>157707</v>
      </c>
    </row>
    <row r="110" spans="1:18">
      <c r="A110">
        <v>21140</v>
      </c>
      <c r="B110" t="s">
        <v>416</v>
      </c>
      <c r="C110" t="s">
        <v>1261</v>
      </c>
      <c r="D110" t="s">
        <v>1254</v>
      </c>
      <c r="E110">
        <v>197472</v>
      </c>
      <c r="F110">
        <v>198387</v>
      </c>
      <c r="G110">
        <v>199160</v>
      </c>
      <c r="H110">
        <v>200474</v>
      </c>
      <c r="I110">
        <v>201774</v>
      </c>
      <c r="J110">
        <v>203430</v>
      </c>
      <c r="K110">
        <v>204114</v>
      </c>
      <c r="L110">
        <v>204843</v>
      </c>
      <c r="M110">
        <v>206230</v>
      </c>
      <c r="N110">
        <v>206985</v>
      </c>
      <c r="O110">
        <v>206991</v>
      </c>
      <c r="P110">
        <v>207054</v>
      </c>
      <c r="Q110">
        <v>206873</v>
      </c>
      <c r="R110">
        <v>206409</v>
      </c>
    </row>
    <row r="111" spans="1:18">
      <c r="A111">
        <v>21300</v>
      </c>
      <c r="B111" t="s">
        <v>417</v>
      </c>
      <c r="C111" t="s">
        <v>1261</v>
      </c>
      <c r="D111" t="s">
        <v>1254</v>
      </c>
      <c r="E111">
        <v>88931</v>
      </c>
      <c r="F111">
        <v>89095</v>
      </c>
      <c r="G111">
        <v>89483</v>
      </c>
      <c r="H111">
        <v>88686</v>
      </c>
      <c r="I111">
        <v>87826</v>
      </c>
      <c r="J111">
        <v>87489</v>
      </c>
      <c r="K111">
        <v>86535</v>
      </c>
      <c r="L111">
        <v>85793</v>
      </c>
      <c r="M111">
        <v>85126</v>
      </c>
      <c r="N111">
        <v>84622</v>
      </c>
      <c r="O111">
        <v>83668</v>
      </c>
      <c r="P111">
        <v>83039</v>
      </c>
      <c r="Q111">
        <v>81641</v>
      </c>
      <c r="R111">
        <v>81325</v>
      </c>
    </row>
    <row r="112" spans="1:18">
      <c r="A112">
        <v>21340</v>
      </c>
      <c r="B112" t="s">
        <v>418</v>
      </c>
      <c r="C112" t="s">
        <v>1261</v>
      </c>
      <c r="D112" t="s">
        <v>1254</v>
      </c>
      <c r="E112">
        <v>807558</v>
      </c>
      <c r="F112">
        <v>825963</v>
      </c>
      <c r="G112">
        <v>840532</v>
      </c>
      <c r="H112">
        <v>841232</v>
      </c>
      <c r="I112">
        <v>846285</v>
      </c>
      <c r="J112">
        <v>846733</v>
      </c>
      <c r="K112">
        <v>852347</v>
      </c>
      <c r="L112">
        <v>856887</v>
      </c>
      <c r="M112">
        <v>858769</v>
      </c>
      <c r="N112">
        <v>863056</v>
      </c>
      <c r="O112">
        <v>869802</v>
      </c>
      <c r="P112">
        <v>870774</v>
      </c>
      <c r="Q112">
        <v>870655</v>
      </c>
      <c r="R112">
        <v>873331</v>
      </c>
    </row>
    <row r="113" spans="1:18">
      <c r="A113">
        <v>21420</v>
      </c>
      <c r="B113" t="s">
        <v>419</v>
      </c>
      <c r="C113" t="s">
        <v>1261</v>
      </c>
      <c r="D113" t="s">
        <v>1254</v>
      </c>
      <c r="E113">
        <v>60815</v>
      </c>
      <c r="F113">
        <v>60987</v>
      </c>
      <c r="G113">
        <v>61762</v>
      </c>
      <c r="H113">
        <v>62948</v>
      </c>
      <c r="I113">
        <v>63563</v>
      </c>
      <c r="J113">
        <v>64191</v>
      </c>
      <c r="K113">
        <v>63696</v>
      </c>
      <c r="L113">
        <v>62990</v>
      </c>
      <c r="M113">
        <v>62703</v>
      </c>
      <c r="N113">
        <v>62936</v>
      </c>
      <c r="O113">
        <v>62691</v>
      </c>
      <c r="P113">
        <v>61964</v>
      </c>
      <c r="Q113">
        <v>61951</v>
      </c>
      <c r="R113">
        <v>62023</v>
      </c>
    </row>
    <row r="114" spans="1:18">
      <c r="A114">
        <v>21500</v>
      </c>
      <c r="B114" t="s">
        <v>420</v>
      </c>
      <c r="C114" t="s">
        <v>1261</v>
      </c>
      <c r="D114" t="s">
        <v>1254</v>
      </c>
      <c r="E114">
        <v>280864</v>
      </c>
      <c r="F114">
        <v>281521</v>
      </c>
      <c r="G114">
        <v>281914</v>
      </c>
      <c r="H114">
        <v>281621</v>
      </c>
      <c r="I114">
        <v>280592</v>
      </c>
      <c r="J114">
        <v>279599</v>
      </c>
      <c r="K114">
        <v>277995</v>
      </c>
      <c r="L114">
        <v>275410</v>
      </c>
      <c r="M114">
        <v>273535</v>
      </c>
      <c r="N114">
        <v>271476</v>
      </c>
      <c r="O114">
        <v>270578</v>
      </c>
      <c r="P114">
        <v>269257</v>
      </c>
      <c r="Q114">
        <v>268840</v>
      </c>
      <c r="R114">
        <v>267571</v>
      </c>
    </row>
    <row r="115" spans="1:18">
      <c r="A115">
        <v>21660</v>
      </c>
      <c r="B115" t="s">
        <v>421</v>
      </c>
      <c r="C115" t="s">
        <v>1261</v>
      </c>
      <c r="D115" t="s">
        <v>1254</v>
      </c>
      <c r="E115">
        <v>351945</v>
      </c>
      <c r="F115">
        <v>354104</v>
      </c>
      <c r="G115">
        <v>355191</v>
      </c>
      <c r="H115">
        <v>355618</v>
      </c>
      <c r="I115">
        <v>358230</v>
      </c>
      <c r="J115">
        <v>362208</v>
      </c>
      <c r="K115">
        <v>369149</v>
      </c>
      <c r="L115">
        <v>375633</v>
      </c>
      <c r="M115">
        <v>378749</v>
      </c>
      <c r="N115">
        <v>382003</v>
      </c>
      <c r="O115">
        <v>383308</v>
      </c>
      <c r="P115">
        <v>384121</v>
      </c>
      <c r="Q115">
        <v>382181</v>
      </c>
      <c r="R115">
        <v>381181</v>
      </c>
    </row>
    <row r="116" spans="1:18">
      <c r="A116">
        <v>21780</v>
      </c>
      <c r="B116" t="s">
        <v>422</v>
      </c>
      <c r="C116" t="s">
        <v>1261</v>
      </c>
      <c r="D116" t="s">
        <v>1254</v>
      </c>
      <c r="E116">
        <v>311769</v>
      </c>
      <c r="F116">
        <v>312540</v>
      </c>
      <c r="G116">
        <v>313133</v>
      </c>
      <c r="H116">
        <v>313912</v>
      </c>
      <c r="I116">
        <v>314315</v>
      </c>
      <c r="J116">
        <v>314320</v>
      </c>
      <c r="K116">
        <v>314468</v>
      </c>
      <c r="L116">
        <v>313795</v>
      </c>
      <c r="M116">
        <v>313392</v>
      </c>
      <c r="N116">
        <v>313624</v>
      </c>
      <c r="O116">
        <v>314195</v>
      </c>
      <c r="P116">
        <v>314405</v>
      </c>
      <c r="Q116">
        <v>313924</v>
      </c>
      <c r="R116">
        <v>314836</v>
      </c>
    </row>
    <row r="117" spans="1:18">
      <c r="A117">
        <v>21820</v>
      </c>
      <c r="B117" t="s">
        <v>423</v>
      </c>
      <c r="C117" t="s">
        <v>1261</v>
      </c>
      <c r="D117" t="s">
        <v>1254</v>
      </c>
      <c r="E117">
        <v>98262</v>
      </c>
      <c r="F117">
        <v>98101</v>
      </c>
      <c r="G117">
        <v>100297</v>
      </c>
      <c r="H117">
        <v>100913</v>
      </c>
      <c r="I117">
        <v>99236</v>
      </c>
      <c r="J117">
        <v>99607</v>
      </c>
      <c r="K117">
        <v>100639</v>
      </c>
      <c r="L117">
        <v>99641</v>
      </c>
      <c r="M117">
        <v>98443</v>
      </c>
      <c r="N117">
        <v>96755</v>
      </c>
      <c r="O117">
        <v>95337</v>
      </c>
      <c r="P117">
        <v>95593</v>
      </c>
      <c r="Q117">
        <v>95202</v>
      </c>
      <c r="R117">
        <v>94840</v>
      </c>
    </row>
    <row r="118" spans="1:18">
      <c r="A118">
        <v>22020</v>
      </c>
      <c r="B118" t="s">
        <v>424</v>
      </c>
      <c r="C118" t="s">
        <v>1261</v>
      </c>
      <c r="D118" t="s">
        <v>1254</v>
      </c>
      <c r="E118">
        <v>209505</v>
      </c>
      <c r="F118">
        <v>213501</v>
      </c>
      <c r="G118">
        <v>218133</v>
      </c>
      <c r="H118">
        <v>224134</v>
      </c>
      <c r="I118">
        <v>228801</v>
      </c>
      <c r="J118">
        <v>234149</v>
      </c>
      <c r="K118">
        <v>238729</v>
      </c>
      <c r="L118">
        <v>243239</v>
      </c>
      <c r="M118">
        <v>246383</v>
      </c>
      <c r="N118">
        <v>248298</v>
      </c>
      <c r="O118">
        <v>250220</v>
      </c>
      <c r="P118">
        <v>255028</v>
      </c>
      <c r="Q118">
        <v>258573</v>
      </c>
      <c r="R118">
        <v>262620</v>
      </c>
    </row>
    <row r="119" spans="1:18">
      <c r="A119">
        <v>22140</v>
      </c>
      <c r="B119" t="s">
        <v>425</v>
      </c>
      <c r="C119" t="s">
        <v>1261</v>
      </c>
      <c r="D119" t="s">
        <v>1254</v>
      </c>
      <c r="E119">
        <v>130161</v>
      </c>
      <c r="F119">
        <v>129495</v>
      </c>
      <c r="G119">
        <v>129365</v>
      </c>
      <c r="H119">
        <v>128892</v>
      </c>
      <c r="I119">
        <v>128335</v>
      </c>
      <c r="J119">
        <v>127330</v>
      </c>
      <c r="K119">
        <v>126832</v>
      </c>
      <c r="L119">
        <v>125687</v>
      </c>
      <c r="M119">
        <v>124131</v>
      </c>
      <c r="N119">
        <v>122339</v>
      </c>
      <c r="O119">
        <v>121376</v>
      </c>
      <c r="P119">
        <v>120996</v>
      </c>
      <c r="Q119">
        <v>120569</v>
      </c>
      <c r="R119">
        <v>120675</v>
      </c>
    </row>
    <row r="120" spans="1:18">
      <c r="A120">
        <v>22180</v>
      </c>
      <c r="B120" t="s">
        <v>426</v>
      </c>
      <c r="C120" t="s">
        <v>1261</v>
      </c>
      <c r="D120" t="s">
        <v>1254</v>
      </c>
      <c r="E120">
        <v>490322</v>
      </c>
      <c r="F120">
        <v>498360</v>
      </c>
      <c r="G120">
        <v>501175</v>
      </c>
      <c r="H120">
        <v>506974</v>
      </c>
      <c r="I120">
        <v>507688</v>
      </c>
      <c r="J120">
        <v>508274</v>
      </c>
      <c r="K120">
        <v>512445</v>
      </c>
      <c r="L120">
        <v>512370</v>
      </c>
      <c r="M120">
        <v>516726</v>
      </c>
      <c r="N120">
        <v>519801</v>
      </c>
      <c r="O120">
        <v>521463</v>
      </c>
      <c r="P120">
        <v>526653</v>
      </c>
      <c r="Q120">
        <v>528950</v>
      </c>
      <c r="R120">
        <v>533813</v>
      </c>
    </row>
    <row r="121" spans="1:18">
      <c r="A121">
        <v>22220</v>
      </c>
      <c r="B121" t="s">
        <v>427</v>
      </c>
      <c r="C121" t="s">
        <v>1261</v>
      </c>
      <c r="D121" t="s">
        <v>1254</v>
      </c>
      <c r="E121">
        <v>442335</v>
      </c>
      <c r="F121">
        <v>453091</v>
      </c>
      <c r="G121">
        <v>462670</v>
      </c>
      <c r="H121">
        <v>471687</v>
      </c>
      <c r="I121">
        <v>481205</v>
      </c>
      <c r="J121">
        <v>492594</v>
      </c>
      <c r="K121">
        <v>504839</v>
      </c>
      <c r="L121">
        <v>516787</v>
      </c>
      <c r="M121">
        <v>526546</v>
      </c>
      <c r="N121">
        <v>536574</v>
      </c>
      <c r="O121">
        <v>549937</v>
      </c>
      <c r="P121">
        <v>563008</v>
      </c>
      <c r="Q121">
        <v>576967</v>
      </c>
      <c r="R121">
        <v>590337</v>
      </c>
    </row>
    <row r="122" spans="1:18">
      <c r="A122">
        <v>22380</v>
      </c>
      <c r="B122" t="s">
        <v>428</v>
      </c>
      <c r="C122" t="s">
        <v>1261</v>
      </c>
      <c r="D122" t="s">
        <v>1254</v>
      </c>
      <c r="E122">
        <v>134680</v>
      </c>
      <c r="F122">
        <v>134590</v>
      </c>
      <c r="G122">
        <v>136717</v>
      </c>
      <c r="H122">
        <v>137531</v>
      </c>
      <c r="I122">
        <v>138656</v>
      </c>
      <c r="J122">
        <v>140326</v>
      </c>
      <c r="K122">
        <v>142091</v>
      </c>
      <c r="L122">
        <v>143036</v>
      </c>
      <c r="M122">
        <v>144921</v>
      </c>
      <c r="N122">
        <v>146244</v>
      </c>
      <c r="O122">
        <v>145192</v>
      </c>
      <c r="P122">
        <v>142897</v>
      </c>
      <c r="Q122">
        <v>144223</v>
      </c>
      <c r="R122">
        <v>144472</v>
      </c>
    </row>
    <row r="123" spans="1:18">
      <c r="A123">
        <v>22420</v>
      </c>
      <c r="B123" t="s">
        <v>429</v>
      </c>
      <c r="C123" t="s">
        <v>1261</v>
      </c>
      <c r="D123" t="s">
        <v>1254</v>
      </c>
      <c r="E123">
        <v>424983</v>
      </c>
      <c r="F123">
        <v>422179</v>
      </c>
      <c r="G123">
        <v>418453</v>
      </c>
      <c r="H123">
        <v>416016</v>
      </c>
      <c r="I123">
        <v>413344</v>
      </c>
      <c r="J123">
        <v>411060</v>
      </c>
      <c r="K123">
        <v>409634</v>
      </c>
      <c r="L123">
        <v>408345</v>
      </c>
      <c r="M123">
        <v>407386</v>
      </c>
      <c r="N123">
        <v>406554</v>
      </c>
      <c r="O123">
        <v>405777</v>
      </c>
      <c r="P123">
        <v>404627</v>
      </c>
      <c r="Q123">
        <v>401923</v>
      </c>
      <c r="R123">
        <v>401522</v>
      </c>
    </row>
    <row r="124" spans="1:18">
      <c r="A124">
        <v>22500</v>
      </c>
      <c r="B124" t="s">
        <v>430</v>
      </c>
      <c r="C124" t="s">
        <v>1261</v>
      </c>
      <c r="D124" t="s">
        <v>1254</v>
      </c>
      <c r="E124">
        <v>205556</v>
      </c>
      <c r="F124">
        <v>205247</v>
      </c>
      <c r="G124">
        <v>205034</v>
      </c>
      <c r="H124">
        <v>204533</v>
      </c>
      <c r="I124">
        <v>204537</v>
      </c>
      <c r="J124">
        <v>203913</v>
      </c>
      <c r="K124">
        <v>203128</v>
      </c>
      <c r="L124">
        <v>202254</v>
      </c>
      <c r="M124">
        <v>201378</v>
      </c>
      <c r="N124">
        <v>200647</v>
      </c>
      <c r="O124">
        <v>199665</v>
      </c>
      <c r="P124">
        <v>199126</v>
      </c>
      <c r="Q124">
        <v>199176</v>
      </c>
      <c r="R124">
        <v>199630</v>
      </c>
    </row>
    <row r="125" spans="1:18">
      <c r="A125">
        <v>22520</v>
      </c>
      <c r="B125" t="s">
        <v>431</v>
      </c>
      <c r="C125" t="s">
        <v>1261</v>
      </c>
      <c r="D125" t="s">
        <v>1254</v>
      </c>
      <c r="E125">
        <v>147319</v>
      </c>
      <c r="F125">
        <v>147424</v>
      </c>
      <c r="G125">
        <v>147740</v>
      </c>
      <c r="H125">
        <v>147964</v>
      </c>
      <c r="I125">
        <v>148422</v>
      </c>
      <c r="J125">
        <v>148058</v>
      </c>
      <c r="K125">
        <v>148304</v>
      </c>
      <c r="L125">
        <v>148895</v>
      </c>
      <c r="M125">
        <v>149427</v>
      </c>
      <c r="N125">
        <v>150210</v>
      </c>
      <c r="O125">
        <v>151329</v>
      </c>
      <c r="P125">
        <v>152497</v>
      </c>
      <c r="Q125">
        <v>153868</v>
      </c>
      <c r="R125">
        <v>155175</v>
      </c>
    </row>
    <row r="126" spans="1:18">
      <c r="A126">
        <v>22540</v>
      </c>
      <c r="B126" t="s">
        <v>432</v>
      </c>
      <c r="C126" t="s">
        <v>1261</v>
      </c>
      <c r="D126" t="s">
        <v>1254</v>
      </c>
      <c r="E126">
        <v>101608</v>
      </c>
      <c r="F126">
        <v>101969</v>
      </c>
      <c r="G126">
        <v>102067</v>
      </c>
      <c r="H126">
        <v>102191</v>
      </c>
      <c r="I126">
        <v>102495</v>
      </c>
      <c r="J126">
        <v>102590</v>
      </c>
      <c r="K126">
        <v>102927</v>
      </c>
      <c r="L126">
        <v>103180</v>
      </c>
      <c r="M126">
        <v>103754</v>
      </c>
      <c r="N126">
        <v>104175</v>
      </c>
      <c r="O126">
        <v>104169</v>
      </c>
      <c r="P126">
        <v>104116</v>
      </c>
      <c r="Q126">
        <v>103812</v>
      </c>
      <c r="R126">
        <v>103948</v>
      </c>
    </row>
    <row r="127" spans="1:18">
      <c r="A127">
        <v>22660</v>
      </c>
      <c r="B127" t="s">
        <v>433</v>
      </c>
      <c r="C127" t="s">
        <v>1261</v>
      </c>
      <c r="D127" t="s">
        <v>1254</v>
      </c>
      <c r="E127">
        <v>300434</v>
      </c>
      <c r="F127">
        <v>305227</v>
      </c>
      <c r="G127">
        <v>310813</v>
      </c>
      <c r="H127">
        <v>316178</v>
      </c>
      <c r="I127">
        <v>323942</v>
      </c>
      <c r="J127">
        <v>333219</v>
      </c>
      <c r="K127">
        <v>338891</v>
      </c>
      <c r="L127">
        <v>343920</v>
      </c>
      <c r="M127">
        <v>350367</v>
      </c>
      <c r="N127">
        <v>356472</v>
      </c>
      <c r="O127">
        <v>359923</v>
      </c>
      <c r="P127">
        <v>362747</v>
      </c>
      <c r="Q127">
        <v>367577</v>
      </c>
      <c r="R127">
        <v>370771</v>
      </c>
    </row>
    <row r="128" spans="1:18">
      <c r="A128">
        <v>22900</v>
      </c>
      <c r="B128" t="s">
        <v>434</v>
      </c>
      <c r="C128" t="s">
        <v>1261</v>
      </c>
      <c r="D128" t="s">
        <v>1254</v>
      </c>
      <c r="E128">
        <v>248243</v>
      </c>
      <c r="F128">
        <v>248560</v>
      </c>
      <c r="G128">
        <v>248245</v>
      </c>
      <c r="H128">
        <v>246769</v>
      </c>
      <c r="I128">
        <v>245849</v>
      </c>
      <c r="J128">
        <v>245866</v>
      </c>
      <c r="K128">
        <v>245667</v>
      </c>
      <c r="L128">
        <v>246078</v>
      </c>
      <c r="M128">
        <v>245468</v>
      </c>
      <c r="N128">
        <v>244808</v>
      </c>
      <c r="O128">
        <v>244346</v>
      </c>
      <c r="P128">
        <v>245432</v>
      </c>
      <c r="Q128">
        <v>247221</v>
      </c>
      <c r="R128">
        <v>248748</v>
      </c>
    </row>
    <row r="129" spans="1:18">
      <c r="A129">
        <v>23060</v>
      </c>
      <c r="B129" t="s">
        <v>435</v>
      </c>
      <c r="C129" t="s">
        <v>1261</v>
      </c>
      <c r="D129" t="s">
        <v>1254</v>
      </c>
      <c r="E129">
        <v>389395</v>
      </c>
      <c r="F129">
        <v>392816</v>
      </c>
      <c r="G129">
        <v>395090</v>
      </c>
      <c r="H129">
        <v>397892</v>
      </c>
      <c r="I129">
        <v>400246</v>
      </c>
      <c r="J129">
        <v>402877</v>
      </c>
      <c r="K129">
        <v>405304</v>
      </c>
      <c r="L129">
        <v>408212</v>
      </c>
      <c r="M129">
        <v>412177</v>
      </c>
      <c r="N129">
        <v>416338</v>
      </c>
      <c r="O129">
        <v>420432</v>
      </c>
      <c r="P129">
        <v>423633</v>
      </c>
      <c r="Q129">
        <v>426221</v>
      </c>
      <c r="R129">
        <v>429287</v>
      </c>
    </row>
    <row r="130" spans="1:18">
      <c r="A130">
        <v>23420</v>
      </c>
      <c r="B130" t="s">
        <v>436</v>
      </c>
      <c r="C130" t="s">
        <v>1261</v>
      </c>
      <c r="D130" t="s">
        <v>1254</v>
      </c>
      <c r="E130">
        <v>932185</v>
      </c>
      <c r="F130">
        <v>940133</v>
      </c>
      <c r="G130">
        <v>946381</v>
      </c>
      <c r="H130">
        <v>953473</v>
      </c>
      <c r="I130">
        <v>963149</v>
      </c>
      <c r="J130">
        <v>972726</v>
      </c>
      <c r="K130">
        <v>980843</v>
      </c>
      <c r="L130">
        <v>990130</v>
      </c>
      <c r="M130">
        <v>997501</v>
      </c>
      <c r="N130">
        <v>1004849</v>
      </c>
      <c r="O130">
        <v>1009552</v>
      </c>
      <c r="P130">
        <v>1013103</v>
      </c>
      <c r="Q130">
        <v>1015359</v>
      </c>
      <c r="R130">
        <v>1017162</v>
      </c>
    </row>
    <row r="131" spans="1:18">
      <c r="A131">
        <v>23460</v>
      </c>
      <c r="B131" t="s">
        <v>437</v>
      </c>
      <c r="C131" t="s">
        <v>1261</v>
      </c>
      <c r="D131" t="s">
        <v>1254</v>
      </c>
      <c r="E131">
        <v>104468</v>
      </c>
      <c r="F131">
        <v>104495</v>
      </c>
      <c r="G131">
        <v>104521</v>
      </c>
      <c r="H131">
        <v>104249</v>
      </c>
      <c r="I131">
        <v>103880</v>
      </c>
      <c r="J131">
        <v>103601</v>
      </c>
      <c r="K131">
        <v>103603</v>
      </c>
      <c r="L131">
        <v>103854</v>
      </c>
      <c r="M131">
        <v>103646</v>
      </c>
      <c r="N131">
        <v>103440</v>
      </c>
      <c r="O131">
        <v>103453</v>
      </c>
      <c r="P131">
        <v>103010</v>
      </c>
      <c r="Q131">
        <v>102903</v>
      </c>
      <c r="R131">
        <v>103241</v>
      </c>
    </row>
    <row r="132" spans="1:18">
      <c r="A132">
        <v>23540</v>
      </c>
      <c r="B132" t="s">
        <v>438</v>
      </c>
      <c r="C132" t="s">
        <v>1261</v>
      </c>
      <c r="D132" t="s">
        <v>1254</v>
      </c>
      <c r="E132">
        <v>305521</v>
      </c>
      <c r="F132">
        <v>307878</v>
      </c>
      <c r="G132">
        <v>309848</v>
      </c>
      <c r="H132">
        <v>311192</v>
      </c>
      <c r="I132">
        <v>314827</v>
      </c>
      <c r="J132">
        <v>319868</v>
      </c>
      <c r="K132">
        <v>326030</v>
      </c>
      <c r="L132">
        <v>329906</v>
      </c>
      <c r="M132">
        <v>334234</v>
      </c>
      <c r="N132">
        <v>336378</v>
      </c>
      <c r="O132">
        <v>340678</v>
      </c>
      <c r="P132">
        <v>344361</v>
      </c>
      <c r="Q132">
        <v>348296</v>
      </c>
      <c r="R132">
        <v>352126</v>
      </c>
    </row>
    <row r="133" spans="1:18">
      <c r="A133">
        <v>23580</v>
      </c>
      <c r="B133" t="s">
        <v>439</v>
      </c>
      <c r="C133" t="s">
        <v>1261</v>
      </c>
      <c r="D133" t="s">
        <v>1254</v>
      </c>
      <c r="E133">
        <v>180008</v>
      </c>
      <c r="F133">
        <v>181983</v>
      </c>
      <c r="G133">
        <v>183559</v>
      </c>
      <c r="H133">
        <v>185613</v>
      </c>
      <c r="I133">
        <v>188031</v>
      </c>
      <c r="J133">
        <v>190834</v>
      </c>
      <c r="K133">
        <v>194452</v>
      </c>
      <c r="L133">
        <v>196827</v>
      </c>
      <c r="M133">
        <v>199059</v>
      </c>
      <c r="N133">
        <v>201647</v>
      </c>
      <c r="O133">
        <v>203473</v>
      </c>
      <c r="P133">
        <v>207080</v>
      </c>
      <c r="Q133">
        <v>212621</v>
      </c>
      <c r="R133">
        <v>217267</v>
      </c>
    </row>
    <row r="134" spans="1:18">
      <c r="A134">
        <v>23900</v>
      </c>
      <c r="B134" t="s">
        <v>440</v>
      </c>
      <c r="C134" t="s">
        <v>1261</v>
      </c>
      <c r="D134" t="s">
        <v>1254</v>
      </c>
      <c r="E134">
        <v>101498</v>
      </c>
      <c r="F134">
        <v>101610</v>
      </c>
      <c r="G134">
        <v>101506</v>
      </c>
      <c r="H134">
        <v>101504</v>
      </c>
      <c r="I134">
        <v>101830</v>
      </c>
      <c r="J134">
        <v>102411</v>
      </c>
      <c r="K134">
        <v>102625</v>
      </c>
      <c r="L134">
        <v>103414</v>
      </c>
      <c r="M134">
        <v>103932</v>
      </c>
      <c r="N134">
        <v>103778</v>
      </c>
      <c r="O134">
        <v>103798</v>
      </c>
      <c r="P134">
        <v>105686</v>
      </c>
      <c r="Q134">
        <v>105959</v>
      </c>
      <c r="R134">
        <v>106748</v>
      </c>
    </row>
    <row r="135" spans="1:18">
      <c r="A135">
        <v>24020</v>
      </c>
      <c r="B135" t="s">
        <v>441</v>
      </c>
      <c r="C135" t="s">
        <v>1261</v>
      </c>
      <c r="D135" t="s">
        <v>1254</v>
      </c>
      <c r="E135">
        <v>129091</v>
      </c>
      <c r="F135">
        <v>129172</v>
      </c>
      <c r="G135">
        <v>129030</v>
      </c>
      <c r="H135">
        <v>128721</v>
      </c>
      <c r="I135">
        <v>128468</v>
      </c>
      <c r="J135">
        <v>128038</v>
      </c>
      <c r="K135">
        <v>127895</v>
      </c>
      <c r="L135">
        <v>127812</v>
      </c>
      <c r="M135">
        <v>127658</v>
      </c>
      <c r="N135">
        <v>127446</v>
      </c>
      <c r="O135">
        <v>126700</v>
      </c>
      <c r="P135">
        <v>126593</v>
      </c>
      <c r="Q135">
        <v>126237</v>
      </c>
      <c r="R135">
        <v>125427</v>
      </c>
    </row>
    <row r="136" spans="1:18">
      <c r="A136">
        <v>24140</v>
      </c>
      <c r="B136" t="s">
        <v>442</v>
      </c>
      <c r="C136" t="s">
        <v>1261</v>
      </c>
      <c r="D136" t="s">
        <v>1254</v>
      </c>
      <c r="E136">
        <v>122727</v>
      </c>
      <c r="F136">
        <v>123226</v>
      </c>
      <c r="G136">
        <v>123087</v>
      </c>
      <c r="H136">
        <v>122459</v>
      </c>
      <c r="I136">
        <v>121805</v>
      </c>
      <c r="J136">
        <v>120912</v>
      </c>
      <c r="K136">
        <v>120215</v>
      </c>
      <c r="L136">
        <v>118432</v>
      </c>
      <c r="M136">
        <v>118048</v>
      </c>
      <c r="N136">
        <v>117792</v>
      </c>
      <c r="O136">
        <v>117221</v>
      </c>
      <c r="P136">
        <v>116857</v>
      </c>
      <c r="Q136">
        <v>117449</v>
      </c>
      <c r="R136">
        <v>118686</v>
      </c>
    </row>
    <row r="137" spans="1:18">
      <c r="A137">
        <v>24220</v>
      </c>
      <c r="B137" t="s">
        <v>443</v>
      </c>
      <c r="C137" t="s">
        <v>1261</v>
      </c>
      <c r="D137" t="s">
        <v>1254</v>
      </c>
      <c r="E137">
        <v>98721</v>
      </c>
      <c r="F137">
        <v>98637</v>
      </c>
      <c r="G137">
        <v>99984</v>
      </c>
      <c r="H137">
        <v>102043</v>
      </c>
      <c r="I137">
        <v>102951</v>
      </c>
      <c r="J137">
        <v>103926</v>
      </c>
      <c r="K137">
        <v>104705</v>
      </c>
      <c r="L137">
        <v>105090</v>
      </c>
      <c r="M137">
        <v>105143</v>
      </c>
      <c r="N137">
        <v>104436</v>
      </c>
      <c r="O137">
        <v>104217</v>
      </c>
      <c r="P137">
        <v>103405</v>
      </c>
      <c r="Q137">
        <v>103146</v>
      </c>
      <c r="R137">
        <v>103120</v>
      </c>
    </row>
    <row r="138" spans="1:18">
      <c r="A138">
        <v>24260</v>
      </c>
      <c r="B138" t="s">
        <v>444</v>
      </c>
      <c r="C138" t="s">
        <v>1261</v>
      </c>
      <c r="D138" t="s">
        <v>1254</v>
      </c>
      <c r="E138">
        <v>72980</v>
      </c>
      <c r="F138">
        <v>73755</v>
      </c>
      <c r="G138">
        <v>74593</v>
      </c>
      <c r="H138">
        <v>75166</v>
      </c>
      <c r="I138">
        <v>75906</v>
      </c>
      <c r="J138">
        <v>76136</v>
      </c>
      <c r="K138">
        <v>76629</v>
      </c>
      <c r="L138">
        <v>76696</v>
      </c>
      <c r="M138">
        <v>77026</v>
      </c>
      <c r="N138">
        <v>77146</v>
      </c>
      <c r="O138">
        <v>76908</v>
      </c>
      <c r="P138">
        <v>76263</v>
      </c>
      <c r="Q138">
        <v>76320</v>
      </c>
      <c r="R138">
        <v>76479</v>
      </c>
    </row>
    <row r="139" spans="1:18">
      <c r="A139">
        <v>24300</v>
      </c>
      <c r="B139" t="s">
        <v>445</v>
      </c>
      <c r="C139" t="s">
        <v>1261</v>
      </c>
      <c r="D139" t="s">
        <v>1254</v>
      </c>
      <c r="E139">
        <v>146272</v>
      </c>
      <c r="F139">
        <v>147236</v>
      </c>
      <c r="G139">
        <v>147416</v>
      </c>
      <c r="H139">
        <v>147331</v>
      </c>
      <c r="I139">
        <v>147323</v>
      </c>
      <c r="J139">
        <v>148294</v>
      </c>
      <c r="K139">
        <v>150045</v>
      </c>
      <c r="L139">
        <v>151628</v>
      </c>
      <c r="M139">
        <v>153563</v>
      </c>
      <c r="N139">
        <v>154807</v>
      </c>
      <c r="O139">
        <v>156011</v>
      </c>
      <c r="P139">
        <v>157439</v>
      </c>
      <c r="Q139">
        <v>158531</v>
      </c>
      <c r="R139">
        <v>159681</v>
      </c>
    </row>
    <row r="140" spans="1:18">
      <c r="A140">
        <v>24340</v>
      </c>
      <c r="B140" t="s">
        <v>446</v>
      </c>
      <c r="C140" t="s">
        <v>1261</v>
      </c>
      <c r="D140" t="s">
        <v>1254</v>
      </c>
      <c r="E140">
        <v>994432</v>
      </c>
      <c r="F140">
        <v>1003408</v>
      </c>
      <c r="G140">
        <v>1015208</v>
      </c>
      <c r="H140">
        <v>1027754</v>
      </c>
      <c r="I140">
        <v>1039241</v>
      </c>
      <c r="J140">
        <v>1048602</v>
      </c>
      <c r="K140">
        <v>1059323</v>
      </c>
      <c r="L140">
        <v>1068952</v>
      </c>
      <c r="M140">
        <v>1077003</v>
      </c>
      <c r="N140">
        <v>1082982</v>
      </c>
      <c r="O140">
        <v>1088904</v>
      </c>
      <c r="P140">
        <v>1091388</v>
      </c>
      <c r="Q140">
        <v>1093883</v>
      </c>
      <c r="R140">
        <v>1099142</v>
      </c>
    </row>
    <row r="141" spans="1:18">
      <c r="A141">
        <v>24420</v>
      </c>
      <c r="B141" t="s">
        <v>447</v>
      </c>
      <c r="C141" t="s">
        <v>1261</v>
      </c>
      <c r="D141" t="s">
        <v>1254</v>
      </c>
      <c r="E141">
        <v>82880</v>
      </c>
      <c r="F141">
        <v>82726</v>
      </c>
      <c r="G141">
        <v>82796</v>
      </c>
      <c r="H141">
        <v>83186</v>
      </c>
      <c r="I141">
        <v>83449</v>
      </c>
      <c r="J141">
        <v>84626</v>
      </c>
      <c r="K141">
        <v>85624</v>
      </c>
      <c r="L141">
        <v>86762</v>
      </c>
      <c r="M141">
        <v>87455</v>
      </c>
      <c r="N141">
        <v>87721</v>
      </c>
      <c r="O141">
        <v>88238</v>
      </c>
      <c r="P141">
        <v>88637</v>
      </c>
      <c r="Q141">
        <v>87800</v>
      </c>
      <c r="R141">
        <v>87821</v>
      </c>
    </row>
    <row r="142" spans="1:18">
      <c r="A142">
        <v>24500</v>
      </c>
      <c r="B142" t="s">
        <v>448</v>
      </c>
      <c r="C142" t="s">
        <v>1261</v>
      </c>
      <c r="D142" t="s">
        <v>1254</v>
      </c>
      <c r="E142">
        <v>81585</v>
      </c>
      <c r="F142">
        <v>82097</v>
      </c>
      <c r="G142">
        <v>82310</v>
      </c>
      <c r="H142">
        <v>83191</v>
      </c>
      <c r="I142">
        <v>83359</v>
      </c>
      <c r="J142">
        <v>83491</v>
      </c>
      <c r="K142">
        <v>83478</v>
      </c>
      <c r="L142">
        <v>83852</v>
      </c>
      <c r="M142">
        <v>84177</v>
      </c>
      <c r="N142">
        <v>84102</v>
      </c>
      <c r="O142">
        <v>84407</v>
      </c>
      <c r="P142">
        <v>84551</v>
      </c>
      <c r="Q142">
        <v>85001</v>
      </c>
      <c r="R142">
        <v>84900</v>
      </c>
    </row>
    <row r="143" spans="1:18">
      <c r="A143">
        <v>24540</v>
      </c>
      <c r="B143" t="s">
        <v>449</v>
      </c>
      <c r="C143" t="s">
        <v>1261</v>
      </c>
      <c r="D143" t="s">
        <v>1254</v>
      </c>
      <c r="E143">
        <v>254172</v>
      </c>
      <c r="F143">
        <v>258604</v>
      </c>
      <c r="G143">
        <v>263543</v>
      </c>
      <c r="H143">
        <v>269395</v>
      </c>
      <c r="I143">
        <v>276529</v>
      </c>
      <c r="J143">
        <v>285282</v>
      </c>
      <c r="K143">
        <v>294841</v>
      </c>
      <c r="L143">
        <v>304788</v>
      </c>
      <c r="M143">
        <v>313278</v>
      </c>
      <c r="N143">
        <v>322305</v>
      </c>
      <c r="O143">
        <v>331458</v>
      </c>
      <c r="P143">
        <v>339897</v>
      </c>
      <c r="Q143">
        <v>350266</v>
      </c>
      <c r="R143">
        <v>359442</v>
      </c>
    </row>
    <row r="144" spans="1:18">
      <c r="A144">
        <v>24580</v>
      </c>
      <c r="B144" t="s">
        <v>450</v>
      </c>
      <c r="C144" t="s">
        <v>1261</v>
      </c>
      <c r="D144" t="s">
        <v>1254</v>
      </c>
      <c r="E144">
        <v>306867</v>
      </c>
      <c r="F144">
        <v>309212</v>
      </c>
      <c r="G144">
        <v>311691</v>
      </c>
      <c r="H144">
        <v>313540</v>
      </c>
      <c r="I144">
        <v>316105</v>
      </c>
      <c r="J144">
        <v>318259</v>
      </c>
      <c r="K144">
        <v>320483</v>
      </c>
      <c r="L144">
        <v>323196</v>
      </c>
      <c r="M144">
        <v>325306</v>
      </c>
      <c r="N144">
        <v>326962</v>
      </c>
      <c r="O144">
        <v>328591</v>
      </c>
      <c r="P144">
        <v>328909</v>
      </c>
      <c r="Q144">
        <v>330417</v>
      </c>
      <c r="R144">
        <v>331882</v>
      </c>
    </row>
    <row r="145" spans="1:18">
      <c r="A145">
        <v>24660</v>
      </c>
      <c r="B145" t="s">
        <v>451</v>
      </c>
      <c r="C145" t="s">
        <v>1261</v>
      </c>
      <c r="D145" t="s">
        <v>1254</v>
      </c>
      <c r="E145">
        <v>725316</v>
      </c>
      <c r="F145">
        <v>730309</v>
      </c>
      <c r="G145">
        <v>735810</v>
      </c>
      <c r="H145">
        <v>741036</v>
      </c>
      <c r="I145">
        <v>747011</v>
      </c>
      <c r="J145">
        <v>751869</v>
      </c>
      <c r="K145">
        <v>759247</v>
      </c>
      <c r="L145">
        <v>762787</v>
      </c>
      <c r="M145">
        <v>767401</v>
      </c>
      <c r="N145">
        <v>772730</v>
      </c>
      <c r="O145">
        <v>774941</v>
      </c>
      <c r="P145">
        <v>778860</v>
      </c>
      <c r="Q145">
        <v>784619</v>
      </c>
      <c r="R145">
        <v>789842</v>
      </c>
    </row>
    <row r="146" spans="1:18">
      <c r="A146">
        <v>24780</v>
      </c>
      <c r="B146" t="s">
        <v>452</v>
      </c>
      <c r="C146" t="s">
        <v>1261</v>
      </c>
      <c r="D146" t="s">
        <v>1254</v>
      </c>
      <c r="E146">
        <v>168582</v>
      </c>
      <c r="F146">
        <v>169382</v>
      </c>
      <c r="G146">
        <v>170413</v>
      </c>
      <c r="H146">
        <v>170652</v>
      </c>
      <c r="I146">
        <v>170087</v>
      </c>
      <c r="J146">
        <v>170015</v>
      </c>
      <c r="K146">
        <v>169913</v>
      </c>
      <c r="L146">
        <v>170051</v>
      </c>
      <c r="M146">
        <v>169839</v>
      </c>
      <c r="N146">
        <v>170150</v>
      </c>
      <c r="O146">
        <v>170390</v>
      </c>
      <c r="P146">
        <v>172235</v>
      </c>
      <c r="Q146">
        <v>173610</v>
      </c>
      <c r="R146">
        <v>175119</v>
      </c>
    </row>
    <row r="147" spans="1:18">
      <c r="A147">
        <v>24860</v>
      </c>
      <c r="B147" t="s">
        <v>453</v>
      </c>
      <c r="C147" t="s">
        <v>1261</v>
      </c>
      <c r="D147" t="s">
        <v>1254</v>
      </c>
      <c r="E147">
        <v>825582</v>
      </c>
      <c r="F147">
        <v>833026</v>
      </c>
      <c r="G147">
        <v>840536</v>
      </c>
      <c r="H147">
        <v>847897</v>
      </c>
      <c r="I147">
        <v>859587</v>
      </c>
      <c r="J147">
        <v>871665</v>
      </c>
      <c r="K147">
        <v>883360</v>
      </c>
      <c r="L147">
        <v>894137</v>
      </c>
      <c r="M147">
        <v>905447</v>
      </c>
      <c r="N147">
        <v>918912</v>
      </c>
      <c r="O147">
        <v>930762</v>
      </c>
      <c r="P147">
        <v>941465</v>
      </c>
      <c r="Q147">
        <v>958918</v>
      </c>
      <c r="R147">
        <v>975480</v>
      </c>
    </row>
    <row r="148" spans="1:18">
      <c r="A148">
        <v>25060</v>
      </c>
      <c r="B148" t="s">
        <v>454</v>
      </c>
      <c r="C148" t="s">
        <v>1261</v>
      </c>
      <c r="D148" t="s">
        <v>1254</v>
      </c>
      <c r="E148">
        <v>389297</v>
      </c>
      <c r="F148">
        <v>393556</v>
      </c>
      <c r="G148">
        <v>396431</v>
      </c>
      <c r="H148">
        <v>399375</v>
      </c>
      <c r="I148">
        <v>403078</v>
      </c>
      <c r="J148">
        <v>405634</v>
      </c>
      <c r="K148">
        <v>407720</v>
      </c>
      <c r="L148">
        <v>411212</v>
      </c>
      <c r="M148">
        <v>412609</v>
      </c>
      <c r="N148">
        <v>414800</v>
      </c>
      <c r="O148">
        <v>416640</v>
      </c>
      <c r="P148">
        <v>418527</v>
      </c>
      <c r="Q148">
        <v>420054</v>
      </c>
      <c r="R148">
        <v>421916</v>
      </c>
    </row>
    <row r="149" spans="1:18">
      <c r="A149">
        <v>25180</v>
      </c>
      <c r="B149" t="s">
        <v>455</v>
      </c>
      <c r="C149" t="s">
        <v>1261</v>
      </c>
      <c r="D149" t="s">
        <v>1254</v>
      </c>
      <c r="E149">
        <v>269934</v>
      </c>
      <c r="F149">
        <v>272442</v>
      </c>
      <c r="G149">
        <v>274246</v>
      </c>
      <c r="H149">
        <v>276101</v>
      </c>
      <c r="I149">
        <v>278295</v>
      </c>
      <c r="J149">
        <v>280131</v>
      </c>
      <c r="K149">
        <v>282952</v>
      </c>
      <c r="L149">
        <v>285504</v>
      </c>
      <c r="M149">
        <v>288635</v>
      </c>
      <c r="N149">
        <v>291510</v>
      </c>
      <c r="O149">
        <v>294483</v>
      </c>
      <c r="P149">
        <v>298623</v>
      </c>
      <c r="Q149">
        <v>302071</v>
      </c>
      <c r="R149">
        <v>305902</v>
      </c>
    </row>
    <row r="150" spans="1:18">
      <c r="A150">
        <v>25220</v>
      </c>
      <c r="B150" t="s">
        <v>456</v>
      </c>
      <c r="C150" t="s">
        <v>1261</v>
      </c>
      <c r="D150" t="s">
        <v>1254</v>
      </c>
      <c r="E150">
        <v>121394</v>
      </c>
      <c r="F150">
        <v>122344</v>
      </c>
      <c r="G150">
        <v>123022</v>
      </c>
      <c r="H150">
        <v>124622</v>
      </c>
      <c r="I150">
        <v>125831</v>
      </c>
      <c r="J150">
        <v>127239</v>
      </c>
      <c r="K150">
        <v>128900</v>
      </c>
      <c r="L150">
        <v>130259</v>
      </c>
      <c r="M150">
        <v>131438</v>
      </c>
      <c r="N150">
        <v>132009</v>
      </c>
      <c r="O150">
        <v>133654</v>
      </c>
      <c r="P150">
        <v>135488</v>
      </c>
      <c r="Q150">
        <v>136799</v>
      </c>
      <c r="R150">
        <v>138064</v>
      </c>
    </row>
    <row r="151" spans="1:18">
      <c r="A151">
        <v>25260</v>
      </c>
      <c r="B151" t="s">
        <v>457</v>
      </c>
      <c r="C151" t="s">
        <v>1261</v>
      </c>
      <c r="D151" t="s">
        <v>1254</v>
      </c>
      <c r="E151">
        <v>152339</v>
      </c>
      <c r="F151">
        <v>151765</v>
      </c>
      <c r="G151">
        <v>150860</v>
      </c>
      <c r="H151">
        <v>150203</v>
      </c>
      <c r="I151">
        <v>149329</v>
      </c>
      <c r="J151">
        <v>149905</v>
      </c>
      <c r="K151">
        <v>149205</v>
      </c>
      <c r="L151">
        <v>149468</v>
      </c>
      <c r="M151">
        <v>151138</v>
      </c>
      <c r="N151">
        <v>152633</v>
      </c>
      <c r="O151">
        <v>152844</v>
      </c>
      <c r="P151">
        <v>152775</v>
      </c>
      <c r="Q151">
        <v>152987</v>
      </c>
      <c r="R151">
        <v>152682</v>
      </c>
    </row>
    <row r="152" spans="1:18">
      <c r="A152">
        <v>25420</v>
      </c>
      <c r="B152" t="s">
        <v>458</v>
      </c>
      <c r="C152" t="s">
        <v>1261</v>
      </c>
      <c r="D152" t="s">
        <v>1254</v>
      </c>
      <c r="E152">
        <v>550358</v>
      </c>
      <c r="F152">
        <v>553586</v>
      </c>
      <c r="G152">
        <v>557416</v>
      </c>
      <c r="H152">
        <v>561554</v>
      </c>
      <c r="I152">
        <v>565650</v>
      </c>
      <c r="J152">
        <v>570255</v>
      </c>
      <c r="K152">
        <v>574247</v>
      </c>
      <c r="L152">
        <v>578608</v>
      </c>
      <c r="M152">
        <v>583108</v>
      </c>
      <c r="N152">
        <v>587497</v>
      </c>
      <c r="O152">
        <v>592793</v>
      </c>
      <c r="P152">
        <v>599732</v>
      </c>
      <c r="Q152">
        <v>603332</v>
      </c>
      <c r="R152">
        <v>606055</v>
      </c>
    </row>
    <row r="153" spans="1:18">
      <c r="A153">
        <v>25500</v>
      </c>
      <c r="B153" t="s">
        <v>459</v>
      </c>
      <c r="C153" t="s">
        <v>1261</v>
      </c>
      <c r="D153" t="s">
        <v>1254</v>
      </c>
      <c r="E153">
        <v>125411</v>
      </c>
      <c r="F153">
        <v>126808</v>
      </c>
      <c r="G153">
        <v>128461</v>
      </c>
      <c r="H153">
        <v>128974</v>
      </c>
      <c r="I153">
        <v>130433</v>
      </c>
      <c r="J153">
        <v>131145</v>
      </c>
      <c r="K153">
        <v>133007</v>
      </c>
      <c r="L153">
        <v>134178</v>
      </c>
      <c r="M153">
        <v>134997</v>
      </c>
      <c r="N153">
        <v>135460</v>
      </c>
      <c r="O153">
        <v>135480</v>
      </c>
      <c r="P153">
        <v>136015</v>
      </c>
      <c r="Q153">
        <v>136564</v>
      </c>
      <c r="R153">
        <v>137650</v>
      </c>
    </row>
    <row r="154" spans="1:18">
      <c r="A154">
        <v>25540</v>
      </c>
      <c r="B154" t="s">
        <v>460</v>
      </c>
      <c r="C154" t="s">
        <v>1261</v>
      </c>
      <c r="D154" t="s">
        <v>1254</v>
      </c>
      <c r="E154">
        <v>1214343</v>
      </c>
      <c r="F154">
        <v>1217487</v>
      </c>
      <c r="G154">
        <v>1217861</v>
      </c>
      <c r="H154">
        <v>1218502</v>
      </c>
      <c r="I154">
        <v>1218741</v>
      </c>
      <c r="J154">
        <v>1217737</v>
      </c>
      <c r="K154">
        <v>1215505</v>
      </c>
      <c r="L154">
        <v>1214984</v>
      </c>
      <c r="M154">
        <v>1215440</v>
      </c>
      <c r="N154">
        <v>1214503</v>
      </c>
      <c r="O154">
        <v>1198652</v>
      </c>
      <c r="P154">
        <v>1208977</v>
      </c>
      <c r="Q154">
        <v>1211704</v>
      </c>
      <c r="R154">
        <v>1215494</v>
      </c>
    </row>
    <row r="155" spans="1:18">
      <c r="A155">
        <v>25620</v>
      </c>
      <c r="B155" t="s">
        <v>461</v>
      </c>
      <c r="C155" t="s">
        <v>1261</v>
      </c>
      <c r="D155" t="s">
        <v>1254</v>
      </c>
      <c r="E155">
        <v>162931</v>
      </c>
      <c r="F155">
        <v>165157</v>
      </c>
      <c r="G155">
        <v>166647</v>
      </c>
      <c r="H155">
        <v>167923</v>
      </c>
      <c r="I155">
        <v>168418</v>
      </c>
      <c r="J155">
        <v>169393</v>
      </c>
      <c r="K155">
        <v>169946</v>
      </c>
      <c r="L155">
        <v>169789</v>
      </c>
      <c r="M155">
        <v>170615</v>
      </c>
      <c r="N155">
        <v>171485</v>
      </c>
      <c r="O155">
        <v>172327</v>
      </c>
      <c r="P155">
        <v>173051</v>
      </c>
      <c r="Q155">
        <v>173262</v>
      </c>
      <c r="R155">
        <v>173799</v>
      </c>
    </row>
    <row r="156" spans="1:18">
      <c r="A156">
        <v>25860</v>
      </c>
      <c r="B156" t="s">
        <v>462</v>
      </c>
      <c r="C156" t="s">
        <v>1261</v>
      </c>
      <c r="D156" t="s">
        <v>1254</v>
      </c>
      <c r="E156">
        <v>365466</v>
      </c>
      <c r="F156">
        <v>363941</v>
      </c>
      <c r="G156">
        <v>362671</v>
      </c>
      <c r="H156">
        <v>361925</v>
      </c>
      <c r="I156">
        <v>361130</v>
      </c>
      <c r="J156">
        <v>360956</v>
      </c>
      <c r="K156">
        <v>361895</v>
      </c>
      <c r="L156">
        <v>363490</v>
      </c>
      <c r="M156">
        <v>364152</v>
      </c>
      <c r="N156">
        <v>364876</v>
      </c>
      <c r="O156">
        <v>365594</v>
      </c>
      <c r="P156">
        <v>366175</v>
      </c>
      <c r="Q156">
        <v>367802</v>
      </c>
      <c r="R156">
        <v>370030</v>
      </c>
    </row>
    <row r="157" spans="1:18">
      <c r="A157">
        <v>25940</v>
      </c>
      <c r="B157" t="s">
        <v>463</v>
      </c>
      <c r="C157" t="s">
        <v>1261</v>
      </c>
      <c r="D157" t="s">
        <v>1254</v>
      </c>
      <c r="E157">
        <v>187575</v>
      </c>
      <c r="F157">
        <v>188069</v>
      </c>
      <c r="G157">
        <v>191149</v>
      </c>
      <c r="H157">
        <v>194476</v>
      </c>
      <c r="I157">
        <v>198078</v>
      </c>
      <c r="J157">
        <v>202563</v>
      </c>
      <c r="K157">
        <v>205872</v>
      </c>
      <c r="L157">
        <v>208425</v>
      </c>
      <c r="M157">
        <v>210576</v>
      </c>
      <c r="N157">
        <v>213556</v>
      </c>
      <c r="O157">
        <v>216965</v>
      </c>
      <c r="P157">
        <v>222428</v>
      </c>
      <c r="Q157">
        <v>228133</v>
      </c>
      <c r="R157">
        <v>232523</v>
      </c>
    </row>
    <row r="158" spans="1:18">
      <c r="A158">
        <v>25980</v>
      </c>
      <c r="B158" t="s">
        <v>464</v>
      </c>
      <c r="C158" t="s">
        <v>1261</v>
      </c>
      <c r="D158" t="s">
        <v>1254</v>
      </c>
      <c r="E158">
        <v>77325</v>
      </c>
      <c r="F158">
        <v>80198</v>
      </c>
      <c r="G158">
        <v>80257</v>
      </c>
      <c r="H158">
        <v>78561</v>
      </c>
      <c r="I158">
        <v>80764</v>
      </c>
      <c r="J158">
        <v>78734</v>
      </c>
      <c r="K158">
        <v>79137</v>
      </c>
      <c r="L158">
        <v>79538</v>
      </c>
      <c r="M158">
        <v>78734</v>
      </c>
      <c r="N158">
        <v>81009</v>
      </c>
      <c r="O158">
        <v>81587</v>
      </c>
      <c r="P158">
        <v>83908</v>
      </c>
      <c r="Q158">
        <v>86314</v>
      </c>
      <c r="R158">
        <v>88804</v>
      </c>
    </row>
    <row r="159" spans="1:18">
      <c r="A159">
        <v>26140</v>
      </c>
      <c r="B159" t="s">
        <v>465</v>
      </c>
      <c r="C159" t="s">
        <v>1261</v>
      </c>
      <c r="D159" t="s">
        <v>1254</v>
      </c>
      <c r="E159">
        <v>141210</v>
      </c>
      <c r="F159">
        <v>139943</v>
      </c>
      <c r="G159">
        <v>139503</v>
      </c>
      <c r="H159">
        <v>139304</v>
      </c>
      <c r="I159">
        <v>139450</v>
      </c>
      <c r="J159">
        <v>141075</v>
      </c>
      <c r="K159">
        <v>143811</v>
      </c>
      <c r="L159">
        <v>146591</v>
      </c>
      <c r="M159">
        <v>149044</v>
      </c>
      <c r="N159">
        <v>151440</v>
      </c>
      <c r="O159">
        <v>154568</v>
      </c>
      <c r="P159">
        <v>158167</v>
      </c>
      <c r="Q159">
        <v>162508</v>
      </c>
      <c r="R159">
        <v>166696</v>
      </c>
    </row>
    <row r="160" spans="1:18">
      <c r="A160">
        <v>26300</v>
      </c>
      <c r="B160" t="s">
        <v>466</v>
      </c>
      <c r="C160" t="s">
        <v>1261</v>
      </c>
      <c r="D160" t="s">
        <v>1254</v>
      </c>
      <c r="E160">
        <v>96090</v>
      </c>
      <c r="F160">
        <v>96932</v>
      </c>
      <c r="G160">
        <v>97129</v>
      </c>
      <c r="H160">
        <v>97857</v>
      </c>
      <c r="I160">
        <v>98008</v>
      </c>
      <c r="J160">
        <v>98121</v>
      </c>
      <c r="K160">
        <v>98582</v>
      </c>
      <c r="L160">
        <v>98737</v>
      </c>
      <c r="M160">
        <v>99417</v>
      </c>
      <c r="N160">
        <v>99802</v>
      </c>
      <c r="O160">
        <v>100258</v>
      </c>
      <c r="P160">
        <v>100393</v>
      </c>
      <c r="Q160">
        <v>99982</v>
      </c>
      <c r="R160">
        <v>99784</v>
      </c>
    </row>
    <row r="161" spans="1:18">
      <c r="A161">
        <v>26380</v>
      </c>
      <c r="B161" t="s">
        <v>467</v>
      </c>
      <c r="C161" t="s">
        <v>1261</v>
      </c>
      <c r="D161" t="s">
        <v>1254</v>
      </c>
      <c r="E161">
        <v>208232</v>
      </c>
      <c r="F161">
        <v>208651</v>
      </c>
      <c r="G161">
        <v>208767</v>
      </c>
      <c r="H161">
        <v>209826</v>
      </c>
      <c r="I161">
        <v>211162</v>
      </c>
      <c r="J161">
        <v>211874</v>
      </c>
      <c r="K161">
        <v>211203</v>
      </c>
      <c r="L161">
        <v>209536</v>
      </c>
      <c r="M161">
        <v>208698</v>
      </c>
      <c r="N161">
        <v>207696</v>
      </c>
      <c r="O161">
        <v>206859</v>
      </c>
      <c r="P161">
        <v>206554</v>
      </c>
      <c r="Q161">
        <v>200383</v>
      </c>
      <c r="R161">
        <v>198672</v>
      </c>
    </row>
    <row r="162" spans="1:18">
      <c r="A162">
        <v>26420</v>
      </c>
      <c r="B162" t="s">
        <v>468</v>
      </c>
      <c r="C162" t="s">
        <v>1261</v>
      </c>
      <c r="D162" t="s">
        <v>1254</v>
      </c>
      <c r="E162">
        <v>5946920</v>
      </c>
      <c r="F162">
        <v>6054602</v>
      </c>
      <c r="G162">
        <v>6180465</v>
      </c>
      <c r="H162">
        <v>6323626</v>
      </c>
      <c r="I162">
        <v>6493835</v>
      </c>
      <c r="J162">
        <v>6663596</v>
      </c>
      <c r="K162">
        <v>6797324</v>
      </c>
      <c r="L162">
        <v>6888064</v>
      </c>
      <c r="M162">
        <v>6962207</v>
      </c>
      <c r="N162">
        <v>7048589</v>
      </c>
      <c r="O162">
        <v>7141190</v>
      </c>
      <c r="P162">
        <v>7217323</v>
      </c>
      <c r="Q162">
        <v>7342124</v>
      </c>
      <c r="R162">
        <v>7481317</v>
      </c>
    </row>
    <row r="163" spans="1:18">
      <c r="A163">
        <v>26580</v>
      </c>
      <c r="B163" t="s">
        <v>469</v>
      </c>
      <c r="C163" t="s">
        <v>1261</v>
      </c>
      <c r="D163" t="s">
        <v>1254</v>
      </c>
      <c r="E163">
        <v>371189</v>
      </c>
      <c r="F163">
        <v>371807</v>
      </c>
      <c r="G163">
        <v>372219</v>
      </c>
      <c r="H163">
        <v>372004</v>
      </c>
      <c r="I163">
        <v>371320</v>
      </c>
      <c r="J163">
        <v>370178</v>
      </c>
      <c r="K163">
        <v>368557</v>
      </c>
      <c r="L163">
        <v>366030</v>
      </c>
      <c r="M163">
        <v>363565</v>
      </c>
      <c r="N163">
        <v>360946</v>
      </c>
      <c r="O163">
        <v>359386</v>
      </c>
      <c r="P163">
        <v>356569</v>
      </c>
      <c r="Q163">
        <v>353877</v>
      </c>
      <c r="R163">
        <v>352261</v>
      </c>
    </row>
    <row r="164" spans="1:18">
      <c r="A164">
        <v>26620</v>
      </c>
      <c r="B164" t="s">
        <v>470</v>
      </c>
      <c r="C164" t="s">
        <v>1261</v>
      </c>
      <c r="D164" t="s">
        <v>1254</v>
      </c>
      <c r="E164">
        <v>419552</v>
      </c>
      <c r="F164">
        <v>426545</v>
      </c>
      <c r="G164">
        <v>432653</v>
      </c>
      <c r="H164">
        <v>439336</v>
      </c>
      <c r="I164">
        <v>445402</v>
      </c>
      <c r="J164">
        <v>450781</v>
      </c>
      <c r="K164">
        <v>457090</v>
      </c>
      <c r="L164">
        <v>464678</v>
      </c>
      <c r="M164">
        <v>473379</v>
      </c>
      <c r="N164">
        <v>482846</v>
      </c>
      <c r="O164">
        <v>494706</v>
      </c>
      <c r="P164">
        <v>503974</v>
      </c>
      <c r="Q164">
        <v>514473</v>
      </c>
      <c r="R164">
        <v>527254</v>
      </c>
    </row>
    <row r="165" spans="1:18">
      <c r="A165">
        <v>26820</v>
      </c>
      <c r="B165" t="s">
        <v>471</v>
      </c>
      <c r="C165" t="s">
        <v>1261</v>
      </c>
      <c r="D165" t="s">
        <v>1254</v>
      </c>
      <c r="E165">
        <v>133880</v>
      </c>
      <c r="F165">
        <v>135290</v>
      </c>
      <c r="G165">
        <v>136752</v>
      </c>
      <c r="H165">
        <v>137702</v>
      </c>
      <c r="I165">
        <v>138970</v>
      </c>
      <c r="J165">
        <v>140971</v>
      </c>
      <c r="K165">
        <v>144201</v>
      </c>
      <c r="L165">
        <v>147582</v>
      </c>
      <c r="M165">
        <v>150939</v>
      </c>
      <c r="N165">
        <v>154417</v>
      </c>
      <c r="O165">
        <v>158401</v>
      </c>
      <c r="P165">
        <v>162931</v>
      </c>
      <c r="Q165">
        <v>165577</v>
      </c>
      <c r="R165">
        <v>168322</v>
      </c>
    </row>
    <row r="166" spans="1:18">
      <c r="A166">
        <v>26900</v>
      </c>
      <c r="B166" t="s">
        <v>472</v>
      </c>
      <c r="C166" t="s">
        <v>1261</v>
      </c>
      <c r="D166" t="s">
        <v>1254</v>
      </c>
      <c r="E166">
        <v>1893178</v>
      </c>
      <c r="F166">
        <v>1913506</v>
      </c>
      <c r="G166">
        <v>1934783</v>
      </c>
      <c r="H166">
        <v>1961091</v>
      </c>
      <c r="I166">
        <v>1980873</v>
      </c>
      <c r="J166">
        <v>1998456</v>
      </c>
      <c r="K166">
        <v>2021771</v>
      </c>
      <c r="L166">
        <v>2045301</v>
      </c>
      <c r="M166">
        <v>2072279</v>
      </c>
      <c r="N166">
        <v>2094610</v>
      </c>
      <c r="O166">
        <v>2114042</v>
      </c>
      <c r="P166">
        <v>2129180</v>
      </c>
      <c r="Q166">
        <v>2142630</v>
      </c>
      <c r="R166">
        <v>2160779</v>
      </c>
    </row>
    <row r="167" spans="1:18">
      <c r="A167">
        <v>26980</v>
      </c>
      <c r="B167" t="s">
        <v>473</v>
      </c>
      <c r="C167" t="s">
        <v>1261</v>
      </c>
      <c r="D167" t="s">
        <v>1254</v>
      </c>
      <c r="E167">
        <v>153030</v>
      </c>
      <c r="F167">
        <v>155941</v>
      </c>
      <c r="G167">
        <v>159074</v>
      </c>
      <c r="H167">
        <v>162193</v>
      </c>
      <c r="I167">
        <v>164876</v>
      </c>
      <c r="J167">
        <v>167226</v>
      </c>
      <c r="K167">
        <v>169251</v>
      </c>
      <c r="L167">
        <v>171862</v>
      </c>
      <c r="M167">
        <v>173002</v>
      </c>
      <c r="N167">
        <v>174394</v>
      </c>
      <c r="O167">
        <v>175598</v>
      </c>
      <c r="P167">
        <v>177557</v>
      </c>
      <c r="Q167">
        <v>179457</v>
      </c>
      <c r="R167">
        <v>180088</v>
      </c>
    </row>
    <row r="168" spans="1:18">
      <c r="A168">
        <v>27060</v>
      </c>
      <c r="B168" t="s">
        <v>474</v>
      </c>
      <c r="C168" t="s">
        <v>1261</v>
      </c>
      <c r="D168" t="s">
        <v>1254</v>
      </c>
      <c r="E168">
        <v>101851</v>
      </c>
      <c r="F168">
        <v>102402</v>
      </c>
      <c r="G168">
        <v>103783</v>
      </c>
      <c r="H168">
        <v>105099</v>
      </c>
      <c r="I168">
        <v>105398</v>
      </c>
      <c r="J168">
        <v>105487</v>
      </c>
      <c r="K168">
        <v>105780</v>
      </c>
      <c r="L168">
        <v>105903</v>
      </c>
      <c r="M168">
        <v>105989</v>
      </c>
      <c r="N168">
        <v>106008</v>
      </c>
      <c r="O168">
        <v>99772</v>
      </c>
      <c r="P168">
        <v>105966</v>
      </c>
      <c r="Q168">
        <v>104299</v>
      </c>
      <c r="R168">
        <v>103558</v>
      </c>
    </row>
    <row r="169" spans="1:18">
      <c r="A169">
        <v>27100</v>
      </c>
      <c r="B169" t="s">
        <v>475</v>
      </c>
      <c r="C169" t="s">
        <v>1261</v>
      </c>
      <c r="D169" t="s">
        <v>1254</v>
      </c>
      <c r="E169">
        <v>160191</v>
      </c>
      <c r="F169">
        <v>160072</v>
      </c>
      <c r="G169">
        <v>160722</v>
      </c>
      <c r="H169">
        <v>160733</v>
      </c>
      <c r="I169">
        <v>160850</v>
      </c>
      <c r="J169">
        <v>161039</v>
      </c>
      <c r="K169">
        <v>160376</v>
      </c>
      <c r="L169">
        <v>161016</v>
      </c>
      <c r="M169">
        <v>161284</v>
      </c>
      <c r="N169">
        <v>161372</v>
      </c>
      <c r="O169">
        <v>160231</v>
      </c>
      <c r="P169">
        <v>160162</v>
      </c>
      <c r="Q169">
        <v>159758</v>
      </c>
      <c r="R169">
        <v>159424</v>
      </c>
    </row>
    <row r="170" spans="1:18">
      <c r="A170">
        <v>27140</v>
      </c>
      <c r="B170" t="s">
        <v>476</v>
      </c>
      <c r="C170" t="s">
        <v>1261</v>
      </c>
      <c r="D170" t="s">
        <v>1254</v>
      </c>
      <c r="E170">
        <v>588315</v>
      </c>
      <c r="F170">
        <v>593598</v>
      </c>
      <c r="G170">
        <v>595954</v>
      </c>
      <c r="H170">
        <v>596870</v>
      </c>
      <c r="I170">
        <v>598060</v>
      </c>
      <c r="J170">
        <v>598827</v>
      </c>
      <c r="K170">
        <v>600752</v>
      </c>
      <c r="L170">
        <v>600507</v>
      </c>
      <c r="M170">
        <v>598726</v>
      </c>
      <c r="N170">
        <v>596513</v>
      </c>
      <c r="O170">
        <v>590922</v>
      </c>
      <c r="P170">
        <v>587134</v>
      </c>
      <c r="Q170">
        <v>583143</v>
      </c>
      <c r="R170">
        <v>582750</v>
      </c>
    </row>
    <row r="171" spans="1:18">
      <c r="A171">
        <v>27180</v>
      </c>
      <c r="B171" t="s">
        <v>477</v>
      </c>
      <c r="C171" t="s">
        <v>1261</v>
      </c>
      <c r="D171" t="s">
        <v>1254</v>
      </c>
      <c r="E171">
        <v>179801</v>
      </c>
      <c r="F171">
        <v>179878</v>
      </c>
      <c r="G171">
        <v>180198</v>
      </c>
      <c r="H171">
        <v>180310</v>
      </c>
      <c r="I171">
        <v>179967</v>
      </c>
      <c r="J171">
        <v>179345</v>
      </c>
      <c r="K171">
        <v>179197</v>
      </c>
      <c r="L171">
        <v>179335</v>
      </c>
      <c r="M171">
        <v>179507</v>
      </c>
      <c r="N171">
        <v>179846</v>
      </c>
      <c r="O171">
        <v>180559</v>
      </c>
      <c r="P171">
        <v>180480</v>
      </c>
      <c r="Q171">
        <v>181418</v>
      </c>
      <c r="R171">
        <v>181826</v>
      </c>
    </row>
    <row r="172" spans="1:18">
      <c r="A172">
        <v>27260</v>
      </c>
      <c r="B172" t="s">
        <v>478</v>
      </c>
      <c r="C172" t="s">
        <v>1261</v>
      </c>
      <c r="D172" t="s">
        <v>1254</v>
      </c>
      <c r="E172">
        <v>1349493</v>
      </c>
      <c r="F172">
        <v>1364861</v>
      </c>
      <c r="G172">
        <v>1382855</v>
      </c>
      <c r="H172">
        <v>1401041</v>
      </c>
      <c r="I172">
        <v>1426514</v>
      </c>
      <c r="J172">
        <v>1457278</v>
      </c>
      <c r="K172">
        <v>1491834</v>
      </c>
      <c r="L172">
        <v>1523486</v>
      </c>
      <c r="M172">
        <v>1553781</v>
      </c>
      <c r="N172">
        <v>1583466</v>
      </c>
      <c r="O172">
        <v>1612981</v>
      </c>
      <c r="P172">
        <v>1641741</v>
      </c>
      <c r="Q172">
        <v>1676329</v>
      </c>
      <c r="R172">
        <v>1713240</v>
      </c>
    </row>
    <row r="173" spans="1:18">
      <c r="A173">
        <v>27340</v>
      </c>
      <c r="B173" t="s">
        <v>479</v>
      </c>
      <c r="C173" t="s">
        <v>1261</v>
      </c>
      <c r="D173" t="s">
        <v>1254</v>
      </c>
      <c r="E173">
        <v>186940</v>
      </c>
      <c r="F173">
        <v>185175</v>
      </c>
      <c r="G173">
        <v>191007</v>
      </c>
      <c r="H173">
        <v>192798</v>
      </c>
      <c r="I173">
        <v>192411</v>
      </c>
      <c r="J173">
        <v>193823</v>
      </c>
      <c r="K173">
        <v>193227</v>
      </c>
      <c r="L173">
        <v>195881</v>
      </c>
      <c r="M173">
        <v>197682</v>
      </c>
      <c r="N173">
        <v>203475</v>
      </c>
      <c r="O173">
        <v>207757</v>
      </c>
      <c r="P173">
        <v>206018</v>
      </c>
      <c r="Q173">
        <v>209031</v>
      </c>
      <c r="R173">
        <v>213676</v>
      </c>
    </row>
    <row r="174" spans="1:18">
      <c r="A174">
        <v>27500</v>
      </c>
      <c r="B174" t="s">
        <v>480</v>
      </c>
      <c r="C174" t="s">
        <v>1261</v>
      </c>
      <c r="D174" t="s">
        <v>1254</v>
      </c>
      <c r="E174">
        <v>160276</v>
      </c>
      <c r="F174">
        <v>159976</v>
      </c>
      <c r="G174">
        <v>160251</v>
      </c>
      <c r="H174">
        <v>160602</v>
      </c>
      <c r="I174">
        <v>161261</v>
      </c>
      <c r="J174">
        <v>161417</v>
      </c>
      <c r="K174">
        <v>161746</v>
      </c>
      <c r="L174">
        <v>162721</v>
      </c>
      <c r="M174">
        <v>163319</v>
      </c>
      <c r="N174">
        <v>163681</v>
      </c>
      <c r="O174">
        <v>163758</v>
      </c>
      <c r="P174">
        <v>164115</v>
      </c>
      <c r="Q174">
        <v>163841</v>
      </c>
      <c r="R174">
        <v>164278</v>
      </c>
    </row>
    <row r="175" spans="1:18">
      <c r="A175">
        <v>27620</v>
      </c>
      <c r="B175" t="s">
        <v>481</v>
      </c>
      <c r="C175" t="s">
        <v>1261</v>
      </c>
      <c r="D175" t="s">
        <v>1254</v>
      </c>
      <c r="E175">
        <v>149996</v>
      </c>
      <c r="F175">
        <v>150430</v>
      </c>
      <c r="G175">
        <v>150428</v>
      </c>
      <c r="H175">
        <v>150725</v>
      </c>
      <c r="I175">
        <v>150782</v>
      </c>
      <c r="J175">
        <v>151000</v>
      </c>
      <c r="K175">
        <v>151449</v>
      </c>
      <c r="L175">
        <v>151408</v>
      </c>
      <c r="M175">
        <v>151493</v>
      </c>
      <c r="N175">
        <v>150990</v>
      </c>
      <c r="O175">
        <v>149432</v>
      </c>
      <c r="P175">
        <v>149951</v>
      </c>
      <c r="Q175">
        <v>150337</v>
      </c>
      <c r="R175">
        <v>150733</v>
      </c>
    </row>
    <row r="176" spans="1:18">
      <c r="A176">
        <v>27740</v>
      </c>
      <c r="B176" t="s">
        <v>482</v>
      </c>
      <c r="C176" t="s">
        <v>1261</v>
      </c>
      <c r="D176" t="s">
        <v>1254</v>
      </c>
      <c r="E176">
        <v>199085</v>
      </c>
      <c r="F176">
        <v>199934</v>
      </c>
      <c r="G176">
        <v>201130</v>
      </c>
      <c r="H176">
        <v>201415</v>
      </c>
      <c r="I176">
        <v>201252</v>
      </c>
      <c r="J176">
        <v>201857</v>
      </c>
      <c r="K176">
        <v>203338</v>
      </c>
      <c r="L176">
        <v>204179</v>
      </c>
      <c r="M176">
        <v>205565</v>
      </c>
      <c r="N176">
        <v>206496</v>
      </c>
      <c r="O176">
        <v>207476</v>
      </c>
      <c r="P176">
        <v>207171</v>
      </c>
      <c r="Q176">
        <v>210223</v>
      </c>
      <c r="R176">
        <v>213198</v>
      </c>
    </row>
    <row r="177" spans="1:18">
      <c r="A177">
        <v>27780</v>
      </c>
      <c r="B177" t="s">
        <v>483</v>
      </c>
      <c r="C177" t="s">
        <v>1261</v>
      </c>
      <c r="D177" t="s">
        <v>1254</v>
      </c>
      <c r="E177">
        <v>143574</v>
      </c>
      <c r="F177">
        <v>143171</v>
      </c>
      <c r="G177">
        <v>142604</v>
      </c>
      <c r="H177">
        <v>140335</v>
      </c>
      <c r="I177">
        <v>139503</v>
      </c>
      <c r="J177">
        <v>138427</v>
      </c>
      <c r="K177">
        <v>137280</v>
      </c>
      <c r="L177">
        <v>136209</v>
      </c>
      <c r="M177">
        <v>135052</v>
      </c>
      <c r="N177">
        <v>134077</v>
      </c>
      <c r="O177">
        <v>133211</v>
      </c>
      <c r="P177">
        <v>132237</v>
      </c>
      <c r="Q177">
        <v>131429</v>
      </c>
      <c r="R177">
        <v>130668</v>
      </c>
    </row>
    <row r="178" spans="1:18">
      <c r="A178">
        <v>27860</v>
      </c>
      <c r="B178" t="s">
        <v>484</v>
      </c>
      <c r="C178" t="s">
        <v>1261</v>
      </c>
      <c r="D178" t="s">
        <v>1254</v>
      </c>
      <c r="E178">
        <v>121238</v>
      </c>
      <c r="F178">
        <v>122748</v>
      </c>
      <c r="G178">
        <v>124099</v>
      </c>
      <c r="H178">
        <v>125553</v>
      </c>
      <c r="I178">
        <v>126442</v>
      </c>
      <c r="J178">
        <v>127992</v>
      </c>
      <c r="K178">
        <v>129403</v>
      </c>
      <c r="L178">
        <v>130618</v>
      </c>
      <c r="M178">
        <v>132103</v>
      </c>
      <c r="N178">
        <v>133316</v>
      </c>
      <c r="O178">
        <v>134573</v>
      </c>
      <c r="P178">
        <v>134485</v>
      </c>
      <c r="Q178">
        <v>135316</v>
      </c>
      <c r="R178">
        <v>136390</v>
      </c>
    </row>
    <row r="179" spans="1:18">
      <c r="A179">
        <v>27900</v>
      </c>
      <c r="B179" t="s">
        <v>485</v>
      </c>
      <c r="C179" t="s">
        <v>1261</v>
      </c>
      <c r="D179" t="s">
        <v>1254</v>
      </c>
      <c r="E179">
        <v>175867</v>
      </c>
      <c r="F179">
        <v>174037</v>
      </c>
      <c r="G179">
        <v>174751</v>
      </c>
      <c r="H179">
        <v>175622</v>
      </c>
      <c r="I179">
        <v>176489</v>
      </c>
      <c r="J179">
        <v>177452</v>
      </c>
      <c r="K179">
        <v>178314</v>
      </c>
      <c r="L179">
        <v>179235</v>
      </c>
      <c r="M179">
        <v>179620</v>
      </c>
      <c r="N179">
        <v>180723</v>
      </c>
      <c r="O179">
        <v>181599</v>
      </c>
      <c r="P179">
        <v>182764</v>
      </c>
      <c r="Q179">
        <v>184112</v>
      </c>
      <c r="R179">
        <v>185733</v>
      </c>
    </row>
    <row r="180" spans="1:18">
      <c r="A180">
        <v>27980</v>
      </c>
      <c r="B180" t="s">
        <v>486</v>
      </c>
      <c r="C180" t="s">
        <v>1261</v>
      </c>
      <c r="D180" t="s">
        <v>1254</v>
      </c>
      <c r="E180">
        <v>155041</v>
      </c>
      <c r="F180">
        <v>156681</v>
      </c>
      <c r="G180">
        <v>158340</v>
      </c>
      <c r="H180">
        <v>160153</v>
      </c>
      <c r="I180">
        <v>161887</v>
      </c>
      <c r="J180">
        <v>162447</v>
      </c>
      <c r="K180">
        <v>163731</v>
      </c>
      <c r="L180">
        <v>164291</v>
      </c>
      <c r="M180">
        <v>164904</v>
      </c>
      <c r="N180">
        <v>164897</v>
      </c>
      <c r="O180">
        <v>164848</v>
      </c>
      <c r="P180">
        <v>164878</v>
      </c>
      <c r="Q180">
        <v>164440</v>
      </c>
      <c r="R180">
        <v>164264</v>
      </c>
    </row>
    <row r="181" spans="1:18">
      <c r="A181">
        <v>28020</v>
      </c>
      <c r="B181" t="s">
        <v>487</v>
      </c>
      <c r="C181" t="s">
        <v>1261</v>
      </c>
      <c r="D181" t="s">
        <v>1254</v>
      </c>
      <c r="E181">
        <v>250654</v>
      </c>
      <c r="F181">
        <v>252131</v>
      </c>
      <c r="G181">
        <v>254498</v>
      </c>
      <c r="H181">
        <v>256069</v>
      </c>
      <c r="I181">
        <v>257316</v>
      </c>
      <c r="J181">
        <v>257654</v>
      </c>
      <c r="K181">
        <v>258996</v>
      </c>
      <c r="L181">
        <v>260368</v>
      </c>
      <c r="M181">
        <v>261663</v>
      </c>
      <c r="N181">
        <v>261653</v>
      </c>
      <c r="O181">
        <v>261796</v>
      </c>
      <c r="P181">
        <v>260523</v>
      </c>
      <c r="Q181">
        <v>260892</v>
      </c>
      <c r="R181">
        <v>262215</v>
      </c>
    </row>
    <row r="182" spans="1:18">
      <c r="A182">
        <v>28100</v>
      </c>
      <c r="B182" t="s">
        <v>488</v>
      </c>
      <c r="C182" t="s">
        <v>1261</v>
      </c>
      <c r="D182" t="s">
        <v>1254</v>
      </c>
      <c r="E182">
        <v>113387</v>
      </c>
      <c r="F182">
        <v>113365</v>
      </c>
      <c r="G182">
        <v>112694</v>
      </c>
      <c r="H182">
        <v>112329</v>
      </c>
      <c r="I182">
        <v>111352</v>
      </c>
      <c r="J182">
        <v>111089</v>
      </c>
      <c r="K182">
        <v>110241</v>
      </c>
      <c r="L182">
        <v>109578</v>
      </c>
      <c r="M182">
        <v>108787</v>
      </c>
      <c r="N182">
        <v>108365</v>
      </c>
      <c r="O182">
        <v>107264</v>
      </c>
      <c r="P182">
        <v>106605</v>
      </c>
      <c r="Q182">
        <v>105998</v>
      </c>
      <c r="R182">
        <v>105940</v>
      </c>
    </row>
    <row r="183" spans="1:18">
      <c r="A183">
        <v>28140</v>
      </c>
      <c r="B183" t="s">
        <v>489</v>
      </c>
      <c r="C183" t="s">
        <v>1261</v>
      </c>
      <c r="D183" t="s">
        <v>1254</v>
      </c>
      <c r="E183">
        <v>2013908</v>
      </c>
      <c r="F183">
        <v>2028300</v>
      </c>
      <c r="G183">
        <v>2043597</v>
      </c>
      <c r="H183">
        <v>2061129</v>
      </c>
      <c r="I183">
        <v>2078737</v>
      </c>
      <c r="J183">
        <v>2097773</v>
      </c>
      <c r="K183">
        <v>2121223</v>
      </c>
      <c r="L183">
        <v>2143999</v>
      </c>
      <c r="M183">
        <v>2164286</v>
      </c>
      <c r="N183">
        <v>2180431</v>
      </c>
      <c r="O183">
        <v>2195218</v>
      </c>
      <c r="P183">
        <v>2203335</v>
      </c>
      <c r="Q183">
        <v>2208782</v>
      </c>
      <c r="R183">
        <v>2221343</v>
      </c>
    </row>
    <row r="184" spans="1:18">
      <c r="A184">
        <v>28420</v>
      </c>
      <c r="B184" t="s">
        <v>490</v>
      </c>
      <c r="C184" t="s">
        <v>1261</v>
      </c>
      <c r="D184" t="s">
        <v>1254</v>
      </c>
      <c r="E184">
        <v>255562</v>
      </c>
      <c r="F184">
        <v>263591</v>
      </c>
      <c r="G184">
        <v>268265</v>
      </c>
      <c r="H184">
        <v>271056</v>
      </c>
      <c r="I184">
        <v>274511</v>
      </c>
      <c r="J184">
        <v>279386</v>
      </c>
      <c r="K184">
        <v>284221</v>
      </c>
      <c r="L184">
        <v>290646</v>
      </c>
      <c r="M184">
        <v>295833</v>
      </c>
      <c r="N184">
        <v>300422</v>
      </c>
      <c r="O184">
        <v>304569</v>
      </c>
      <c r="P184">
        <v>308701</v>
      </c>
      <c r="Q184">
        <v>311411</v>
      </c>
      <c r="R184">
        <v>314253</v>
      </c>
    </row>
    <row r="185" spans="1:18">
      <c r="A185">
        <v>28660</v>
      </c>
      <c r="B185" t="s">
        <v>491</v>
      </c>
      <c r="C185" t="s">
        <v>1261</v>
      </c>
      <c r="D185" t="s">
        <v>1254</v>
      </c>
      <c r="E185">
        <v>408489</v>
      </c>
      <c r="F185">
        <v>413454</v>
      </c>
      <c r="G185">
        <v>425485</v>
      </c>
      <c r="H185">
        <v>426759</v>
      </c>
      <c r="I185">
        <v>430099</v>
      </c>
      <c r="J185">
        <v>437152</v>
      </c>
      <c r="K185">
        <v>441790</v>
      </c>
      <c r="L185">
        <v>449098</v>
      </c>
      <c r="M185">
        <v>458143</v>
      </c>
      <c r="N185">
        <v>469109</v>
      </c>
      <c r="O185">
        <v>477093</v>
      </c>
      <c r="P185">
        <v>487012</v>
      </c>
      <c r="Q185">
        <v>494449</v>
      </c>
      <c r="R185">
        <v>501333</v>
      </c>
    </row>
    <row r="186" spans="1:18">
      <c r="A186">
        <v>28700</v>
      </c>
      <c r="B186" t="s">
        <v>492</v>
      </c>
      <c r="C186" t="s">
        <v>1261</v>
      </c>
      <c r="D186" t="s">
        <v>1254</v>
      </c>
      <c r="E186">
        <v>309475</v>
      </c>
      <c r="F186">
        <v>309081</v>
      </c>
      <c r="G186">
        <v>308594</v>
      </c>
      <c r="H186">
        <v>307782</v>
      </c>
      <c r="I186">
        <v>307154</v>
      </c>
      <c r="J186">
        <v>306220</v>
      </c>
      <c r="K186">
        <v>305989</v>
      </c>
      <c r="L186">
        <v>306443</v>
      </c>
      <c r="M186">
        <v>306618</v>
      </c>
      <c r="N186">
        <v>307208</v>
      </c>
      <c r="O186">
        <v>307750</v>
      </c>
      <c r="P186">
        <v>308690</v>
      </c>
      <c r="Q186">
        <v>311040</v>
      </c>
      <c r="R186">
        <v>313025</v>
      </c>
    </row>
    <row r="187" spans="1:18">
      <c r="A187">
        <v>28740</v>
      </c>
      <c r="B187" t="s">
        <v>493</v>
      </c>
      <c r="C187" t="s">
        <v>1261</v>
      </c>
      <c r="D187" t="s">
        <v>1254</v>
      </c>
      <c r="E187">
        <v>182526</v>
      </c>
      <c r="F187">
        <v>182980</v>
      </c>
      <c r="G187">
        <v>182487</v>
      </c>
      <c r="H187">
        <v>182058</v>
      </c>
      <c r="I187">
        <v>182173</v>
      </c>
      <c r="J187">
        <v>181830</v>
      </c>
      <c r="K187">
        <v>181574</v>
      </c>
      <c r="L187">
        <v>181579</v>
      </c>
      <c r="M187">
        <v>181848</v>
      </c>
      <c r="N187">
        <v>181669</v>
      </c>
      <c r="O187">
        <v>181271</v>
      </c>
      <c r="P187">
        <v>183489</v>
      </c>
      <c r="Q187">
        <v>182320</v>
      </c>
      <c r="R187">
        <v>182333</v>
      </c>
    </row>
    <row r="188" spans="1:18">
      <c r="A188">
        <v>28940</v>
      </c>
      <c r="B188" t="s">
        <v>494</v>
      </c>
      <c r="C188" t="s">
        <v>1261</v>
      </c>
      <c r="D188" t="s">
        <v>1254</v>
      </c>
      <c r="E188">
        <v>816113</v>
      </c>
      <c r="F188">
        <v>821279</v>
      </c>
      <c r="G188">
        <v>826042</v>
      </c>
      <c r="H188">
        <v>830506</v>
      </c>
      <c r="I188">
        <v>834896</v>
      </c>
      <c r="J188">
        <v>840236</v>
      </c>
      <c r="K188">
        <v>847835</v>
      </c>
      <c r="L188">
        <v>857009</v>
      </c>
      <c r="M188">
        <v>865239</v>
      </c>
      <c r="N188">
        <v>872567</v>
      </c>
      <c r="O188">
        <v>882327</v>
      </c>
      <c r="P188">
        <v>892615</v>
      </c>
      <c r="Q188">
        <v>908736</v>
      </c>
      <c r="R188">
        <v>921583</v>
      </c>
    </row>
    <row r="189" spans="1:18">
      <c r="A189">
        <v>29020</v>
      </c>
      <c r="B189" t="s">
        <v>495</v>
      </c>
      <c r="C189" t="s">
        <v>1261</v>
      </c>
      <c r="D189" t="s">
        <v>1254</v>
      </c>
      <c r="E189">
        <v>82775</v>
      </c>
      <c r="F189">
        <v>82919</v>
      </c>
      <c r="G189">
        <v>83059</v>
      </c>
      <c r="H189">
        <v>83057</v>
      </c>
      <c r="I189">
        <v>83020</v>
      </c>
      <c r="J189">
        <v>82855</v>
      </c>
      <c r="K189">
        <v>82965</v>
      </c>
      <c r="L189">
        <v>82960</v>
      </c>
      <c r="M189">
        <v>83087</v>
      </c>
      <c r="N189">
        <v>83500</v>
      </c>
      <c r="O189">
        <v>83589</v>
      </c>
      <c r="P189">
        <v>83650</v>
      </c>
      <c r="Q189">
        <v>83546</v>
      </c>
      <c r="R189">
        <v>83831</v>
      </c>
    </row>
    <row r="190" spans="1:18">
      <c r="A190">
        <v>29100</v>
      </c>
      <c r="B190" t="s">
        <v>496</v>
      </c>
      <c r="C190" t="s">
        <v>1261</v>
      </c>
      <c r="D190" t="s">
        <v>1254</v>
      </c>
      <c r="E190">
        <v>133967</v>
      </c>
      <c r="F190">
        <v>134439</v>
      </c>
      <c r="G190">
        <v>135907</v>
      </c>
      <c r="H190">
        <v>136528</v>
      </c>
      <c r="I190">
        <v>137279</v>
      </c>
      <c r="J190">
        <v>137795</v>
      </c>
      <c r="K190">
        <v>138115</v>
      </c>
      <c r="L190">
        <v>138693</v>
      </c>
      <c r="M190">
        <v>138904</v>
      </c>
      <c r="N190">
        <v>139146</v>
      </c>
      <c r="O190">
        <v>139770</v>
      </c>
      <c r="P190">
        <v>138150</v>
      </c>
      <c r="Q190">
        <v>138979</v>
      </c>
      <c r="R190">
        <v>139068</v>
      </c>
    </row>
    <row r="191" spans="1:18">
      <c r="A191">
        <v>29180</v>
      </c>
      <c r="B191" t="s">
        <v>497</v>
      </c>
      <c r="C191" t="s">
        <v>1261</v>
      </c>
      <c r="D191" t="s">
        <v>1254</v>
      </c>
      <c r="E191">
        <v>467346</v>
      </c>
      <c r="F191">
        <v>469617</v>
      </c>
      <c r="G191">
        <v>471829</v>
      </c>
      <c r="H191">
        <v>476323</v>
      </c>
      <c r="I191">
        <v>480285</v>
      </c>
      <c r="J191">
        <v>483798</v>
      </c>
      <c r="K191">
        <v>484056</v>
      </c>
      <c r="L191">
        <v>482268</v>
      </c>
      <c r="M191">
        <v>480655</v>
      </c>
      <c r="N191">
        <v>479248</v>
      </c>
      <c r="O191">
        <v>478268</v>
      </c>
      <c r="P191">
        <v>479858</v>
      </c>
      <c r="Q191">
        <v>480961</v>
      </c>
      <c r="R191">
        <v>481947</v>
      </c>
    </row>
    <row r="192" spans="1:18">
      <c r="A192">
        <v>29200</v>
      </c>
      <c r="B192" t="s">
        <v>498</v>
      </c>
      <c r="C192" t="s">
        <v>1261</v>
      </c>
      <c r="D192" t="s">
        <v>1254</v>
      </c>
      <c r="E192">
        <v>210481</v>
      </c>
      <c r="F192">
        <v>212213</v>
      </c>
      <c r="G192">
        <v>214580</v>
      </c>
      <c r="H192">
        <v>216457</v>
      </c>
      <c r="I192">
        <v>217825</v>
      </c>
      <c r="J192">
        <v>219051</v>
      </c>
      <c r="K192">
        <v>221610</v>
      </c>
      <c r="L192">
        <v>221673</v>
      </c>
      <c r="M192">
        <v>223295</v>
      </c>
      <c r="N192">
        <v>223602</v>
      </c>
      <c r="O192">
        <v>223864</v>
      </c>
      <c r="P192">
        <v>225083</v>
      </c>
      <c r="Q192">
        <v>225911</v>
      </c>
      <c r="R192">
        <v>226564</v>
      </c>
    </row>
    <row r="193" spans="1:18">
      <c r="A193">
        <v>29340</v>
      </c>
      <c r="B193" t="s">
        <v>499</v>
      </c>
      <c r="C193" t="s">
        <v>1261</v>
      </c>
      <c r="D193" t="s">
        <v>1254</v>
      </c>
      <c r="E193">
        <v>200196</v>
      </c>
      <c r="F193">
        <v>201866</v>
      </c>
      <c r="G193">
        <v>203535</v>
      </c>
      <c r="H193">
        <v>205746</v>
      </c>
      <c r="I193">
        <v>207970</v>
      </c>
      <c r="J193">
        <v>211129</v>
      </c>
      <c r="K193">
        <v>214640</v>
      </c>
      <c r="L193">
        <v>217783</v>
      </c>
      <c r="M193">
        <v>219916</v>
      </c>
      <c r="N193">
        <v>221639</v>
      </c>
      <c r="O193">
        <v>222104</v>
      </c>
      <c r="P193">
        <v>210008</v>
      </c>
      <c r="Q193">
        <v>207184</v>
      </c>
      <c r="R193">
        <v>208529</v>
      </c>
    </row>
    <row r="194" spans="1:18">
      <c r="A194">
        <v>29420</v>
      </c>
      <c r="B194" t="s">
        <v>500</v>
      </c>
      <c r="C194" t="s">
        <v>1261</v>
      </c>
      <c r="D194" t="s">
        <v>1254</v>
      </c>
      <c r="E194">
        <v>200260</v>
      </c>
      <c r="F194">
        <v>202500</v>
      </c>
      <c r="G194">
        <v>202781</v>
      </c>
      <c r="H194">
        <v>202308</v>
      </c>
      <c r="I194">
        <v>202345</v>
      </c>
      <c r="J194">
        <v>203247</v>
      </c>
      <c r="K194">
        <v>203940</v>
      </c>
      <c r="L194">
        <v>205389</v>
      </c>
      <c r="M194">
        <v>207757</v>
      </c>
      <c r="N194">
        <v>210880</v>
      </c>
      <c r="O194">
        <v>214185</v>
      </c>
      <c r="P194">
        <v>217164</v>
      </c>
      <c r="Q194">
        <v>220905</v>
      </c>
      <c r="R194">
        <v>223682</v>
      </c>
    </row>
    <row r="195" spans="1:18">
      <c r="A195">
        <v>29460</v>
      </c>
      <c r="B195" t="s">
        <v>501</v>
      </c>
      <c r="C195" t="s">
        <v>1261</v>
      </c>
      <c r="D195" t="s">
        <v>1254</v>
      </c>
      <c r="E195">
        <v>602820</v>
      </c>
      <c r="F195">
        <v>608513</v>
      </c>
      <c r="G195">
        <v>612827</v>
      </c>
      <c r="H195">
        <v>618786</v>
      </c>
      <c r="I195">
        <v>629269</v>
      </c>
      <c r="J195">
        <v>642067</v>
      </c>
      <c r="K195">
        <v>658019</v>
      </c>
      <c r="L195">
        <v>675948</v>
      </c>
      <c r="M195">
        <v>695556</v>
      </c>
      <c r="N195">
        <v>711750</v>
      </c>
      <c r="O195">
        <v>730158</v>
      </c>
      <c r="P195">
        <v>755598</v>
      </c>
      <c r="Q195">
        <v>788382</v>
      </c>
      <c r="R195">
        <v>818330</v>
      </c>
    </row>
    <row r="196" spans="1:18">
      <c r="A196">
        <v>29540</v>
      </c>
      <c r="B196" t="s">
        <v>502</v>
      </c>
      <c r="C196" t="s">
        <v>1261</v>
      </c>
      <c r="D196" t="s">
        <v>1254</v>
      </c>
      <c r="E196">
        <v>520480</v>
      </c>
      <c r="F196">
        <v>524782</v>
      </c>
      <c r="G196">
        <v>528372</v>
      </c>
      <c r="H196">
        <v>532174</v>
      </c>
      <c r="I196">
        <v>536132</v>
      </c>
      <c r="J196">
        <v>539334</v>
      </c>
      <c r="K196">
        <v>542338</v>
      </c>
      <c r="L196">
        <v>546058</v>
      </c>
      <c r="M196">
        <v>549342</v>
      </c>
      <c r="N196">
        <v>551484</v>
      </c>
      <c r="O196">
        <v>552821</v>
      </c>
      <c r="P196">
        <v>556292</v>
      </c>
      <c r="Q196">
        <v>556660</v>
      </c>
      <c r="R196">
        <v>558589</v>
      </c>
    </row>
    <row r="197" spans="1:18">
      <c r="A197">
        <v>29620</v>
      </c>
      <c r="B197" t="s">
        <v>503</v>
      </c>
      <c r="C197" t="s">
        <v>1261</v>
      </c>
      <c r="D197" t="s">
        <v>1254</v>
      </c>
      <c r="E197">
        <v>534726</v>
      </c>
      <c r="F197">
        <v>535779</v>
      </c>
      <c r="G197">
        <v>535526</v>
      </c>
      <c r="H197">
        <v>535954</v>
      </c>
      <c r="I197">
        <v>537214</v>
      </c>
      <c r="J197">
        <v>537777</v>
      </c>
      <c r="K197">
        <v>540583</v>
      </c>
      <c r="L197">
        <v>542883</v>
      </c>
      <c r="M197">
        <v>542279</v>
      </c>
      <c r="N197">
        <v>542535</v>
      </c>
      <c r="O197">
        <v>541030</v>
      </c>
      <c r="P197">
        <v>527587</v>
      </c>
      <c r="Q197">
        <v>539950</v>
      </c>
      <c r="R197">
        <v>541202</v>
      </c>
    </row>
    <row r="198" spans="1:18">
      <c r="A198">
        <v>29700</v>
      </c>
      <c r="B198" t="s">
        <v>504</v>
      </c>
      <c r="C198" t="s">
        <v>1261</v>
      </c>
      <c r="D198" t="s">
        <v>1254</v>
      </c>
      <c r="E198">
        <v>251126</v>
      </c>
      <c r="F198">
        <v>254692</v>
      </c>
      <c r="G198">
        <v>258314</v>
      </c>
      <c r="H198">
        <v>261101</v>
      </c>
      <c r="I198">
        <v>263059</v>
      </c>
      <c r="J198">
        <v>264372</v>
      </c>
      <c r="K198">
        <v>265778</v>
      </c>
      <c r="L198">
        <v>266072</v>
      </c>
      <c r="M198">
        <v>266391</v>
      </c>
      <c r="N198">
        <v>266986</v>
      </c>
      <c r="O198">
        <v>267363</v>
      </c>
      <c r="P198">
        <v>267400</v>
      </c>
      <c r="Q198">
        <v>267619</v>
      </c>
      <c r="R198">
        <v>269148</v>
      </c>
    </row>
    <row r="199" spans="1:18">
      <c r="A199">
        <v>29740</v>
      </c>
      <c r="B199" t="s">
        <v>505</v>
      </c>
      <c r="C199" t="s">
        <v>1261</v>
      </c>
      <c r="D199" t="s">
        <v>1254</v>
      </c>
      <c r="E199">
        <v>210066</v>
      </c>
      <c r="F199">
        <v>212973</v>
      </c>
      <c r="G199">
        <v>214179</v>
      </c>
      <c r="H199">
        <v>213887</v>
      </c>
      <c r="I199">
        <v>213413</v>
      </c>
      <c r="J199">
        <v>213373</v>
      </c>
      <c r="K199">
        <v>213885</v>
      </c>
      <c r="L199">
        <v>215315</v>
      </c>
      <c r="M199">
        <v>216434</v>
      </c>
      <c r="N199">
        <v>217687</v>
      </c>
      <c r="O199">
        <v>220060</v>
      </c>
      <c r="P199">
        <v>221732</v>
      </c>
      <c r="Q199">
        <v>223530</v>
      </c>
      <c r="R199">
        <v>225210</v>
      </c>
    </row>
    <row r="200" spans="1:18">
      <c r="A200">
        <v>29820</v>
      </c>
      <c r="B200" t="s">
        <v>506</v>
      </c>
      <c r="C200" t="s">
        <v>1261</v>
      </c>
      <c r="D200" t="s">
        <v>1254</v>
      </c>
      <c r="E200">
        <v>1951737</v>
      </c>
      <c r="F200">
        <v>1957626</v>
      </c>
      <c r="G200">
        <v>1981384</v>
      </c>
      <c r="H200">
        <v>2005757</v>
      </c>
      <c r="I200">
        <v>2037960</v>
      </c>
      <c r="J200">
        <v>2077790</v>
      </c>
      <c r="K200">
        <v>2115963</v>
      </c>
      <c r="L200">
        <v>2154616</v>
      </c>
      <c r="M200">
        <v>2195698</v>
      </c>
      <c r="N200">
        <v>2237815</v>
      </c>
      <c r="O200">
        <v>2274887</v>
      </c>
      <c r="P200">
        <v>2295310</v>
      </c>
      <c r="Q200">
        <v>2322535</v>
      </c>
      <c r="R200">
        <v>2336573</v>
      </c>
    </row>
    <row r="201" spans="1:18">
      <c r="A201">
        <v>29940</v>
      </c>
      <c r="B201" t="s">
        <v>507</v>
      </c>
      <c r="C201" t="s">
        <v>1261</v>
      </c>
      <c r="D201" t="s">
        <v>1254</v>
      </c>
      <c r="E201">
        <v>111122</v>
      </c>
      <c r="F201">
        <v>112084</v>
      </c>
      <c r="G201">
        <v>112602</v>
      </c>
      <c r="H201">
        <v>113674</v>
      </c>
      <c r="I201">
        <v>115075</v>
      </c>
      <c r="J201">
        <v>116431</v>
      </c>
      <c r="K201">
        <v>117670</v>
      </c>
      <c r="L201">
        <v>117950</v>
      </c>
      <c r="M201">
        <v>118398</v>
      </c>
      <c r="N201">
        <v>118968</v>
      </c>
      <c r="O201">
        <v>118784</v>
      </c>
      <c r="P201">
        <v>119493</v>
      </c>
      <c r="Q201">
        <v>120007</v>
      </c>
      <c r="R201">
        <v>120553</v>
      </c>
    </row>
    <row r="202" spans="1:18">
      <c r="A202">
        <v>30020</v>
      </c>
      <c r="B202" t="s">
        <v>508</v>
      </c>
      <c r="C202" t="s">
        <v>1261</v>
      </c>
      <c r="D202" t="s">
        <v>1254</v>
      </c>
      <c r="E202">
        <v>131569</v>
      </c>
      <c r="F202">
        <v>132297</v>
      </c>
      <c r="G202">
        <v>132587</v>
      </c>
      <c r="H202">
        <v>130805</v>
      </c>
      <c r="I202">
        <v>130742</v>
      </c>
      <c r="J202">
        <v>129671</v>
      </c>
      <c r="K202">
        <v>127438</v>
      </c>
      <c r="L202">
        <v>127809</v>
      </c>
      <c r="M202">
        <v>126734</v>
      </c>
      <c r="N202">
        <v>126793</v>
      </c>
      <c r="O202">
        <v>126660</v>
      </c>
      <c r="P202">
        <v>127766</v>
      </c>
      <c r="Q202">
        <v>127674</v>
      </c>
      <c r="R202">
        <v>127001</v>
      </c>
    </row>
    <row r="203" spans="1:18">
      <c r="A203">
        <v>30140</v>
      </c>
      <c r="B203" t="s">
        <v>509</v>
      </c>
      <c r="C203" t="s">
        <v>1261</v>
      </c>
      <c r="D203" t="s">
        <v>1254</v>
      </c>
      <c r="E203">
        <v>133705</v>
      </c>
      <c r="F203">
        <v>134722</v>
      </c>
      <c r="G203">
        <v>135880</v>
      </c>
      <c r="H203">
        <v>136307</v>
      </c>
      <c r="I203">
        <v>137201</v>
      </c>
      <c r="J203">
        <v>138317</v>
      </c>
      <c r="K203">
        <v>139470</v>
      </c>
      <c r="L203">
        <v>140629</v>
      </c>
      <c r="M203">
        <v>142446</v>
      </c>
      <c r="N203">
        <v>142809</v>
      </c>
      <c r="O203">
        <v>143278</v>
      </c>
      <c r="P203">
        <v>143759</v>
      </c>
      <c r="Q203">
        <v>143902</v>
      </c>
      <c r="R203">
        <v>144252</v>
      </c>
    </row>
    <row r="204" spans="1:18">
      <c r="A204">
        <v>30300</v>
      </c>
      <c r="B204" t="s">
        <v>510</v>
      </c>
      <c r="C204" t="s">
        <v>1261</v>
      </c>
      <c r="D204" t="s">
        <v>1254</v>
      </c>
      <c r="E204">
        <v>61062</v>
      </c>
      <c r="F204">
        <v>61524</v>
      </c>
      <c r="G204">
        <v>61620</v>
      </c>
      <c r="H204">
        <v>62238</v>
      </c>
      <c r="I204">
        <v>62439</v>
      </c>
      <c r="J204">
        <v>62618</v>
      </c>
      <c r="K204">
        <v>63053</v>
      </c>
      <c r="L204">
        <v>63559</v>
      </c>
      <c r="M204">
        <v>63760</v>
      </c>
      <c r="N204">
        <v>64026</v>
      </c>
      <c r="O204">
        <v>64469</v>
      </c>
      <c r="P204">
        <v>64969</v>
      </c>
      <c r="Q204">
        <v>65445</v>
      </c>
      <c r="R204">
        <v>65536</v>
      </c>
    </row>
    <row r="205" spans="1:18">
      <c r="A205">
        <v>30340</v>
      </c>
      <c r="B205" t="s">
        <v>511</v>
      </c>
      <c r="C205" t="s">
        <v>1261</v>
      </c>
      <c r="D205" t="s">
        <v>1254</v>
      </c>
      <c r="E205">
        <v>107773</v>
      </c>
      <c r="F205">
        <v>107767</v>
      </c>
      <c r="G205">
        <v>108075</v>
      </c>
      <c r="H205">
        <v>108072</v>
      </c>
      <c r="I205">
        <v>108463</v>
      </c>
      <c r="J205">
        <v>108485</v>
      </c>
      <c r="K205">
        <v>108936</v>
      </c>
      <c r="L205">
        <v>109303</v>
      </c>
      <c r="M205">
        <v>110040</v>
      </c>
      <c r="N205">
        <v>110670</v>
      </c>
      <c r="O205">
        <v>111175</v>
      </c>
      <c r="P205">
        <v>112732</v>
      </c>
      <c r="Q205">
        <v>113225</v>
      </c>
      <c r="R205">
        <v>113765</v>
      </c>
    </row>
    <row r="206" spans="1:18">
      <c r="A206">
        <v>30460</v>
      </c>
      <c r="B206" t="s">
        <v>512</v>
      </c>
      <c r="C206" t="s">
        <v>1261</v>
      </c>
      <c r="D206" t="s">
        <v>1254</v>
      </c>
      <c r="E206">
        <v>473358</v>
      </c>
      <c r="F206">
        <v>478659</v>
      </c>
      <c r="G206">
        <v>484729</v>
      </c>
      <c r="H206">
        <v>490155</v>
      </c>
      <c r="I206">
        <v>494144</v>
      </c>
      <c r="J206">
        <v>500235</v>
      </c>
      <c r="K206">
        <v>504186</v>
      </c>
      <c r="L206">
        <v>509867</v>
      </c>
      <c r="M206">
        <v>512657</v>
      </c>
      <c r="N206">
        <v>514901</v>
      </c>
      <c r="O206">
        <v>517407</v>
      </c>
      <c r="P206">
        <v>516639</v>
      </c>
      <c r="Q206">
        <v>517748</v>
      </c>
      <c r="R206">
        <v>520045</v>
      </c>
    </row>
    <row r="207" spans="1:18">
      <c r="A207">
        <v>30620</v>
      </c>
      <c r="B207" t="s">
        <v>513</v>
      </c>
      <c r="C207" t="s">
        <v>1261</v>
      </c>
      <c r="D207" t="s">
        <v>1254</v>
      </c>
      <c r="E207">
        <v>106345</v>
      </c>
      <c r="F207">
        <v>105995</v>
      </c>
      <c r="G207">
        <v>105277</v>
      </c>
      <c r="H207">
        <v>105108</v>
      </c>
      <c r="I207">
        <v>104935</v>
      </c>
      <c r="J207">
        <v>104201</v>
      </c>
      <c r="K207">
        <v>103763</v>
      </c>
      <c r="L207">
        <v>103258</v>
      </c>
      <c r="M207">
        <v>102843</v>
      </c>
      <c r="N207">
        <v>102558</v>
      </c>
      <c r="O207">
        <v>102125</v>
      </c>
      <c r="P207">
        <v>101784</v>
      </c>
      <c r="Q207">
        <v>101097</v>
      </c>
      <c r="R207">
        <v>100838</v>
      </c>
    </row>
    <row r="208" spans="1:18">
      <c r="A208">
        <v>30700</v>
      </c>
      <c r="B208" t="s">
        <v>514</v>
      </c>
      <c r="C208" t="s">
        <v>1261</v>
      </c>
      <c r="D208" t="s">
        <v>1254</v>
      </c>
      <c r="E208">
        <v>303041</v>
      </c>
      <c r="F208">
        <v>306993</v>
      </c>
      <c r="G208">
        <v>311004</v>
      </c>
      <c r="H208">
        <v>315086</v>
      </c>
      <c r="I208">
        <v>320926</v>
      </c>
      <c r="J208">
        <v>324704</v>
      </c>
      <c r="K208">
        <v>329359</v>
      </c>
      <c r="L208">
        <v>333088</v>
      </c>
      <c r="M208">
        <v>335926</v>
      </c>
      <c r="N208">
        <v>338279</v>
      </c>
      <c r="O208">
        <v>340783</v>
      </c>
      <c r="P208">
        <v>340960</v>
      </c>
      <c r="Q208">
        <v>342059</v>
      </c>
      <c r="R208">
        <v>344387</v>
      </c>
    </row>
    <row r="209" spans="1:18">
      <c r="A209">
        <v>30780</v>
      </c>
      <c r="B209" t="s">
        <v>515</v>
      </c>
      <c r="C209" t="s">
        <v>1261</v>
      </c>
      <c r="D209" t="s">
        <v>1254</v>
      </c>
      <c r="E209">
        <v>702382</v>
      </c>
      <c r="F209">
        <v>711086</v>
      </c>
      <c r="G209">
        <v>718398</v>
      </c>
      <c r="H209">
        <v>724220</v>
      </c>
      <c r="I209">
        <v>729485</v>
      </c>
      <c r="J209">
        <v>732417</v>
      </c>
      <c r="K209">
        <v>735662</v>
      </c>
      <c r="L209">
        <v>739545</v>
      </c>
      <c r="M209">
        <v>742305</v>
      </c>
      <c r="N209">
        <v>744708</v>
      </c>
      <c r="O209">
        <v>748990</v>
      </c>
      <c r="P209">
        <v>751986</v>
      </c>
      <c r="Q209">
        <v>757768</v>
      </c>
      <c r="R209">
        <v>764045</v>
      </c>
    </row>
    <row r="210" spans="1:18">
      <c r="A210">
        <v>30860</v>
      </c>
      <c r="B210" t="s">
        <v>516</v>
      </c>
      <c r="C210" t="s">
        <v>1261</v>
      </c>
      <c r="D210" t="s">
        <v>1254</v>
      </c>
      <c r="E210">
        <v>126246</v>
      </c>
      <c r="F210">
        <v>128000</v>
      </c>
      <c r="G210">
        <v>129431</v>
      </c>
      <c r="H210">
        <v>130906</v>
      </c>
      <c r="I210">
        <v>132234</v>
      </c>
      <c r="J210">
        <v>134451</v>
      </c>
      <c r="K210">
        <v>137759</v>
      </c>
      <c r="L210">
        <v>140390</v>
      </c>
      <c r="M210">
        <v>143123</v>
      </c>
      <c r="N210">
        <v>145431</v>
      </c>
      <c r="O210">
        <v>147913</v>
      </c>
      <c r="P210">
        <v>152128</v>
      </c>
      <c r="Q210">
        <v>155315</v>
      </c>
      <c r="R210">
        <v>157887</v>
      </c>
    </row>
    <row r="211" spans="1:18">
      <c r="A211">
        <v>30980</v>
      </c>
      <c r="B211" t="s">
        <v>517</v>
      </c>
      <c r="C211" t="s">
        <v>1261</v>
      </c>
      <c r="D211" t="s">
        <v>1254</v>
      </c>
      <c r="E211">
        <v>280474</v>
      </c>
      <c r="F211">
        <v>282336</v>
      </c>
      <c r="G211">
        <v>282887</v>
      </c>
      <c r="H211">
        <v>282364</v>
      </c>
      <c r="I211">
        <v>282920</v>
      </c>
      <c r="J211">
        <v>283400</v>
      </c>
      <c r="K211">
        <v>283267</v>
      </c>
      <c r="L211">
        <v>284096</v>
      </c>
      <c r="M211">
        <v>284711</v>
      </c>
      <c r="N211">
        <v>285815</v>
      </c>
      <c r="O211">
        <v>286350</v>
      </c>
      <c r="P211">
        <v>288187</v>
      </c>
      <c r="Q211">
        <v>290575</v>
      </c>
      <c r="R211">
        <v>293498</v>
      </c>
    </row>
    <row r="212" spans="1:18">
      <c r="A212">
        <v>31020</v>
      </c>
      <c r="B212" t="s">
        <v>518</v>
      </c>
      <c r="C212" t="s">
        <v>1261</v>
      </c>
      <c r="D212" t="s">
        <v>1254</v>
      </c>
      <c r="E212">
        <v>102349</v>
      </c>
      <c r="F212">
        <v>102267</v>
      </c>
      <c r="G212">
        <v>101586</v>
      </c>
      <c r="H212">
        <v>101378</v>
      </c>
      <c r="I212">
        <v>101654</v>
      </c>
      <c r="J212">
        <v>102835</v>
      </c>
      <c r="K212">
        <v>104523</v>
      </c>
      <c r="L212">
        <v>106522</v>
      </c>
      <c r="M212">
        <v>108351</v>
      </c>
      <c r="N212">
        <v>110020</v>
      </c>
      <c r="O212">
        <v>111014</v>
      </c>
      <c r="P212">
        <v>111685</v>
      </c>
      <c r="Q212">
        <v>112064</v>
      </c>
      <c r="R212">
        <v>112864</v>
      </c>
    </row>
    <row r="213" spans="1:18">
      <c r="A213">
        <v>31080</v>
      </c>
      <c r="B213" t="s">
        <v>519</v>
      </c>
      <c r="C213" t="s">
        <v>1261</v>
      </c>
      <c r="D213" t="s">
        <v>1254</v>
      </c>
      <c r="E213">
        <v>12839428</v>
      </c>
      <c r="F213">
        <v>12931008</v>
      </c>
      <c r="G213">
        <v>13023028</v>
      </c>
      <c r="H213">
        <v>13111248</v>
      </c>
      <c r="I213">
        <v>13184705</v>
      </c>
      <c r="J213">
        <v>13256931</v>
      </c>
      <c r="K213">
        <v>13295906</v>
      </c>
      <c r="L213">
        <v>13309287</v>
      </c>
      <c r="M213">
        <v>13285814</v>
      </c>
      <c r="N213">
        <v>13236839</v>
      </c>
      <c r="O213">
        <v>13178547</v>
      </c>
      <c r="P213">
        <v>12970073</v>
      </c>
      <c r="Q213">
        <v>12870137</v>
      </c>
      <c r="R213">
        <v>12799100</v>
      </c>
    </row>
    <row r="214" spans="1:18">
      <c r="A214">
        <v>31140</v>
      </c>
      <c r="B214" t="s">
        <v>520</v>
      </c>
      <c r="C214" t="s">
        <v>1261</v>
      </c>
      <c r="D214" t="s">
        <v>1254</v>
      </c>
      <c r="E214">
        <v>1205068</v>
      </c>
      <c r="F214">
        <v>1213944</v>
      </c>
      <c r="G214">
        <v>1223959</v>
      </c>
      <c r="H214">
        <v>1237673</v>
      </c>
      <c r="I214">
        <v>1246579</v>
      </c>
      <c r="J214">
        <v>1255214</v>
      </c>
      <c r="K214">
        <v>1263150</v>
      </c>
      <c r="L214">
        <v>1272088</v>
      </c>
      <c r="M214">
        <v>1276167</v>
      </c>
      <c r="N214">
        <v>1281193</v>
      </c>
      <c r="O214">
        <v>1286150</v>
      </c>
      <c r="P214">
        <v>1284178</v>
      </c>
      <c r="Q214">
        <v>1283931</v>
      </c>
      <c r="R214">
        <v>1287696</v>
      </c>
    </row>
    <row r="215" spans="1:18">
      <c r="A215">
        <v>31180</v>
      </c>
      <c r="B215" t="s">
        <v>521</v>
      </c>
      <c r="C215" t="s">
        <v>1261</v>
      </c>
      <c r="D215" t="s">
        <v>1254</v>
      </c>
      <c r="E215">
        <v>292175</v>
      </c>
      <c r="F215">
        <v>294923</v>
      </c>
      <c r="G215">
        <v>297022</v>
      </c>
      <c r="H215">
        <v>300038</v>
      </c>
      <c r="I215">
        <v>304548</v>
      </c>
      <c r="J215">
        <v>308090</v>
      </c>
      <c r="K215">
        <v>311496</v>
      </c>
      <c r="L215">
        <v>314428</v>
      </c>
      <c r="M215">
        <v>316314</v>
      </c>
      <c r="N215">
        <v>318941</v>
      </c>
      <c r="O215">
        <v>322285</v>
      </c>
      <c r="P215">
        <v>325372</v>
      </c>
      <c r="Q215">
        <v>328491</v>
      </c>
      <c r="R215">
        <v>331618</v>
      </c>
    </row>
    <row r="216" spans="1:18">
      <c r="A216">
        <v>31340</v>
      </c>
      <c r="B216" t="s">
        <v>522</v>
      </c>
      <c r="C216" t="s">
        <v>1261</v>
      </c>
      <c r="D216" t="s">
        <v>1254</v>
      </c>
      <c r="E216">
        <v>252910</v>
      </c>
      <c r="F216">
        <v>253902</v>
      </c>
      <c r="G216">
        <v>255203</v>
      </c>
      <c r="H216">
        <v>256066</v>
      </c>
      <c r="I216">
        <v>256953</v>
      </c>
      <c r="J216">
        <v>258199</v>
      </c>
      <c r="K216">
        <v>259012</v>
      </c>
      <c r="L216">
        <v>260059</v>
      </c>
      <c r="M216">
        <v>261098</v>
      </c>
      <c r="N216">
        <v>261549</v>
      </c>
      <c r="O216">
        <v>261643</v>
      </c>
      <c r="P216">
        <v>262483</v>
      </c>
      <c r="Q216">
        <v>263209</v>
      </c>
      <c r="R216">
        <v>264590</v>
      </c>
    </row>
    <row r="217" spans="1:18">
      <c r="A217">
        <v>31420</v>
      </c>
      <c r="B217" t="s">
        <v>523</v>
      </c>
      <c r="C217" t="s">
        <v>1261</v>
      </c>
      <c r="D217" t="s">
        <v>1254</v>
      </c>
      <c r="E217">
        <v>232293</v>
      </c>
      <c r="F217">
        <v>233198</v>
      </c>
      <c r="G217">
        <v>233614</v>
      </c>
      <c r="H217">
        <v>232479</v>
      </c>
      <c r="I217">
        <v>232076</v>
      </c>
      <c r="J217">
        <v>231805</v>
      </c>
      <c r="K217">
        <v>231443</v>
      </c>
      <c r="L217">
        <v>231664</v>
      </c>
      <c r="M217">
        <v>232641</v>
      </c>
      <c r="N217">
        <v>233424</v>
      </c>
      <c r="O217">
        <v>233610</v>
      </c>
      <c r="P217">
        <v>233159</v>
      </c>
      <c r="Q217">
        <v>233952</v>
      </c>
      <c r="R217">
        <v>236074</v>
      </c>
    </row>
    <row r="218" spans="1:18">
      <c r="A218">
        <v>31460</v>
      </c>
      <c r="B218" t="s">
        <v>524</v>
      </c>
      <c r="C218" t="s">
        <v>1261</v>
      </c>
      <c r="D218" t="s">
        <v>1254</v>
      </c>
      <c r="E218">
        <v>150978</v>
      </c>
      <c r="F218">
        <v>151545</v>
      </c>
      <c r="G218">
        <v>151269</v>
      </c>
      <c r="H218">
        <v>150933</v>
      </c>
      <c r="I218">
        <v>152878</v>
      </c>
      <c r="J218">
        <v>152856</v>
      </c>
      <c r="K218">
        <v>152989</v>
      </c>
      <c r="L218">
        <v>154256</v>
      </c>
      <c r="M218">
        <v>155430</v>
      </c>
      <c r="N218">
        <v>155658</v>
      </c>
      <c r="O218">
        <v>156345</v>
      </c>
      <c r="P218">
        <v>158966</v>
      </c>
      <c r="Q218">
        <v>160329</v>
      </c>
      <c r="R218">
        <v>162858</v>
      </c>
    </row>
    <row r="219" spans="1:18">
      <c r="A219">
        <v>31540</v>
      </c>
      <c r="B219" t="s">
        <v>525</v>
      </c>
      <c r="C219" t="s">
        <v>1261</v>
      </c>
      <c r="D219" t="s">
        <v>1254</v>
      </c>
      <c r="E219">
        <v>606899</v>
      </c>
      <c r="F219">
        <v>614521</v>
      </c>
      <c r="G219">
        <v>622190</v>
      </c>
      <c r="H219">
        <v>630440</v>
      </c>
      <c r="I219">
        <v>638114</v>
      </c>
      <c r="J219">
        <v>646126</v>
      </c>
      <c r="K219">
        <v>655599</v>
      </c>
      <c r="L219">
        <v>663510</v>
      </c>
      <c r="M219">
        <v>669240</v>
      </c>
      <c r="N219">
        <v>675780</v>
      </c>
      <c r="O219">
        <v>681902</v>
      </c>
      <c r="P219">
        <v>680860</v>
      </c>
      <c r="Q219">
        <v>686829</v>
      </c>
      <c r="R219">
        <v>694345</v>
      </c>
    </row>
    <row r="220" spans="1:18">
      <c r="A220">
        <v>31700</v>
      </c>
      <c r="B220" t="s">
        <v>526</v>
      </c>
      <c r="C220" t="s">
        <v>1261</v>
      </c>
      <c r="D220" t="s">
        <v>1254</v>
      </c>
      <c r="E220">
        <v>401162</v>
      </c>
      <c r="F220">
        <v>403323</v>
      </c>
      <c r="G220">
        <v>405328</v>
      </c>
      <c r="H220">
        <v>406704</v>
      </c>
      <c r="I220">
        <v>409149</v>
      </c>
      <c r="J220">
        <v>411330</v>
      </c>
      <c r="K220">
        <v>414107</v>
      </c>
      <c r="L220">
        <v>416477</v>
      </c>
      <c r="M220">
        <v>418261</v>
      </c>
      <c r="N220">
        <v>421513</v>
      </c>
      <c r="O220">
        <v>422913</v>
      </c>
      <c r="P220">
        <v>424413</v>
      </c>
      <c r="Q220">
        <v>427493</v>
      </c>
      <c r="R220">
        <v>427354</v>
      </c>
    </row>
    <row r="221" spans="1:18">
      <c r="A221">
        <v>31740</v>
      </c>
      <c r="B221" t="s">
        <v>527</v>
      </c>
      <c r="C221" t="s">
        <v>1261</v>
      </c>
      <c r="D221" t="s">
        <v>1254</v>
      </c>
      <c r="E221">
        <v>128627</v>
      </c>
      <c r="F221">
        <v>131291</v>
      </c>
      <c r="G221">
        <v>138799</v>
      </c>
      <c r="H221">
        <v>137807</v>
      </c>
      <c r="I221">
        <v>137647</v>
      </c>
      <c r="J221">
        <v>139468</v>
      </c>
      <c r="K221">
        <v>137034</v>
      </c>
      <c r="L221">
        <v>134937</v>
      </c>
      <c r="M221">
        <v>135332</v>
      </c>
      <c r="N221">
        <v>132825</v>
      </c>
      <c r="O221">
        <v>134187</v>
      </c>
      <c r="P221">
        <v>133860</v>
      </c>
      <c r="Q221">
        <v>133384</v>
      </c>
      <c r="R221">
        <v>132831</v>
      </c>
    </row>
    <row r="222" spans="1:18">
      <c r="A222">
        <v>31860</v>
      </c>
      <c r="B222" t="s">
        <v>528</v>
      </c>
      <c r="C222" t="s">
        <v>1261</v>
      </c>
      <c r="D222" t="s">
        <v>1254</v>
      </c>
      <c r="E222">
        <v>96871</v>
      </c>
      <c r="F222">
        <v>97447</v>
      </c>
      <c r="G222">
        <v>98213</v>
      </c>
      <c r="H222">
        <v>98038</v>
      </c>
      <c r="I222">
        <v>99098</v>
      </c>
      <c r="J222">
        <v>99726</v>
      </c>
      <c r="K222">
        <v>100742</v>
      </c>
      <c r="L222">
        <v>101689</v>
      </c>
      <c r="M222">
        <v>102407</v>
      </c>
      <c r="N222">
        <v>103062</v>
      </c>
      <c r="O222">
        <v>103698</v>
      </c>
      <c r="P222">
        <v>103728</v>
      </c>
      <c r="Q222">
        <v>103946</v>
      </c>
      <c r="R222">
        <v>104248</v>
      </c>
    </row>
    <row r="223" spans="1:18">
      <c r="A223">
        <v>31900</v>
      </c>
      <c r="B223" t="s">
        <v>529</v>
      </c>
      <c r="C223" t="s">
        <v>1261</v>
      </c>
      <c r="D223" t="s">
        <v>1254</v>
      </c>
      <c r="E223">
        <v>124254</v>
      </c>
      <c r="F223">
        <v>123639</v>
      </c>
      <c r="G223">
        <v>123523</v>
      </c>
      <c r="H223">
        <v>123605</v>
      </c>
      <c r="I223">
        <v>123685</v>
      </c>
      <c r="J223">
        <v>123763</v>
      </c>
      <c r="K223">
        <v>123753</v>
      </c>
      <c r="L223">
        <v>123305</v>
      </c>
      <c r="M223">
        <v>124330</v>
      </c>
      <c r="N223">
        <v>125000</v>
      </c>
      <c r="O223">
        <v>124966</v>
      </c>
      <c r="P223">
        <v>125341</v>
      </c>
      <c r="Q223">
        <v>125261</v>
      </c>
      <c r="R223">
        <v>125064</v>
      </c>
    </row>
    <row r="224" spans="1:18">
      <c r="A224">
        <v>32580</v>
      </c>
      <c r="B224" t="s">
        <v>530</v>
      </c>
      <c r="C224" t="s">
        <v>1261</v>
      </c>
      <c r="D224" t="s">
        <v>1254</v>
      </c>
      <c r="E224">
        <v>779032</v>
      </c>
      <c r="F224">
        <v>794996</v>
      </c>
      <c r="G224">
        <v>807357</v>
      </c>
      <c r="H224">
        <v>817205</v>
      </c>
      <c r="I224">
        <v>827938</v>
      </c>
      <c r="J224">
        <v>837320</v>
      </c>
      <c r="K224">
        <v>846030</v>
      </c>
      <c r="L224">
        <v>852699</v>
      </c>
      <c r="M224">
        <v>858413</v>
      </c>
      <c r="N224">
        <v>864536</v>
      </c>
      <c r="O224">
        <v>872856</v>
      </c>
      <c r="P224">
        <v>879865</v>
      </c>
      <c r="Q224">
        <v>888286</v>
      </c>
      <c r="R224">
        <v>898471</v>
      </c>
    </row>
    <row r="225" spans="1:18">
      <c r="A225">
        <v>32780</v>
      </c>
      <c r="B225" t="s">
        <v>531</v>
      </c>
      <c r="C225" t="s">
        <v>1261</v>
      </c>
      <c r="D225" t="s">
        <v>1254</v>
      </c>
      <c r="E225">
        <v>203390</v>
      </c>
      <c r="F225">
        <v>204966</v>
      </c>
      <c r="G225">
        <v>206244</v>
      </c>
      <c r="H225">
        <v>207758</v>
      </c>
      <c r="I225">
        <v>209941</v>
      </c>
      <c r="J225">
        <v>212327</v>
      </c>
      <c r="K225">
        <v>215498</v>
      </c>
      <c r="L225">
        <v>218087</v>
      </c>
      <c r="M225">
        <v>220838</v>
      </c>
      <c r="N225">
        <v>222195</v>
      </c>
      <c r="O225">
        <v>223620</v>
      </c>
      <c r="P225">
        <v>224353</v>
      </c>
      <c r="Q225">
        <v>221669</v>
      </c>
      <c r="R225">
        <v>220768</v>
      </c>
    </row>
    <row r="226" spans="1:18">
      <c r="A226">
        <v>32820</v>
      </c>
      <c r="B226" t="s">
        <v>532</v>
      </c>
      <c r="C226" t="s">
        <v>1261</v>
      </c>
      <c r="D226" t="s">
        <v>1254</v>
      </c>
      <c r="E226">
        <v>1317291</v>
      </c>
      <c r="F226">
        <v>1322717</v>
      </c>
      <c r="G226">
        <v>1329469</v>
      </c>
      <c r="H226">
        <v>1329277</v>
      </c>
      <c r="I226">
        <v>1329687</v>
      </c>
      <c r="J226">
        <v>1330099</v>
      </c>
      <c r="K226">
        <v>1330625</v>
      </c>
      <c r="L226">
        <v>1332047</v>
      </c>
      <c r="M226">
        <v>1335134</v>
      </c>
      <c r="N226">
        <v>1336471</v>
      </c>
      <c r="O226">
        <v>1338508</v>
      </c>
      <c r="P226">
        <v>1334999</v>
      </c>
      <c r="Q226">
        <v>1331111</v>
      </c>
      <c r="R226">
        <v>1328236</v>
      </c>
    </row>
    <row r="227" spans="1:18">
      <c r="A227">
        <v>32900</v>
      </c>
      <c r="B227" t="s">
        <v>533</v>
      </c>
      <c r="C227" t="s">
        <v>1261</v>
      </c>
      <c r="D227" t="s">
        <v>1254</v>
      </c>
      <c r="E227">
        <v>256762</v>
      </c>
      <c r="F227">
        <v>259518</v>
      </c>
      <c r="G227">
        <v>261264</v>
      </c>
      <c r="H227">
        <v>262597</v>
      </c>
      <c r="I227">
        <v>265177</v>
      </c>
      <c r="J227">
        <v>267299</v>
      </c>
      <c r="K227">
        <v>268766</v>
      </c>
      <c r="L227">
        <v>272480</v>
      </c>
      <c r="M227">
        <v>275626</v>
      </c>
      <c r="N227">
        <v>279263</v>
      </c>
      <c r="O227">
        <v>281830</v>
      </c>
      <c r="P227">
        <v>284610</v>
      </c>
      <c r="Q227">
        <v>290210</v>
      </c>
      <c r="R227">
        <v>291920</v>
      </c>
    </row>
    <row r="228" spans="1:18">
      <c r="A228">
        <v>33100</v>
      </c>
      <c r="B228" t="s">
        <v>534</v>
      </c>
      <c r="C228" t="s">
        <v>1261</v>
      </c>
      <c r="D228" t="s">
        <v>1254</v>
      </c>
      <c r="E228">
        <v>5582496</v>
      </c>
      <c r="F228">
        <v>5663565</v>
      </c>
      <c r="G228">
        <v>5737057</v>
      </c>
      <c r="H228">
        <v>5809981</v>
      </c>
      <c r="I228">
        <v>5876841</v>
      </c>
      <c r="J228">
        <v>5947797</v>
      </c>
      <c r="K228">
        <v>6028626</v>
      </c>
      <c r="L228">
        <v>6084581</v>
      </c>
      <c r="M228">
        <v>6105049</v>
      </c>
      <c r="N228">
        <v>6125139</v>
      </c>
      <c r="O228">
        <v>6133365</v>
      </c>
      <c r="P228">
        <v>6108758</v>
      </c>
      <c r="Q228">
        <v>6139812</v>
      </c>
      <c r="R228">
        <v>6183199</v>
      </c>
    </row>
    <row r="229" spans="1:18">
      <c r="A229">
        <v>33140</v>
      </c>
      <c r="B229" t="s">
        <v>535</v>
      </c>
      <c r="C229" t="s">
        <v>1261</v>
      </c>
      <c r="D229" t="s">
        <v>1254</v>
      </c>
      <c r="E229">
        <v>111523</v>
      </c>
      <c r="F229">
        <v>111650</v>
      </c>
      <c r="G229">
        <v>111902</v>
      </c>
      <c r="H229">
        <v>112292</v>
      </c>
      <c r="I229">
        <v>112877</v>
      </c>
      <c r="J229">
        <v>112237</v>
      </c>
      <c r="K229">
        <v>111937</v>
      </c>
      <c r="L229">
        <v>111815</v>
      </c>
      <c r="M229">
        <v>112250</v>
      </c>
      <c r="N229">
        <v>112414</v>
      </c>
      <c r="O229">
        <v>112270</v>
      </c>
      <c r="P229">
        <v>112513</v>
      </c>
      <c r="Q229">
        <v>111822</v>
      </c>
      <c r="R229">
        <v>111706</v>
      </c>
    </row>
    <row r="230" spans="1:18">
      <c r="A230">
        <v>33220</v>
      </c>
      <c r="B230" t="s">
        <v>536</v>
      </c>
      <c r="C230" t="s">
        <v>1261</v>
      </c>
      <c r="D230" t="s">
        <v>1254</v>
      </c>
      <c r="E230">
        <v>83661</v>
      </c>
      <c r="F230">
        <v>83831</v>
      </c>
      <c r="G230">
        <v>83754</v>
      </c>
      <c r="H230">
        <v>83699</v>
      </c>
      <c r="I230">
        <v>83556</v>
      </c>
      <c r="J230">
        <v>83733</v>
      </c>
      <c r="K230">
        <v>83517</v>
      </c>
      <c r="L230">
        <v>83480</v>
      </c>
      <c r="M230">
        <v>83489</v>
      </c>
      <c r="N230">
        <v>83460</v>
      </c>
      <c r="O230">
        <v>83478</v>
      </c>
      <c r="P230">
        <v>83479</v>
      </c>
      <c r="Q230">
        <v>83762</v>
      </c>
      <c r="R230">
        <v>84039</v>
      </c>
    </row>
    <row r="231" spans="1:18">
      <c r="A231">
        <v>33260</v>
      </c>
      <c r="B231" t="s">
        <v>537</v>
      </c>
      <c r="C231" t="s">
        <v>1261</v>
      </c>
      <c r="D231" t="s">
        <v>1254</v>
      </c>
      <c r="E231">
        <v>141639</v>
      </c>
      <c r="F231">
        <v>144327</v>
      </c>
      <c r="G231">
        <v>150822</v>
      </c>
      <c r="H231">
        <v>155389</v>
      </c>
      <c r="I231">
        <v>159178</v>
      </c>
      <c r="J231">
        <v>164130</v>
      </c>
      <c r="K231">
        <v>164890</v>
      </c>
      <c r="L231">
        <v>165504</v>
      </c>
      <c r="M231">
        <v>171770</v>
      </c>
      <c r="N231">
        <v>174824</v>
      </c>
      <c r="O231">
        <v>175614</v>
      </c>
      <c r="P231">
        <v>173471</v>
      </c>
      <c r="Q231">
        <v>177247</v>
      </c>
      <c r="R231">
        <v>182324</v>
      </c>
    </row>
    <row r="232" spans="1:18">
      <c r="A232">
        <v>33340</v>
      </c>
      <c r="B232" t="s">
        <v>538</v>
      </c>
      <c r="C232" t="s">
        <v>1261</v>
      </c>
      <c r="D232" t="s">
        <v>1254</v>
      </c>
      <c r="E232">
        <v>1556625</v>
      </c>
      <c r="F232">
        <v>1561000</v>
      </c>
      <c r="G232">
        <v>1566683</v>
      </c>
      <c r="H232">
        <v>1570896</v>
      </c>
      <c r="I232">
        <v>1573940</v>
      </c>
      <c r="J232">
        <v>1575104</v>
      </c>
      <c r="K232">
        <v>1574396</v>
      </c>
      <c r="L232">
        <v>1572978</v>
      </c>
      <c r="M232">
        <v>1572723</v>
      </c>
      <c r="N232">
        <v>1574296</v>
      </c>
      <c r="O232">
        <v>1574476</v>
      </c>
      <c r="P232">
        <v>1563237</v>
      </c>
      <c r="Q232">
        <v>1559128</v>
      </c>
      <c r="R232">
        <v>1560424</v>
      </c>
    </row>
    <row r="233" spans="1:18">
      <c r="A233">
        <v>33460</v>
      </c>
      <c r="B233" t="s">
        <v>539</v>
      </c>
      <c r="C233" t="s">
        <v>1261</v>
      </c>
      <c r="D233" t="s">
        <v>1254</v>
      </c>
      <c r="E233">
        <v>3340873</v>
      </c>
      <c r="F233">
        <v>3377834</v>
      </c>
      <c r="G233">
        <v>3413964</v>
      </c>
      <c r="H233">
        <v>3452486</v>
      </c>
      <c r="I233">
        <v>3491595</v>
      </c>
      <c r="J233">
        <v>3522901</v>
      </c>
      <c r="K233">
        <v>3561786</v>
      </c>
      <c r="L233">
        <v>3602878</v>
      </c>
      <c r="M233">
        <v>3640447</v>
      </c>
      <c r="N233">
        <v>3672456</v>
      </c>
      <c r="O233">
        <v>3694114</v>
      </c>
      <c r="P233">
        <v>3696290</v>
      </c>
      <c r="Q233">
        <v>3691666</v>
      </c>
      <c r="R233">
        <v>3712020</v>
      </c>
    </row>
    <row r="234" spans="1:18">
      <c r="A234">
        <v>33540</v>
      </c>
      <c r="B234" t="s">
        <v>540</v>
      </c>
      <c r="C234" t="s">
        <v>1261</v>
      </c>
      <c r="D234" t="s">
        <v>1254</v>
      </c>
      <c r="E234">
        <v>109397</v>
      </c>
      <c r="F234">
        <v>109896</v>
      </c>
      <c r="G234">
        <v>110423</v>
      </c>
      <c r="H234">
        <v>110996</v>
      </c>
      <c r="I234">
        <v>111616</v>
      </c>
      <c r="J234">
        <v>112647</v>
      </c>
      <c r="K234">
        <v>114608</v>
      </c>
      <c r="L234">
        <v>115750</v>
      </c>
      <c r="M234">
        <v>116307</v>
      </c>
      <c r="N234">
        <v>117072</v>
      </c>
      <c r="O234">
        <v>118347</v>
      </c>
      <c r="P234">
        <v>119841</v>
      </c>
      <c r="Q234">
        <v>121011</v>
      </c>
      <c r="R234">
        <v>121849</v>
      </c>
    </row>
    <row r="235" spans="1:18">
      <c r="A235">
        <v>33660</v>
      </c>
      <c r="B235" t="s">
        <v>541</v>
      </c>
      <c r="C235" t="s">
        <v>1261</v>
      </c>
      <c r="D235" t="s">
        <v>1254</v>
      </c>
      <c r="E235">
        <v>430985</v>
      </c>
      <c r="F235">
        <v>430630</v>
      </c>
      <c r="G235">
        <v>431307</v>
      </c>
      <c r="H235">
        <v>431303</v>
      </c>
      <c r="I235">
        <v>431655</v>
      </c>
      <c r="J235">
        <v>432080</v>
      </c>
      <c r="K235">
        <v>432476</v>
      </c>
      <c r="L235">
        <v>431494</v>
      </c>
      <c r="M235">
        <v>431516</v>
      </c>
      <c r="N235">
        <v>430797</v>
      </c>
      <c r="O235">
        <v>429706</v>
      </c>
      <c r="P235">
        <v>428606</v>
      </c>
      <c r="Q235">
        <v>426492</v>
      </c>
      <c r="R235">
        <v>426662</v>
      </c>
    </row>
    <row r="236" spans="1:18">
      <c r="A236">
        <v>33700</v>
      </c>
      <c r="B236" t="s">
        <v>542</v>
      </c>
      <c r="C236" t="s">
        <v>1261</v>
      </c>
      <c r="D236" t="s">
        <v>1254</v>
      </c>
      <c r="E236">
        <v>515193</v>
      </c>
      <c r="F236">
        <v>517797</v>
      </c>
      <c r="G236">
        <v>520847</v>
      </c>
      <c r="H236">
        <v>524056</v>
      </c>
      <c r="I236">
        <v>528795</v>
      </c>
      <c r="J236">
        <v>534178</v>
      </c>
      <c r="K236">
        <v>540463</v>
      </c>
      <c r="L236">
        <v>546229</v>
      </c>
      <c r="M236">
        <v>549847</v>
      </c>
      <c r="N236">
        <v>552003</v>
      </c>
      <c r="O236">
        <v>553257</v>
      </c>
      <c r="P236">
        <v>552723</v>
      </c>
      <c r="Q236">
        <v>551226</v>
      </c>
      <c r="R236">
        <v>551430</v>
      </c>
    </row>
    <row r="237" spans="1:18">
      <c r="A237">
        <v>33740</v>
      </c>
      <c r="B237" t="s">
        <v>543</v>
      </c>
      <c r="C237" t="s">
        <v>1261</v>
      </c>
      <c r="D237" t="s">
        <v>1254</v>
      </c>
      <c r="E237">
        <v>204869</v>
      </c>
      <c r="F237">
        <v>205855</v>
      </c>
      <c r="G237">
        <v>206902</v>
      </c>
      <c r="H237">
        <v>207989</v>
      </c>
      <c r="I237">
        <v>208895</v>
      </c>
      <c r="J237">
        <v>209803</v>
      </c>
      <c r="K237">
        <v>210240</v>
      </c>
      <c r="L237">
        <v>209583</v>
      </c>
      <c r="M237">
        <v>208559</v>
      </c>
      <c r="N237">
        <v>207372</v>
      </c>
      <c r="O237">
        <v>206668</v>
      </c>
      <c r="P237">
        <v>204888</v>
      </c>
      <c r="Q237">
        <v>202847</v>
      </c>
      <c r="R237">
        <v>202173</v>
      </c>
    </row>
    <row r="238" spans="1:18">
      <c r="A238">
        <v>33780</v>
      </c>
      <c r="B238" t="s">
        <v>544</v>
      </c>
      <c r="C238" t="s">
        <v>1261</v>
      </c>
      <c r="D238" t="s">
        <v>1254</v>
      </c>
      <c r="E238">
        <v>152039</v>
      </c>
      <c r="F238">
        <v>152026</v>
      </c>
      <c r="G238">
        <v>151761</v>
      </c>
      <c r="H238">
        <v>151526</v>
      </c>
      <c r="I238">
        <v>151662</v>
      </c>
      <c r="J238">
        <v>151589</v>
      </c>
      <c r="K238">
        <v>151840</v>
      </c>
      <c r="L238">
        <v>152505</v>
      </c>
      <c r="M238">
        <v>153630</v>
      </c>
      <c r="N238">
        <v>154248</v>
      </c>
      <c r="O238">
        <v>154896</v>
      </c>
      <c r="P238">
        <v>155534</v>
      </c>
      <c r="Q238">
        <v>155235</v>
      </c>
      <c r="R238">
        <v>155045</v>
      </c>
    </row>
    <row r="239" spans="1:18">
      <c r="A239">
        <v>33860</v>
      </c>
      <c r="B239" t="s">
        <v>545</v>
      </c>
      <c r="C239" t="s">
        <v>1261</v>
      </c>
      <c r="D239" t="s">
        <v>1254</v>
      </c>
      <c r="E239">
        <v>375431</v>
      </c>
      <c r="F239">
        <v>377209</v>
      </c>
      <c r="G239">
        <v>377864</v>
      </c>
      <c r="H239">
        <v>378424</v>
      </c>
      <c r="I239">
        <v>379109</v>
      </c>
      <c r="J239">
        <v>380358</v>
      </c>
      <c r="K239">
        <v>382309</v>
      </c>
      <c r="L239">
        <v>383935</v>
      </c>
      <c r="M239">
        <v>384025</v>
      </c>
      <c r="N239">
        <v>385174</v>
      </c>
      <c r="O239">
        <v>385403</v>
      </c>
      <c r="P239">
        <v>384872</v>
      </c>
      <c r="Q239">
        <v>385410</v>
      </c>
      <c r="R239">
        <v>385480</v>
      </c>
    </row>
    <row r="240" spans="1:18">
      <c r="A240">
        <v>34060</v>
      </c>
      <c r="B240" t="s">
        <v>546</v>
      </c>
      <c r="C240" t="s">
        <v>1261</v>
      </c>
      <c r="D240" t="s">
        <v>1254</v>
      </c>
      <c r="E240">
        <v>130314</v>
      </c>
      <c r="F240">
        <v>132730</v>
      </c>
      <c r="G240">
        <v>134910</v>
      </c>
      <c r="H240">
        <v>136074</v>
      </c>
      <c r="I240">
        <v>137542</v>
      </c>
      <c r="J240">
        <v>138703</v>
      </c>
      <c r="K240">
        <v>139638</v>
      </c>
      <c r="L240">
        <v>139902</v>
      </c>
      <c r="M240">
        <v>139436</v>
      </c>
      <c r="N240">
        <v>139717</v>
      </c>
      <c r="O240">
        <v>140100</v>
      </c>
      <c r="P240">
        <v>140825</v>
      </c>
      <c r="Q240">
        <v>141200</v>
      </c>
      <c r="R240">
        <v>141817</v>
      </c>
    </row>
    <row r="241" spans="1:18">
      <c r="A241">
        <v>34100</v>
      </c>
      <c r="B241" t="s">
        <v>547</v>
      </c>
      <c r="C241" t="s">
        <v>1261</v>
      </c>
      <c r="D241" t="s">
        <v>1254</v>
      </c>
      <c r="E241">
        <v>136923</v>
      </c>
      <c r="F241">
        <v>137447</v>
      </c>
      <c r="G241">
        <v>137557</v>
      </c>
      <c r="H241">
        <v>137640</v>
      </c>
      <c r="I241">
        <v>137903</v>
      </c>
      <c r="J241">
        <v>138745</v>
      </c>
      <c r="K241">
        <v>139319</v>
      </c>
      <c r="L241">
        <v>140211</v>
      </c>
      <c r="M241">
        <v>140937</v>
      </c>
      <c r="N241">
        <v>141861</v>
      </c>
      <c r="O241">
        <v>143027</v>
      </c>
      <c r="P241">
        <v>143707</v>
      </c>
      <c r="Q241">
        <v>146012</v>
      </c>
      <c r="R241">
        <v>148735</v>
      </c>
    </row>
    <row r="242" spans="1:18">
      <c r="A242">
        <v>34580</v>
      </c>
      <c r="B242" t="s">
        <v>548</v>
      </c>
      <c r="C242" t="s">
        <v>1261</v>
      </c>
      <c r="D242" t="s">
        <v>1254</v>
      </c>
      <c r="E242">
        <v>116920</v>
      </c>
      <c r="F242">
        <v>117479</v>
      </c>
      <c r="G242">
        <v>117538</v>
      </c>
      <c r="H242">
        <v>118013</v>
      </c>
      <c r="I242">
        <v>119648</v>
      </c>
      <c r="J242">
        <v>121161</v>
      </c>
      <c r="K242">
        <v>123144</v>
      </c>
      <c r="L242">
        <v>125243</v>
      </c>
      <c r="M242">
        <v>127025</v>
      </c>
      <c r="N242">
        <v>128383</v>
      </c>
      <c r="O242">
        <v>129902</v>
      </c>
      <c r="P242">
        <v>131005</v>
      </c>
      <c r="Q242">
        <v>131322</v>
      </c>
      <c r="R242">
        <v>131417</v>
      </c>
    </row>
    <row r="243" spans="1:18">
      <c r="A243">
        <v>34620</v>
      </c>
      <c r="B243" t="s">
        <v>549</v>
      </c>
      <c r="C243" t="s">
        <v>1261</v>
      </c>
      <c r="D243" t="s">
        <v>1254</v>
      </c>
      <c r="E243">
        <v>117628</v>
      </c>
      <c r="F243">
        <v>117695</v>
      </c>
      <c r="G243">
        <v>116663</v>
      </c>
      <c r="H243">
        <v>116304</v>
      </c>
      <c r="I243">
        <v>115794</v>
      </c>
      <c r="J243">
        <v>114914</v>
      </c>
      <c r="K243">
        <v>114627</v>
      </c>
      <c r="L243">
        <v>114031</v>
      </c>
      <c r="M243">
        <v>112723</v>
      </c>
      <c r="N243">
        <v>112208</v>
      </c>
      <c r="O243">
        <v>111762</v>
      </c>
      <c r="P243">
        <v>112057</v>
      </c>
      <c r="Q243">
        <v>112163</v>
      </c>
      <c r="R243">
        <v>112321</v>
      </c>
    </row>
    <row r="244" spans="1:18">
      <c r="A244">
        <v>34740</v>
      </c>
      <c r="B244" t="s">
        <v>550</v>
      </c>
      <c r="C244" t="s">
        <v>1261</v>
      </c>
      <c r="D244" t="s">
        <v>1254</v>
      </c>
      <c r="E244">
        <v>171970</v>
      </c>
      <c r="F244">
        <v>170289</v>
      </c>
      <c r="G244">
        <v>170612</v>
      </c>
      <c r="H244">
        <v>172927</v>
      </c>
      <c r="I244">
        <v>173110</v>
      </c>
      <c r="J244">
        <v>173504</v>
      </c>
      <c r="K244">
        <v>174538</v>
      </c>
      <c r="L244">
        <v>175196</v>
      </c>
      <c r="M244">
        <v>175302</v>
      </c>
      <c r="N244">
        <v>175421</v>
      </c>
      <c r="O244">
        <v>174784</v>
      </c>
      <c r="P244">
        <v>175550</v>
      </c>
      <c r="Q244">
        <v>175539</v>
      </c>
      <c r="R244">
        <v>176564</v>
      </c>
    </row>
    <row r="245" spans="1:18">
      <c r="A245">
        <v>34820</v>
      </c>
      <c r="B245" t="s">
        <v>551</v>
      </c>
      <c r="C245" t="s">
        <v>1261</v>
      </c>
      <c r="D245" t="s">
        <v>1254</v>
      </c>
      <c r="E245">
        <v>377945</v>
      </c>
      <c r="F245">
        <v>383594</v>
      </c>
      <c r="G245">
        <v>389544</v>
      </c>
      <c r="H245">
        <v>398162</v>
      </c>
      <c r="I245">
        <v>408600</v>
      </c>
      <c r="J245">
        <v>421689</v>
      </c>
      <c r="K245">
        <v>435666</v>
      </c>
      <c r="L245">
        <v>449494</v>
      </c>
      <c r="M245">
        <v>464335</v>
      </c>
      <c r="N245">
        <v>477232</v>
      </c>
      <c r="O245">
        <v>491933</v>
      </c>
      <c r="P245">
        <v>510936</v>
      </c>
      <c r="Q245">
        <v>536055</v>
      </c>
      <c r="R245">
        <v>557442</v>
      </c>
    </row>
    <row r="246" spans="1:18">
      <c r="A246">
        <v>34900</v>
      </c>
      <c r="B246" t="s">
        <v>552</v>
      </c>
      <c r="C246" t="s">
        <v>1261</v>
      </c>
      <c r="D246" t="s">
        <v>1254</v>
      </c>
      <c r="E246">
        <v>136791</v>
      </c>
      <c r="F246">
        <v>137865</v>
      </c>
      <c r="G246">
        <v>138861</v>
      </c>
      <c r="H246">
        <v>140041</v>
      </c>
      <c r="I246">
        <v>141014</v>
      </c>
      <c r="J246">
        <v>141613</v>
      </c>
      <c r="K246">
        <v>141789</v>
      </c>
      <c r="L246">
        <v>140984</v>
      </c>
      <c r="M246">
        <v>139937</v>
      </c>
      <c r="N246">
        <v>139146</v>
      </c>
      <c r="O246">
        <v>137459</v>
      </c>
      <c r="P246">
        <v>136265</v>
      </c>
      <c r="Q246">
        <v>134370</v>
      </c>
      <c r="R246">
        <v>133216</v>
      </c>
    </row>
    <row r="247" spans="1:18">
      <c r="A247">
        <v>34940</v>
      </c>
      <c r="B247" t="s">
        <v>553</v>
      </c>
      <c r="C247" t="s">
        <v>1261</v>
      </c>
      <c r="D247" t="s">
        <v>1254</v>
      </c>
      <c r="E247">
        <v>322255</v>
      </c>
      <c r="F247">
        <v>326042</v>
      </c>
      <c r="G247">
        <v>329357</v>
      </c>
      <c r="H247">
        <v>334760</v>
      </c>
      <c r="I247">
        <v>341555</v>
      </c>
      <c r="J247">
        <v>348897</v>
      </c>
      <c r="K247">
        <v>356874</v>
      </c>
      <c r="L247">
        <v>362634</v>
      </c>
      <c r="M247">
        <v>366385</v>
      </c>
      <c r="N247">
        <v>371939</v>
      </c>
      <c r="O247">
        <v>377310</v>
      </c>
      <c r="P247">
        <v>387226</v>
      </c>
      <c r="Q247">
        <v>397516</v>
      </c>
      <c r="R247">
        <v>404310</v>
      </c>
    </row>
    <row r="248" spans="1:18">
      <c r="A248">
        <v>34980</v>
      </c>
      <c r="B248" t="s">
        <v>554</v>
      </c>
      <c r="C248" t="s">
        <v>1261</v>
      </c>
      <c r="D248" t="s">
        <v>1254</v>
      </c>
      <c r="E248">
        <v>1651630</v>
      </c>
      <c r="F248">
        <v>1678600</v>
      </c>
      <c r="G248">
        <v>1711079</v>
      </c>
      <c r="H248">
        <v>1745958</v>
      </c>
      <c r="I248">
        <v>1782857</v>
      </c>
      <c r="J248">
        <v>1822874</v>
      </c>
      <c r="K248">
        <v>1863407</v>
      </c>
      <c r="L248">
        <v>1900375</v>
      </c>
      <c r="M248">
        <v>1934319</v>
      </c>
      <c r="N248">
        <v>1964602</v>
      </c>
      <c r="O248">
        <v>1996772</v>
      </c>
      <c r="P248">
        <v>2008289</v>
      </c>
      <c r="Q248">
        <v>2045538</v>
      </c>
      <c r="R248">
        <v>2076747</v>
      </c>
    </row>
    <row r="249" spans="1:18">
      <c r="A249">
        <v>35100</v>
      </c>
      <c r="B249" t="s">
        <v>555</v>
      </c>
      <c r="C249" t="s">
        <v>1261</v>
      </c>
      <c r="D249" t="s">
        <v>1254</v>
      </c>
      <c r="E249">
        <v>127398</v>
      </c>
      <c r="F249">
        <v>128022</v>
      </c>
      <c r="G249">
        <v>128206</v>
      </c>
      <c r="H249">
        <v>126873</v>
      </c>
      <c r="I249">
        <v>126389</v>
      </c>
      <c r="J249">
        <v>124890</v>
      </c>
      <c r="K249">
        <v>124394</v>
      </c>
      <c r="L249">
        <v>124065</v>
      </c>
      <c r="M249">
        <v>123836</v>
      </c>
      <c r="N249">
        <v>122906</v>
      </c>
      <c r="O249">
        <v>121756</v>
      </c>
      <c r="P249">
        <v>121948</v>
      </c>
      <c r="Q249">
        <v>122540</v>
      </c>
      <c r="R249">
        <v>124215</v>
      </c>
    </row>
    <row r="250" spans="1:18">
      <c r="A250">
        <v>35300</v>
      </c>
      <c r="B250" t="s">
        <v>556</v>
      </c>
      <c r="C250" t="s">
        <v>1261</v>
      </c>
      <c r="D250" t="s">
        <v>1254</v>
      </c>
      <c r="E250">
        <v>863694</v>
      </c>
      <c r="F250">
        <v>865458</v>
      </c>
      <c r="G250">
        <v>867409</v>
      </c>
      <c r="H250">
        <v>866896</v>
      </c>
      <c r="I250">
        <v>868202</v>
      </c>
      <c r="J250">
        <v>866734</v>
      </c>
      <c r="K250">
        <v>865560</v>
      </c>
      <c r="L250">
        <v>866435</v>
      </c>
      <c r="M250">
        <v>866667</v>
      </c>
      <c r="N250">
        <v>864743</v>
      </c>
      <c r="O250">
        <v>857604</v>
      </c>
      <c r="P250">
        <v>863536</v>
      </c>
      <c r="Q250">
        <v>864269</v>
      </c>
      <c r="R250">
        <v>865717</v>
      </c>
    </row>
    <row r="251" spans="1:18">
      <c r="A251">
        <v>35380</v>
      </c>
      <c r="B251" t="s">
        <v>557</v>
      </c>
      <c r="C251" t="s">
        <v>1261</v>
      </c>
      <c r="D251" t="s">
        <v>1254</v>
      </c>
      <c r="E251">
        <v>1195359</v>
      </c>
      <c r="F251">
        <v>1214121</v>
      </c>
      <c r="G251">
        <v>1227049</v>
      </c>
      <c r="H251">
        <v>1239715</v>
      </c>
      <c r="I251">
        <v>1248997</v>
      </c>
      <c r="J251">
        <v>1260322</v>
      </c>
      <c r="K251">
        <v>1267717</v>
      </c>
      <c r="L251">
        <v>1270372</v>
      </c>
      <c r="M251">
        <v>1270659</v>
      </c>
      <c r="N251">
        <v>1272533</v>
      </c>
      <c r="O251">
        <v>1270281</v>
      </c>
      <c r="P251">
        <v>1263634</v>
      </c>
      <c r="Q251">
        <v>1246622</v>
      </c>
      <c r="R251">
        <v>1237748</v>
      </c>
    </row>
    <row r="252" spans="1:18">
      <c r="A252">
        <v>35620</v>
      </c>
      <c r="B252" t="s">
        <v>558</v>
      </c>
      <c r="C252" t="s">
        <v>1261</v>
      </c>
      <c r="D252" t="s">
        <v>1254</v>
      </c>
      <c r="E252">
        <v>18946836</v>
      </c>
      <c r="F252">
        <v>19171388</v>
      </c>
      <c r="G252">
        <v>19365133</v>
      </c>
      <c r="H252">
        <v>19539317</v>
      </c>
      <c r="I252">
        <v>19691851</v>
      </c>
      <c r="J252">
        <v>19830288</v>
      </c>
      <c r="K252">
        <v>19943198</v>
      </c>
      <c r="L252">
        <v>20029850</v>
      </c>
      <c r="M252">
        <v>20091554</v>
      </c>
      <c r="N252">
        <v>20131062</v>
      </c>
      <c r="O252">
        <v>20049121</v>
      </c>
      <c r="P252">
        <v>19781189</v>
      </c>
      <c r="Q252">
        <v>19624374</v>
      </c>
      <c r="R252">
        <v>19559496</v>
      </c>
    </row>
    <row r="253" spans="1:18">
      <c r="A253">
        <v>35660</v>
      </c>
      <c r="B253" t="s">
        <v>559</v>
      </c>
      <c r="C253" t="s">
        <v>1261</v>
      </c>
      <c r="D253" t="s">
        <v>1254</v>
      </c>
      <c r="E253">
        <v>156768</v>
      </c>
      <c r="F253">
        <v>157047</v>
      </c>
      <c r="G253">
        <v>156915</v>
      </c>
      <c r="H253">
        <v>156559</v>
      </c>
      <c r="I253">
        <v>156538</v>
      </c>
      <c r="J253">
        <v>155706</v>
      </c>
      <c r="K253">
        <v>155129</v>
      </c>
      <c r="L253">
        <v>155050</v>
      </c>
      <c r="M253">
        <v>154784</v>
      </c>
      <c r="N253">
        <v>154349</v>
      </c>
      <c r="O253">
        <v>154197</v>
      </c>
      <c r="P253">
        <v>153352</v>
      </c>
      <c r="Q253">
        <v>152835</v>
      </c>
      <c r="R253">
        <v>152261</v>
      </c>
    </row>
    <row r="254" spans="1:18">
      <c r="A254">
        <v>35840</v>
      </c>
      <c r="B254" t="s">
        <v>560</v>
      </c>
      <c r="C254" t="s">
        <v>1261</v>
      </c>
      <c r="D254" t="s">
        <v>1254</v>
      </c>
      <c r="E254">
        <v>703038</v>
      </c>
      <c r="F254">
        <v>708168</v>
      </c>
      <c r="G254">
        <v>717345</v>
      </c>
      <c r="H254">
        <v>727470</v>
      </c>
      <c r="I254">
        <v>741432</v>
      </c>
      <c r="J254">
        <v>759948</v>
      </c>
      <c r="K254">
        <v>779181</v>
      </c>
      <c r="L254">
        <v>793984</v>
      </c>
      <c r="M254">
        <v>807547</v>
      </c>
      <c r="N254">
        <v>822713</v>
      </c>
      <c r="O254">
        <v>837856</v>
      </c>
      <c r="P254">
        <v>862352</v>
      </c>
      <c r="Q254">
        <v>891721</v>
      </c>
      <c r="R254">
        <v>910108</v>
      </c>
    </row>
    <row r="255" spans="1:18">
      <c r="A255">
        <v>35980</v>
      </c>
      <c r="B255" t="s">
        <v>561</v>
      </c>
      <c r="C255" t="s">
        <v>1261</v>
      </c>
      <c r="D255" t="s">
        <v>1254</v>
      </c>
      <c r="E255">
        <v>274104</v>
      </c>
      <c r="F255">
        <v>273513</v>
      </c>
      <c r="G255">
        <v>274945</v>
      </c>
      <c r="H255">
        <v>274204</v>
      </c>
      <c r="I255">
        <v>273038</v>
      </c>
      <c r="J255">
        <v>271593</v>
      </c>
      <c r="K255">
        <v>270745</v>
      </c>
      <c r="L255">
        <v>270266</v>
      </c>
      <c r="M255">
        <v>269857</v>
      </c>
      <c r="N255">
        <v>268874</v>
      </c>
      <c r="O255">
        <v>267007</v>
      </c>
      <c r="P255">
        <v>267513</v>
      </c>
      <c r="Q255">
        <v>268039</v>
      </c>
      <c r="R255">
        <v>268518</v>
      </c>
    </row>
    <row r="256" spans="1:18">
      <c r="A256">
        <v>36100</v>
      </c>
      <c r="B256" t="s">
        <v>562</v>
      </c>
      <c r="C256" t="s">
        <v>1261</v>
      </c>
      <c r="D256" t="s">
        <v>1254</v>
      </c>
      <c r="E256">
        <v>331428</v>
      </c>
      <c r="F256">
        <v>332757</v>
      </c>
      <c r="G256">
        <v>334726</v>
      </c>
      <c r="H256">
        <v>336328</v>
      </c>
      <c r="I256">
        <v>339657</v>
      </c>
      <c r="J256">
        <v>344255</v>
      </c>
      <c r="K256">
        <v>350220</v>
      </c>
      <c r="L256">
        <v>356623</v>
      </c>
      <c r="M256">
        <v>362717</v>
      </c>
      <c r="N256">
        <v>369537</v>
      </c>
      <c r="O256">
        <v>377472</v>
      </c>
      <c r="P256">
        <v>385135</v>
      </c>
      <c r="Q256">
        <v>396437</v>
      </c>
      <c r="R256">
        <v>409959</v>
      </c>
    </row>
    <row r="257" spans="1:18">
      <c r="A257">
        <v>36140</v>
      </c>
      <c r="B257" t="s">
        <v>563</v>
      </c>
      <c r="C257" t="s">
        <v>1261</v>
      </c>
      <c r="D257" t="s">
        <v>1254</v>
      </c>
      <c r="E257">
        <v>97314</v>
      </c>
      <c r="F257">
        <v>96984</v>
      </c>
      <c r="G257">
        <v>97098</v>
      </c>
      <c r="H257">
        <v>96732</v>
      </c>
      <c r="I257">
        <v>96513</v>
      </c>
      <c r="J257">
        <v>96236</v>
      </c>
      <c r="K257">
        <v>96085</v>
      </c>
      <c r="L257">
        <v>95893</v>
      </c>
      <c r="M257">
        <v>95556</v>
      </c>
      <c r="N257">
        <v>95548</v>
      </c>
      <c r="O257">
        <v>95044</v>
      </c>
      <c r="P257">
        <v>95706</v>
      </c>
      <c r="Q257">
        <v>95405</v>
      </c>
      <c r="R257">
        <v>94610</v>
      </c>
    </row>
    <row r="258" spans="1:18">
      <c r="A258">
        <v>36220</v>
      </c>
      <c r="B258" t="s">
        <v>564</v>
      </c>
      <c r="C258" t="s">
        <v>1261</v>
      </c>
      <c r="D258" t="s">
        <v>1254</v>
      </c>
      <c r="E258">
        <v>137016</v>
      </c>
      <c r="F258">
        <v>139407</v>
      </c>
      <c r="G258">
        <v>144053</v>
      </c>
      <c r="H258">
        <v>149003</v>
      </c>
      <c r="I258">
        <v>153705</v>
      </c>
      <c r="J258">
        <v>158774</v>
      </c>
      <c r="K258">
        <v>156471</v>
      </c>
      <c r="L258">
        <v>155348</v>
      </c>
      <c r="M258">
        <v>160126</v>
      </c>
      <c r="N258">
        <v>164204</v>
      </c>
      <c r="O258">
        <v>165490</v>
      </c>
      <c r="P258">
        <v>160758</v>
      </c>
      <c r="Q258">
        <v>161057</v>
      </c>
      <c r="R258">
        <v>164494</v>
      </c>
    </row>
    <row r="259" spans="1:18">
      <c r="A259">
        <v>36260</v>
      </c>
      <c r="B259" t="s">
        <v>565</v>
      </c>
      <c r="C259" t="s">
        <v>1261</v>
      </c>
      <c r="D259" t="s">
        <v>1254</v>
      </c>
      <c r="E259">
        <v>599873</v>
      </c>
      <c r="F259">
        <v>606239</v>
      </c>
      <c r="G259">
        <v>613373</v>
      </c>
      <c r="H259">
        <v>622956</v>
      </c>
      <c r="I259">
        <v>633070</v>
      </c>
      <c r="J259">
        <v>643219</v>
      </c>
      <c r="K259">
        <v>655918</v>
      </c>
      <c r="L259">
        <v>667881</v>
      </c>
      <c r="M259">
        <v>677677</v>
      </c>
      <c r="N259">
        <v>687948</v>
      </c>
      <c r="O259">
        <v>697087</v>
      </c>
      <c r="P259">
        <v>706420</v>
      </c>
      <c r="Q259">
        <v>713707</v>
      </c>
      <c r="R259">
        <v>720817</v>
      </c>
    </row>
    <row r="260" spans="1:18">
      <c r="A260">
        <v>36420</v>
      </c>
      <c r="B260" t="s">
        <v>566</v>
      </c>
      <c r="C260" t="s">
        <v>1261</v>
      </c>
      <c r="D260" t="s">
        <v>1254</v>
      </c>
      <c r="E260">
        <v>1257896</v>
      </c>
      <c r="F260">
        <v>1277632</v>
      </c>
      <c r="G260">
        <v>1298832</v>
      </c>
      <c r="H260">
        <v>1321527</v>
      </c>
      <c r="I260">
        <v>1337930</v>
      </c>
      <c r="J260">
        <v>1359199</v>
      </c>
      <c r="K260">
        <v>1375508</v>
      </c>
      <c r="L260">
        <v>1384267</v>
      </c>
      <c r="M260">
        <v>1397154</v>
      </c>
      <c r="N260">
        <v>1413004</v>
      </c>
      <c r="O260">
        <v>1429940</v>
      </c>
      <c r="P260">
        <v>1443830</v>
      </c>
      <c r="Q260">
        <v>1459957</v>
      </c>
      <c r="R260">
        <v>1477926</v>
      </c>
    </row>
    <row r="261" spans="1:18">
      <c r="A261">
        <v>36500</v>
      </c>
      <c r="B261" t="s">
        <v>567</v>
      </c>
      <c r="C261" t="s">
        <v>1261</v>
      </c>
      <c r="D261" t="s">
        <v>1254</v>
      </c>
      <c r="E261">
        <v>253048</v>
      </c>
      <c r="F261">
        <v>256623</v>
      </c>
      <c r="G261">
        <v>258949</v>
      </c>
      <c r="H261">
        <v>262469</v>
      </c>
      <c r="I261">
        <v>265722</v>
      </c>
      <c r="J261">
        <v>268989</v>
      </c>
      <c r="K261">
        <v>274820</v>
      </c>
      <c r="L261">
        <v>281435</v>
      </c>
      <c r="M261">
        <v>287041</v>
      </c>
      <c r="N261">
        <v>291214</v>
      </c>
      <c r="O261">
        <v>295998</v>
      </c>
      <c r="P261">
        <v>298196</v>
      </c>
      <c r="Q261">
        <v>298639</v>
      </c>
      <c r="R261">
        <v>299003</v>
      </c>
    </row>
    <row r="262" spans="1:18">
      <c r="A262">
        <v>36540</v>
      </c>
      <c r="B262" t="s">
        <v>568</v>
      </c>
      <c r="C262" t="s">
        <v>1261</v>
      </c>
      <c r="D262" t="s">
        <v>1254</v>
      </c>
      <c r="E262">
        <v>868031</v>
      </c>
      <c r="F262">
        <v>877809</v>
      </c>
      <c r="G262">
        <v>887787</v>
      </c>
      <c r="H262">
        <v>898559</v>
      </c>
      <c r="I262">
        <v>909504</v>
      </c>
      <c r="J262">
        <v>920790</v>
      </c>
      <c r="K262">
        <v>932571</v>
      </c>
      <c r="L262">
        <v>942758</v>
      </c>
      <c r="M262">
        <v>952958</v>
      </c>
      <c r="N262">
        <v>961926</v>
      </c>
      <c r="O262">
        <v>969146</v>
      </c>
      <c r="P262">
        <v>972748</v>
      </c>
      <c r="Q262">
        <v>976309</v>
      </c>
      <c r="R262">
        <v>983969</v>
      </c>
    </row>
    <row r="263" spans="1:18">
      <c r="A263">
        <v>36740</v>
      </c>
      <c r="B263" t="s">
        <v>569</v>
      </c>
      <c r="C263" t="s">
        <v>1261</v>
      </c>
      <c r="D263" t="s">
        <v>1254</v>
      </c>
      <c r="E263">
        <v>2139975</v>
      </c>
      <c r="F263">
        <v>2180117</v>
      </c>
      <c r="G263">
        <v>2233131</v>
      </c>
      <c r="H263">
        <v>2281217</v>
      </c>
      <c r="I263">
        <v>2339238</v>
      </c>
      <c r="J263">
        <v>2407405</v>
      </c>
      <c r="K263">
        <v>2479365</v>
      </c>
      <c r="L263">
        <v>2546121</v>
      </c>
      <c r="M263">
        <v>2606900</v>
      </c>
      <c r="N263">
        <v>2643259</v>
      </c>
      <c r="O263">
        <v>2680491</v>
      </c>
      <c r="P263">
        <v>2698960</v>
      </c>
      <c r="Q263">
        <v>2763017</v>
      </c>
      <c r="R263">
        <v>2817933</v>
      </c>
    </row>
    <row r="264" spans="1:18">
      <c r="A264">
        <v>36780</v>
      </c>
      <c r="B264" t="s">
        <v>570</v>
      </c>
      <c r="C264" t="s">
        <v>1261</v>
      </c>
      <c r="D264" t="s">
        <v>1254</v>
      </c>
      <c r="E264">
        <v>167146</v>
      </c>
      <c r="F264">
        <v>167591</v>
      </c>
      <c r="G264">
        <v>168645</v>
      </c>
      <c r="H264">
        <v>169420</v>
      </c>
      <c r="I264">
        <v>169486</v>
      </c>
      <c r="J264">
        <v>169433</v>
      </c>
      <c r="K264">
        <v>169866</v>
      </c>
      <c r="L264">
        <v>170632</v>
      </c>
      <c r="M264">
        <v>170879</v>
      </c>
      <c r="N264">
        <v>171875</v>
      </c>
      <c r="O264">
        <v>171815</v>
      </c>
      <c r="P264">
        <v>170580</v>
      </c>
      <c r="Q264">
        <v>170688</v>
      </c>
      <c r="R264">
        <v>171735</v>
      </c>
    </row>
    <row r="265" spans="1:18">
      <c r="A265">
        <v>36980</v>
      </c>
      <c r="B265" t="s">
        <v>571</v>
      </c>
      <c r="C265" t="s">
        <v>1261</v>
      </c>
      <c r="D265" t="s">
        <v>1254</v>
      </c>
      <c r="E265">
        <v>114815</v>
      </c>
      <c r="F265">
        <v>115473</v>
      </c>
      <c r="G265">
        <v>116360</v>
      </c>
      <c r="H265">
        <v>116938</v>
      </c>
      <c r="I265">
        <v>117270</v>
      </c>
      <c r="J265">
        <v>118451</v>
      </c>
      <c r="K265">
        <v>119201</v>
      </c>
      <c r="L265">
        <v>119716</v>
      </c>
      <c r="M265">
        <v>120268</v>
      </c>
      <c r="N265">
        <v>121008</v>
      </c>
      <c r="O265">
        <v>121642</v>
      </c>
      <c r="P265">
        <v>121284</v>
      </c>
      <c r="Q265">
        <v>121323</v>
      </c>
      <c r="R265">
        <v>121432</v>
      </c>
    </row>
    <row r="266" spans="1:18">
      <c r="A266">
        <v>37100</v>
      </c>
      <c r="B266" t="s">
        <v>572</v>
      </c>
      <c r="C266" t="s">
        <v>1261</v>
      </c>
      <c r="D266" t="s">
        <v>1254</v>
      </c>
      <c r="E266">
        <v>825175</v>
      </c>
      <c r="F266">
        <v>830061</v>
      </c>
      <c r="G266">
        <v>833566</v>
      </c>
      <c r="H266">
        <v>838135</v>
      </c>
      <c r="I266">
        <v>842648</v>
      </c>
      <c r="J266">
        <v>846263</v>
      </c>
      <c r="K266">
        <v>847718</v>
      </c>
      <c r="L266">
        <v>849196</v>
      </c>
      <c r="M266">
        <v>848290</v>
      </c>
      <c r="N266">
        <v>845396</v>
      </c>
      <c r="O266">
        <v>843371</v>
      </c>
      <c r="P266">
        <v>839471</v>
      </c>
      <c r="Q266">
        <v>832871</v>
      </c>
      <c r="R266">
        <v>829590</v>
      </c>
    </row>
    <row r="267" spans="1:18">
      <c r="A267">
        <v>37340</v>
      </c>
      <c r="B267" t="s">
        <v>573</v>
      </c>
      <c r="C267" t="s">
        <v>1261</v>
      </c>
      <c r="D267" t="s">
        <v>1254</v>
      </c>
      <c r="E267">
        <v>543996</v>
      </c>
      <c r="F267">
        <v>544420</v>
      </c>
      <c r="G267">
        <v>547074</v>
      </c>
      <c r="H267">
        <v>550410</v>
      </c>
      <c r="I267">
        <v>555747</v>
      </c>
      <c r="J267">
        <v>566018</v>
      </c>
      <c r="K267">
        <v>577242</v>
      </c>
      <c r="L267">
        <v>588002</v>
      </c>
      <c r="M267">
        <v>594787</v>
      </c>
      <c r="N267">
        <v>600836</v>
      </c>
      <c r="O267">
        <v>608775</v>
      </c>
      <c r="P267">
        <v>617900</v>
      </c>
      <c r="Q267">
        <v>630707</v>
      </c>
      <c r="R267">
        <v>643979</v>
      </c>
    </row>
    <row r="268" spans="1:18">
      <c r="A268">
        <v>37460</v>
      </c>
      <c r="B268" t="s">
        <v>574</v>
      </c>
      <c r="C268" t="s">
        <v>1261</v>
      </c>
      <c r="D268" t="s">
        <v>1254</v>
      </c>
      <c r="E268">
        <v>169286</v>
      </c>
      <c r="F268">
        <v>169970</v>
      </c>
      <c r="G268">
        <v>172518</v>
      </c>
      <c r="H268">
        <v>175733</v>
      </c>
      <c r="I268">
        <v>179809</v>
      </c>
      <c r="J268">
        <v>183408</v>
      </c>
      <c r="K268">
        <v>185851</v>
      </c>
      <c r="L268">
        <v>187276</v>
      </c>
      <c r="M268">
        <v>189354</v>
      </c>
      <c r="N268">
        <v>176830</v>
      </c>
      <c r="O268">
        <v>174525</v>
      </c>
      <c r="P268">
        <v>179520</v>
      </c>
      <c r="Q268">
        <v>185210</v>
      </c>
      <c r="R268">
        <v>190769</v>
      </c>
    </row>
    <row r="269" spans="1:18">
      <c r="A269">
        <v>37620</v>
      </c>
      <c r="B269" t="s">
        <v>575</v>
      </c>
      <c r="C269" t="s">
        <v>1261</v>
      </c>
      <c r="D269" t="s">
        <v>1254</v>
      </c>
      <c r="E269">
        <v>92712</v>
      </c>
      <c r="F269">
        <v>92734</v>
      </c>
      <c r="G269">
        <v>92551</v>
      </c>
      <c r="H269">
        <v>92592</v>
      </c>
      <c r="I269">
        <v>92559</v>
      </c>
      <c r="J269">
        <v>92507</v>
      </c>
      <c r="K269">
        <v>91940</v>
      </c>
      <c r="L269">
        <v>91355</v>
      </c>
      <c r="M269">
        <v>90599</v>
      </c>
      <c r="N269">
        <v>89964</v>
      </c>
      <c r="O269">
        <v>89330</v>
      </c>
      <c r="P269">
        <v>88870</v>
      </c>
      <c r="Q269">
        <v>88480</v>
      </c>
      <c r="R269">
        <v>88052</v>
      </c>
    </row>
    <row r="270" spans="1:18">
      <c r="A270">
        <v>37860</v>
      </c>
      <c r="B270" t="s">
        <v>576</v>
      </c>
      <c r="C270" t="s">
        <v>1261</v>
      </c>
      <c r="D270" t="s">
        <v>1254</v>
      </c>
      <c r="E270">
        <v>450999</v>
      </c>
      <c r="F270">
        <v>455303</v>
      </c>
      <c r="G270">
        <v>461889</v>
      </c>
      <c r="H270">
        <v>467466</v>
      </c>
      <c r="I270">
        <v>471131</v>
      </c>
      <c r="J270">
        <v>476193</v>
      </c>
      <c r="K270">
        <v>482334</v>
      </c>
      <c r="L270">
        <v>488453</v>
      </c>
      <c r="M270">
        <v>495610</v>
      </c>
      <c r="N270">
        <v>504196</v>
      </c>
      <c r="O270">
        <v>511579</v>
      </c>
      <c r="P270">
        <v>517209</v>
      </c>
      <c r="Q270">
        <v>522059</v>
      </c>
      <c r="R270">
        <v>530090</v>
      </c>
    </row>
    <row r="271" spans="1:18">
      <c r="A271">
        <v>37900</v>
      </c>
      <c r="B271" t="s">
        <v>577</v>
      </c>
      <c r="C271" t="s">
        <v>1261</v>
      </c>
      <c r="D271" t="s">
        <v>1254</v>
      </c>
      <c r="E271">
        <v>416172</v>
      </c>
      <c r="F271">
        <v>417308</v>
      </c>
      <c r="G271">
        <v>417983</v>
      </c>
      <c r="H271">
        <v>419699</v>
      </c>
      <c r="I271">
        <v>417561</v>
      </c>
      <c r="J271">
        <v>415407</v>
      </c>
      <c r="K271">
        <v>413818</v>
      </c>
      <c r="L271">
        <v>410356</v>
      </c>
      <c r="M271">
        <v>407021</v>
      </c>
      <c r="N271">
        <v>404683</v>
      </c>
      <c r="O271">
        <v>401404</v>
      </c>
      <c r="P271">
        <v>398497</v>
      </c>
      <c r="Q271">
        <v>395706</v>
      </c>
      <c r="R271">
        <v>394781</v>
      </c>
    </row>
    <row r="272" spans="1:18">
      <c r="A272">
        <v>37980</v>
      </c>
      <c r="B272" t="s">
        <v>578</v>
      </c>
      <c r="C272" t="s">
        <v>1261</v>
      </c>
      <c r="D272" t="s">
        <v>1254</v>
      </c>
      <c r="E272">
        <v>5974469</v>
      </c>
      <c r="F272">
        <v>6013427</v>
      </c>
      <c r="G272">
        <v>6047506</v>
      </c>
      <c r="H272">
        <v>6074788</v>
      </c>
      <c r="I272">
        <v>6106258</v>
      </c>
      <c r="J272">
        <v>6129946</v>
      </c>
      <c r="K272">
        <v>6153468</v>
      </c>
      <c r="L272">
        <v>6179246</v>
      </c>
      <c r="M272">
        <v>6207400</v>
      </c>
      <c r="N272">
        <v>6229011</v>
      </c>
      <c r="O272">
        <v>6241967</v>
      </c>
      <c r="P272">
        <v>6253394</v>
      </c>
      <c r="Q272">
        <v>6242746</v>
      </c>
      <c r="R272">
        <v>6246160</v>
      </c>
    </row>
    <row r="273" spans="1:18">
      <c r="A273">
        <v>38060</v>
      </c>
      <c r="B273" t="s">
        <v>579</v>
      </c>
      <c r="C273" t="s">
        <v>1261</v>
      </c>
      <c r="D273" t="s">
        <v>1254</v>
      </c>
      <c r="E273">
        <v>4200238</v>
      </c>
      <c r="F273">
        <v>4233021</v>
      </c>
      <c r="G273">
        <v>4293086</v>
      </c>
      <c r="H273">
        <v>4349413</v>
      </c>
      <c r="I273">
        <v>4417491</v>
      </c>
      <c r="J273">
        <v>4488678</v>
      </c>
      <c r="K273">
        <v>4564173</v>
      </c>
      <c r="L273">
        <v>4629645</v>
      </c>
      <c r="M273">
        <v>4700060</v>
      </c>
      <c r="N273">
        <v>4780473</v>
      </c>
      <c r="O273">
        <v>4875246</v>
      </c>
      <c r="P273">
        <v>4948431</v>
      </c>
      <c r="Q273">
        <v>5020870</v>
      </c>
      <c r="R273">
        <v>5070110</v>
      </c>
    </row>
    <row r="274" spans="1:18">
      <c r="A274">
        <v>38220</v>
      </c>
      <c r="B274" t="s">
        <v>580</v>
      </c>
      <c r="C274" t="s">
        <v>1261</v>
      </c>
      <c r="D274" t="s">
        <v>1254</v>
      </c>
      <c r="E274">
        <v>100128</v>
      </c>
      <c r="F274">
        <v>99196</v>
      </c>
      <c r="G274">
        <v>97701</v>
      </c>
      <c r="H274">
        <v>96167</v>
      </c>
      <c r="I274">
        <v>95390</v>
      </c>
      <c r="J274">
        <v>94630</v>
      </c>
      <c r="K274">
        <v>93144</v>
      </c>
      <c r="L274">
        <v>91730</v>
      </c>
      <c r="M274">
        <v>90251</v>
      </c>
      <c r="N274">
        <v>88976</v>
      </c>
      <c r="O274">
        <v>87272</v>
      </c>
      <c r="P274">
        <v>86291</v>
      </c>
      <c r="Q274">
        <v>84672</v>
      </c>
      <c r="R274">
        <v>83937</v>
      </c>
    </row>
    <row r="275" spans="1:18">
      <c r="A275">
        <v>38300</v>
      </c>
      <c r="B275" t="s">
        <v>581</v>
      </c>
      <c r="C275" t="s">
        <v>1261</v>
      </c>
      <c r="D275" t="s">
        <v>1254</v>
      </c>
      <c r="E275">
        <v>2358574</v>
      </c>
      <c r="F275">
        <v>2368043</v>
      </c>
      <c r="G275">
        <v>2374103</v>
      </c>
      <c r="H275">
        <v>2379483</v>
      </c>
      <c r="I275">
        <v>2381872</v>
      </c>
      <c r="J275">
        <v>2379439</v>
      </c>
      <c r="K275">
        <v>2377835</v>
      </c>
      <c r="L275">
        <v>2372173</v>
      </c>
      <c r="M275">
        <v>2371737</v>
      </c>
      <c r="N275">
        <v>2371584</v>
      </c>
      <c r="O275">
        <v>2369353</v>
      </c>
      <c r="P275">
        <v>2365051</v>
      </c>
      <c r="Q275">
        <v>2347720</v>
      </c>
      <c r="R275">
        <v>2338253</v>
      </c>
    </row>
    <row r="276" spans="1:18">
      <c r="A276">
        <v>38340</v>
      </c>
      <c r="B276" t="s">
        <v>582</v>
      </c>
      <c r="C276" t="s">
        <v>1261</v>
      </c>
      <c r="D276" t="s">
        <v>1254</v>
      </c>
      <c r="E276">
        <v>131427</v>
      </c>
      <c r="F276">
        <v>131106</v>
      </c>
      <c r="G276">
        <v>131297</v>
      </c>
      <c r="H276">
        <v>130946</v>
      </c>
      <c r="I276">
        <v>130759</v>
      </c>
      <c r="J276">
        <v>130199</v>
      </c>
      <c r="K276">
        <v>129850</v>
      </c>
      <c r="L276">
        <v>129601</v>
      </c>
      <c r="M276">
        <v>129648</v>
      </c>
      <c r="N276">
        <v>129119</v>
      </c>
      <c r="O276">
        <v>128619</v>
      </c>
      <c r="P276">
        <v>128376</v>
      </c>
      <c r="Q276">
        <v>127547</v>
      </c>
      <c r="R276">
        <v>126818</v>
      </c>
    </row>
    <row r="277" spans="1:18">
      <c r="A277">
        <v>38540</v>
      </c>
      <c r="B277" t="s">
        <v>583</v>
      </c>
      <c r="C277" t="s">
        <v>1261</v>
      </c>
      <c r="D277" t="s">
        <v>1254</v>
      </c>
      <c r="E277">
        <v>90869</v>
      </c>
      <c r="F277">
        <v>91288</v>
      </c>
      <c r="G277">
        <v>91338</v>
      </c>
      <c r="H277">
        <v>90893</v>
      </c>
      <c r="I277">
        <v>90801</v>
      </c>
      <c r="J277">
        <v>91306</v>
      </c>
      <c r="K277">
        <v>91632</v>
      </c>
      <c r="L277">
        <v>92237</v>
      </c>
      <c r="M277">
        <v>93357</v>
      </c>
      <c r="N277">
        <v>94251</v>
      </c>
      <c r="O277">
        <v>95155</v>
      </c>
      <c r="P277">
        <v>96490</v>
      </c>
      <c r="Q277">
        <v>97761</v>
      </c>
      <c r="R277">
        <v>98653</v>
      </c>
    </row>
    <row r="278" spans="1:18">
      <c r="A278">
        <v>38860</v>
      </c>
      <c r="B278" t="s">
        <v>584</v>
      </c>
      <c r="C278" t="s">
        <v>1261</v>
      </c>
      <c r="D278" t="s">
        <v>1254</v>
      </c>
      <c r="E278">
        <v>514139</v>
      </c>
      <c r="F278">
        <v>517237</v>
      </c>
      <c r="G278">
        <v>519765</v>
      </c>
      <c r="H278">
        <v>523073</v>
      </c>
      <c r="I278">
        <v>528051</v>
      </c>
      <c r="J278">
        <v>530845</v>
      </c>
      <c r="K278">
        <v>534979</v>
      </c>
      <c r="L278">
        <v>538968</v>
      </c>
      <c r="M278">
        <v>543562</v>
      </c>
      <c r="N278">
        <v>548370</v>
      </c>
      <c r="O278">
        <v>552577</v>
      </c>
      <c r="P278">
        <v>558302</v>
      </c>
      <c r="Q278">
        <v>563159</v>
      </c>
      <c r="R278">
        <v>566329</v>
      </c>
    </row>
    <row r="279" spans="1:18">
      <c r="A279">
        <v>38900</v>
      </c>
      <c r="B279" t="s">
        <v>585</v>
      </c>
      <c r="C279" t="s">
        <v>1261</v>
      </c>
      <c r="D279" t="s">
        <v>1254</v>
      </c>
      <c r="E279">
        <v>2232383</v>
      </c>
      <c r="F279">
        <v>2263852</v>
      </c>
      <c r="G279">
        <v>2290274</v>
      </c>
      <c r="H279">
        <v>2313673</v>
      </c>
      <c r="I279">
        <v>2347475</v>
      </c>
      <c r="J279">
        <v>2386057</v>
      </c>
      <c r="K279">
        <v>2431944</v>
      </c>
      <c r="L279">
        <v>2461234</v>
      </c>
      <c r="M279">
        <v>2479889</v>
      </c>
      <c r="N279">
        <v>2497793</v>
      </c>
      <c r="O279">
        <v>2518160</v>
      </c>
      <c r="P279">
        <v>2518051</v>
      </c>
      <c r="Q279">
        <v>2508928</v>
      </c>
      <c r="R279">
        <v>2508050</v>
      </c>
    </row>
    <row r="280" spans="1:18">
      <c r="A280">
        <v>38940</v>
      </c>
      <c r="B280" t="s">
        <v>586</v>
      </c>
      <c r="C280" t="s">
        <v>1261</v>
      </c>
      <c r="D280" t="s">
        <v>1254</v>
      </c>
      <c r="E280">
        <v>425008</v>
      </c>
      <c r="F280">
        <v>427403</v>
      </c>
      <c r="G280">
        <v>430287</v>
      </c>
      <c r="H280">
        <v>434026</v>
      </c>
      <c r="I280">
        <v>439965</v>
      </c>
      <c r="J280">
        <v>448782</v>
      </c>
      <c r="K280">
        <v>458889</v>
      </c>
      <c r="L280">
        <v>466658</v>
      </c>
      <c r="M280">
        <v>473761</v>
      </c>
      <c r="N280">
        <v>481058</v>
      </c>
      <c r="O280">
        <v>490112</v>
      </c>
      <c r="P280">
        <v>504443</v>
      </c>
      <c r="Q280">
        <v>520873</v>
      </c>
      <c r="R280">
        <v>536901</v>
      </c>
    </row>
    <row r="281" spans="1:18">
      <c r="A281">
        <v>39100</v>
      </c>
      <c r="B281" t="s">
        <v>587</v>
      </c>
      <c r="C281" t="s">
        <v>1261</v>
      </c>
      <c r="D281" t="s">
        <v>1254</v>
      </c>
      <c r="E281">
        <v>671628</v>
      </c>
      <c r="F281">
        <v>674594</v>
      </c>
      <c r="G281">
        <v>674920</v>
      </c>
      <c r="H281">
        <v>676621</v>
      </c>
      <c r="I281">
        <v>677831</v>
      </c>
      <c r="J281">
        <v>679560</v>
      </c>
      <c r="K281">
        <v>682370</v>
      </c>
      <c r="L281">
        <v>686729</v>
      </c>
      <c r="M281">
        <v>691510</v>
      </c>
      <c r="N281">
        <v>696160</v>
      </c>
      <c r="O281">
        <v>696887</v>
      </c>
      <c r="P281">
        <v>703943</v>
      </c>
      <c r="Q281">
        <v>704100</v>
      </c>
      <c r="R281">
        <v>704620</v>
      </c>
    </row>
    <row r="282" spans="1:18">
      <c r="A282">
        <v>39150</v>
      </c>
      <c r="B282" t="s">
        <v>588</v>
      </c>
      <c r="C282" t="s">
        <v>1261</v>
      </c>
      <c r="D282" t="s">
        <v>1254</v>
      </c>
      <c r="E282">
        <v>210916</v>
      </c>
      <c r="F282">
        <v>210711</v>
      </c>
      <c r="G282">
        <v>211394</v>
      </c>
      <c r="H282">
        <v>213557</v>
      </c>
      <c r="I282">
        <v>216582</v>
      </c>
      <c r="J282">
        <v>219393</v>
      </c>
      <c r="K282">
        <v>222867</v>
      </c>
      <c r="L282">
        <v>226100</v>
      </c>
      <c r="M282">
        <v>229820</v>
      </c>
      <c r="N282">
        <v>233062</v>
      </c>
      <c r="O282">
        <v>237217</v>
      </c>
      <c r="P282">
        <v>242352</v>
      </c>
      <c r="Q282">
        <v>246230</v>
      </c>
      <c r="R282">
        <v>249081</v>
      </c>
    </row>
    <row r="283" spans="1:18">
      <c r="A283">
        <v>39300</v>
      </c>
      <c r="B283" t="s">
        <v>589</v>
      </c>
      <c r="C283" t="s">
        <v>1261</v>
      </c>
      <c r="D283" t="s">
        <v>1254</v>
      </c>
      <c r="E283">
        <v>1604429</v>
      </c>
      <c r="F283">
        <v>1609513</v>
      </c>
      <c r="G283">
        <v>1617546</v>
      </c>
      <c r="H283">
        <v>1624636</v>
      </c>
      <c r="I283">
        <v>1633482</v>
      </c>
      <c r="J283">
        <v>1640944</v>
      </c>
      <c r="K283">
        <v>1648427</v>
      </c>
      <c r="L283">
        <v>1655425</v>
      </c>
      <c r="M283">
        <v>1666909</v>
      </c>
      <c r="N283">
        <v>1671265</v>
      </c>
      <c r="O283">
        <v>1673216</v>
      </c>
      <c r="P283">
        <v>1676848</v>
      </c>
      <c r="Q283">
        <v>1673586</v>
      </c>
      <c r="R283">
        <v>1677803</v>
      </c>
    </row>
    <row r="284" spans="1:18">
      <c r="A284">
        <v>39340</v>
      </c>
      <c r="B284" t="s">
        <v>590</v>
      </c>
      <c r="C284" t="s">
        <v>1261</v>
      </c>
      <c r="D284" t="s">
        <v>1254</v>
      </c>
      <c r="E284">
        <v>530529</v>
      </c>
      <c r="F284">
        <v>542349</v>
      </c>
      <c r="G284">
        <v>552446</v>
      </c>
      <c r="H284">
        <v>565166</v>
      </c>
      <c r="I284">
        <v>575858</v>
      </c>
      <c r="J284">
        <v>589239</v>
      </c>
      <c r="K284">
        <v>608760</v>
      </c>
      <c r="L284">
        <v>626808</v>
      </c>
      <c r="M284">
        <v>642919</v>
      </c>
      <c r="N284">
        <v>658240</v>
      </c>
      <c r="O284">
        <v>675414</v>
      </c>
      <c r="P284">
        <v>698178</v>
      </c>
      <c r="Q284">
        <v>715278</v>
      </c>
      <c r="R284">
        <v>732197</v>
      </c>
    </row>
    <row r="285" spans="1:18">
      <c r="A285">
        <v>39380</v>
      </c>
      <c r="B285" t="s">
        <v>591</v>
      </c>
      <c r="C285" t="s">
        <v>1261</v>
      </c>
      <c r="D285" t="s">
        <v>1254</v>
      </c>
      <c r="E285">
        <v>159368</v>
      </c>
      <c r="F285">
        <v>160044</v>
      </c>
      <c r="G285">
        <v>160465</v>
      </c>
      <c r="H285">
        <v>160666</v>
      </c>
      <c r="I285">
        <v>160872</v>
      </c>
      <c r="J285">
        <v>162401</v>
      </c>
      <c r="K285">
        <v>164042</v>
      </c>
      <c r="L285">
        <v>165387</v>
      </c>
      <c r="M285">
        <v>166450</v>
      </c>
      <c r="N285">
        <v>167146</v>
      </c>
      <c r="O285">
        <v>168337</v>
      </c>
      <c r="P285">
        <v>169316</v>
      </c>
      <c r="Q285">
        <v>169472</v>
      </c>
      <c r="R285">
        <v>169422</v>
      </c>
    </row>
    <row r="286" spans="1:18">
      <c r="A286">
        <v>39460</v>
      </c>
      <c r="B286" t="s">
        <v>592</v>
      </c>
      <c r="C286" t="s">
        <v>1261</v>
      </c>
      <c r="D286" t="s">
        <v>1254</v>
      </c>
      <c r="E286">
        <v>159762</v>
      </c>
      <c r="F286">
        <v>159248</v>
      </c>
      <c r="G286">
        <v>161596</v>
      </c>
      <c r="H286">
        <v>162986</v>
      </c>
      <c r="I286">
        <v>165789</v>
      </c>
      <c r="J286">
        <v>169546</v>
      </c>
      <c r="K286">
        <v>174293</v>
      </c>
      <c r="L286">
        <v>177556</v>
      </c>
      <c r="M286">
        <v>180069</v>
      </c>
      <c r="N286">
        <v>183791</v>
      </c>
      <c r="O286">
        <v>187995</v>
      </c>
      <c r="P286">
        <v>194934</v>
      </c>
      <c r="Q286">
        <v>202582</v>
      </c>
      <c r="R286">
        <v>206134</v>
      </c>
    </row>
    <row r="287" spans="1:18">
      <c r="A287">
        <v>39540</v>
      </c>
      <c r="B287" t="s">
        <v>593</v>
      </c>
      <c r="C287" t="s">
        <v>1261</v>
      </c>
      <c r="D287" t="s">
        <v>1254</v>
      </c>
      <c r="E287">
        <v>195450</v>
      </c>
      <c r="F287">
        <v>195120</v>
      </c>
      <c r="G287">
        <v>194980</v>
      </c>
      <c r="H287">
        <v>195240</v>
      </c>
      <c r="I287">
        <v>195535</v>
      </c>
      <c r="J287">
        <v>195606</v>
      </c>
      <c r="K287">
        <v>195963</v>
      </c>
      <c r="L287">
        <v>197245</v>
      </c>
      <c r="M287">
        <v>197734</v>
      </c>
      <c r="N287">
        <v>197753</v>
      </c>
      <c r="O287">
        <v>197568</v>
      </c>
      <c r="P287">
        <v>196505</v>
      </c>
      <c r="Q287">
        <v>195961</v>
      </c>
      <c r="R287">
        <v>196613</v>
      </c>
    </row>
    <row r="288" spans="1:18">
      <c r="A288">
        <v>39580</v>
      </c>
      <c r="B288" t="s">
        <v>594</v>
      </c>
      <c r="C288" t="s">
        <v>1261</v>
      </c>
      <c r="D288" t="s">
        <v>1254</v>
      </c>
      <c r="E288">
        <v>1137404</v>
      </c>
      <c r="F288">
        <v>1162399</v>
      </c>
      <c r="G288">
        <v>1188200</v>
      </c>
      <c r="H288">
        <v>1213995</v>
      </c>
      <c r="I288">
        <v>1241826</v>
      </c>
      <c r="J288">
        <v>1271821</v>
      </c>
      <c r="K288">
        <v>1304639</v>
      </c>
      <c r="L288">
        <v>1335169</v>
      </c>
      <c r="M288">
        <v>1362754</v>
      </c>
      <c r="N288">
        <v>1392028</v>
      </c>
      <c r="O288">
        <v>1417455</v>
      </c>
      <c r="P288">
        <v>1451435</v>
      </c>
      <c r="Q288">
        <v>1480080</v>
      </c>
      <c r="R288">
        <v>1509231</v>
      </c>
    </row>
    <row r="289" spans="1:18">
      <c r="A289">
        <v>39660</v>
      </c>
      <c r="B289" t="s">
        <v>595</v>
      </c>
      <c r="C289" t="s">
        <v>1261</v>
      </c>
      <c r="D289" t="s">
        <v>1254</v>
      </c>
      <c r="E289">
        <v>126622</v>
      </c>
      <c r="F289">
        <v>127393</v>
      </c>
      <c r="G289">
        <v>129125</v>
      </c>
      <c r="H289">
        <v>130935</v>
      </c>
      <c r="I289">
        <v>132379</v>
      </c>
      <c r="J289">
        <v>132563</v>
      </c>
      <c r="K289">
        <v>133687</v>
      </c>
      <c r="L289">
        <v>135263</v>
      </c>
      <c r="M289">
        <v>136609</v>
      </c>
      <c r="N289">
        <v>138339</v>
      </c>
      <c r="O289">
        <v>139465</v>
      </c>
      <c r="P289">
        <v>142175</v>
      </c>
      <c r="Q289">
        <v>145008</v>
      </c>
      <c r="R289">
        <v>146857</v>
      </c>
    </row>
    <row r="290" spans="1:18">
      <c r="A290">
        <v>39740</v>
      </c>
      <c r="B290" t="s">
        <v>596</v>
      </c>
      <c r="C290" t="s">
        <v>1261</v>
      </c>
      <c r="D290" t="s">
        <v>1254</v>
      </c>
      <c r="E290">
        <v>412228</v>
      </c>
      <c r="F290">
        <v>413969</v>
      </c>
      <c r="G290">
        <v>415253</v>
      </c>
      <c r="H290">
        <v>416433</v>
      </c>
      <c r="I290">
        <v>417854</v>
      </c>
      <c r="J290">
        <v>419206</v>
      </c>
      <c r="K290">
        <v>420670</v>
      </c>
      <c r="L290">
        <v>423146</v>
      </c>
      <c r="M290">
        <v>426762</v>
      </c>
      <c r="N290">
        <v>427498</v>
      </c>
      <c r="O290">
        <v>428671</v>
      </c>
      <c r="P290">
        <v>429635</v>
      </c>
      <c r="Q290">
        <v>431573</v>
      </c>
      <c r="R290">
        <v>432821</v>
      </c>
    </row>
    <row r="291" spans="1:18">
      <c r="A291">
        <v>39820</v>
      </c>
      <c r="B291" t="s">
        <v>597</v>
      </c>
      <c r="C291" t="s">
        <v>1261</v>
      </c>
      <c r="D291" t="s">
        <v>1254</v>
      </c>
      <c r="E291">
        <v>177344</v>
      </c>
      <c r="F291">
        <v>177950</v>
      </c>
      <c r="G291">
        <v>178517</v>
      </c>
      <c r="H291">
        <v>179331</v>
      </c>
      <c r="I291">
        <v>180064</v>
      </c>
      <c r="J291">
        <v>179816</v>
      </c>
      <c r="K291">
        <v>180299</v>
      </c>
      <c r="L291">
        <v>181395</v>
      </c>
      <c r="M291">
        <v>181939</v>
      </c>
      <c r="N291">
        <v>182196</v>
      </c>
      <c r="O291">
        <v>182002</v>
      </c>
      <c r="P291">
        <v>182135</v>
      </c>
      <c r="Q291">
        <v>180937</v>
      </c>
      <c r="R291">
        <v>180366</v>
      </c>
    </row>
    <row r="292" spans="1:18">
      <c r="A292">
        <v>39900</v>
      </c>
      <c r="B292" t="s">
        <v>598</v>
      </c>
      <c r="C292" t="s">
        <v>1261</v>
      </c>
      <c r="D292" t="s">
        <v>1254</v>
      </c>
      <c r="E292">
        <v>426178</v>
      </c>
      <c r="F292">
        <v>429041</v>
      </c>
      <c r="G292">
        <v>433282</v>
      </c>
      <c r="H292">
        <v>437908</v>
      </c>
      <c r="I292">
        <v>444112</v>
      </c>
      <c r="J292">
        <v>451276</v>
      </c>
      <c r="K292">
        <v>459795</v>
      </c>
      <c r="L292">
        <v>467714</v>
      </c>
      <c r="M292">
        <v>476551</v>
      </c>
      <c r="N292">
        <v>485618</v>
      </c>
      <c r="O292">
        <v>491818</v>
      </c>
      <c r="P292">
        <v>498442</v>
      </c>
      <c r="Q292">
        <v>501145</v>
      </c>
      <c r="R292">
        <v>502199</v>
      </c>
    </row>
    <row r="293" spans="1:18">
      <c r="A293">
        <v>40060</v>
      </c>
      <c r="B293" t="s">
        <v>599</v>
      </c>
      <c r="C293" t="s">
        <v>1261</v>
      </c>
      <c r="D293" t="s">
        <v>1254</v>
      </c>
      <c r="E293">
        <v>1188710</v>
      </c>
      <c r="F293">
        <v>1198793</v>
      </c>
      <c r="G293">
        <v>1214052</v>
      </c>
      <c r="H293">
        <v>1226940</v>
      </c>
      <c r="I293">
        <v>1240714</v>
      </c>
      <c r="J293">
        <v>1253770</v>
      </c>
      <c r="K293">
        <v>1267111</v>
      </c>
      <c r="L293">
        <v>1279604</v>
      </c>
      <c r="M293">
        <v>1292638</v>
      </c>
      <c r="N293">
        <v>1305456</v>
      </c>
      <c r="O293">
        <v>1316646</v>
      </c>
      <c r="P293">
        <v>1326307</v>
      </c>
      <c r="Q293">
        <v>1338238</v>
      </c>
      <c r="R293">
        <v>1349732</v>
      </c>
    </row>
    <row r="294" spans="1:18">
      <c r="A294">
        <v>40140</v>
      </c>
      <c r="B294" t="s">
        <v>600</v>
      </c>
      <c r="C294" t="s">
        <v>1261</v>
      </c>
      <c r="D294" t="s">
        <v>1254</v>
      </c>
      <c r="E294">
        <v>4240739</v>
      </c>
      <c r="F294">
        <v>4286191</v>
      </c>
      <c r="G294">
        <v>4318845</v>
      </c>
      <c r="H294">
        <v>4346320</v>
      </c>
      <c r="I294">
        <v>4384684</v>
      </c>
      <c r="J294">
        <v>4422911</v>
      </c>
      <c r="K294">
        <v>4465521</v>
      </c>
      <c r="L294">
        <v>4511846</v>
      </c>
      <c r="M294">
        <v>4550170</v>
      </c>
      <c r="N294">
        <v>4576562</v>
      </c>
      <c r="O294">
        <v>4606384</v>
      </c>
      <c r="P294">
        <v>4646486</v>
      </c>
      <c r="Q294">
        <v>4669149</v>
      </c>
      <c r="R294">
        <v>4688053</v>
      </c>
    </row>
    <row r="295" spans="1:18">
      <c r="A295">
        <v>40220</v>
      </c>
      <c r="B295" t="s">
        <v>601</v>
      </c>
      <c r="C295" t="s">
        <v>1261</v>
      </c>
      <c r="D295" t="s">
        <v>1254</v>
      </c>
      <c r="E295">
        <v>308634</v>
      </c>
      <c r="F295">
        <v>309333</v>
      </c>
      <c r="G295">
        <v>310843</v>
      </c>
      <c r="H295">
        <v>312402</v>
      </c>
      <c r="I295">
        <v>313438</v>
      </c>
      <c r="J295">
        <v>314023</v>
      </c>
      <c r="K295">
        <v>313616</v>
      </c>
      <c r="L295">
        <v>314002</v>
      </c>
      <c r="M295">
        <v>314339</v>
      </c>
      <c r="N295">
        <v>314933</v>
      </c>
      <c r="O295">
        <v>315217</v>
      </c>
      <c r="P295">
        <v>314688</v>
      </c>
      <c r="Q295">
        <v>314150</v>
      </c>
      <c r="R295">
        <v>314314</v>
      </c>
    </row>
    <row r="296" spans="1:18">
      <c r="A296">
        <v>40340</v>
      </c>
      <c r="B296" t="s">
        <v>602</v>
      </c>
      <c r="C296" t="s">
        <v>1261</v>
      </c>
      <c r="D296" t="s">
        <v>1254</v>
      </c>
      <c r="E296">
        <v>207304</v>
      </c>
      <c r="F296">
        <v>208887</v>
      </c>
      <c r="G296">
        <v>210299</v>
      </c>
      <c r="H296">
        <v>212606</v>
      </c>
      <c r="I296">
        <v>214116</v>
      </c>
      <c r="J296">
        <v>215745</v>
      </c>
      <c r="K296">
        <v>218425</v>
      </c>
      <c r="L296">
        <v>220579</v>
      </c>
      <c r="M296">
        <v>222645</v>
      </c>
      <c r="N296">
        <v>224956</v>
      </c>
      <c r="O296">
        <v>226576</v>
      </c>
      <c r="P296">
        <v>227540</v>
      </c>
      <c r="Q296">
        <v>228134</v>
      </c>
      <c r="R296">
        <v>229077</v>
      </c>
    </row>
    <row r="297" spans="1:18">
      <c r="A297">
        <v>40380</v>
      </c>
      <c r="B297" t="s">
        <v>603</v>
      </c>
      <c r="C297" t="s">
        <v>1261</v>
      </c>
      <c r="D297" t="s">
        <v>1254</v>
      </c>
      <c r="E297">
        <v>1080527</v>
      </c>
      <c r="F297">
        <v>1084399</v>
      </c>
      <c r="G297">
        <v>1086625</v>
      </c>
      <c r="H297">
        <v>1089109</v>
      </c>
      <c r="I297">
        <v>1089687</v>
      </c>
      <c r="J297">
        <v>1088882</v>
      </c>
      <c r="K297">
        <v>1088253</v>
      </c>
      <c r="L297">
        <v>1088691</v>
      </c>
      <c r="M297">
        <v>1091227</v>
      </c>
      <c r="N297">
        <v>1090696</v>
      </c>
      <c r="O297">
        <v>1087563</v>
      </c>
      <c r="P297">
        <v>1085467</v>
      </c>
      <c r="Q297">
        <v>1079331</v>
      </c>
      <c r="R297">
        <v>1076559</v>
      </c>
    </row>
    <row r="298" spans="1:18">
      <c r="A298">
        <v>40420</v>
      </c>
      <c r="B298" t="s">
        <v>604</v>
      </c>
      <c r="C298" t="s">
        <v>1261</v>
      </c>
      <c r="D298" t="s">
        <v>1254</v>
      </c>
      <c r="E298">
        <v>349293</v>
      </c>
      <c r="F298">
        <v>348330</v>
      </c>
      <c r="G298">
        <v>346820</v>
      </c>
      <c r="H298">
        <v>346129</v>
      </c>
      <c r="I298">
        <v>344269</v>
      </c>
      <c r="J298">
        <v>343015</v>
      </c>
      <c r="K298">
        <v>342349</v>
      </c>
      <c r="L298">
        <v>341163</v>
      </c>
      <c r="M298">
        <v>340385</v>
      </c>
      <c r="N298">
        <v>339575</v>
      </c>
      <c r="O298">
        <v>338259</v>
      </c>
      <c r="P298">
        <v>336506</v>
      </c>
      <c r="Q298">
        <v>334610</v>
      </c>
      <c r="R298">
        <v>334124</v>
      </c>
    </row>
    <row r="299" spans="1:18">
      <c r="A299">
        <v>40580</v>
      </c>
      <c r="B299" t="s">
        <v>605</v>
      </c>
      <c r="C299" t="s">
        <v>1261</v>
      </c>
      <c r="D299" t="s">
        <v>1254</v>
      </c>
      <c r="E299">
        <v>152362</v>
      </c>
      <c r="F299">
        <v>151561</v>
      </c>
      <c r="G299">
        <v>150433</v>
      </c>
      <c r="H299">
        <v>149217</v>
      </c>
      <c r="I299">
        <v>148247</v>
      </c>
      <c r="J299">
        <v>146536</v>
      </c>
      <c r="K299">
        <v>146089</v>
      </c>
      <c r="L299">
        <v>145439</v>
      </c>
      <c r="M299">
        <v>144544</v>
      </c>
      <c r="N299">
        <v>143867</v>
      </c>
      <c r="O299">
        <v>143932</v>
      </c>
      <c r="P299">
        <v>143537</v>
      </c>
      <c r="Q299">
        <v>144209</v>
      </c>
      <c r="R299">
        <v>145383</v>
      </c>
    </row>
    <row r="300" spans="1:18">
      <c r="A300">
        <v>40660</v>
      </c>
      <c r="B300" t="s">
        <v>606</v>
      </c>
      <c r="C300" t="s">
        <v>1261</v>
      </c>
      <c r="D300" t="s">
        <v>1254</v>
      </c>
      <c r="E300">
        <v>96437</v>
      </c>
      <c r="F300">
        <v>96178</v>
      </c>
      <c r="G300">
        <v>95950</v>
      </c>
      <c r="H300">
        <v>95907</v>
      </c>
      <c r="I300">
        <v>95900</v>
      </c>
      <c r="J300">
        <v>96214</v>
      </c>
      <c r="K300">
        <v>96732</v>
      </c>
      <c r="L300">
        <v>97461</v>
      </c>
      <c r="M300">
        <v>97909</v>
      </c>
      <c r="N300">
        <v>98324</v>
      </c>
      <c r="O300">
        <v>98583</v>
      </c>
      <c r="P300">
        <v>98487</v>
      </c>
      <c r="Q300">
        <v>99437</v>
      </c>
      <c r="R300">
        <v>100113</v>
      </c>
    </row>
    <row r="301" spans="1:18">
      <c r="A301">
        <v>40900</v>
      </c>
      <c r="B301" t="s">
        <v>607</v>
      </c>
      <c r="C301" t="s">
        <v>1261</v>
      </c>
      <c r="D301" t="s">
        <v>1254</v>
      </c>
      <c r="E301">
        <v>2154127</v>
      </c>
      <c r="F301">
        <v>2175562</v>
      </c>
      <c r="G301">
        <v>2195051</v>
      </c>
      <c r="H301">
        <v>2217490</v>
      </c>
      <c r="I301">
        <v>2244867</v>
      </c>
      <c r="J301">
        <v>2274649</v>
      </c>
      <c r="K301">
        <v>2306062</v>
      </c>
      <c r="L301">
        <v>2337065</v>
      </c>
      <c r="M301">
        <v>2362237</v>
      </c>
      <c r="N301">
        <v>2385124</v>
      </c>
      <c r="O301">
        <v>2400029</v>
      </c>
      <c r="P301">
        <v>2408702</v>
      </c>
      <c r="Q301">
        <v>2417259</v>
      </c>
      <c r="R301">
        <v>2420608</v>
      </c>
    </row>
    <row r="302" spans="1:18">
      <c r="A302">
        <v>40980</v>
      </c>
      <c r="B302" t="s">
        <v>608</v>
      </c>
      <c r="C302" t="s">
        <v>1261</v>
      </c>
      <c r="D302" t="s">
        <v>1254</v>
      </c>
      <c r="E302">
        <v>199871</v>
      </c>
      <c r="F302">
        <v>198928</v>
      </c>
      <c r="G302">
        <v>198409</v>
      </c>
      <c r="H302">
        <v>196859</v>
      </c>
      <c r="I302">
        <v>195317</v>
      </c>
      <c r="J302">
        <v>193385</v>
      </c>
      <c r="K302">
        <v>192638</v>
      </c>
      <c r="L302">
        <v>192006</v>
      </c>
      <c r="M302">
        <v>190844</v>
      </c>
      <c r="N302">
        <v>190488</v>
      </c>
      <c r="O302">
        <v>189882</v>
      </c>
      <c r="P302">
        <v>189516</v>
      </c>
      <c r="Q302">
        <v>188373</v>
      </c>
      <c r="R302">
        <v>187782</v>
      </c>
    </row>
    <row r="303" spans="1:18">
      <c r="A303">
        <v>41060</v>
      </c>
      <c r="B303" t="s">
        <v>609</v>
      </c>
      <c r="C303" t="s">
        <v>1261</v>
      </c>
      <c r="D303" t="s">
        <v>1254</v>
      </c>
      <c r="E303">
        <v>189161</v>
      </c>
      <c r="F303">
        <v>189739</v>
      </c>
      <c r="G303">
        <v>189925</v>
      </c>
      <c r="H303">
        <v>190624</v>
      </c>
      <c r="I303">
        <v>191888</v>
      </c>
      <c r="J303">
        <v>193894</v>
      </c>
      <c r="K303">
        <v>195051</v>
      </c>
      <c r="L303">
        <v>196484</v>
      </c>
      <c r="M303">
        <v>198025</v>
      </c>
      <c r="N303">
        <v>199111</v>
      </c>
      <c r="O303">
        <v>199835</v>
      </c>
      <c r="P303">
        <v>200737</v>
      </c>
      <c r="Q303">
        <v>201751</v>
      </c>
      <c r="R303">
        <v>202577</v>
      </c>
    </row>
    <row r="304" spans="1:18">
      <c r="A304">
        <v>41100</v>
      </c>
      <c r="B304" t="s">
        <v>610</v>
      </c>
      <c r="C304" t="s">
        <v>1261</v>
      </c>
      <c r="D304" t="s">
        <v>1254</v>
      </c>
      <c r="E304">
        <v>138344</v>
      </c>
      <c r="F304">
        <v>141015</v>
      </c>
      <c r="G304">
        <v>143713</v>
      </c>
      <c r="H304">
        <v>146357</v>
      </c>
      <c r="I304">
        <v>150235</v>
      </c>
      <c r="J304">
        <v>153578</v>
      </c>
      <c r="K304">
        <v>157988</v>
      </c>
      <c r="L304">
        <v>164324</v>
      </c>
      <c r="M304">
        <v>169851</v>
      </c>
      <c r="N304">
        <v>175393</v>
      </c>
      <c r="O304">
        <v>182015</v>
      </c>
      <c r="P304">
        <v>191513</v>
      </c>
      <c r="Q304">
        <v>197730</v>
      </c>
      <c r="R304">
        <v>202452</v>
      </c>
    </row>
    <row r="305" spans="1:18">
      <c r="A305">
        <v>41140</v>
      </c>
      <c r="B305" t="s">
        <v>611</v>
      </c>
      <c r="C305" t="s">
        <v>1261</v>
      </c>
      <c r="D305" t="s">
        <v>1254</v>
      </c>
      <c r="E305">
        <v>127240</v>
      </c>
      <c r="F305">
        <v>127554</v>
      </c>
      <c r="G305">
        <v>127636</v>
      </c>
      <c r="H305">
        <v>127243</v>
      </c>
      <c r="I305">
        <v>126740</v>
      </c>
      <c r="J305">
        <v>126078</v>
      </c>
      <c r="K305">
        <v>125795</v>
      </c>
      <c r="L305">
        <v>125357</v>
      </c>
      <c r="M305">
        <v>124760</v>
      </c>
      <c r="N305">
        <v>122054</v>
      </c>
      <c r="O305">
        <v>121643</v>
      </c>
      <c r="P305">
        <v>120784</v>
      </c>
      <c r="Q305">
        <v>119692</v>
      </c>
      <c r="R305">
        <v>118475</v>
      </c>
    </row>
    <row r="306" spans="1:18">
      <c r="A306">
        <v>41180</v>
      </c>
      <c r="B306" t="s">
        <v>612</v>
      </c>
      <c r="C306" t="s">
        <v>1261</v>
      </c>
      <c r="D306" t="s">
        <v>1254</v>
      </c>
      <c r="E306">
        <v>2790459</v>
      </c>
      <c r="F306">
        <v>2797300</v>
      </c>
      <c r="G306">
        <v>2800463</v>
      </c>
      <c r="H306">
        <v>2804822</v>
      </c>
      <c r="I306">
        <v>2810317</v>
      </c>
      <c r="J306">
        <v>2815929</v>
      </c>
      <c r="K306">
        <v>2815619</v>
      </c>
      <c r="L306">
        <v>2817214</v>
      </c>
      <c r="M306">
        <v>2816606</v>
      </c>
      <c r="N306">
        <v>2817594</v>
      </c>
      <c r="O306">
        <v>2819212</v>
      </c>
      <c r="P306">
        <v>2812587</v>
      </c>
      <c r="Q306">
        <v>2800245</v>
      </c>
      <c r="R306">
        <v>2796999</v>
      </c>
    </row>
    <row r="307" spans="1:18">
      <c r="A307">
        <v>41420</v>
      </c>
      <c r="B307" t="s">
        <v>613</v>
      </c>
      <c r="C307" t="s">
        <v>1261</v>
      </c>
      <c r="D307" t="s">
        <v>1254</v>
      </c>
      <c r="E307">
        <v>391421</v>
      </c>
      <c r="F307">
        <v>393663</v>
      </c>
      <c r="G307">
        <v>395490</v>
      </c>
      <c r="H307">
        <v>397189</v>
      </c>
      <c r="I307">
        <v>401032</v>
      </c>
      <c r="J307">
        <v>406691</v>
      </c>
      <c r="K307">
        <v>415364</v>
      </c>
      <c r="L307">
        <v>422531</v>
      </c>
      <c r="M307">
        <v>428043</v>
      </c>
      <c r="N307">
        <v>430794</v>
      </c>
      <c r="O307">
        <v>434306</v>
      </c>
      <c r="P307">
        <v>437224</v>
      </c>
      <c r="Q307">
        <v>436312</v>
      </c>
      <c r="R307">
        <v>436546</v>
      </c>
    </row>
    <row r="308" spans="1:18">
      <c r="A308">
        <v>41500</v>
      </c>
      <c r="B308" t="s">
        <v>614</v>
      </c>
      <c r="C308" t="s">
        <v>1261</v>
      </c>
      <c r="D308" t="s">
        <v>1254</v>
      </c>
      <c r="E308">
        <v>416532</v>
      </c>
      <c r="F308">
        <v>421259</v>
      </c>
      <c r="G308">
        <v>425824</v>
      </c>
      <c r="H308">
        <v>428490</v>
      </c>
      <c r="I308">
        <v>431044</v>
      </c>
      <c r="J308">
        <v>433979</v>
      </c>
      <c r="K308">
        <v>438004</v>
      </c>
      <c r="L308">
        <v>439112</v>
      </c>
      <c r="M308">
        <v>439404</v>
      </c>
      <c r="N308">
        <v>440163</v>
      </c>
      <c r="O308">
        <v>438322</v>
      </c>
      <c r="P308">
        <v>437158</v>
      </c>
      <c r="Q308">
        <v>432884</v>
      </c>
      <c r="R308">
        <v>430723</v>
      </c>
    </row>
    <row r="309" spans="1:18">
      <c r="A309">
        <v>41540</v>
      </c>
      <c r="B309" t="s">
        <v>615</v>
      </c>
      <c r="C309" t="s">
        <v>1261</v>
      </c>
      <c r="D309" t="s">
        <v>1254</v>
      </c>
      <c r="E309">
        <v>374734</v>
      </c>
      <c r="F309">
        <v>377818</v>
      </c>
      <c r="G309">
        <v>380517</v>
      </c>
      <c r="H309">
        <v>383555</v>
      </c>
      <c r="I309">
        <v>387460</v>
      </c>
      <c r="J309">
        <v>391913</v>
      </c>
      <c r="K309">
        <v>396952</v>
      </c>
      <c r="L309">
        <v>402105</v>
      </c>
      <c r="M309">
        <v>407913</v>
      </c>
      <c r="N309">
        <v>413585</v>
      </c>
      <c r="O309">
        <v>419277</v>
      </c>
      <c r="P309">
        <v>429867</v>
      </c>
      <c r="Q309">
        <v>439475</v>
      </c>
      <c r="R309">
        <v>447390</v>
      </c>
    </row>
    <row r="310" spans="1:18">
      <c r="A310">
        <v>41620</v>
      </c>
      <c r="B310" t="s">
        <v>616</v>
      </c>
      <c r="C310" t="s">
        <v>1261</v>
      </c>
      <c r="D310" t="s">
        <v>1254</v>
      </c>
      <c r="E310">
        <v>1091930</v>
      </c>
      <c r="F310">
        <v>1109089</v>
      </c>
      <c r="G310">
        <v>1127952</v>
      </c>
      <c r="H310">
        <v>1146171</v>
      </c>
      <c r="I310">
        <v>1159550</v>
      </c>
      <c r="J310">
        <v>1175028</v>
      </c>
      <c r="K310">
        <v>1197061</v>
      </c>
      <c r="L310">
        <v>1218488</v>
      </c>
      <c r="M310">
        <v>1234679</v>
      </c>
      <c r="N310">
        <v>1248555</v>
      </c>
      <c r="O310">
        <v>1260338</v>
      </c>
      <c r="P310">
        <v>1263087</v>
      </c>
      <c r="Q310">
        <v>1266524</v>
      </c>
      <c r="R310">
        <v>1267864</v>
      </c>
    </row>
    <row r="311" spans="1:18">
      <c r="A311">
        <v>41660</v>
      </c>
      <c r="B311" t="s">
        <v>617</v>
      </c>
      <c r="C311" t="s">
        <v>1261</v>
      </c>
      <c r="D311" t="s">
        <v>1254</v>
      </c>
      <c r="E311">
        <v>113430</v>
      </c>
      <c r="F311">
        <v>114548</v>
      </c>
      <c r="G311">
        <v>116125</v>
      </c>
      <c r="H311">
        <v>117599</v>
      </c>
      <c r="I311">
        <v>119346</v>
      </c>
      <c r="J311">
        <v>120527</v>
      </c>
      <c r="K311">
        <v>120733</v>
      </c>
      <c r="L311">
        <v>120641</v>
      </c>
      <c r="M311">
        <v>121245</v>
      </c>
      <c r="N311">
        <v>122395</v>
      </c>
      <c r="O311">
        <v>123087</v>
      </c>
      <c r="P311">
        <v>122145</v>
      </c>
      <c r="Q311">
        <v>121873</v>
      </c>
      <c r="R311">
        <v>122003</v>
      </c>
    </row>
    <row r="312" spans="1:18">
      <c r="A312">
        <v>41700</v>
      </c>
      <c r="B312" t="s">
        <v>618</v>
      </c>
      <c r="C312" t="s">
        <v>1261</v>
      </c>
      <c r="D312" t="s">
        <v>1254</v>
      </c>
      <c r="E312">
        <v>2152542</v>
      </c>
      <c r="F312">
        <v>2191507</v>
      </c>
      <c r="G312">
        <v>2232588</v>
      </c>
      <c r="H312">
        <v>2273519</v>
      </c>
      <c r="I312">
        <v>2320172</v>
      </c>
      <c r="J312">
        <v>2368219</v>
      </c>
      <c r="K312">
        <v>2412468</v>
      </c>
      <c r="L312">
        <v>2455494</v>
      </c>
      <c r="M312">
        <v>2493824</v>
      </c>
      <c r="N312">
        <v>2528761</v>
      </c>
      <c r="O312">
        <v>2568526</v>
      </c>
      <c r="P312">
        <v>2605100</v>
      </c>
      <c r="Q312">
        <v>2655928</v>
      </c>
      <c r="R312">
        <v>2703999</v>
      </c>
    </row>
    <row r="313" spans="1:18">
      <c r="A313">
        <v>41740</v>
      </c>
      <c r="B313" t="s">
        <v>619</v>
      </c>
      <c r="C313" t="s">
        <v>1261</v>
      </c>
      <c r="D313" t="s">
        <v>1254</v>
      </c>
      <c r="E313">
        <v>3102436</v>
      </c>
      <c r="F313">
        <v>3133069</v>
      </c>
      <c r="G313">
        <v>3167554</v>
      </c>
      <c r="H313">
        <v>3199707</v>
      </c>
      <c r="I313">
        <v>3234658</v>
      </c>
      <c r="J313">
        <v>3262566</v>
      </c>
      <c r="K313">
        <v>3283586</v>
      </c>
      <c r="L313">
        <v>3293575</v>
      </c>
      <c r="M313">
        <v>3303463</v>
      </c>
      <c r="N313">
        <v>3297959</v>
      </c>
      <c r="O313">
        <v>3295298</v>
      </c>
      <c r="P313">
        <v>3274432</v>
      </c>
      <c r="Q313">
        <v>3277176</v>
      </c>
      <c r="R313">
        <v>3269973</v>
      </c>
    </row>
    <row r="314" spans="1:18">
      <c r="A314">
        <v>41860</v>
      </c>
      <c r="B314" t="s">
        <v>620</v>
      </c>
      <c r="C314" t="s">
        <v>1261</v>
      </c>
      <c r="D314" t="s">
        <v>1254</v>
      </c>
      <c r="E314">
        <v>4344808</v>
      </c>
      <c r="F314">
        <v>4400957</v>
      </c>
      <c r="G314">
        <v>4464478</v>
      </c>
      <c r="H314">
        <v>4532579</v>
      </c>
      <c r="I314">
        <v>4601942</v>
      </c>
      <c r="J314">
        <v>4669035</v>
      </c>
      <c r="K314">
        <v>4713129</v>
      </c>
      <c r="L314">
        <v>4740862</v>
      </c>
      <c r="M314">
        <v>4759142</v>
      </c>
      <c r="N314">
        <v>4761624</v>
      </c>
      <c r="O314">
        <v>4740838</v>
      </c>
      <c r="P314">
        <v>4618350</v>
      </c>
      <c r="Q314">
        <v>4578135</v>
      </c>
      <c r="R314">
        <v>4566961</v>
      </c>
    </row>
    <row r="315" spans="1:18">
      <c r="A315">
        <v>41940</v>
      </c>
      <c r="B315" t="s">
        <v>621</v>
      </c>
      <c r="C315" t="s">
        <v>1261</v>
      </c>
      <c r="D315" t="s">
        <v>1254</v>
      </c>
      <c r="E315">
        <v>1842072</v>
      </c>
      <c r="F315">
        <v>1870668</v>
      </c>
      <c r="G315">
        <v>1899220</v>
      </c>
      <c r="H315">
        <v>1930576</v>
      </c>
      <c r="I315">
        <v>1958735</v>
      </c>
      <c r="J315">
        <v>1985975</v>
      </c>
      <c r="K315">
        <v>2001778</v>
      </c>
      <c r="L315">
        <v>2009163</v>
      </c>
      <c r="M315">
        <v>2012463</v>
      </c>
      <c r="N315">
        <v>2006501</v>
      </c>
      <c r="O315">
        <v>1995698</v>
      </c>
      <c r="P315">
        <v>1951882</v>
      </c>
      <c r="Q315">
        <v>1945978</v>
      </c>
      <c r="R315">
        <v>1945767</v>
      </c>
    </row>
    <row r="316" spans="1:18">
      <c r="A316">
        <v>42020</v>
      </c>
      <c r="B316" t="s">
        <v>622</v>
      </c>
      <c r="C316" t="s">
        <v>1261</v>
      </c>
      <c r="D316" t="s">
        <v>1254</v>
      </c>
      <c r="E316">
        <v>269798</v>
      </c>
      <c r="F316">
        <v>271044</v>
      </c>
      <c r="G316">
        <v>274152</v>
      </c>
      <c r="H316">
        <v>275681</v>
      </c>
      <c r="I316">
        <v>278231</v>
      </c>
      <c r="J316">
        <v>280088</v>
      </c>
      <c r="K316">
        <v>281825</v>
      </c>
      <c r="L316">
        <v>282406</v>
      </c>
      <c r="M316">
        <v>283176</v>
      </c>
      <c r="N316">
        <v>282646</v>
      </c>
      <c r="O316">
        <v>281884</v>
      </c>
      <c r="P316">
        <v>279464</v>
      </c>
      <c r="Q316">
        <v>282046</v>
      </c>
      <c r="R316">
        <v>281639</v>
      </c>
    </row>
    <row r="317" spans="1:18">
      <c r="A317">
        <v>42100</v>
      </c>
      <c r="B317" t="s">
        <v>623</v>
      </c>
      <c r="C317" t="s">
        <v>1261</v>
      </c>
      <c r="D317" t="s">
        <v>1254</v>
      </c>
      <c r="E317">
        <v>263182</v>
      </c>
      <c r="F317">
        <v>264968</v>
      </c>
      <c r="G317">
        <v>266467</v>
      </c>
      <c r="H317">
        <v>268946</v>
      </c>
      <c r="I317">
        <v>271009</v>
      </c>
      <c r="J317">
        <v>273677</v>
      </c>
      <c r="K317">
        <v>274694</v>
      </c>
      <c r="L317">
        <v>275121</v>
      </c>
      <c r="M317">
        <v>274005</v>
      </c>
      <c r="N317">
        <v>273196</v>
      </c>
      <c r="O317">
        <v>270474</v>
      </c>
      <c r="P317">
        <v>260475</v>
      </c>
      <c r="Q317">
        <v>264240</v>
      </c>
      <c r="R317">
        <v>261547</v>
      </c>
    </row>
    <row r="318" spans="1:18">
      <c r="A318">
        <v>42140</v>
      </c>
      <c r="B318" t="s">
        <v>624</v>
      </c>
      <c r="C318" t="s">
        <v>1261</v>
      </c>
      <c r="D318" t="s">
        <v>1254</v>
      </c>
      <c r="E318">
        <v>144596</v>
      </c>
      <c r="F318">
        <v>146234</v>
      </c>
      <c r="G318">
        <v>147424</v>
      </c>
      <c r="H318">
        <v>148486</v>
      </c>
      <c r="I318">
        <v>149108</v>
      </c>
      <c r="J318">
        <v>149720</v>
      </c>
      <c r="K318">
        <v>150708</v>
      </c>
      <c r="L318">
        <v>151821</v>
      </c>
      <c r="M318">
        <v>152563</v>
      </c>
      <c r="N318">
        <v>153693</v>
      </c>
      <c r="O318">
        <v>155043</v>
      </c>
      <c r="P318">
        <v>155400</v>
      </c>
      <c r="Q318">
        <v>155761</v>
      </c>
      <c r="R318">
        <v>155956</v>
      </c>
    </row>
    <row r="319" spans="1:18">
      <c r="A319">
        <v>42200</v>
      </c>
      <c r="B319" t="s">
        <v>625</v>
      </c>
      <c r="C319" t="s">
        <v>1261</v>
      </c>
      <c r="D319" t="s">
        <v>1254</v>
      </c>
      <c r="E319">
        <v>424292</v>
      </c>
      <c r="F319">
        <v>425775</v>
      </c>
      <c r="G319">
        <v>430311</v>
      </c>
      <c r="H319">
        <v>435492</v>
      </c>
      <c r="I319">
        <v>440227</v>
      </c>
      <c r="J319">
        <v>443677</v>
      </c>
      <c r="K319">
        <v>446061</v>
      </c>
      <c r="L319">
        <v>447267</v>
      </c>
      <c r="M319">
        <v>447724</v>
      </c>
      <c r="N319">
        <v>448368</v>
      </c>
      <c r="O319">
        <v>448424</v>
      </c>
      <c r="P319">
        <v>437521</v>
      </c>
      <c r="Q319">
        <v>443915</v>
      </c>
      <c r="R319">
        <v>441257</v>
      </c>
    </row>
    <row r="320" spans="1:18">
      <c r="A320">
        <v>42220</v>
      </c>
      <c r="B320" t="s">
        <v>626</v>
      </c>
      <c r="C320" t="s">
        <v>1261</v>
      </c>
      <c r="D320" t="s">
        <v>1254</v>
      </c>
      <c r="E320">
        <v>484635</v>
      </c>
      <c r="F320">
        <v>487034</v>
      </c>
      <c r="G320">
        <v>489428</v>
      </c>
      <c r="H320">
        <v>493352</v>
      </c>
      <c r="I320">
        <v>497635</v>
      </c>
      <c r="J320">
        <v>499752</v>
      </c>
      <c r="K320">
        <v>501437</v>
      </c>
      <c r="L320">
        <v>501038</v>
      </c>
      <c r="M320">
        <v>495914</v>
      </c>
      <c r="N320">
        <v>490867</v>
      </c>
      <c r="O320">
        <v>488282</v>
      </c>
      <c r="P320">
        <v>484519</v>
      </c>
      <c r="Q320">
        <v>482669</v>
      </c>
      <c r="R320">
        <v>481812</v>
      </c>
    </row>
    <row r="321" spans="1:18">
      <c r="A321">
        <v>42340</v>
      </c>
      <c r="B321" t="s">
        <v>627</v>
      </c>
      <c r="C321" t="s">
        <v>1261</v>
      </c>
      <c r="D321" t="s">
        <v>1254</v>
      </c>
      <c r="E321">
        <v>348859</v>
      </c>
      <c r="F321">
        <v>356630</v>
      </c>
      <c r="G321">
        <v>363657</v>
      </c>
      <c r="H321">
        <v>367900</v>
      </c>
      <c r="I321">
        <v>374999</v>
      </c>
      <c r="J321">
        <v>382547</v>
      </c>
      <c r="K321">
        <v>388917</v>
      </c>
      <c r="L321">
        <v>393161</v>
      </c>
      <c r="M321">
        <v>397311</v>
      </c>
      <c r="N321">
        <v>402340</v>
      </c>
      <c r="O321">
        <v>405301</v>
      </c>
      <c r="P321">
        <v>409428</v>
      </c>
      <c r="Q321">
        <v>418277</v>
      </c>
      <c r="R321">
        <v>424935</v>
      </c>
    </row>
    <row r="322" spans="1:18">
      <c r="A322">
        <v>42540</v>
      </c>
      <c r="B322" t="s">
        <v>628</v>
      </c>
      <c r="C322" t="s">
        <v>1261</v>
      </c>
      <c r="D322" t="s">
        <v>1254</v>
      </c>
      <c r="E322">
        <v>564139</v>
      </c>
      <c r="F322">
        <v>565553</v>
      </c>
      <c r="G322">
        <v>567030</v>
      </c>
      <c r="H322">
        <v>566254</v>
      </c>
      <c r="I322">
        <v>566341</v>
      </c>
      <c r="J322">
        <v>565361</v>
      </c>
      <c r="K322">
        <v>564606</v>
      </c>
      <c r="L322">
        <v>566208</v>
      </c>
      <c r="M322">
        <v>567044</v>
      </c>
      <c r="N322">
        <v>567002</v>
      </c>
      <c r="O322">
        <v>566788</v>
      </c>
      <c r="P322">
        <v>568091</v>
      </c>
      <c r="Q322">
        <v>568270</v>
      </c>
      <c r="R322">
        <v>569413</v>
      </c>
    </row>
    <row r="323" spans="1:18">
      <c r="A323">
        <v>42660</v>
      </c>
      <c r="B323" t="s">
        <v>629</v>
      </c>
      <c r="C323" t="s">
        <v>1261</v>
      </c>
      <c r="D323" t="s">
        <v>1254</v>
      </c>
      <c r="E323">
        <v>3449507</v>
      </c>
      <c r="F323">
        <v>3505162</v>
      </c>
      <c r="G323">
        <v>3561158</v>
      </c>
      <c r="H323">
        <v>3615685</v>
      </c>
      <c r="I323">
        <v>3679543</v>
      </c>
      <c r="J323">
        <v>3745182</v>
      </c>
      <c r="K323">
        <v>3824014</v>
      </c>
      <c r="L323">
        <v>3893869</v>
      </c>
      <c r="M323">
        <v>3943414</v>
      </c>
      <c r="N323">
        <v>3984400</v>
      </c>
      <c r="O323">
        <v>4027804</v>
      </c>
      <c r="P323">
        <v>4016479</v>
      </c>
      <c r="Q323">
        <v>4032242</v>
      </c>
      <c r="R323">
        <v>4044837</v>
      </c>
    </row>
    <row r="324" spans="1:18">
      <c r="A324">
        <v>42680</v>
      </c>
      <c r="B324" t="s">
        <v>630</v>
      </c>
      <c r="C324" t="s">
        <v>1261</v>
      </c>
      <c r="D324" t="s">
        <v>1254</v>
      </c>
      <c r="E324">
        <v>138234</v>
      </c>
      <c r="F324">
        <v>138901</v>
      </c>
      <c r="G324">
        <v>140111</v>
      </c>
      <c r="H324">
        <v>141372</v>
      </c>
      <c r="I324">
        <v>143749</v>
      </c>
      <c r="J324">
        <v>146560</v>
      </c>
      <c r="K324">
        <v>150076</v>
      </c>
      <c r="L324">
        <v>152836</v>
      </c>
      <c r="M324">
        <v>155374</v>
      </c>
      <c r="N324">
        <v>157868</v>
      </c>
      <c r="O324">
        <v>160446</v>
      </c>
      <c r="P324">
        <v>163869</v>
      </c>
      <c r="Q324">
        <v>167267</v>
      </c>
      <c r="R324">
        <v>169795</v>
      </c>
    </row>
    <row r="325" spans="1:18">
      <c r="A325">
        <v>42700</v>
      </c>
      <c r="B325" t="s">
        <v>631</v>
      </c>
      <c r="C325" t="s">
        <v>1261</v>
      </c>
      <c r="D325" t="s">
        <v>1254</v>
      </c>
      <c r="E325">
        <v>98513</v>
      </c>
      <c r="F325">
        <v>97875</v>
      </c>
      <c r="G325">
        <v>97134</v>
      </c>
      <c r="H325">
        <v>96521</v>
      </c>
      <c r="I325">
        <v>96541</v>
      </c>
      <c r="J325">
        <v>97582</v>
      </c>
      <c r="K325">
        <v>98886</v>
      </c>
      <c r="L325">
        <v>100094</v>
      </c>
      <c r="M325">
        <v>100189</v>
      </c>
      <c r="N325">
        <v>101061</v>
      </c>
      <c r="O325">
        <v>101349</v>
      </c>
      <c r="P325">
        <v>103279</v>
      </c>
      <c r="Q325">
        <v>105649</v>
      </c>
      <c r="R325">
        <v>107614</v>
      </c>
    </row>
    <row r="326" spans="1:18">
      <c r="A326">
        <v>43100</v>
      </c>
      <c r="B326" t="s">
        <v>632</v>
      </c>
      <c r="C326" t="s">
        <v>1261</v>
      </c>
      <c r="D326" t="s">
        <v>1254</v>
      </c>
      <c r="E326">
        <v>115587</v>
      </c>
      <c r="F326">
        <v>115541</v>
      </c>
      <c r="G326">
        <v>115367</v>
      </c>
      <c r="H326">
        <v>115565</v>
      </c>
      <c r="I326">
        <v>116126</v>
      </c>
      <c r="J326">
        <v>116611</v>
      </c>
      <c r="K326">
        <v>116710</v>
      </c>
      <c r="L326">
        <v>117019</v>
      </c>
      <c r="M326">
        <v>117363</v>
      </c>
      <c r="N326">
        <v>117703</v>
      </c>
      <c r="O326">
        <v>118053</v>
      </c>
      <c r="P326">
        <v>117687</v>
      </c>
      <c r="Q326">
        <v>117661</v>
      </c>
      <c r="R326">
        <v>117752</v>
      </c>
    </row>
    <row r="327" spans="1:18">
      <c r="A327">
        <v>43300</v>
      </c>
      <c r="B327" t="s">
        <v>633</v>
      </c>
      <c r="C327" t="s">
        <v>1261</v>
      </c>
      <c r="D327" t="s">
        <v>1254</v>
      </c>
      <c r="E327">
        <v>120981</v>
      </c>
      <c r="F327">
        <v>121185</v>
      </c>
      <c r="G327">
        <v>121422</v>
      </c>
      <c r="H327">
        <v>121742</v>
      </c>
      <c r="I327">
        <v>122778</v>
      </c>
      <c r="J327">
        <v>124603</v>
      </c>
      <c r="K327">
        <v>127007</v>
      </c>
      <c r="L327">
        <v>129542</v>
      </c>
      <c r="M327">
        <v>131987</v>
      </c>
      <c r="N327">
        <v>134094</v>
      </c>
      <c r="O327">
        <v>136099</v>
      </c>
      <c r="P327">
        <v>139563</v>
      </c>
      <c r="Q327">
        <v>143198</v>
      </c>
      <c r="R327">
        <v>146907</v>
      </c>
    </row>
    <row r="328" spans="1:18">
      <c r="A328">
        <v>43340</v>
      </c>
      <c r="B328" t="s">
        <v>634</v>
      </c>
      <c r="C328" t="s">
        <v>1261</v>
      </c>
      <c r="D328" t="s">
        <v>1254</v>
      </c>
      <c r="E328">
        <v>399962</v>
      </c>
      <c r="F328">
        <v>403981</v>
      </c>
      <c r="G328">
        <v>407615</v>
      </c>
      <c r="H328">
        <v>406463</v>
      </c>
      <c r="I328">
        <v>404826</v>
      </c>
      <c r="J328">
        <v>404366</v>
      </c>
      <c r="K328">
        <v>402296</v>
      </c>
      <c r="L328">
        <v>400620</v>
      </c>
      <c r="M328">
        <v>397844</v>
      </c>
      <c r="N328">
        <v>395441</v>
      </c>
      <c r="O328">
        <v>392511</v>
      </c>
      <c r="P328">
        <v>388930</v>
      </c>
      <c r="Q328">
        <v>384943</v>
      </c>
      <c r="R328">
        <v>383295</v>
      </c>
    </row>
    <row r="329" spans="1:18">
      <c r="A329">
        <v>43420</v>
      </c>
      <c r="B329" t="s">
        <v>635</v>
      </c>
      <c r="C329" t="s">
        <v>1261</v>
      </c>
      <c r="D329" t="s">
        <v>1254</v>
      </c>
      <c r="E329">
        <v>131767</v>
      </c>
      <c r="F329">
        <v>132842</v>
      </c>
      <c r="G329">
        <v>131580</v>
      </c>
      <c r="H329">
        <v>128947</v>
      </c>
      <c r="I329">
        <v>126519</v>
      </c>
      <c r="J329">
        <v>125470</v>
      </c>
      <c r="K329">
        <v>124559</v>
      </c>
      <c r="L329">
        <v>123528</v>
      </c>
      <c r="M329">
        <v>124838</v>
      </c>
      <c r="N329">
        <v>125292</v>
      </c>
      <c r="O329">
        <v>125527</v>
      </c>
      <c r="P329">
        <v>126119</v>
      </c>
      <c r="Q329">
        <v>125487</v>
      </c>
      <c r="R329">
        <v>124640</v>
      </c>
    </row>
    <row r="330" spans="1:18">
      <c r="A330">
        <v>43580</v>
      </c>
      <c r="B330" t="s">
        <v>636</v>
      </c>
      <c r="C330" t="s">
        <v>1261</v>
      </c>
      <c r="D330" t="s">
        <v>1254</v>
      </c>
      <c r="E330">
        <v>144019</v>
      </c>
      <c r="F330">
        <v>144766</v>
      </c>
      <c r="G330">
        <v>144791</v>
      </c>
      <c r="H330">
        <v>145158</v>
      </c>
      <c r="I330">
        <v>145600</v>
      </c>
      <c r="J330">
        <v>146222</v>
      </c>
      <c r="K330">
        <v>146772</v>
      </c>
      <c r="L330">
        <v>146587</v>
      </c>
      <c r="M330">
        <v>147648</v>
      </c>
      <c r="N330">
        <v>149220</v>
      </c>
      <c r="O330">
        <v>149921</v>
      </c>
      <c r="P330">
        <v>149477</v>
      </c>
      <c r="Q330">
        <v>149253</v>
      </c>
      <c r="R330">
        <v>149893</v>
      </c>
    </row>
    <row r="331" spans="1:18">
      <c r="A331">
        <v>43620</v>
      </c>
      <c r="B331" t="s">
        <v>637</v>
      </c>
      <c r="C331" t="s">
        <v>1261</v>
      </c>
      <c r="D331" t="s">
        <v>1254</v>
      </c>
      <c r="E331">
        <v>229191</v>
      </c>
      <c r="F331">
        <v>232601</v>
      </c>
      <c r="G331">
        <v>237872</v>
      </c>
      <c r="H331">
        <v>243014</v>
      </c>
      <c r="I331">
        <v>247771</v>
      </c>
      <c r="J331">
        <v>252066</v>
      </c>
      <c r="K331">
        <v>257191</v>
      </c>
      <c r="L331">
        <v>263071</v>
      </c>
      <c r="M331">
        <v>267250</v>
      </c>
      <c r="N331">
        <v>272871</v>
      </c>
      <c r="O331">
        <v>277688</v>
      </c>
      <c r="P331">
        <v>282293</v>
      </c>
      <c r="Q331">
        <v>289525</v>
      </c>
      <c r="R331">
        <v>295004</v>
      </c>
    </row>
    <row r="332" spans="1:18">
      <c r="A332">
        <v>43780</v>
      </c>
      <c r="B332" t="s">
        <v>638</v>
      </c>
      <c r="C332" t="s">
        <v>1261</v>
      </c>
      <c r="D332" t="s">
        <v>1254</v>
      </c>
      <c r="E332">
        <v>319072</v>
      </c>
      <c r="F332">
        <v>319082</v>
      </c>
      <c r="G332">
        <v>318655</v>
      </c>
      <c r="H332">
        <v>319170</v>
      </c>
      <c r="I332">
        <v>320108</v>
      </c>
      <c r="J332">
        <v>320556</v>
      </c>
      <c r="K332">
        <v>322111</v>
      </c>
      <c r="L332">
        <v>322611</v>
      </c>
      <c r="M332">
        <v>323707</v>
      </c>
      <c r="N332">
        <v>324629</v>
      </c>
      <c r="O332">
        <v>324241</v>
      </c>
      <c r="P332">
        <v>323813</v>
      </c>
      <c r="Q332">
        <v>323759</v>
      </c>
      <c r="R332">
        <v>324490</v>
      </c>
    </row>
    <row r="333" spans="1:18">
      <c r="A333">
        <v>43900</v>
      </c>
      <c r="B333" t="s">
        <v>639</v>
      </c>
      <c r="C333" t="s">
        <v>1261</v>
      </c>
      <c r="D333" t="s">
        <v>1254</v>
      </c>
      <c r="E333">
        <v>284831</v>
      </c>
      <c r="F333">
        <v>286489</v>
      </c>
      <c r="G333">
        <v>288847</v>
      </c>
      <c r="H333">
        <v>291370</v>
      </c>
      <c r="I333">
        <v>294238</v>
      </c>
      <c r="J333">
        <v>298115</v>
      </c>
      <c r="K333">
        <v>302696</v>
      </c>
      <c r="L333">
        <v>308960</v>
      </c>
      <c r="M333">
        <v>316801</v>
      </c>
      <c r="N333">
        <v>322898</v>
      </c>
      <c r="O333">
        <v>329379</v>
      </c>
      <c r="P333">
        <v>335397</v>
      </c>
      <c r="Q333">
        <v>345948</v>
      </c>
      <c r="R333">
        <v>356698</v>
      </c>
    </row>
    <row r="334" spans="1:18">
      <c r="A334">
        <v>44060</v>
      </c>
      <c r="B334" t="s">
        <v>640</v>
      </c>
      <c r="C334" t="s">
        <v>1261</v>
      </c>
      <c r="D334" t="s">
        <v>1254</v>
      </c>
      <c r="E334">
        <v>515850</v>
      </c>
      <c r="F334">
        <v>518363</v>
      </c>
      <c r="G334">
        <v>521620</v>
      </c>
      <c r="H334">
        <v>525507</v>
      </c>
      <c r="I334">
        <v>531493</v>
      </c>
      <c r="J334">
        <v>538609</v>
      </c>
      <c r="K334">
        <v>548704</v>
      </c>
      <c r="L334">
        <v>559074</v>
      </c>
      <c r="M334">
        <v>568856</v>
      </c>
      <c r="N334">
        <v>579510</v>
      </c>
      <c r="O334">
        <v>587766</v>
      </c>
      <c r="P334">
        <v>593129</v>
      </c>
      <c r="Q334">
        <v>598023</v>
      </c>
      <c r="R334">
        <v>600292</v>
      </c>
    </row>
    <row r="335" spans="1:18">
      <c r="A335">
        <v>44100</v>
      </c>
      <c r="B335" t="s">
        <v>641</v>
      </c>
      <c r="C335" t="s">
        <v>1261</v>
      </c>
      <c r="D335" t="s">
        <v>1254</v>
      </c>
      <c r="E335">
        <v>210526</v>
      </c>
      <c r="F335">
        <v>212055</v>
      </c>
      <c r="G335">
        <v>212667</v>
      </c>
      <c r="H335">
        <v>212550</v>
      </c>
      <c r="I335">
        <v>212788</v>
      </c>
      <c r="J335">
        <v>212596</v>
      </c>
      <c r="K335">
        <v>212010</v>
      </c>
      <c r="L335">
        <v>211199</v>
      </c>
      <c r="M335">
        <v>210048</v>
      </c>
      <c r="N335">
        <v>209255</v>
      </c>
      <c r="O335">
        <v>208414</v>
      </c>
      <c r="P335">
        <v>207538</v>
      </c>
      <c r="Q335">
        <v>206223</v>
      </c>
      <c r="R335">
        <v>205445</v>
      </c>
    </row>
    <row r="336" spans="1:18">
      <c r="A336">
        <v>44140</v>
      </c>
      <c r="B336" t="s">
        <v>642</v>
      </c>
      <c r="C336" t="s">
        <v>1261</v>
      </c>
      <c r="D336" t="s">
        <v>1254</v>
      </c>
      <c r="E336">
        <v>695022</v>
      </c>
      <c r="F336">
        <v>698452</v>
      </c>
      <c r="G336">
        <v>699874</v>
      </c>
      <c r="H336">
        <v>701142</v>
      </c>
      <c r="I336">
        <v>703209</v>
      </c>
      <c r="J336">
        <v>702585</v>
      </c>
      <c r="K336">
        <v>702030</v>
      </c>
      <c r="L336">
        <v>701422</v>
      </c>
      <c r="M336">
        <v>702334</v>
      </c>
      <c r="N336">
        <v>700308</v>
      </c>
      <c r="O336">
        <v>681850</v>
      </c>
      <c r="P336">
        <v>696981</v>
      </c>
      <c r="Q336">
        <v>694271</v>
      </c>
      <c r="R336">
        <v>693629</v>
      </c>
    </row>
    <row r="337" spans="1:18">
      <c r="A337">
        <v>44180</v>
      </c>
      <c r="B337" t="s">
        <v>643</v>
      </c>
      <c r="C337" t="s">
        <v>1261</v>
      </c>
      <c r="D337" t="s">
        <v>1254</v>
      </c>
      <c r="E337">
        <v>437391</v>
      </c>
      <c r="F337">
        <v>440656</v>
      </c>
      <c r="G337">
        <v>444738</v>
      </c>
      <c r="H337">
        <v>449014</v>
      </c>
      <c r="I337">
        <v>452305</v>
      </c>
      <c r="J337">
        <v>456506</v>
      </c>
      <c r="K337">
        <v>459020</v>
      </c>
      <c r="L337">
        <v>463387</v>
      </c>
      <c r="M337">
        <v>467748</v>
      </c>
      <c r="N337">
        <v>472138</v>
      </c>
      <c r="O337">
        <v>476371</v>
      </c>
      <c r="P337">
        <v>481693</v>
      </c>
      <c r="Q337">
        <v>486931</v>
      </c>
      <c r="R337">
        <v>491053</v>
      </c>
    </row>
    <row r="338" spans="1:18">
      <c r="A338">
        <v>44220</v>
      </c>
      <c r="B338" t="s">
        <v>644</v>
      </c>
      <c r="C338" t="s">
        <v>1261</v>
      </c>
      <c r="D338" t="s">
        <v>1254</v>
      </c>
      <c r="E338">
        <v>138326</v>
      </c>
      <c r="F338">
        <v>138093</v>
      </c>
      <c r="G338">
        <v>137684</v>
      </c>
      <c r="H338">
        <v>137382</v>
      </c>
      <c r="I338">
        <v>137279</v>
      </c>
      <c r="J338">
        <v>136937</v>
      </c>
      <c r="K338">
        <v>136140</v>
      </c>
      <c r="L338">
        <v>136185</v>
      </c>
      <c r="M338">
        <v>136462</v>
      </c>
      <c r="N338">
        <v>136290</v>
      </c>
      <c r="O338">
        <v>135887</v>
      </c>
      <c r="P338">
        <v>135608</v>
      </c>
      <c r="Q338">
        <v>134732</v>
      </c>
      <c r="R338">
        <v>134610</v>
      </c>
    </row>
    <row r="339" spans="1:18">
      <c r="A339">
        <v>44300</v>
      </c>
      <c r="B339" t="s">
        <v>645</v>
      </c>
      <c r="C339" t="s">
        <v>1261</v>
      </c>
      <c r="D339" t="s">
        <v>1254</v>
      </c>
      <c r="E339">
        <v>154160</v>
      </c>
      <c r="F339">
        <v>154698</v>
      </c>
      <c r="G339">
        <v>155163</v>
      </c>
      <c r="H339">
        <v>157255</v>
      </c>
      <c r="I339">
        <v>158365</v>
      </c>
      <c r="J339">
        <v>158863</v>
      </c>
      <c r="K339">
        <v>160149</v>
      </c>
      <c r="L339">
        <v>160067</v>
      </c>
      <c r="M339">
        <v>160067</v>
      </c>
      <c r="N339">
        <v>158940</v>
      </c>
      <c r="O339">
        <v>157979</v>
      </c>
      <c r="P339">
        <v>157984</v>
      </c>
      <c r="Q339">
        <v>157533</v>
      </c>
      <c r="R339">
        <v>157795</v>
      </c>
    </row>
    <row r="340" spans="1:18">
      <c r="A340">
        <v>44420</v>
      </c>
      <c r="B340" t="s">
        <v>646</v>
      </c>
      <c r="C340" t="s">
        <v>1261</v>
      </c>
      <c r="D340" t="s">
        <v>1254</v>
      </c>
      <c r="E340">
        <v>118347</v>
      </c>
      <c r="F340">
        <v>118916</v>
      </c>
      <c r="G340">
        <v>118719</v>
      </c>
      <c r="H340">
        <v>119487</v>
      </c>
      <c r="I340">
        <v>119971</v>
      </c>
      <c r="J340">
        <v>120642</v>
      </c>
      <c r="K340">
        <v>121550</v>
      </c>
      <c r="L340">
        <v>122727</v>
      </c>
      <c r="M340">
        <v>123812</v>
      </c>
      <c r="N340">
        <v>124506</v>
      </c>
      <c r="O340">
        <v>125665</v>
      </c>
      <c r="P340">
        <v>126059</v>
      </c>
      <c r="Q340">
        <v>126678</v>
      </c>
      <c r="R340">
        <v>127344</v>
      </c>
    </row>
    <row r="341" spans="1:18">
      <c r="A341">
        <v>44700</v>
      </c>
      <c r="B341" t="s">
        <v>647</v>
      </c>
      <c r="C341" t="s">
        <v>1261</v>
      </c>
      <c r="D341" t="s">
        <v>1254</v>
      </c>
      <c r="E341">
        <v>687381</v>
      </c>
      <c r="F341">
        <v>695611</v>
      </c>
      <c r="G341">
        <v>701892</v>
      </c>
      <c r="H341">
        <v>705382</v>
      </c>
      <c r="I341">
        <v>716006</v>
      </c>
      <c r="J341">
        <v>727828</v>
      </c>
      <c r="K341">
        <v>739814</v>
      </c>
      <c r="L341">
        <v>751714</v>
      </c>
      <c r="M341">
        <v>762314</v>
      </c>
      <c r="N341">
        <v>772611</v>
      </c>
      <c r="O341">
        <v>780617</v>
      </c>
      <c r="P341">
        <v>788354</v>
      </c>
      <c r="Q341">
        <v>794293</v>
      </c>
      <c r="R341">
        <v>800965</v>
      </c>
    </row>
    <row r="342" spans="1:18">
      <c r="A342">
        <v>44940</v>
      </c>
      <c r="B342" t="s">
        <v>648</v>
      </c>
      <c r="C342" t="s">
        <v>1261</v>
      </c>
      <c r="D342" t="s">
        <v>1254</v>
      </c>
      <c r="E342">
        <v>142470</v>
      </c>
      <c r="F342">
        <v>141595</v>
      </c>
      <c r="G342">
        <v>141501</v>
      </c>
      <c r="H342">
        <v>140999</v>
      </c>
      <c r="I342">
        <v>140564</v>
      </c>
      <c r="J342">
        <v>139619</v>
      </c>
      <c r="K342">
        <v>139438</v>
      </c>
      <c r="L342">
        <v>138244</v>
      </c>
      <c r="M342">
        <v>137567</v>
      </c>
      <c r="N342">
        <v>137393</v>
      </c>
      <c r="O342">
        <v>136317</v>
      </c>
      <c r="P342">
        <v>135815</v>
      </c>
      <c r="Q342">
        <v>134863</v>
      </c>
      <c r="R342">
        <v>135169</v>
      </c>
    </row>
    <row r="343" spans="1:18">
      <c r="A343">
        <v>45060</v>
      </c>
      <c r="B343" t="s">
        <v>649</v>
      </c>
      <c r="C343" t="s">
        <v>1261</v>
      </c>
      <c r="D343" t="s">
        <v>1254</v>
      </c>
      <c r="E343">
        <v>663515</v>
      </c>
      <c r="F343">
        <v>664478</v>
      </c>
      <c r="G343">
        <v>664482</v>
      </c>
      <c r="H343">
        <v>666945</v>
      </c>
      <c r="I343">
        <v>666806</v>
      </c>
      <c r="J343">
        <v>665829</v>
      </c>
      <c r="K343">
        <v>663914</v>
      </c>
      <c r="L343">
        <v>662203</v>
      </c>
      <c r="M343">
        <v>663047</v>
      </c>
      <c r="N343">
        <v>662656</v>
      </c>
      <c r="O343">
        <v>659556</v>
      </c>
      <c r="P343">
        <v>657253</v>
      </c>
      <c r="Q343">
        <v>655021</v>
      </c>
      <c r="R343">
        <v>652956</v>
      </c>
    </row>
    <row r="344" spans="1:18">
      <c r="A344">
        <v>45220</v>
      </c>
      <c r="B344" t="s">
        <v>650</v>
      </c>
      <c r="C344" t="s">
        <v>1261</v>
      </c>
      <c r="D344" t="s">
        <v>1254</v>
      </c>
      <c r="E344">
        <v>369235</v>
      </c>
      <c r="F344">
        <v>370711</v>
      </c>
      <c r="G344">
        <v>374295</v>
      </c>
      <c r="H344">
        <v>371787</v>
      </c>
      <c r="I344">
        <v>373517</v>
      </c>
      <c r="J344">
        <v>375326</v>
      </c>
      <c r="K344">
        <v>375951</v>
      </c>
      <c r="L344">
        <v>379935</v>
      </c>
      <c r="M344">
        <v>380627</v>
      </c>
      <c r="N344">
        <v>383035</v>
      </c>
      <c r="O344">
        <v>385658</v>
      </c>
      <c r="P344">
        <v>388370</v>
      </c>
      <c r="Q344">
        <v>390913</v>
      </c>
      <c r="R344">
        <v>392645</v>
      </c>
    </row>
    <row r="345" spans="1:18">
      <c r="A345">
        <v>45300</v>
      </c>
      <c r="B345" t="s">
        <v>651</v>
      </c>
      <c r="C345" t="s">
        <v>1261</v>
      </c>
      <c r="D345" t="s">
        <v>1254</v>
      </c>
      <c r="E345">
        <v>2787185</v>
      </c>
      <c r="F345">
        <v>2807290</v>
      </c>
      <c r="G345">
        <v>2832694</v>
      </c>
      <c r="H345">
        <v>2864523</v>
      </c>
      <c r="I345">
        <v>2906119</v>
      </c>
      <c r="J345">
        <v>2957181</v>
      </c>
      <c r="K345">
        <v>3017229</v>
      </c>
      <c r="L345">
        <v>3069701</v>
      </c>
      <c r="M345">
        <v>3111847</v>
      </c>
      <c r="N345">
        <v>3147199</v>
      </c>
      <c r="O345">
        <v>3187828</v>
      </c>
      <c r="P345">
        <v>3230074</v>
      </c>
      <c r="Q345">
        <v>3291341</v>
      </c>
      <c r="R345">
        <v>3342963</v>
      </c>
    </row>
    <row r="346" spans="1:18">
      <c r="A346">
        <v>45460</v>
      </c>
      <c r="B346" t="s">
        <v>652</v>
      </c>
      <c r="C346" t="s">
        <v>1261</v>
      </c>
      <c r="D346" t="s">
        <v>1254</v>
      </c>
      <c r="E346">
        <v>189519</v>
      </c>
      <c r="F346">
        <v>189475</v>
      </c>
      <c r="G346">
        <v>189436</v>
      </c>
      <c r="H346">
        <v>188905</v>
      </c>
      <c r="I346">
        <v>188007</v>
      </c>
      <c r="J346">
        <v>187085</v>
      </c>
      <c r="K346">
        <v>186855</v>
      </c>
      <c r="L346">
        <v>186395</v>
      </c>
      <c r="M346">
        <v>186185</v>
      </c>
      <c r="N346">
        <v>185570</v>
      </c>
      <c r="O346">
        <v>184928</v>
      </c>
      <c r="P346">
        <v>185208</v>
      </c>
      <c r="Q346">
        <v>184963</v>
      </c>
      <c r="R346">
        <v>185271</v>
      </c>
    </row>
    <row r="347" spans="1:18">
      <c r="A347">
        <v>45500</v>
      </c>
      <c r="B347" t="s">
        <v>653</v>
      </c>
      <c r="C347" t="s">
        <v>1261</v>
      </c>
      <c r="D347" t="s">
        <v>1254</v>
      </c>
      <c r="E347">
        <v>149310</v>
      </c>
      <c r="F347">
        <v>149378</v>
      </c>
      <c r="G347">
        <v>149352</v>
      </c>
      <c r="H347">
        <v>149132</v>
      </c>
      <c r="I347">
        <v>148741</v>
      </c>
      <c r="J347">
        <v>148650</v>
      </c>
      <c r="K347">
        <v>148864</v>
      </c>
      <c r="L347">
        <v>148756</v>
      </c>
      <c r="M347">
        <v>148491</v>
      </c>
      <c r="N347">
        <v>147875</v>
      </c>
      <c r="O347">
        <v>147485</v>
      </c>
      <c r="P347">
        <v>146749</v>
      </c>
      <c r="Q347">
        <v>146185</v>
      </c>
      <c r="R347">
        <v>145907</v>
      </c>
    </row>
    <row r="348" spans="1:18">
      <c r="A348">
        <v>45540</v>
      </c>
      <c r="B348" t="s">
        <v>654</v>
      </c>
      <c r="C348" t="s">
        <v>1261</v>
      </c>
      <c r="D348" t="s">
        <v>1254</v>
      </c>
      <c r="E348">
        <v>94149</v>
      </c>
      <c r="F348">
        <v>97300</v>
      </c>
      <c r="G348">
        <v>100399</v>
      </c>
      <c r="H348">
        <v>104970</v>
      </c>
      <c r="I348">
        <v>109601</v>
      </c>
      <c r="J348">
        <v>113691</v>
      </c>
      <c r="K348">
        <v>117868</v>
      </c>
      <c r="L348">
        <v>120106</v>
      </c>
      <c r="M348">
        <v>123269</v>
      </c>
      <c r="N348">
        <v>126746</v>
      </c>
      <c r="O348">
        <v>130290</v>
      </c>
      <c r="P348">
        <v>134870</v>
      </c>
      <c r="Q348">
        <v>144767</v>
      </c>
      <c r="R348">
        <v>151565</v>
      </c>
    </row>
    <row r="349" spans="1:18">
      <c r="A349">
        <v>45780</v>
      </c>
      <c r="B349" t="s">
        <v>655</v>
      </c>
      <c r="C349" t="s">
        <v>1261</v>
      </c>
      <c r="D349" t="s">
        <v>1254</v>
      </c>
      <c r="E349">
        <v>651502</v>
      </c>
      <c r="F349">
        <v>650793</v>
      </c>
      <c r="G349">
        <v>649883</v>
      </c>
      <c r="H349">
        <v>650011</v>
      </c>
      <c r="I349">
        <v>649325</v>
      </c>
      <c r="J349">
        <v>648575</v>
      </c>
      <c r="K349">
        <v>648629</v>
      </c>
      <c r="L349">
        <v>648038</v>
      </c>
      <c r="M349">
        <v>647337</v>
      </c>
      <c r="N349">
        <v>646770</v>
      </c>
      <c r="O349">
        <v>646057</v>
      </c>
      <c r="P349">
        <v>642457</v>
      </c>
      <c r="Q349">
        <v>640487</v>
      </c>
      <c r="R349">
        <v>639944</v>
      </c>
    </row>
    <row r="350" spans="1:18">
      <c r="A350">
        <v>45820</v>
      </c>
      <c r="B350" t="s">
        <v>656</v>
      </c>
      <c r="C350" t="s">
        <v>1261</v>
      </c>
      <c r="D350" t="s">
        <v>1254</v>
      </c>
      <c r="E350">
        <v>234314</v>
      </c>
      <c r="F350">
        <v>234956</v>
      </c>
      <c r="G350">
        <v>234873</v>
      </c>
      <c r="H350">
        <v>234522</v>
      </c>
      <c r="I350">
        <v>234613</v>
      </c>
      <c r="J350">
        <v>234623</v>
      </c>
      <c r="K350">
        <v>234442</v>
      </c>
      <c r="L350">
        <v>234449</v>
      </c>
      <c r="M350">
        <v>233814</v>
      </c>
      <c r="N350">
        <v>233650</v>
      </c>
      <c r="O350">
        <v>232903</v>
      </c>
      <c r="P350">
        <v>232817</v>
      </c>
      <c r="Q350">
        <v>231897</v>
      </c>
      <c r="R350">
        <v>232322</v>
      </c>
    </row>
    <row r="351" spans="1:18">
      <c r="A351">
        <v>45940</v>
      </c>
      <c r="B351" t="s">
        <v>657</v>
      </c>
      <c r="C351" t="s">
        <v>1261</v>
      </c>
      <c r="D351" t="s">
        <v>1254</v>
      </c>
      <c r="E351">
        <v>368192</v>
      </c>
      <c r="F351">
        <v>369792</v>
      </c>
      <c r="G351">
        <v>372950</v>
      </c>
      <c r="H351">
        <v>375805</v>
      </c>
      <c r="I351">
        <v>377236</v>
      </c>
      <c r="J351">
        <v>378400</v>
      </c>
      <c r="K351">
        <v>380010</v>
      </c>
      <c r="L351">
        <v>382551</v>
      </c>
      <c r="M351">
        <v>384767</v>
      </c>
      <c r="N351">
        <v>386045</v>
      </c>
      <c r="O351">
        <v>386466</v>
      </c>
      <c r="P351">
        <v>382172</v>
      </c>
      <c r="Q351">
        <v>380779</v>
      </c>
      <c r="R351">
        <v>381671</v>
      </c>
    </row>
    <row r="352" spans="1:18">
      <c r="A352">
        <v>46060</v>
      </c>
      <c r="B352" t="s">
        <v>658</v>
      </c>
      <c r="C352" t="s">
        <v>1261</v>
      </c>
      <c r="D352" t="s">
        <v>1254</v>
      </c>
      <c r="E352">
        <v>981270</v>
      </c>
      <c r="F352">
        <v>986581</v>
      </c>
      <c r="G352">
        <v>989750</v>
      </c>
      <c r="H352">
        <v>992319</v>
      </c>
      <c r="I352">
        <v>997883</v>
      </c>
      <c r="J352">
        <v>1001271</v>
      </c>
      <c r="K352">
        <v>1007258</v>
      </c>
      <c r="L352">
        <v>1015666</v>
      </c>
      <c r="M352">
        <v>1024650</v>
      </c>
      <c r="N352">
        <v>1034482</v>
      </c>
      <c r="O352">
        <v>1045175</v>
      </c>
      <c r="P352">
        <v>1048914</v>
      </c>
      <c r="Q352">
        <v>1057476</v>
      </c>
      <c r="R352">
        <v>1063162</v>
      </c>
    </row>
    <row r="353" spans="1:18">
      <c r="A353">
        <v>46140</v>
      </c>
      <c r="B353" t="s">
        <v>659</v>
      </c>
      <c r="C353" t="s">
        <v>1261</v>
      </c>
      <c r="D353" t="s">
        <v>1254</v>
      </c>
      <c r="E353">
        <v>940111</v>
      </c>
      <c r="F353">
        <v>947092</v>
      </c>
      <c r="G353">
        <v>954892</v>
      </c>
      <c r="H353">
        <v>965395</v>
      </c>
      <c r="I353">
        <v>973986</v>
      </c>
      <c r="J353">
        <v>986572</v>
      </c>
      <c r="K353">
        <v>995361</v>
      </c>
      <c r="L353">
        <v>998996</v>
      </c>
      <c r="M353">
        <v>1002232</v>
      </c>
      <c r="N353">
        <v>1008509</v>
      </c>
      <c r="O353">
        <v>1017350</v>
      </c>
      <c r="P353">
        <v>1025813</v>
      </c>
      <c r="Q353">
        <v>1034048</v>
      </c>
      <c r="R353">
        <v>1044757</v>
      </c>
    </row>
    <row r="354" spans="1:18">
      <c r="A354">
        <v>46220</v>
      </c>
      <c r="B354" t="s">
        <v>660</v>
      </c>
      <c r="C354" t="s">
        <v>1261</v>
      </c>
      <c r="D354" t="s">
        <v>1254</v>
      </c>
      <c r="E354">
        <v>239830</v>
      </c>
      <c r="F354">
        <v>242130</v>
      </c>
      <c r="G354">
        <v>245561</v>
      </c>
      <c r="H354">
        <v>249115</v>
      </c>
      <c r="I354">
        <v>253251</v>
      </c>
      <c r="J354">
        <v>256895</v>
      </c>
      <c r="K354">
        <v>259612</v>
      </c>
      <c r="L354">
        <v>261980</v>
      </c>
      <c r="M354">
        <v>263910</v>
      </c>
      <c r="N354">
        <v>267072</v>
      </c>
      <c r="O354">
        <v>272988</v>
      </c>
      <c r="P354">
        <v>276628</v>
      </c>
      <c r="Q354">
        <v>277490</v>
      </c>
      <c r="R354">
        <v>278290</v>
      </c>
    </row>
    <row r="355" spans="1:18">
      <c r="A355">
        <v>46300</v>
      </c>
      <c r="B355" t="s">
        <v>661</v>
      </c>
      <c r="C355" t="s">
        <v>1261</v>
      </c>
      <c r="D355" t="s">
        <v>1254</v>
      </c>
      <c r="E355">
        <v>100017</v>
      </c>
      <c r="F355">
        <v>100789</v>
      </c>
      <c r="G355">
        <v>101437</v>
      </c>
      <c r="H355">
        <v>103122</v>
      </c>
      <c r="I355">
        <v>104523</v>
      </c>
      <c r="J355">
        <v>105988</v>
      </c>
      <c r="K355">
        <v>108175</v>
      </c>
      <c r="L355">
        <v>110282</v>
      </c>
      <c r="M355">
        <v>111458</v>
      </c>
      <c r="N355">
        <v>112983</v>
      </c>
      <c r="O355">
        <v>114642</v>
      </c>
      <c r="P355">
        <v>117132</v>
      </c>
      <c r="Q355">
        <v>119065</v>
      </c>
      <c r="R355">
        <v>120635</v>
      </c>
    </row>
    <row r="356" spans="1:18">
      <c r="A356">
        <v>46340</v>
      </c>
      <c r="B356" t="s">
        <v>662</v>
      </c>
      <c r="C356" t="s">
        <v>1261</v>
      </c>
      <c r="D356" t="s">
        <v>1254</v>
      </c>
      <c r="E356">
        <v>210371</v>
      </c>
      <c r="F356">
        <v>212584</v>
      </c>
      <c r="G356">
        <v>214483</v>
      </c>
      <c r="H356">
        <v>216002</v>
      </c>
      <c r="I356">
        <v>219016</v>
      </c>
      <c r="J356">
        <v>221620</v>
      </c>
      <c r="K356">
        <v>224176</v>
      </c>
      <c r="L356">
        <v>225978</v>
      </c>
      <c r="M356">
        <v>228497</v>
      </c>
      <c r="N356">
        <v>231360</v>
      </c>
      <c r="O356">
        <v>234199</v>
      </c>
      <c r="P356">
        <v>237182</v>
      </c>
      <c r="Q356">
        <v>241995</v>
      </c>
      <c r="R356">
        <v>245209</v>
      </c>
    </row>
    <row r="357" spans="1:18">
      <c r="A357">
        <v>46520</v>
      </c>
      <c r="B357" t="s">
        <v>663</v>
      </c>
      <c r="C357" t="s">
        <v>1261</v>
      </c>
      <c r="D357" t="s">
        <v>1254</v>
      </c>
      <c r="E357">
        <v>957482</v>
      </c>
      <c r="F357">
        <v>973408</v>
      </c>
      <c r="G357">
        <v>989064</v>
      </c>
      <c r="H357">
        <v>1002219</v>
      </c>
      <c r="I357">
        <v>1008682</v>
      </c>
      <c r="J357">
        <v>1017472</v>
      </c>
      <c r="K357">
        <v>1023837</v>
      </c>
      <c r="L357">
        <v>1022650</v>
      </c>
      <c r="M357">
        <v>1021634</v>
      </c>
      <c r="N357">
        <v>1018784</v>
      </c>
      <c r="O357">
        <v>1012399</v>
      </c>
      <c r="P357">
        <v>1004163</v>
      </c>
      <c r="Q357">
        <v>994828</v>
      </c>
      <c r="R357">
        <v>989408</v>
      </c>
    </row>
    <row r="358" spans="1:18">
      <c r="A358">
        <v>46540</v>
      </c>
      <c r="B358" t="s">
        <v>664</v>
      </c>
      <c r="C358" t="s">
        <v>1261</v>
      </c>
      <c r="D358" t="s">
        <v>1254</v>
      </c>
      <c r="E358">
        <v>299316</v>
      </c>
      <c r="F358">
        <v>299083</v>
      </c>
      <c r="G358">
        <v>298847</v>
      </c>
      <c r="H358">
        <v>298458</v>
      </c>
      <c r="I358">
        <v>297583</v>
      </c>
      <c r="J358">
        <v>295877</v>
      </c>
      <c r="K358">
        <v>295057</v>
      </c>
      <c r="L358">
        <v>294784</v>
      </c>
      <c r="M358">
        <v>294167</v>
      </c>
      <c r="N358">
        <v>292926</v>
      </c>
      <c r="O358">
        <v>291119</v>
      </c>
      <c r="P358">
        <v>289643</v>
      </c>
      <c r="Q358">
        <v>287942</v>
      </c>
      <c r="R358">
        <v>287039</v>
      </c>
    </row>
    <row r="359" spans="1:18">
      <c r="A359">
        <v>46660</v>
      </c>
      <c r="B359" t="s">
        <v>665</v>
      </c>
      <c r="C359" t="s">
        <v>1261</v>
      </c>
      <c r="D359" t="s">
        <v>1254</v>
      </c>
      <c r="E359">
        <v>140064</v>
      </c>
      <c r="F359">
        <v>142027</v>
      </c>
      <c r="G359">
        <v>144146</v>
      </c>
      <c r="H359">
        <v>142976</v>
      </c>
      <c r="I359">
        <v>143470</v>
      </c>
      <c r="J359">
        <v>143380</v>
      </c>
      <c r="K359">
        <v>144470</v>
      </c>
      <c r="L359">
        <v>145368</v>
      </c>
      <c r="M359">
        <v>146103</v>
      </c>
      <c r="N359">
        <v>147507</v>
      </c>
      <c r="O359">
        <v>148338</v>
      </c>
      <c r="P359">
        <v>148941</v>
      </c>
      <c r="Q359">
        <v>149646</v>
      </c>
      <c r="R359">
        <v>151118</v>
      </c>
    </row>
    <row r="360" spans="1:18">
      <c r="A360">
        <v>46700</v>
      </c>
      <c r="B360" t="s">
        <v>666</v>
      </c>
      <c r="C360" t="s">
        <v>1261</v>
      </c>
      <c r="D360" t="s">
        <v>1254</v>
      </c>
      <c r="E360">
        <v>414102</v>
      </c>
      <c r="F360">
        <v>417025</v>
      </c>
      <c r="G360">
        <v>420918</v>
      </c>
      <c r="H360">
        <v>425491</v>
      </c>
      <c r="I360">
        <v>431431</v>
      </c>
      <c r="J360">
        <v>436450</v>
      </c>
      <c r="K360">
        <v>442544</v>
      </c>
      <c r="L360">
        <v>447909</v>
      </c>
      <c r="M360">
        <v>450921</v>
      </c>
      <c r="N360">
        <v>453051</v>
      </c>
      <c r="O360">
        <v>452723</v>
      </c>
      <c r="P360">
        <v>450653</v>
      </c>
      <c r="Q360">
        <v>448885</v>
      </c>
      <c r="R360">
        <v>449218</v>
      </c>
    </row>
    <row r="361" spans="1:18">
      <c r="A361">
        <v>47020</v>
      </c>
      <c r="B361" t="s">
        <v>667</v>
      </c>
      <c r="C361" t="s">
        <v>1261</v>
      </c>
      <c r="D361" t="s">
        <v>1254</v>
      </c>
      <c r="E361">
        <v>94072</v>
      </c>
      <c r="F361">
        <v>94616</v>
      </c>
      <c r="G361">
        <v>96173</v>
      </c>
      <c r="H361">
        <v>97118</v>
      </c>
      <c r="I361">
        <v>98004</v>
      </c>
      <c r="J361">
        <v>98972</v>
      </c>
      <c r="K361">
        <v>99135</v>
      </c>
      <c r="L361">
        <v>98636</v>
      </c>
      <c r="M361">
        <v>98350</v>
      </c>
      <c r="N361">
        <v>98434</v>
      </c>
      <c r="O361">
        <v>98331</v>
      </c>
      <c r="P361">
        <v>98029</v>
      </c>
      <c r="Q361">
        <v>98194</v>
      </c>
      <c r="R361">
        <v>98808</v>
      </c>
    </row>
    <row r="362" spans="1:18">
      <c r="A362">
        <v>47220</v>
      </c>
      <c r="B362" t="s">
        <v>668</v>
      </c>
      <c r="C362" t="s">
        <v>1261</v>
      </c>
      <c r="D362" t="s">
        <v>1254</v>
      </c>
      <c r="E362">
        <v>156845</v>
      </c>
      <c r="F362">
        <v>157926</v>
      </c>
      <c r="G362">
        <v>158482</v>
      </c>
      <c r="H362">
        <v>158240</v>
      </c>
      <c r="I362">
        <v>158937</v>
      </c>
      <c r="J362">
        <v>158321</v>
      </c>
      <c r="K362">
        <v>157420</v>
      </c>
      <c r="L362">
        <v>156217</v>
      </c>
      <c r="M362">
        <v>156020</v>
      </c>
      <c r="N362">
        <v>155394</v>
      </c>
      <c r="O362">
        <v>153719</v>
      </c>
      <c r="P362">
        <v>152083</v>
      </c>
      <c r="Q362">
        <v>151347</v>
      </c>
      <c r="R362">
        <v>152326</v>
      </c>
    </row>
    <row r="363" spans="1:18">
      <c r="A363">
        <v>47260</v>
      </c>
      <c r="B363" t="s">
        <v>669</v>
      </c>
      <c r="C363" t="s">
        <v>1261</v>
      </c>
      <c r="D363" t="s">
        <v>1254</v>
      </c>
      <c r="E363">
        <v>1717604</v>
      </c>
      <c r="F363">
        <v>1726032</v>
      </c>
      <c r="G363">
        <v>1739260</v>
      </c>
      <c r="H363">
        <v>1748819</v>
      </c>
      <c r="I363">
        <v>1760700</v>
      </c>
      <c r="J363">
        <v>1768411</v>
      </c>
      <c r="K363">
        <v>1773651</v>
      </c>
      <c r="L363">
        <v>1778159</v>
      </c>
      <c r="M363">
        <v>1783825</v>
      </c>
      <c r="N363">
        <v>1792551</v>
      </c>
      <c r="O363">
        <v>1801260</v>
      </c>
      <c r="P363">
        <v>1805174</v>
      </c>
      <c r="Q363">
        <v>1805036</v>
      </c>
      <c r="R363">
        <v>1806890</v>
      </c>
    </row>
    <row r="364" spans="1:18">
      <c r="A364">
        <v>47300</v>
      </c>
      <c r="B364" t="s">
        <v>670</v>
      </c>
      <c r="C364" t="s">
        <v>1261</v>
      </c>
      <c r="D364" t="s">
        <v>1254</v>
      </c>
      <c r="E364">
        <v>443066</v>
      </c>
      <c r="F364">
        <v>447277</v>
      </c>
      <c r="G364">
        <v>450656</v>
      </c>
      <c r="H364">
        <v>453758</v>
      </c>
      <c r="I364">
        <v>456831</v>
      </c>
      <c r="J364">
        <v>459243</v>
      </c>
      <c r="K364">
        <v>461926</v>
      </c>
      <c r="L364">
        <v>465503</v>
      </c>
      <c r="M364">
        <v>468208</v>
      </c>
      <c r="N364">
        <v>470173</v>
      </c>
      <c r="O364">
        <v>473914</v>
      </c>
      <c r="P364">
        <v>477176</v>
      </c>
      <c r="Q364">
        <v>477884</v>
      </c>
      <c r="R364">
        <v>479468</v>
      </c>
    </row>
    <row r="365" spans="1:18">
      <c r="A365">
        <v>47380</v>
      </c>
      <c r="B365" t="s">
        <v>671</v>
      </c>
      <c r="C365" t="s">
        <v>1261</v>
      </c>
      <c r="D365" t="s">
        <v>1254</v>
      </c>
      <c r="E365">
        <v>253821</v>
      </c>
      <c r="F365">
        <v>255812</v>
      </c>
      <c r="G365">
        <v>257142</v>
      </c>
      <c r="H365">
        <v>258986</v>
      </c>
      <c r="I365">
        <v>260780</v>
      </c>
      <c r="J365">
        <v>263166</v>
      </c>
      <c r="K365">
        <v>265424</v>
      </c>
      <c r="L365">
        <v>269651</v>
      </c>
      <c r="M365">
        <v>272201</v>
      </c>
      <c r="N365">
        <v>275230</v>
      </c>
      <c r="O365">
        <v>278153</v>
      </c>
      <c r="P365">
        <v>280834</v>
      </c>
      <c r="Q365">
        <v>283118</v>
      </c>
      <c r="R365">
        <v>285869</v>
      </c>
    </row>
    <row r="366" spans="1:18">
      <c r="A366">
        <v>47460</v>
      </c>
      <c r="B366" t="s">
        <v>672</v>
      </c>
      <c r="C366" t="s">
        <v>1261</v>
      </c>
      <c r="D366" t="s">
        <v>1254</v>
      </c>
      <c r="E366">
        <v>58945</v>
      </c>
      <c r="F366">
        <v>59604</v>
      </c>
      <c r="G366">
        <v>59616</v>
      </c>
      <c r="H366">
        <v>59784</v>
      </c>
      <c r="I366">
        <v>60069</v>
      </c>
      <c r="J366">
        <v>60619</v>
      </c>
      <c r="K366">
        <v>60888</v>
      </c>
      <c r="L366">
        <v>61592</v>
      </c>
      <c r="M366">
        <v>61815</v>
      </c>
      <c r="N366">
        <v>62231</v>
      </c>
      <c r="O366">
        <v>62623</v>
      </c>
      <c r="P366">
        <v>62211</v>
      </c>
      <c r="Q366">
        <v>61853</v>
      </c>
      <c r="R366">
        <v>61568</v>
      </c>
    </row>
    <row r="367" spans="1:18">
      <c r="A367">
        <v>47580</v>
      </c>
      <c r="B367" t="s">
        <v>673</v>
      </c>
      <c r="C367" t="s">
        <v>1261</v>
      </c>
      <c r="D367" t="s">
        <v>1254</v>
      </c>
      <c r="E367">
        <v>168609</v>
      </c>
      <c r="F367">
        <v>172052</v>
      </c>
      <c r="G367">
        <v>174492</v>
      </c>
      <c r="H367">
        <v>176001</v>
      </c>
      <c r="I367">
        <v>177448</v>
      </c>
      <c r="J367">
        <v>178433</v>
      </c>
      <c r="K367">
        <v>180835</v>
      </c>
      <c r="L367">
        <v>182792</v>
      </c>
      <c r="M367">
        <v>185876</v>
      </c>
      <c r="N367">
        <v>188877</v>
      </c>
      <c r="O367">
        <v>192392</v>
      </c>
      <c r="P367">
        <v>195473</v>
      </c>
      <c r="Q367">
        <v>198261</v>
      </c>
      <c r="R367">
        <v>200779</v>
      </c>
    </row>
    <row r="368" spans="1:18">
      <c r="A368">
        <v>47900</v>
      </c>
      <c r="B368" t="s">
        <v>674</v>
      </c>
      <c r="C368" t="s">
        <v>1261</v>
      </c>
      <c r="D368" t="s">
        <v>1254</v>
      </c>
      <c r="E368">
        <v>5680206</v>
      </c>
      <c r="F368">
        <v>5791182</v>
      </c>
      <c r="G368">
        <v>5894831</v>
      </c>
      <c r="H368">
        <v>5986151</v>
      </c>
      <c r="I368">
        <v>6062230</v>
      </c>
      <c r="J368">
        <v>6131237</v>
      </c>
      <c r="K368">
        <v>6193671</v>
      </c>
      <c r="L368">
        <v>6262402</v>
      </c>
      <c r="M368">
        <v>6307186</v>
      </c>
      <c r="N368">
        <v>6354713</v>
      </c>
      <c r="O368">
        <v>6367087</v>
      </c>
      <c r="P368">
        <v>6366739</v>
      </c>
      <c r="Q368">
        <v>6374458</v>
      </c>
      <c r="R368">
        <v>6413831</v>
      </c>
    </row>
    <row r="369" spans="1:18">
      <c r="A369">
        <v>47940</v>
      </c>
      <c r="B369" t="s">
        <v>675</v>
      </c>
      <c r="C369" t="s">
        <v>1261</v>
      </c>
      <c r="D369" t="s">
        <v>1254</v>
      </c>
      <c r="E369">
        <v>167926</v>
      </c>
      <c r="F369">
        <v>168467</v>
      </c>
      <c r="G369">
        <v>168853</v>
      </c>
      <c r="H369">
        <v>169909</v>
      </c>
      <c r="I369">
        <v>170526</v>
      </c>
      <c r="J369">
        <v>170956</v>
      </c>
      <c r="K369">
        <v>170282</v>
      </c>
      <c r="L369">
        <v>169479</v>
      </c>
      <c r="M369">
        <v>169107</v>
      </c>
      <c r="N369">
        <v>168532</v>
      </c>
      <c r="O369">
        <v>168388</v>
      </c>
      <c r="P369">
        <v>168052</v>
      </c>
      <c r="Q369">
        <v>167661</v>
      </c>
      <c r="R369">
        <v>168162</v>
      </c>
    </row>
    <row r="370" spans="1:18">
      <c r="A370">
        <v>48060</v>
      </c>
      <c r="B370" t="s">
        <v>676</v>
      </c>
      <c r="C370" t="s">
        <v>1261</v>
      </c>
      <c r="D370" t="s">
        <v>1254</v>
      </c>
      <c r="E370">
        <v>116816</v>
      </c>
      <c r="F370">
        <v>118863</v>
      </c>
      <c r="G370">
        <v>122278</v>
      </c>
      <c r="H370">
        <v>121389</v>
      </c>
      <c r="I370">
        <v>121738</v>
      </c>
      <c r="J370">
        <v>120958</v>
      </c>
      <c r="K370">
        <v>118410</v>
      </c>
      <c r="L370">
        <v>119470</v>
      </c>
      <c r="M370">
        <v>119026</v>
      </c>
      <c r="N370">
        <v>117606</v>
      </c>
      <c r="O370">
        <v>116069</v>
      </c>
      <c r="P370">
        <v>116902</v>
      </c>
      <c r="Q370">
        <v>115461</v>
      </c>
      <c r="R370">
        <v>114787</v>
      </c>
    </row>
    <row r="371" spans="1:18">
      <c r="A371">
        <v>48140</v>
      </c>
      <c r="B371" t="s">
        <v>677</v>
      </c>
      <c r="C371" t="s">
        <v>1261</v>
      </c>
      <c r="D371" t="s">
        <v>1254</v>
      </c>
      <c r="E371">
        <v>162919</v>
      </c>
      <c r="F371">
        <v>163251</v>
      </c>
      <c r="G371">
        <v>163601</v>
      </c>
      <c r="H371">
        <v>164240</v>
      </c>
      <c r="I371">
        <v>164622</v>
      </c>
      <c r="J371">
        <v>164883</v>
      </c>
      <c r="K371">
        <v>164948</v>
      </c>
      <c r="L371">
        <v>165559</v>
      </c>
      <c r="M371">
        <v>165764</v>
      </c>
      <c r="N371">
        <v>166210</v>
      </c>
      <c r="O371">
        <v>166504</v>
      </c>
      <c r="P371">
        <v>166212</v>
      </c>
      <c r="Q371">
        <v>166310</v>
      </c>
      <c r="R371">
        <v>167017</v>
      </c>
    </row>
    <row r="372" spans="1:18">
      <c r="A372">
        <v>48260</v>
      </c>
      <c r="B372" t="s">
        <v>678</v>
      </c>
      <c r="C372" t="s">
        <v>1261</v>
      </c>
      <c r="D372" t="s">
        <v>1254</v>
      </c>
      <c r="E372">
        <v>124366</v>
      </c>
      <c r="F372">
        <v>123694</v>
      </c>
      <c r="G372">
        <v>123053</v>
      </c>
      <c r="H372">
        <v>122692</v>
      </c>
      <c r="I372">
        <v>122228</v>
      </c>
      <c r="J372">
        <v>121555</v>
      </c>
      <c r="K372">
        <v>120265</v>
      </c>
      <c r="L372">
        <v>119271</v>
      </c>
      <c r="M372">
        <v>118307</v>
      </c>
      <c r="N372">
        <v>117578</v>
      </c>
      <c r="O372">
        <v>116692</v>
      </c>
      <c r="P372">
        <v>115748</v>
      </c>
      <c r="Q372">
        <v>114221</v>
      </c>
      <c r="R372">
        <v>113544</v>
      </c>
    </row>
    <row r="373" spans="1:18">
      <c r="A373">
        <v>48300</v>
      </c>
      <c r="B373" t="s">
        <v>679</v>
      </c>
      <c r="C373" t="s">
        <v>1261</v>
      </c>
      <c r="D373" t="s">
        <v>1254</v>
      </c>
      <c r="E373">
        <v>111284</v>
      </c>
      <c r="F373">
        <v>112000</v>
      </c>
      <c r="G373">
        <v>112891</v>
      </c>
      <c r="H373">
        <v>113433</v>
      </c>
      <c r="I373">
        <v>114307</v>
      </c>
      <c r="J373">
        <v>116094</v>
      </c>
      <c r="K373">
        <v>117774</v>
      </c>
      <c r="L373">
        <v>118937</v>
      </c>
      <c r="M373">
        <v>119998</v>
      </c>
      <c r="N373">
        <v>121276</v>
      </c>
      <c r="O373">
        <v>122267</v>
      </c>
      <c r="P373">
        <v>123615</v>
      </c>
      <c r="Q373">
        <v>124261</v>
      </c>
      <c r="R373">
        <v>124795</v>
      </c>
    </row>
    <row r="374" spans="1:18">
      <c r="A374">
        <v>48540</v>
      </c>
      <c r="B374" t="s">
        <v>680</v>
      </c>
      <c r="C374" t="s">
        <v>1261</v>
      </c>
      <c r="D374" t="s">
        <v>1254</v>
      </c>
      <c r="E374">
        <v>147951</v>
      </c>
      <c r="F374">
        <v>147513</v>
      </c>
      <c r="G374">
        <v>146984</v>
      </c>
      <c r="H374">
        <v>146594</v>
      </c>
      <c r="I374">
        <v>145814</v>
      </c>
      <c r="J374">
        <v>145202</v>
      </c>
      <c r="K374">
        <v>144158</v>
      </c>
      <c r="L374">
        <v>142691</v>
      </c>
      <c r="M374">
        <v>141633</v>
      </c>
      <c r="N374">
        <v>140788</v>
      </c>
      <c r="O374">
        <v>139127</v>
      </c>
      <c r="P374">
        <v>137909</v>
      </c>
      <c r="Q374">
        <v>136625</v>
      </c>
      <c r="R374">
        <v>135517</v>
      </c>
    </row>
    <row r="375" spans="1:18">
      <c r="A375">
        <v>48620</v>
      </c>
      <c r="B375" t="s">
        <v>681</v>
      </c>
      <c r="C375" t="s">
        <v>1261</v>
      </c>
      <c r="D375" t="s">
        <v>1254</v>
      </c>
      <c r="E375">
        <v>624001</v>
      </c>
      <c r="F375">
        <v>625899</v>
      </c>
      <c r="G375">
        <v>629172</v>
      </c>
      <c r="H375">
        <v>631841</v>
      </c>
      <c r="I375">
        <v>634729</v>
      </c>
      <c r="J375">
        <v>637932</v>
      </c>
      <c r="K375">
        <v>640603</v>
      </c>
      <c r="L375">
        <v>640908</v>
      </c>
      <c r="M375">
        <v>641487</v>
      </c>
      <c r="N375">
        <v>644752</v>
      </c>
      <c r="O375">
        <v>648526</v>
      </c>
      <c r="P375">
        <v>648514</v>
      </c>
      <c r="Q375">
        <v>649687</v>
      </c>
      <c r="R375">
        <v>652939</v>
      </c>
    </row>
    <row r="376" spans="1:18">
      <c r="A376">
        <v>48660</v>
      </c>
      <c r="B376" t="s">
        <v>682</v>
      </c>
      <c r="C376" t="s">
        <v>1261</v>
      </c>
      <c r="D376" t="s">
        <v>1254</v>
      </c>
      <c r="E376">
        <v>151557</v>
      </c>
      <c r="F376">
        <v>149834</v>
      </c>
      <c r="G376">
        <v>150178</v>
      </c>
      <c r="H376">
        <v>150206</v>
      </c>
      <c r="I376">
        <v>150231</v>
      </c>
      <c r="J376">
        <v>148086</v>
      </c>
      <c r="K376">
        <v>147939</v>
      </c>
      <c r="L376">
        <v>148185</v>
      </c>
      <c r="M376">
        <v>147955</v>
      </c>
      <c r="N376">
        <v>147771</v>
      </c>
      <c r="O376">
        <v>148433</v>
      </c>
      <c r="P376">
        <v>149086</v>
      </c>
      <c r="Q376">
        <v>149568</v>
      </c>
      <c r="R376">
        <v>149947</v>
      </c>
    </row>
    <row r="377" spans="1:18">
      <c r="A377">
        <v>48700</v>
      </c>
      <c r="B377" t="s">
        <v>683</v>
      </c>
      <c r="C377" t="s">
        <v>1261</v>
      </c>
      <c r="D377" t="s">
        <v>1254</v>
      </c>
      <c r="E377">
        <v>116236</v>
      </c>
      <c r="F377">
        <v>116853</v>
      </c>
      <c r="G377">
        <v>117428</v>
      </c>
      <c r="H377">
        <v>116900</v>
      </c>
      <c r="I377">
        <v>116688</v>
      </c>
      <c r="J377">
        <v>116083</v>
      </c>
      <c r="K377">
        <v>115476</v>
      </c>
      <c r="L377">
        <v>114742</v>
      </c>
      <c r="M377">
        <v>114853</v>
      </c>
      <c r="N377">
        <v>114336</v>
      </c>
      <c r="O377">
        <v>114125</v>
      </c>
      <c r="P377">
        <v>113561</v>
      </c>
      <c r="Q377">
        <v>113034</v>
      </c>
      <c r="R377">
        <v>112724</v>
      </c>
    </row>
    <row r="378" spans="1:18">
      <c r="A378">
        <v>48900</v>
      </c>
      <c r="B378" t="s">
        <v>684</v>
      </c>
      <c r="C378" t="s">
        <v>1261</v>
      </c>
      <c r="D378" t="s">
        <v>1254</v>
      </c>
      <c r="E378">
        <v>255407</v>
      </c>
      <c r="F378">
        <v>257649</v>
      </c>
      <c r="G378">
        <v>260038</v>
      </c>
      <c r="H378">
        <v>263702</v>
      </c>
      <c r="I378">
        <v>266550</v>
      </c>
      <c r="J378">
        <v>270164</v>
      </c>
      <c r="K378">
        <v>275310</v>
      </c>
      <c r="L378">
        <v>279645</v>
      </c>
      <c r="M378">
        <v>283102</v>
      </c>
      <c r="N378">
        <v>284206</v>
      </c>
      <c r="O378">
        <v>286965</v>
      </c>
      <c r="P378">
        <v>293039</v>
      </c>
      <c r="Q378">
        <v>301482</v>
      </c>
      <c r="R378">
        <v>307373</v>
      </c>
    </row>
    <row r="379" spans="1:18">
      <c r="A379">
        <v>49020</v>
      </c>
      <c r="B379" t="s">
        <v>685</v>
      </c>
      <c r="C379" t="s">
        <v>1261</v>
      </c>
      <c r="D379" t="s">
        <v>1254</v>
      </c>
      <c r="E379">
        <v>128659</v>
      </c>
      <c r="F379">
        <v>130055</v>
      </c>
      <c r="G379">
        <v>131104</v>
      </c>
      <c r="H379">
        <v>132559</v>
      </c>
      <c r="I379">
        <v>133905</v>
      </c>
      <c r="J379">
        <v>134766</v>
      </c>
      <c r="K379">
        <v>136366</v>
      </c>
      <c r="L379">
        <v>138728</v>
      </c>
      <c r="M379">
        <v>140355</v>
      </c>
      <c r="N379">
        <v>141533</v>
      </c>
      <c r="O379">
        <v>142984</v>
      </c>
      <c r="P379">
        <v>145411</v>
      </c>
      <c r="Q379">
        <v>146126</v>
      </c>
      <c r="R379">
        <v>147260</v>
      </c>
    </row>
    <row r="380" spans="1:18">
      <c r="A380">
        <v>49180</v>
      </c>
      <c r="B380" t="s">
        <v>686</v>
      </c>
      <c r="C380" t="s">
        <v>1261</v>
      </c>
      <c r="D380" t="s">
        <v>1254</v>
      </c>
      <c r="E380">
        <v>641171</v>
      </c>
      <c r="F380">
        <v>643949</v>
      </c>
      <c r="G380">
        <v>646238</v>
      </c>
      <c r="H380">
        <v>649106</v>
      </c>
      <c r="I380">
        <v>652182</v>
      </c>
      <c r="J380">
        <v>654916</v>
      </c>
      <c r="K380">
        <v>659470</v>
      </c>
      <c r="L380">
        <v>664684</v>
      </c>
      <c r="M380">
        <v>668646</v>
      </c>
      <c r="N380">
        <v>673189</v>
      </c>
      <c r="O380">
        <v>677134</v>
      </c>
      <c r="P380">
        <v>682646</v>
      </c>
      <c r="Q380">
        <v>688799</v>
      </c>
      <c r="R380">
        <v>695630</v>
      </c>
    </row>
    <row r="381" spans="1:18">
      <c r="A381">
        <v>49340</v>
      </c>
      <c r="B381" t="s">
        <v>687</v>
      </c>
      <c r="C381" t="s">
        <v>1261</v>
      </c>
      <c r="D381" t="s">
        <v>1254</v>
      </c>
      <c r="E381">
        <v>919702</v>
      </c>
      <c r="F381">
        <v>926241</v>
      </c>
      <c r="G381">
        <v>931896</v>
      </c>
      <c r="H381">
        <v>938589</v>
      </c>
      <c r="I381">
        <v>945756</v>
      </c>
      <c r="J381">
        <v>951448</v>
      </c>
      <c r="K381">
        <v>956319</v>
      </c>
      <c r="L381">
        <v>965148</v>
      </c>
      <c r="M381">
        <v>972147</v>
      </c>
      <c r="N381">
        <v>975790</v>
      </c>
      <c r="O381">
        <v>975399</v>
      </c>
      <c r="P381">
        <v>978387</v>
      </c>
      <c r="Q381">
        <v>979529</v>
      </c>
      <c r="R381">
        <v>983982</v>
      </c>
    </row>
    <row r="382" spans="1:18">
      <c r="A382">
        <v>49420</v>
      </c>
      <c r="B382" t="s">
        <v>688</v>
      </c>
      <c r="C382" t="s">
        <v>1261</v>
      </c>
      <c r="D382" t="s">
        <v>1254</v>
      </c>
      <c r="E382">
        <v>244360</v>
      </c>
      <c r="F382">
        <v>246457</v>
      </c>
      <c r="G382">
        <v>247072</v>
      </c>
      <c r="H382">
        <v>247853</v>
      </c>
      <c r="I382">
        <v>248660</v>
      </c>
      <c r="J382">
        <v>250020</v>
      </c>
      <c r="K382">
        <v>252180</v>
      </c>
      <c r="L382">
        <v>253166</v>
      </c>
      <c r="M382">
        <v>254420</v>
      </c>
      <c r="N382">
        <v>255815</v>
      </c>
      <c r="O382">
        <v>256733</v>
      </c>
      <c r="P382">
        <v>256719</v>
      </c>
      <c r="Q382">
        <v>257019</v>
      </c>
      <c r="R382">
        <v>256643</v>
      </c>
    </row>
    <row r="383" spans="1:18">
      <c r="A383">
        <v>49620</v>
      </c>
      <c r="B383" t="s">
        <v>689</v>
      </c>
      <c r="C383" t="s">
        <v>1261</v>
      </c>
      <c r="D383" t="s">
        <v>1254</v>
      </c>
      <c r="E383">
        <v>435566</v>
      </c>
      <c r="F383">
        <v>437481</v>
      </c>
      <c r="G383">
        <v>438872</v>
      </c>
      <c r="H383">
        <v>440954</v>
      </c>
      <c r="I383">
        <v>443127</v>
      </c>
      <c r="J383">
        <v>445022</v>
      </c>
      <c r="K383">
        <v>447735</v>
      </c>
      <c r="L383">
        <v>450261</v>
      </c>
      <c r="M383">
        <v>453380</v>
      </c>
      <c r="N383">
        <v>454912</v>
      </c>
      <c r="O383">
        <v>456720</v>
      </c>
      <c r="P383">
        <v>459183</v>
      </c>
      <c r="Q383">
        <v>461049</v>
      </c>
      <c r="R383">
        <v>464640</v>
      </c>
    </row>
    <row r="384" spans="1:18">
      <c r="A384">
        <v>49660</v>
      </c>
      <c r="B384" t="s">
        <v>690</v>
      </c>
      <c r="C384" t="s">
        <v>1261</v>
      </c>
      <c r="D384" t="s">
        <v>1254</v>
      </c>
      <c r="E384">
        <v>564978</v>
      </c>
      <c r="F384">
        <v>563424</v>
      </c>
      <c r="G384">
        <v>560540</v>
      </c>
      <c r="H384">
        <v>558798</v>
      </c>
      <c r="I384">
        <v>556915</v>
      </c>
      <c r="J384">
        <v>553591</v>
      </c>
      <c r="K384">
        <v>550063</v>
      </c>
      <c r="L384">
        <v>547497</v>
      </c>
      <c r="M384">
        <v>545030</v>
      </c>
      <c r="N384">
        <v>542582</v>
      </c>
      <c r="O384">
        <v>540240</v>
      </c>
      <c r="P384">
        <v>538059</v>
      </c>
      <c r="Q384">
        <v>535785</v>
      </c>
      <c r="R384">
        <v>534472</v>
      </c>
    </row>
    <row r="385" spans="1:18">
      <c r="A385">
        <v>49700</v>
      </c>
      <c r="B385" t="s">
        <v>691</v>
      </c>
      <c r="C385" t="s">
        <v>1261</v>
      </c>
      <c r="D385" t="s">
        <v>1254</v>
      </c>
      <c r="E385">
        <v>167196</v>
      </c>
      <c r="F385">
        <v>167497</v>
      </c>
      <c r="G385">
        <v>167918</v>
      </c>
      <c r="H385">
        <v>168982</v>
      </c>
      <c r="I385">
        <v>170146</v>
      </c>
      <c r="J385">
        <v>171626</v>
      </c>
      <c r="K385">
        <v>173529</v>
      </c>
      <c r="L385">
        <v>176069</v>
      </c>
      <c r="M385">
        <v>177586</v>
      </c>
      <c r="N385">
        <v>179785</v>
      </c>
      <c r="O385">
        <v>181437</v>
      </c>
      <c r="P385">
        <v>182379</v>
      </c>
      <c r="Q385">
        <v>182922</v>
      </c>
      <c r="R385">
        <v>183670</v>
      </c>
    </row>
    <row r="386" spans="1:18">
      <c r="A386">
        <v>49740</v>
      </c>
      <c r="B386" t="s">
        <v>692</v>
      </c>
      <c r="C386" t="s">
        <v>1261</v>
      </c>
      <c r="D386" t="s">
        <v>1254</v>
      </c>
      <c r="E386">
        <v>196839</v>
      </c>
      <c r="F386">
        <v>201291</v>
      </c>
      <c r="G386">
        <v>199666</v>
      </c>
      <c r="H386">
        <v>198339</v>
      </c>
      <c r="I386">
        <v>198670</v>
      </c>
      <c r="J386">
        <v>198510</v>
      </c>
      <c r="K386">
        <v>199165</v>
      </c>
      <c r="L386">
        <v>199915</v>
      </c>
      <c r="M386">
        <v>200572</v>
      </c>
      <c r="N386">
        <v>202099</v>
      </c>
      <c r="O386">
        <v>205659</v>
      </c>
      <c r="P386">
        <v>207284</v>
      </c>
      <c r="Q386">
        <v>208874</v>
      </c>
      <c r="R386">
        <v>213221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A3FF-623D-4473-88B4-4852F480237B}">
  <dimension ref="A1:R544"/>
  <sheetViews>
    <sheetView workbookViewId="0"/>
  </sheetViews>
  <sheetFormatPr baseColWidth="10" defaultColWidth="8.83203125" defaultRowHeight="15"/>
  <cols>
    <col min="2" max="2" width="24.5" customWidth="1"/>
  </cols>
  <sheetData>
    <row r="1" spans="1:18">
      <c r="A1" s="6" t="s">
        <v>2</v>
      </c>
      <c r="B1" s="2" t="s">
        <v>297</v>
      </c>
      <c r="C1" s="2" t="s">
        <v>1262</v>
      </c>
      <c r="D1" s="2" t="s">
        <v>1251</v>
      </c>
      <c r="E1" s="2" t="s">
        <v>1263</v>
      </c>
      <c r="F1" s="2" t="s">
        <v>1252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  <c r="L1" s="2" t="s">
        <v>303</v>
      </c>
      <c r="M1" s="2" t="s">
        <v>304</v>
      </c>
      <c r="N1" s="2" t="s">
        <v>305</v>
      </c>
      <c r="O1" s="2" t="s">
        <v>306</v>
      </c>
      <c r="P1" s="2" t="s">
        <v>307</v>
      </c>
      <c r="Q1" s="2" t="s">
        <v>1253</v>
      </c>
      <c r="R1" s="2" t="s">
        <v>1264</v>
      </c>
    </row>
    <row r="2" spans="1:18">
      <c r="A2">
        <v>10100</v>
      </c>
      <c r="B2" t="s">
        <v>693</v>
      </c>
      <c r="C2" t="s">
        <v>1261</v>
      </c>
      <c r="D2" t="s">
        <v>1254</v>
      </c>
      <c r="E2">
        <v>40715</v>
      </c>
      <c r="F2">
        <v>40940</v>
      </c>
      <c r="G2">
        <v>41526</v>
      </c>
      <c r="H2">
        <v>42080</v>
      </c>
      <c r="I2">
        <v>42123</v>
      </c>
      <c r="J2">
        <v>42275</v>
      </c>
      <c r="K2">
        <v>42626</v>
      </c>
      <c r="L2">
        <v>43011</v>
      </c>
      <c r="M2">
        <v>42686</v>
      </c>
      <c r="N2">
        <v>42436</v>
      </c>
      <c r="O2">
        <v>42213</v>
      </c>
      <c r="P2">
        <v>42151</v>
      </c>
      <c r="Q2">
        <v>41972</v>
      </c>
      <c r="R2">
        <v>41790</v>
      </c>
    </row>
    <row r="3" spans="1:18">
      <c r="A3">
        <v>10140</v>
      </c>
      <c r="B3" t="s">
        <v>694</v>
      </c>
      <c r="C3" t="s">
        <v>1261</v>
      </c>
      <c r="D3" t="s">
        <v>1254</v>
      </c>
      <c r="E3">
        <v>72847</v>
      </c>
      <c r="F3">
        <v>72361</v>
      </c>
      <c r="G3">
        <v>71761</v>
      </c>
      <c r="H3">
        <v>71025</v>
      </c>
      <c r="I3">
        <v>70751</v>
      </c>
      <c r="J3">
        <v>70971</v>
      </c>
      <c r="K3">
        <v>71489</v>
      </c>
      <c r="L3">
        <v>72430</v>
      </c>
      <c r="M3">
        <v>73697</v>
      </c>
      <c r="N3">
        <v>74944</v>
      </c>
      <c r="O3">
        <v>75855</v>
      </c>
      <c r="P3">
        <v>76838</v>
      </c>
      <c r="Q3">
        <v>77041</v>
      </c>
      <c r="R3">
        <v>77290</v>
      </c>
    </row>
    <row r="4" spans="1:18">
      <c r="A4">
        <v>10220</v>
      </c>
      <c r="B4" t="s">
        <v>695</v>
      </c>
      <c r="C4" t="s">
        <v>1261</v>
      </c>
      <c r="D4" t="s">
        <v>1254</v>
      </c>
      <c r="E4">
        <v>37587</v>
      </c>
      <c r="F4">
        <v>37718</v>
      </c>
      <c r="G4">
        <v>38001</v>
      </c>
      <c r="H4">
        <v>38070</v>
      </c>
      <c r="I4">
        <v>38169</v>
      </c>
      <c r="J4">
        <v>38188</v>
      </c>
      <c r="K4">
        <v>38311</v>
      </c>
      <c r="L4">
        <v>38130</v>
      </c>
      <c r="M4">
        <v>38077</v>
      </c>
      <c r="N4">
        <v>38067</v>
      </c>
      <c r="O4">
        <v>38095</v>
      </c>
      <c r="P4">
        <v>38184</v>
      </c>
      <c r="Q4">
        <v>38032</v>
      </c>
      <c r="R4">
        <v>38396</v>
      </c>
    </row>
    <row r="5" spans="1:18">
      <c r="A5">
        <v>10300</v>
      </c>
      <c r="B5" t="s">
        <v>696</v>
      </c>
      <c r="C5" t="s">
        <v>1261</v>
      </c>
      <c r="D5" t="s">
        <v>1254</v>
      </c>
      <c r="E5">
        <v>99678</v>
      </c>
      <c r="F5">
        <v>99545</v>
      </c>
      <c r="G5">
        <v>99356</v>
      </c>
      <c r="H5">
        <v>99304</v>
      </c>
      <c r="I5">
        <v>99368</v>
      </c>
      <c r="J5">
        <v>99164</v>
      </c>
      <c r="K5">
        <v>99470</v>
      </c>
      <c r="L5">
        <v>99526</v>
      </c>
      <c r="M5">
        <v>99268</v>
      </c>
      <c r="N5">
        <v>99816</v>
      </c>
      <c r="O5">
        <v>99325</v>
      </c>
      <c r="P5">
        <v>99100</v>
      </c>
      <c r="Q5">
        <v>98280</v>
      </c>
      <c r="R5">
        <v>97520</v>
      </c>
    </row>
    <row r="6" spans="1:18">
      <c r="A6">
        <v>10460</v>
      </c>
      <c r="B6" t="s">
        <v>697</v>
      </c>
      <c r="C6" t="s">
        <v>1261</v>
      </c>
      <c r="D6" t="s">
        <v>1254</v>
      </c>
      <c r="E6">
        <v>64404</v>
      </c>
      <c r="F6">
        <v>65650</v>
      </c>
      <c r="G6">
        <v>66223</v>
      </c>
      <c r="H6">
        <v>66321</v>
      </c>
      <c r="I6">
        <v>65359</v>
      </c>
      <c r="J6">
        <v>64792</v>
      </c>
      <c r="K6">
        <v>65669</v>
      </c>
      <c r="L6">
        <v>66097</v>
      </c>
      <c r="M6">
        <v>66528</v>
      </c>
      <c r="N6">
        <v>67489</v>
      </c>
      <c r="O6">
        <v>67862</v>
      </c>
      <c r="P6">
        <v>68486</v>
      </c>
      <c r="Q6">
        <v>68517</v>
      </c>
      <c r="R6">
        <v>68835</v>
      </c>
    </row>
    <row r="7" spans="1:18">
      <c r="A7">
        <v>10620</v>
      </c>
      <c r="B7" t="s">
        <v>698</v>
      </c>
      <c r="C7" t="s">
        <v>1261</v>
      </c>
      <c r="D7" t="s">
        <v>1254</v>
      </c>
      <c r="E7">
        <v>60564</v>
      </c>
      <c r="F7">
        <v>60464</v>
      </c>
      <c r="G7">
        <v>60341</v>
      </c>
      <c r="H7">
        <v>60455</v>
      </c>
      <c r="I7">
        <v>60383</v>
      </c>
      <c r="J7">
        <v>60326</v>
      </c>
      <c r="K7">
        <v>60467</v>
      </c>
      <c r="L7">
        <v>61028</v>
      </c>
      <c r="M7">
        <v>61578</v>
      </c>
      <c r="N7">
        <v>62073</v>
      </c>
      <c r="O7">
        <v>62642</v>
      </c>
      <c r="P7">
        <v>63100</v>
      </c>
      <c r="Q7">
        <v>64231</v>
      </c>
      <c r="R7">
        <v>65699</v>
      </c>
    </row>
    <row r="8" spans="1:18">
      <c r="A8">
        <v>10660</v>
      </c>
      <c r="B8" t="s">
        <v>699</v>
      </c>
      <c r="C8" t="s">
        <v>1261</v>
      </c>
      <c r="D8" t="s">
        <v>1254</v>
      </c>
      <c r="E8">
        <v>31216</v>
      </c>
      <c r="F8">
        <v>31135</v>
      </c>
      <c r="G8">
        <v>31144</v>
      </c>
      <c r="H8">
        <v>31095</v>
      </c>
      <c r="I8">
        <v>30964</v>
      </c>
      <c r="J8">
        <v>30791</v>
      </c>
      <c r="K8">
        <v>30764</v>
      </c>
      <c r="L8">
        <v>30961</v>
      </c>
      <c r="M8">
        <v>30981</v>
      </c>
      <c r="N8">
        <v>30863</v>
      </c>
      <c r="O8">
        <v>30896</v>
      </c>
      <c r="P8">
        <v>30803</v>
      </c>
      <c r="Q8">
        <v>30683</v>
      </c>
      <c r="R8">
        <v>30515</v>
      </c>
    </row>
    <row r="9" spans="1:18">
      <c r="A9">
        <v>10700</v>
      </c>
      <c r="B9" t="s">
        <v>700</v>
      </c>
      <c r="C9" t="s">
        <v>1261</v>
      </c>
      <c r="D9" t="s">
        <v>1254</v>
      </c>
      <c r="E9">
        <v>93136</v>
      </c>
      <c r="F9">
        <v>93984</v>
      </c>
      <c r="G9">
        <v>94416</v>
      </c>
      <c r="H9">
        <v>94575</v>
      </c>
      <c r="I9">
        <v>94544</v>
      </c>
      <c r="J9">
        <v>94935</v>
      </c>
      <c r="K9">
        <v>95535</v>
      </c>
      <c r="L9">
        <v>96066</v>
      </c>
      <c r="M9">
        <v>96774</v>
      </c>
      <c r="N9">
        <v>97362</v>
      </c>
      <c r="O9">
        <v>97702</v>
      </c>
      <c r="P9">
        <v>98286</v>
      </c>
      <c r="Q9">
        <v>99428</v>
      </c>
      <c r="R9">
        <v>100756</v>
      </c>
    </row>
    <row r="10" spans="1:18">
      <c r="A10">
        <v>10760</v>
      </c>
      <c r="B10" t="s">
        <v>701</v>
      </c>
      <c r="C10" t="s">
        <v>1261</v>
      </c>
      <c r="D10" t="s">
        <v>1254</v>
      </c>
      <c r="E10">
        <v>53280</v>
      </c>
      <c r="F10">
        <v>53004</v>
      </c>
      <c r="G10">
        <v>52595</v>
      </c>
      <c r="H10">
        <v>52568</v>
      </c>
      <c r="I10">
        <v>52297</v>
      </c>
      <c r="J10">
        <v>52007</v>
      </c>
      <c r="K10">
        <v>51950</v>
      </c>
      <c r="L10">
        <v>51964</v>
      </c>
      <c r="M10">
        <v>51870</v>
      </c>
      <c r="N10">
        <v>51794</v>
      </c>
      <c r="O10">
        <v>51619</v>
      </c>
      <c r="P10">
        <v>51413</v>
      </c>
      <c r="Q10">
        <v>51220</v>
      </c>
      <c r="R10">
        <v>50945</v>
      </c>
    </row>
    <row r="11" spans="1:18">
      <c r="A11">
        <v>10820</v>
      </c>
      <c r="B11" t="s">
        <v>702</v>
      </c>
      <c r="C11" t="s">
        <v>1261</v>
      </c>
      <c r="D11" t="s">
        <v>1254</v>
      </c>
      <c r="E11">
        <v>36007</v>
      </c>
      <c r="F11">
        <v>36273</v>
      </c>
      <c r="G11">
        <v>36455</v>
      </c>
      <c r="H11">
        <v>36578</v>
      </c>
      <c r="I11">
        <v>36880</v>
      </c>
      <c r="J11">
        <v>37170</v>
      </c>
      <c r="K11">
        <v>37612</v>
      </c>
      <c r="L11">
        <v>38076</v>
      </c>
      <c r="M11">
        <v>38596</v>
      </c>
      <c r="N11">
        <v>38755</v>
      </c>
      <c r="O11">
        <v>39087</v>
      </c>
      <c r="P11">
        <v>39298</v>
      </c>
      <c r="Q11">
        <v>39684</v>
      </c>
      <c r="R11">
        <v>39953</v>
      </c>
    </row>
    <row r="12" spans="1:18">
      <c r="A12">
        <v>10860</v>
      </c>
      <c r="B12" t="s">
        <v>703</v>
      </c>
      <c r="C12" t="s">
        <v>1261</v>
      </c>
      <c r="D12" t="s">
        <v>1254</v>
      </c>
      <c r="E12">
        <v>52544</v>
      </c>
      <c r="F12">
        <v>52646</v>
      </c>
      <c r="G12">
        <v>52562</v>
      </c>
      <c r="H12">
        <v>52298</v>
      </c>
      <c r="I12">
        <v>51753</v>
      </c>
      <c r="J12">
        <v>51312</v>
      </c>
      <c r="K12">
        <v>50789</v>
      </c>
      <c r="L12">
        <v>50097</v>
      </c>
      <c r="M12">
        <v>49564</v>
      </c>
      <c r="N12">
        <v>49083</v>
      </c>
      <c r="O12">
        <v>48689</v>
      </c>
      <c r="P12">
        <v>48891</v>
      </c>
      <c r="Q12">
        <v>48435</v>
      </c>
      <c r="R12">
        <v>48266</v>
      </c>
    </row>
    <row r="13" spans="1:18">
      <c r="A13">
        <v>10940</v>
      </c>
      <c r="B13" t="s">
        <v>704</v>
      </c>
      <c r="C13" t="s">
        <v>1261</v>
      </c>
      <c r="D13" t="s">
        <v>1254</v>
      </c>
      <c r="E13">
        <v>42466</v>
      </c>
      <c r="F13">
        <v>42295</v>
      </c>
      <c r="G13">
        <v>42288</v>
      </c>
      <c r="H13">
        <v>42390</v>
      </c>
      <c r="I13">
        <v>42054</v>
      </c>
      <c r="J13">
        <v>42056</v>
      </c>
      <c r="K13">
        <v>41792</v>
      </c>
      <c r="L13">
        <v>41972</v>
      </c>
      <c r="M13">
        <v>41703</v>
      </c>
      <c r="N13">
        <v>41943</v>
      </c>
      <c r="O13">
        <v>41683</v>
      </c>
      <c r="P13">
        <v>41286</v>
      </c>
      <c r="Q13">
        <v>41104</v>
      </c>
      <c r="R13">
        <v>41368</v>
      </c>
    </row>
    <row r="14" spans="1:18">
      <c r="A14">
        <v>10980</v>
      </c>
      <c r="B14" t="s">
        <v>705</v>
      </c>
      <c r="C14" t="s">
        <v>1261</v>
      </c>
      <c r="D14" t="s">
        <v>1254</v>
      </c>
      <c r="E14">
        <v>29527</v>
      </c>
      <c r="F14">
        <v>29423</v>
      </c>
      <c r="G14">
        <v>29313</v>
      </c>
      <c r="H14">
        <v>29172</v>
      </c>
      <c r="I14">
        <v>29159</v>
      </c>
      <c r="J14">
        <v>29062</v>
      </c>
      <c r="K14">
        <v>29068</v>
      </c>
      <c r="L14">
        <v>28892</v>
      </c>
      <c r="M14">
        <v>28943</v>
      </c>
      <c r="N14">
        <v>28976</v>
      </c>
      <c r="O14">
        <v>28886</v>
      </c>
      <c r="P14">
        <v>28939</v>
      </c>
      <c r="Q14">
        <v>28833</v>
      </c>
      <c r="R14">
        <v>28904</v>
      </c>
    </row>
    <row r="15" spans="1:18">
      <c r="A15">
        <v>11060</v>
      </c>
      <c r="B15" t="s">
        <v>706</v>
      </c>
      <c r="C15" t="s">
        <v>1261</v>
      </c>
      <c r="D15" t="s">
        <v>1254</v>
      </c>
      <c r="E15">
        <v>26497</v>
      </c>
      <c r="F15">
        <v>26481</v>
      </c>
      <c r="G15">
        <v>26331</v>
      </c>
      <c r="H15">
        <v>26291</v>
      </c>
      <c r="I15">
        <v>26028</v>
      </c>
      <c r="J15">
        <v>25698</v>
      </c>
      <c r="K15">
        <v>25765</v>
      </c>
      <c r="L15">
        <v>25437</v>
      </c>
      <c r="M15">
        <v>25047</v>
      </c>
      <c r="N15">
        <v>24819</v>
      </c>
      <c r="O15">
        <v>24747</v>
      </c>
      <c r="P15">
        <v>24744</v>
      </c>
      <c r="Q15">
        <v>24659</v>
      </c>
      <c r="R15">
        <v>24669</v>
      </c>
    </row>
    <row r="16" spans="1:18">
      <c r="A16">
        <v>11140</v>
      </c>
      <c r="B16" t="s">
        <v>707</v>
      </c>
      <c r="C16" t="s">
        <v>1261</v>
      </c>
      <c r="D16" t="s">
        <v>1254</v>
      </c>
      <c r="E16">
        <v>37620</v>
      </c>
      <c r="F16">
        <v>36992</v>
      </c>
      <c r="G16">
        <v>36451</v>
      </c>
      <c r="H16">
        <v>36240</v>
      </c>
      <c r="I16">
        <v>36117</v>
      </c>
      <c r="J16">
        <v>35633</v>
      </c>
      <c r="K16">
        <v>35277</v>
      </c>
      <c r="L16">
        <v>34795</v>
      </c>
      <c r="M16">
        <v>34611</v>
      </c>
      <c r="N16">
        <v>34299</v>
      </c>
      <c r="O16">
        <v>34056</v>
      </c>
      <c r="P16">
        <v>33467</v>
      </c>
      <c r="Q16">
        <v>33361</v>
      </c>
      <c r="R16">
        <v>33416</v>
      </c>
    </row>
    <row r="17" spans="1:18">
      <c r="A17">
        <v>11220</v>
      </c>
      <c r="B17" t="s">
        <v>708</v>
      </c>
      <c r="C17" t="s">
        <v>1261</v>
      </c>
      <c r="D17" t="s">
        <v>1254</v>
      </c>
      <c r="E17">
        <v>50321</v>
      </c>
      <c r="F17">
        <v>49959</v>
      </c>
      <c r="G17">
        <v>49907</v>
      </c>
      <c r="H17">
        <v>49856</v>
      </c>
      <c r="I17">
        <v>49820</v>
      </c>
      <c r="J17">
        <v>49736</v>
      </c>
      <c r="K17">
        <v>49429</v>
      </c>
      <c r="L17">
        <v>49420</v>
      </c>
      <c r="M17">
        <v>49752</v>
      </c>
      <c r="N17">
        <v>49635</v>
      </c>
      <c r="O17">
        <v>49485</v>
      </c>
      <c r="P17">
        <v>49482</v>
      </c>
      <c r="Q17">
        <v>49333</v>
      </c>
      <c r="R17">
        <v>49368</v>
      </c>
    </row>
    <row r="18" spans="1:18">
      <c r="A18">
        <v>11380</v>
      </c>
      <c r="B18" t="s">
        <v>709</v>
      </c>
      <c r="C18" t="s">
        <v>1261</v>
      </c>
      <c r="D18" t="s">
        <v>1254</v>
      </c>
      <c r="E18">
        <v>14844</v>
      </c>
      <c r="F18">
        <v>15361</v>
      </c>
      <c r="G18">
        <v>16053</v>
      </c>
      <c r="H18">
        <v>16699</v>
      </c>
      <c r="I18">
        <v>17322</v>
      </c>
      <c r="J18">
        <v>17928</v>
      </c>
      <c r="K18">
        <v>17622</v>
      </c>
      <c r="L18">
        <v>17424</v>
      </c>
      <c r="M18">
        <v>17858</v>
      </c>
      <c r="N18">
        <v>18581</v>
      </c>
      <c r="O18">
        <v>18612</v>
      </c>
      <c r="P18">
        <v>18411</v>
      </c>
      <c r="Q18">
        <v>18324</v>
      </c>
      <c r="R18">
        <v>18664</v>
      </c>
    </row>
    <row r="19" spans="1:18">
      <c r="A19">
        <v>11420</v>
      </c>
      <c r="B19" t="s">
        <v>710</v>
      </c>
      <c r="C19" t="s">
        <v>1261</v>
      </c>
      <c r="D19" t="s">
        <v>1254</v>
      </c>
      <c r="E19">
        <v>34102</v>
      </c>
      <c r="F19">
        <v>34030</v>
      </c>
      <c r="G19">
        <v>34088</v>
      </c>
      <c r="H19">
        <v>34267</v>
      </c>
      <c r="I19">
        <v>34354</v>
      </c>
      <c r="J19">
        <v>34301</v>
      </c>
      <c r="K19">
        <v>34149</v>
      </c>
      <c r="L19">
        <v>34163</v>
      </c>
      <c r="M19">
        <v>34273</v>
      </c>
      <c r="N19">
        <v>34424</v>
      </c>
      <c r="O19">
        <v>34441</v>
      </c>
      <c r="P19">
        <v>34702</v>
      </c>
      <c r="Q19">
        <v>34772</v>
      </c>
      <c r="R19">
        <v>34917</v>
      </c>
    </row>
    <row r="20" spans="1:18">
      <c r="A20">
        <v>11580</v>
      </c>
      <c r="B20" t="s">
        <v>711</v>
      </c>
      <c r="C20" t="s">
        <v>1261</v>
      </c>
      <c r="D20" t="s">
        <v>1254</v>
      </c>
      <c r="E20">
        <v>34831</v>
      </c>
      <c r="F20">
        <v>34333</v>
      </c>
      <c r="G20">
        <v>34077</v>
      </c>
      <c r="H20">
        <v>33578</v>
      </c>
      <c r="I20">
        <v>33589</v>
      </c>
      <c r="J20">
        <v>33484</v>
      </c>
      <c r="K20">
        <v>33628</v>
      </c>
      <c r="L20">
        <v>34084</v>
      </c>
      <c r="M20">
        <v>33652</v>
      </c>
      <c r="N20">
        <v>33877</v>
      </c>
      <c r="O20">
        <v>34086</v>
      </c>
      <c r="P20">
        <v>34333</v>
      </c>
      <c r="Q20">
        <v>35320</v>
      </c>
      <c r="R20">
        <v>35979</v>
      </c>
    </row>
    <row r="21" spans="1:18">
      <c r="A21">
        <v>11620</v>
      </c>
      <c r="B21" t="s">
        <v>712</v>
      </c>
      <c r="C21" t="s">
        <v>1261</v>
      </c>
      <c r="D21" t="s">
        <v>1254</v>
      </c>
      <c r="E21">
        <v>57213</v>
      </c>
      <c r="F21">
        <v>57406</v>
      </c>
      <c r="G21">
        <v>57516</v>
      </c>
      <c r="H21">
        <v>58050</v>
      </c>
      <c r="I21">
        <v>58174</v>
      </c>
      <c r="J21">
        <v>58192</v>
      </c>
      <c r="K21">
        <v>58282</v>
      </c>
      <c r="L21">
        <v>58164</v>
      </c>
      <c r="M21">
        <v>58113</v>
      </c>
      <c r="N21">
        <v>58116</v>
      </c>
      <c r="O21">
        <v>58200</v>
      </c>
      <c r="P21">
        <v>58491</v>
      </c>
      <c r="Q21">
        <v>58510</v>
      </c>
      <c r="R21">
        <v>58892</v>
      </c>
    </row>
    <row r="22" spans="1:18">
      <c r="A22">
        <v>11660</v>
      </c>
      <c r="B22" t="s">
        <v>713</v>
      </c>
      <c r="C22" t="s">
        <v>1261</v>
      </c>
      <c r="D22" t="s">
        <v>1254</v>
      </c>
      <c r="E22">
        <v>22909</v>
      </c>
      <c r="F22">
        <v>22843</v>
      </c>
      <c r="G22">
        <v>22599</v>
      </c>
      <c r="H22">
        <v>22358</v>
      </c>
      <c r="I22">
        <v>22262</v>
      </c>
      <c r="J22">
        <v>22147</v>
      </c>
      <c r="K22">
        <v>22178</v>
      </c>
      <c r="L22">
        <v>21704</v>
      </c>
      <c r="M22">
        <v>21752</v>
      </c>
      <c r="N22">
        <v>21686</v>
      </c>
      <c r="O22">
        <v>21385</v>
      </c>
      <c r="P22">
        <v>21244</v>
      </c>
      <c r="Q22">
        <v>21276</v>
      </c>
      <c r="R22">
        <v>21274</v>
      </c>
    </row>
    <row r="23" spans="1:18">
      <c r="A23">
        <v>11740</v>
      </c>
      <c r="B23" t="s">
        <v>714</v>
      </c>
      <c r="C23" t="s">
        <v>1261</v>
      </c>
      <c r="D23" t="s">
        <v>1254</v>
      </c>
      <c r="E23">
        <v>53295</v>
      </c>
      <c r="F23">
        <v>53142</v>
      </c>
      <c r="G23">
        <v>53041</v>
      </c>
      <c r="H23">
        <v>52870</v>
      </c>
      <c r="I23">
        <v>52786</v>
      </c>
      <c r="J23">
        <v>52843</v>
      </c>
      <c r="K23">
        <v>52921</v>
      </c>
      <c r="L23">
        <v>53015</v>
      </c>
      <c r="M23">
        <v>52979</v>
      </c>
      <c r="N23">
        <v>52584</v>
      </c>
      <c r="O23">
        <v>52470</v>
      </c>
      <c r="P23">
        <v>52183</v>
      </c>
      <c r="Q23">
        <v>52024</v>
      </c>
      <c r="R23">
        <v>52190</v>
      </c>
    </row>
    <row r="24" spans="1:18">
      <c r="A24">
        <v>11780</v>
      </c>
      <c r="B24" t="s">
        <v>715</v>
      </c>
      <c r="C24" t="s">
        <v>1261</v>
      </c>
      <c r="D24" t="s">
        <v>1254</v>
      </c>
      <c r="E24">
        <v>101435</v>
      </c>
      <c r="F24">
        <v>101218</v>
      </c>
      <c r="G24">
        <v>100486</v>
      </c>
      <c r="H24">
        <v>100084</v>
      </c>
      <c r="I24">
        <v>99460</v>
      </c>
      <c r="J24">
        <v>98930</v>
      </c>
      <c r="K24">
        <v>98751</v>
      </c>
      <c r="L24">
        <v>98444</v>
      </c>
      <c r="M24">
        <v>98298</v>
      </c>
      <c r="N24">
        <v>97938</v>
      </c>
      <c r="O24">
        <v>97495</v>
      </c>
      <c r="P24">
        <v>97439</v>
      </c>
      <c r="Q24">
        <v>96960</v>
      </c>
      <c r="R24">
        <v>96845</v>
      </c>
    </row>
    <row r="25" spans="1:18">
      <c r="A25">
        <v>11820</v>
      </c>
      <c r="B25" t="s">
        <v>716</v>
      </c>
      <c r="C25" t="s">
        <v>1261</v>
      </c>
      <c r="D25" t="s">
        <v>1254</v>
      </c>
      <c r="E25">
        <v>37112</v>
      </c>
      <c r="F25">
        <v>37314</v>
      </c>
      <c r="G25">
        <v>37568</v>
      </c>
      <c r="H25">
        <v>37334</v>
      </c>
      <c r="I25">
        <v>37743</v>
      </c>
      <c r="J25">
        <v>38163</v>
      </c>
      <c r="K25">
        <v>39117</v>
      </c>
      <c r="L25">
        <v>39638</v>
      </c>
      <c r="M25">
        <v>40254</v>
      </c>
      <c r="N25">
        <v>40803</v>
      </c>
      <c r="O25">
        <v>41162</v>
      </c>
      <c r="P25">
        <v>41932</v>
      </c>
      <c r="Q25">
        <v>41652</v>
      </c>
      <c r="R25">
        <v>41102</v>
      </c>
    </row>
    <row r="26" spans="1:18">
      <c r="A26">
        <v>11860</v>
      </c>
      <c r="B26" t="s">
        <v>717</v>
      </c>
      <c r="C26" t="s">
        <v>1261</v>
      </c>
      <c r="D26" t="s">
        <v>1254</v>
      </c>
      <c r="E26">
        <v>16862</v>
      </c>
      <c r="F26">
        <v>16794</v>
      </c>
      <c r="G26">
        <v>16846</v>
      </c>
      <c r="H26">
        <v>16793</v>
      </c>
      <c r="I26">
        <v>16659</v>
      </c>
      <c r="J26">
        <v>16583</v>
      </c>
      <c r="K26">
        <v>16559</v>
      </c>
      <c r="L26">
        <v>16531</v>
      </c>
      <c r="M26">
        <v>16444</v>
      </c>
      <c r="N26">
        <v>16408</v>
      </c>
      <c r="O26">
        <v>16328</v>
      </c>
      <c r="P26">
        <v>16236</v>
      </c>
      <c r="Q26">
        <v>16053</v>
      </c>
      <c r="R26">
        <v>16016</v>
      </c>
    </row>
    <row r="27" spans="1:18">
      <c r="A27">
        <v>11900</v>
      </c>
      <c r="B27" t="s">
        <v>718</v>
      </c>
      <c r="C27" t="s">
        <v>1261</v>
      </c>
      <c r="D27" t="s">
        <v>1254</v>
      </c>
      <c r="E27">
        <v>65098</v>
      </c>
      <c r="F27">
        <v>64708</v>
      </c>
      <c r="G27">
        <v>63946</v>
      </c>
      <c r="H27">
        <v>63639</v>
      </c>
      <c r="I27">
        <v>63538</v>
      </c>
      <c r="J27">
        <v>64327</v>
      </c>
      <c r="K27">
        <v>64461</v>
      </c>
      <c r="L27">
        <v>64337</v>
      </c>
      <c r="M27">
        <v>63154</v>
      </c>
      <c r="N27">
        <v>62768</v>
      </c>
      <c r="O27">
        <v>62393</v>
      </c>
      <c r="P27">
        <v>59096</v>
      </c>
      <c r="Q27">
        <v>60881</v>
      </c>
      <c r="R27">
        <v>62706</v>
      </c>
    </row>
    <row r="28" spans="1:18">
      <c r="A28">
        <v>11940</v>
      </c>
      <c r="B28" t="s">
        <v>719</v>
      </c>
      <c r="C28" t="s">
        <v>1261</v>
      </c>
      <c r="D28" t="s">
        <v>1254</v>
      </c>
      <c r="E28">
        <v>52153</v>
      </c>
      <c r="F28">
        <v>52234</v>
      </c>
      <c r="G28">
        <v>52260</v>
      </c>
      <c r="H28">
        <v>52175</v>
      </c>
      <c r="I28">
        <v>52340</v>
      </c>
      <c r="J28">
        <v>52090</v>
      </c>
      <c r="K28">
        <v>52183</v>
      </c>
      <c r="L28">
        <v>52318</v>
      </c>
      <c r="M28">
        <v>52640</v>
      </c>
      <c r="N28">
        <v>53029</v>
      </c>
      <c r="O28">
        <v>53343</v>
      </c>
      <c r="P28">
        <v>53921</v>
      </c>
      <c r="Q28">
        <v>54695</v>
      </c>
      <c r="R28">
        <v>55678</v>
      </c>
    </row>
    <row r="29" spans="1:18">
      <c r="A29">
        <v>11980</v>
      </c>
      <c r="B29" t="s">
        <v>720</v>
      </c>
      <c r="C29" t="s">
        <v>1261</v>
      </c>
      <c r="D29" t="s">
        <v>1254</v>
      </c>
      <c r="E29">
        <v>78620</v>
      </c>
      <c r="F29">
        <v>78664</v>
      </c>
      <c r="G29">
        <v>78691</v>
      </c>
      <c r="H29">
        <v>78252</v>
      </c>
      <c r="I29">
        <v>78766</v>
      </c>
      <c r="J29">
        <v>78809</v>
      </c>
      <c r="K29">
        <v>79258</v>
      </c>
      <c r="L29">
        <v>79990</v>
      </c>
      <c r="M29">
        <v>81016</v>
      </c>
      <c r="N29">
        <v>81532</v>
      </c>
      <c r="O29">
        <v>82403</v>
      </c>
      <c r="P29">
        <v>83653</v>
      </c>
      <c r="Q29">
        <v>84490</v>
      </c>
      <c r="R29">
        <v>86158</v>
      </c>
    </row>
    <row r="30" spans="1:18">
      <c r="A30">
        <v>12120</v>
      </c>
      <c r="B30" t="s">
        <v>721</v>
      </c>
      <c r="C30" t="s">
        <v>1261</v>
      </c>
      <c r="D30" t="s">
        <v>1254</v>
      </c>
      <c r="E30">
        <v>38363</v>
      </c>
      <c r="F30">
        <v>38265</v>
      </c>
      <c r="G30">
        <v>38125</v>
      </c>
      <c r="H30">
        <v>37912</v>
      </c>
      <c r="I30">
        <v>37927</v>
      </c>
      <c r="J30">
        <v>37896</v>
      </c>
      <c r="K30">
        <v>37759</v>
      </c>
      <c r="L30">
        <v>37305</v>
      </c>
      <c r="M30">
        <v>36845</v>
      </c>
      <c r="N30">
        <v>36939</v>
      </c>
      <c r="O30">
        <v>36685</v>
      </c>
      <c r="P30">
        <v>36660</v>
      </c>
      <c r="Q30">
        <v>36636</v>
      </c>
      <c r="R30">
        <v>36558</v>
      </c>
    </row>
    <row r="31" spans="1:18">
      <c r="A31">
        <v>12140</v>
      </c>
      <c r="B31" t="s">
        <v>722</v>
      </c>
      <c r="C31" t="s">
        <v>1261</v>
      </c>
      <c r="D31" t="s">
        <v>1254</v>
      </c>
      <c r="E31">
        <v>42327</v>
      </c>
      <c r="F31">
        <v>42456</v>
      </c>
      <c r="G31">
        <v>42258</v>
      </c>
      <c r="H31">
        <v>42264</v>
      </c>
      <c r="I31">
        <v>42293</v>
      </c>
      <c r="J31">
        <v>42327</v>
      </c>
      <c r="K31">
        <v>42451</v>
      </c>
      <c r="L31">
        <v>42573</v>
      </c>
      <c r="M31">
        <v>42935</v>
      </c>
      <c r="N31">
        <v>43225</v>
      </c>
      <c r="O31">
        <v>43292</v>
      </c>
      <c r="P31">
        <v>43395</v>
      </c>
      <c r="Q31">
        <v>43813</v>
      </c>
      <c r="R31">
        <v>44198</v>
      </c>
    </row>
    <row r="32" spans="1:18">
      <c r="A32">
        <v>12180</v>
      </c>
      <c r="B32" t="s">
        <v>723</v>
      </c>
      <c r="C32" t="s">
        <v>1261</v>
      </c>
      <c r="D32" t="s">
        <v>1254</v>
      </c>
      <c r="E32">
        <v>79910</v>
      </c>
      <c r="F32">
        <v>79728</v>
      </c>
      <c r="G32">
        <v>79560</v>
      </c>
      <c r="H32">
        <v>79162</v>
      </c>
      <c r="I32">
        <v>78844</v>
      </c>
      <c r="J32">
        <v>78396</v>
      </c>
      <c r="K32">
        <v>77780</v>
      </c>
      <c r="L32">
        <v>77592</v>
      </c>
      <c r="M32">
        <v>77232</v>
      </c>
      <c r="N32">
        <v>76574</v>
      </c>
      <c r="O32">
        <v>76147</v>
      </c>
      <c r="P32">
        <v>75451</v>
      </c>
      <c r="Q32">
        <v>74679</v>
      </c>
      <c r="R32">
        <v>74485</v>
      </c>
    </row>
    <row r="33" spans="1:18">
      <c r="A33">
        <v>12300</v>
      </c>
      <c r="B33" t="s">
        <v>724</v>
      </c>
      <c r="C33" t="s">
        <v>1261</v>
      </c>
      <c r="D33" t="s">
        <v>1254</v>
      </c>
      <c r="E33">
        <v>122096</v>
      </c>
      <c r="F33">
        <v>121911</v>
      </c>
      <c r="G33">
        <v>121807</v>
      </c>
      <c r="H33">
        <v>121450</v>
      </c>
      <c r="I33">
        <v>121644</v>
      </c>
      <c r="J33">
        <v>121514</v>
      </c>
      <c r="K33">
        <v>122075</v>
      </c>
      <c r="L33">
        <v>122593</v>
      </c>
      <c r="M33">
        <v>122793</v>
      </c>
      <c r="N33">
        <v>123032</v>
      </c>
      <c r="O33">
        <v>124712</v>
      </c>
      <c r="P33">
        <v>125752</v>
      </c>
      <c r="Q33">
        <v>126535</v>
      </c>
      <c r="R33">
        <v>127259</v>
      </c>
    </row>
    <row r="34" spans="1:18">
      <c r="A34">
        <v>12380</v>
      </c>
      <c r="B34" t="s">
        <v>725</v>
      </c>
      <c r="C34" t="s">
        <v>1261</v>
      </c>
      <c r="D34" t="s">
        <v>1254</v>
      </c>
      <c r="E34">
        <v>39208</v>
      </c>
      <c r="F34">
        <v>39339</v>
      </c>
      <c r="G34">
        <v>39378</v>
      </c>
      <c r="H34">
        <v>39302</v>
      </c>
      <c r="I34">
        <v>39380</v>
      </c>
      <c r="J34">
        <v>39453</v>
      </c>
      <c r="K34">
        <v>39503</v>
      </c>
      <c r="L34">
        <v>39728</v>
      </c>
      <c r="M34">
        <v>40053</v>
      </c>
      <c r="N34">
        <v>39962</v>
      </c>
      <c r="O34">
        <v>40059</v>
      </c>
      <c r="P34">
        <v>40219</v>
      </c>
      <c r="Q34">
        <v>40050</v>
      </c>
      <c r="R34">
        <v>40058</v>
      </c>
    </row>
    <row r="35" spans="1:18">
      <c r="A35">
        <v>12460</v>
      </c>
      <c r="B35" t="s">
        <v>726</v>
      </c>
      <c r="C35" t="s">
        <v>1261</v>
      </c>
      <c r="D35" t="s">
        <v>1254</v>
      </c>
      <c r="E35">
        <v>27885</v>
      </c>
      <c r="F35">
        <v>28006</v>
      </c>
      <c r="G35">
        <v>28081</v>
      </c>
      <c r="H35">
        <v>28317</v>
      </c>
      <c r="I35">
        <v>28376</v>
      </c>
      <c r="J35">
        <v>28537</v>
      </c>
      <c r="K35">
        <v>28421</v>
      </c>
      <c r="L35">
        <v>28757</v>
      </c>
      <c r="M35">
        <v>28924</v>
      </c>
      <c r="N35">
        <v>29089</v>
      </c>
      <c r="O35">
        <v>29326</v>
      </c>
      <c r="P35">
        <v>29091</v>
      </c>
      <c r="Q35">
        <v>29019</v>
      </c>
      <c r="R35">
        <v>29087</v>
      </c>
    </row>
    <row r="36" spans="1:18">
      <c r="A36">
        <v>12660</v>
      </c>
      <c r="B36" t="s">
        <v>727</v>
      </c>
      <c r="C36" t="s">
        <v>1261</v>
      </c>
      <c r="D36" t="s">
        <v>1254</v>
      </c>
      <c r="E36">
        <v>62081</v>
      </c>
      <c r="F36">
        <v>62393</v>
      </c>
      <c r="G36">
        <v>62652</v>
      </c>
      <c r="H36">
        <v>63187</v>
      </c>
      <c r="I36">
        <v>63496</v>
      </c>
      <c r="J36">
        <v>63941</v>
      </c>
      <c r="K36">
        <v>64406</v>
      </c>
      <c r="L36">
        <v>64864</v>
      </c>
      <c r="M36">
        <v>65344</v>
      </c>
      <c r="N36">
        <v>65586</v>
      </c>
      <c r="O36">
        <v>65784</v>
      </c>
      <c r="P36">
        <v>65702</v>
      </c>
      <c r="Q36">
        <v>65770</v>
      </c>
      <c r="R36">
        <v>65920</v>
      </c>
    </row>
    <row r="37" spans="1:18">
      <c r="A37">
        <v>12680</v>
      </c>
      <c r="B37" t="s">
        <v>728</v>
      </c>
      <c r="C37" t="s">
        <v>1261</v>
      </c>
      <c r="D37" t="s">
        <v>1254</v>
      </c>
      <c r="E37">
        <v>43633</v>
      </c>
      <c r="F37">
        <v>44096</v>
      </c>
      <c r="G37">
        <v>44467</v>
      </c>
      <c r="H37">
        <v>44638</v>
      </c>
      <c r="I37">
        <v>44988</v>
      </c>
      <c r="J37">
        <v>45278</v>
      </c>
      <c r="K37">
        <v>45709</v>
      </c>
      <c r="L37">
        <v>45830</v>
      </c>
      <c r="M37">
        <v>46039</v>
      </c>
      <c r="N37">
        <v>46514</v>
      </c>
      <c r="O37">
        <v>46779</v>
      </c>
      <c r="P37">
        <v>47127</v>
      </c>
      <c r="Q37">
        <v>47359</v>
      </c>
      <c r="R37">
        <v>47730</v>
      </c>
    </row>
    <row r="38" spans="1:18">
      <c r="A38">
        <v>12740</v>
      </c>
      <c r="B38" t="s">
        <v>729</v>
      </c>
      <c r="C38" t="s">
        <v>1261</v>
      </c>
      <c r="D38" t="s">
        <v>1254</v>
      </c>
      <c r="E38">
        <v>59609</v>
      </c>
      <c r="F38">
        <v>59788</v>
      </c>
      <c r="G38">
        <v>59756</v>
      </c>
      <c r="H38">
        <v>59720</v>
      </c>
      <c r="I38">
        <v>59614</v>
      </c>
      <c r="J38">
        <v>59458</v>
      </c>
      <c r="K38">
        <v>59325</v>
      </c>
      <c r="L38">
        <v>59365</v>
      </c>
      <c r="M38">
        <v>59305</v>
      </c>
      <c r="N38">
        <v>59789</v>
      </c>
      <c r="O38">
        <v>59757</v>
      </c>
      <c r="P38">
        <v>60033</v>
      </c>
      <c r="Q38">
        <v>60115</v>
      </c>
      <c r="R38">
        <v>60142</v>
      </c>
    </row>
    <row r="39" spans="1:18">
      <c r="A39">
        <v>12780</v>
      </c>
      <c r="B39" t="s">
        <v>730</v>
      </c>
      <c r="C39" t="s">
        <v>1261</v>
      </c>
      <c r="D39" t="s">
        <v>1254</v>
      </c>
      <c r="E39">
        <v>51082</v>
      </c>
      <c r="F39">
        <v>51429</v>
      </c>
      <c r="G39">
        <v>51745</v>
      </c>
      <c r="H39">
        <v>51812</v>
      </c>
      <c r="I39">
        <v>52210</v>
      </c>
      <c r="J39">
        <v>52345</v>
      </c>
      <c r="K39">
        <v>52335</v>
      </c>
      <c r="L39">
        <v>52380</v>
      </c>
      <c r="M39">
        <v>52186</v>
      </c>
      <c r="N39">
        <v>52001</v>
      </c>
      <c r="O39">
        <v>52615</v>
      </c>
      <c r="P39">
        <v>52903</v>
      </c>
      <c r="Q39">
        <v>53238</v>
      </c>
      <c r="R39">
        <v>53706</v>
      </c>
    </row>
    <row r="40" spans="1:18">
      <c r="A40">
        <v>12860</v>
      </c>
      <c r="B40" t="s">
        <v>731</v>
      </c>
      <c r="C40" t="s">
        <v>1261</v>
      </c>
      <c r="D40" t="s">
        <v>1254</v>
      </c>
      <c r="E40">
        <v>59966</v>
      </c>
      <c r="F40">
        <v>60064</v>
      </c>
      <c r="G40">
        <v>59988</v>
      </c>
      <c r="H40">
        <v>59561</v>
      </c>
      <c r="I40">
        <v>59308</v>
      </c>
      <c r="J40">
        <v>59178</v>
      </c>
      <c r="K40">
        <v>58837</v>
      </c>
      <c r="L40">
        <v>58769</v>
      </c>
      <c r="M40">
        <v>58576</v>
      </c>
      <c r="N40">
        <v>58611</v>
      </c>
      <c r="O40">
        <v>58302</v>
      </c>
      <c r="P40">
        <v>57889</v>
      </c>
      <c r="Q40">
        <v>57398</v>
      </c>
      <c r="R40">
        <v>57529</v>
      </c>
    </row>
    <row r="41" spans="1:18">
      <c r="A41">
        <v>12900</v>
      </c>
      <c r="B41" t="s">
        <v>732</v>
      </c>
      <c r="C41" t="s">
        <v>1261</v>
      </c>
      <c r="D41" t="s">
        <v>1254</v>
      </c>
      <c r="E41">
        <v>54056</v>
      </c>
      <c r="F41">
        <v>54152</v>
      </c>
      <c r="G41">
        <v>53994</v>
      </c>
      <c r="H41">
        <v>53941</v>
      </c>
      <c r="I41">
        <v>53917</v>
      </c>
      <c r="J41">
        <v>53866</v>
      </c>
      <c r="K41">
        <v>54134</v>
      </c>
      <c r="L41">
        <v>54558</v>
      </c>
      <c r="M41">
        <v>55016</v>
      </c>
      <c r="N41">
        <v>55087</v>
      </c>
      <c r="O41">
        <v>55254</v>
      </c>
      <c r="P41">
        <v>55791</v>
      </c>
      <c r="Q41">
        <v>56090</v>
      </c>
      <c r="R41">
        <v>56288</v>
      </c>
    </row>
    <row r="42" spans="1:18">
      <c r="A42">
        <v>13060</v>
      </c>
      <c r="B42" t="s">
        <v>733</v>
      </c>
      <c r="C42" t="s">
        <v>1261</v>
      </c>
      <c r="D42" t="s">
        <v>1254</v>
      </c>
      <c r="E42">
        <v>36695</v>
      </c>
      <c r="F42">
        <v>36620</v>
      </c>
      <c r="G42">
        <v>36436</v>
      </c>
      <c r="H42">
        <v>36341</v>
      </c>
      <c r="I42">
        <v>36277</v>
      </c>
      <c r="J42">
        <v>36515</v>
      </c>
      <c r="K42">
        <v>36863</v>
      </c>
      <c r="L42">
        <v>36525</v>
      </c>
      <c r="M42">
        <v>36218</v>
      </c>
      <c r="N42">
        <v>36244</v>
      </c>
      <c r="O42">
        <v>36287</v>
      </c>
      <c r="P42">
        <v>36339</v>
      </c>
      <c r="Q42">
        <v>36122</v>
      </c>
      <c r="R42">
        <v>36359</v>
      </c>
    </row>
    <row r="43" spans="1:18">
      <c r="A43">
        <v>13100</v>
      </c>
      <c r="B43" t="s">
        <v>734</v>
      </c>
      <c r="C43" t="s">
        <v>1261</v>
      </c>
      <c r="D43" t="s">
        <v>1254</v>
      </c>
      <c r="E43">
        <v>22276</v>
      </c>
      <c r="F43">
        <v>21942</v>
      </c>
      <c r="G43">
        <v>21710</v>
      </c>
      <c r="H43">
        <v>21845</v>
      </c>
      <c r="I43">
        <v>21663</v>
      </c>
      <c r="J43">
        <v>21845</v>
      </c>
      <c r="K43">
        <v>21772</v>
      </c>
      <c r="L43">
        <v>21818</v>
      </c>
      <c r="M43">
        <v>21695</v>
      </c>
      <c r="N43">
        <v>21762</v>
      </c>
      <c r="O43">
        <v>21656</v>
      </c>
      <c r="P43">
        <v>21633</v>
      </c>
      <c r="Q43">
        <v>21564</v>
      </c>
      <c r="R43">
        <v>21634</v>
      </c>
    </row>
    <row r="44" spans="1:18">
      <c r="A44">
        <v>13180</v>
      </c>
      <c r="B44" t="s">
        <v>735</v>
      </c>
      <c r="C44" t="s">
        <v>1261</v>
      </c>
      <c r="D44" t="s">
        <v>1254</v>
      </c>
      <c r="E44">
        <v>88771</v>
      </c>
      <c r="F44">
        <v>88633</v>
      </c>
      <c r="G44">
        <v>88587</v>
      </c>
      <c r="H44">
        <v>88577</v>
      </c>
      <c r="I44">
        <v>88903</v>
      </c>
      <c r="J44">
        <v>88847</v>
      </c>
      <c r="K44">
        <v>88560</v>
      </c>
      <c r="L44">
        <v>89115</v>
      </c>
      <c r="M44">
        <v>89380</v>
      </c>
      <c r="N44">
        <v>89399</v>
      </c>
      <c r="O44">
        <v>89353</v>
      </c>
      <c r="P44">
        <v>88689</v>
      </c>
      <c r="Q44">
        <v>88374</v>
      </c>
      <c r="R44">
        <v>88231</v>
      </c>
    </row>
    <row r="45" spans="1:18">
      <c r="A45">
        <v>13260</v>
      </c>
      <c r="B45" t="s">
        <v>736</v>
      </c>
      <c r="C45" t="s">
        <v>1261</v>
      </c>
      <c r="D45" t="s">
        <v>1254</v>
      </c>
      <c r="E45">
        <v>46094</v>
      </c>
      <c r="F45">
        <v>46089</v>
      </c>
      <c r="G45">
        <v>46022</v>
      </c>
      <c r="H45">
        <v>45757</v>
      </c>
      <c r="I45">
        <v>45467</v>
      </c>
      <c r="J45">
        <v>45341</v>
      </c>
      <c r="K45">
        <v>45287</v>
      </c>
      <c r="L45">
        <v>45278</v>
      </c>
      <c r="M45">
        <v>45328</v>
      </c>
      <c r="N45">
        <v>45014</v>
      </c>
      <c r="O45">
        <v>45016</v>
      </c>
      <c r="P45">
        <v>45066</v>
      </c>
      <c r="Q45">
        <v>45231</v>
      </c>
      <c r="R45">
        <v>45084</v>
      </c>
    </row>
    <row r="46" spans="1:18">
      <c r="A46">
        <v>13300</v>
      </c>
      <c r="B46" t="s">
        <v>737</v>
      </c>
      <c r="C46" t="s">
        <v>1261</v>
      </c>
      <c r="D46" t="s">
        <v>1254</v>
      </c>
      <c r="E46">
        <v>31825</v>
      </c>
      <c r="F46">
        <v>32129</v>
      </c>
      <c r="G46">
        <v>32147</v>
      </c>
      <c r="H46">
        <v>32318</v>
      </c>
      <c r="I46">
        <v>32202</v>
      </c>
      <c r="J46">
        <v>31830</v>
      </c>
      <c r="K46">
        <v>31879</v>
      </c>
      <c r="L46">
        <v>31511</v>
      </c>
      <c r="M46">
        <v>31264</v>
      </c>
      <c r="N46">
        <v>31236</v>
      </c>
      <c r="O46">
        <v>31038</v>
      </c>
      <c r="P46">
        <v>30836</v>
      </c>
      <c r="Q46">
        <v>30992</v>
      </c>
      <c r="R46">
        <v>30850</v>
      </c>
    </row>
    <row r="47" spans="1:18">
      <c r="A47">
        <v>13340</v>
      </c>
      <c r="B47" t="s">
        <v>738</v>
      </c>
      <c r="C47" t="s">
        <v>1261</v>
      </c>
      <c r="D47" t="s">
        <v>1254</v>
      </c>
      <c r="E47">
        <v>45761</v>
      </c>
      <c r="F47">
        <v>45717</v>
      </c>
      <c r="G47">
        <v>45577</v>
      </c>
      <c r="H47">
        <v>45637</v>
      </c>
      <c r="I47">
        <v>45790</v>
      </c>
      <c r="J47">
        <v>45639</v>
      </c>
      <c r="K47">
        <v>45602</v>
      </c>
      <c r="L47">
        <v>45749</v>
      </c>
      <c r="M47">
        <v>45898</v>
      </c>
      <c r="N47">
        <v>46280</v>
      </c>
      <c r="O47">
        <v>46116</v>
      </c>
      <c r="P47">
        <v>46158</v>
      </c>
      <c r="Q47">
        <v>46062</v>
      </c>
      <c r="R47">
        <v>46057</v>
      </c>
    </row>
    <row r="48" spans="1:18">
      <c r="A48">
        <v>13420</v>
      </c>
      <c r="B48" t="s">
        <v>739</v>
      </c>
      <c r="C48" t="s">
        <v>1261</v>
      </c>
      <c r="D48" t="s">
        <v>1254</v>
      </c>
      <c r="E48">
        <v>44545</v>
      </c>
      <c r="F48">
        <v>44917</v>
      </c>
      <c r="G48">
        <v>44908</v>
      </c>
      <c r="H48">
        <v>45138</v>
      </c>
      <c r="I48">
        <v>45175</v>
      </c>
      <c r="J48">
        <v>45036</v>
      </c>
      <c r="K48">
        <v>45343</v>
      </c>
      <c r="L48">
        <v>45666</v>
      </c>
      <c r="M48">
        <v>45773</v>
      </c>
      <c r="N48">
        <v>46131</v>
      </c>
      <c r="O48">
        <v>46255</v>
      </c>
      <c r="P48">
        <v>46481</v>
      </c>
      <c r="Q48">
        <v>46511</v>
      </c>
      <c r="R48">
        <v>46718</v>
      </c>
    </row>
    <row r="49" spans="1:18">
      <c r="A49">
        <v>13500</v>
      </c>
      <c r="B49" t="s">
        <v>740</v>
      </c>
      <c r="C49" t="s">
        <v>1261</v>
      </c>
      <c r="D49" t="s">
        <v>1254</v>
      </c>
      <c r="E49">
        <v>28943</v>
      </c>
      <c r="F49">
        <v>28714</v>
      </c>
      <c r="G49">
        <v>28487</v>
      </c>
      <c r="H49">
        <v>28391</v>
      </c>
      <c r="I49">
        <v>28471</v>
      </c>
      <c r="J49">
        <v>28108</v>
      </c>
      <c r="K49">
        <v>27624</v>
      </c>
      <c r="L49">
        <v>27399</v>
      </c>
      <c r="M49">
        <v>27193</v>
      </c>
      <c r="N49">
        <v>27024</v>
      </c>
      <c r="O49">
        <v>26490</v>
      </c>
      <c r="P49">
        <v>26235</v>
      </c>
      <c r="Q49">
        <v>26006</v>
      </c>
      <c r="R49">
        <v>25704</v>
      </c>
    </row>
    <row r="50" spans="1:18">
      <c r="A50">
        <v>13540</v>
      </c>
      <c r="B50" t="s">
        <v>741</v>
      </c>
      <c r="C50" t="s">
        <v>1261</v>
      </c>
      <c r="D50" t="s">
        <v>1254</v>
      </c>
      <c r="E50">
        <v>37127</v>
      </c>
      <c r="F50">
        <v>37066</v>
      </c>
      <c r="G50">
        <v>37071</v>
      </c>
      <c r="H50">
        <v>37201</v>
      </c>
      <c r="I50">
        <v>37026</v>
      </c>
      <c r="J50">
        <v>37214</v>
      </c>
      <c r="K50">
        <v>37183</v>
      </c>
      <c r="L50">
        <v>37157</v>
      </c>
      <c r="M50">
        <v>37220</v>
      </c>
      <c r="N50">
        <v>37311</v>
      </c>
      <c r="O50">
        <v>37301</v>
      </c>
      <c r="P50">
        <v>37431</v>
      </c>
      <c r="Q50">
        <v>37343</v>
      </c>
      <c r="R50">
        <v>37183</v>
      </c>
    </row>
    <row r="51" spans="1:18">
      <c r="A51">
        <v>13620</v>
      </c>
      <c r="B51" t="s">
        <v>742</v>
      </c>
      <c r="C51" t="s">
        <v>1261</v>
      </c>
      <c r="D51" t="s">
        <v>1254</v>
      </c>
      <c r="E51">
        <v>32970</v>
      </c>
      <c r="F51">
        <v>32514</v>
      </c>
      <c r="G51">
        <v>31984</v>
      </c>
      <c r="H51">
        <v>31958</v>
      </c>
      <c r="I51">
        <v>32795</v>
      </c>
      <c r="J51">
        <v>32359</v>
      </c>
      <c r="K51">
        <v>31933</v>
      </c>
      <c r="L51">
        <v>31429</v>
      </c>
      <c r="M51">
        <v>31503</v>
      </c>
      <c r="N51">
        <v>31435</v>
      </c>
      <c r="O51">
        <v>31227</v>
      </c>
      <c r="P51">
        <v>31379</v>
      </c>
      <c r="Q51">
        <v>31476</v>
      </c>
      <c r="R51">
        <v>31372</v>
      </c>
    </row>
    <row r="52" spans="1:18">
      <c r="A52">
        <v>13660</v>
      </c>
      <c r="B52" t="s">
        <v>743</v>
      </c>
      <c r="C52" t="s">
        <v>1261</v>
      </c>
      <c r="D52" t="s">
        <v>1254</v>
      </c>
      <c r="E52">
        <v>42748</v>
      </c>
      <c r="F52">
        <v>42936</v>
      </c>
      <c r="G52">
        <v>42572</v>
      </c>
      <c r="H52">
        <v>41936</v>
      </c>
      <c r="I52">
        <v>41477</v>
      </c>
      <c r="J52">
        <v>40898</v>
      </c>
      <c r="K52">
        <v>40658</v>
      </c>
      <c r="L52">
        <v>40360</v>
      </c>
      <c r="M52">
        <v>40159</v>
      </c>
      <c r="N52">
        <v>39878</v>
      </c>
      <c r="O52">
        <v>39790</v>
      </c>
      <c r="P52">
        <v>40048</v>
      </c>
      <c r="Q52">
        <v>40782</v>
      </c>
      <c r="R52">
        <v>41099</v>
      </c>
    </row>
    <row r="53" spans="1:18">
      <c r="A53">
        <v>13700</v>
      </c>
      <c r="B53" t="s">
        <v>744</v>
      </c>
      <c r="C53" t="s">
        <v>1261</v>
      </c>
      <c r="D53" t="s">
        <v>1254</v>
      </c>
      <c r="E53">
        <v>34941</v>
      </c>
      <c r="F53">
        <v>34760</v>
      </c>
      <c r="G53">
        <v>35108</v>
      </c>
      <c r="H53">
        <v>35616</v>
      </c>
      <c r="I53">
        <v>35783</v>
      </c>
      <c r="J53">
        <v>36199</v>
      </c>
      <c r="K53">
        <v>35141</v>
      </c>
      <c r="L53">
        <v>34563</v>
      </c>
      <c r="M53">
        <v>34433</v>
      </c>
      <c r="N53">
        <v>35147</v>
      </c>
      <c r="O53">
        <v>34816</v>
      </c>
      <c r="P53">
        <v>34365</v>
      </c>
      <c r="Q53">
        <v>30732</v>
      </c>
      <c r="R53">
        <v>30554</v>
      </c>
    </row>
    <row r="54" spans="1:18">
      <c r="A54">
        <v>13720</v>
      </c>
      <c r="B54" t="s">
        <v>745</v>
      </c>
      <c r="C54" t="s">
        <v>1261</v>
      </c>
      <c r="D54" t="s">
        <v>1254</v>
      </c>
      <c r="E54">
        <v>45547</v>
      </c>
      <c r="F54">
        <v>45347</v>
      </c>
      <c r="G54">
        <v>44695</v>
      </c>
      <c r="H54">
        <v>44277</v>
      </c>
      <c r="I54">
        <v>43396</v>
      </c>
      <c r="J54">
        <v>42807</v>
      </c>
      <c r="K54">
        <v>42109</v>
      </c>
      <c r="L54">
        <v>41442</v>
      </c>
      <c r="M54">
        <v>40627</v>
      </c>
      <c r="N54">
        <v>40070</v>
      </c>
      <c r="O54">
        <v>39745</v>
      </c>
      <c r="P54">
        <v>39313</v>
      </c>
      <c r="Q54">
        <v>38916</v>
      </c>
      <c r="R54">
        <v>38666</v>
      </c>
    </row>
    <row r="55" spans="1:18">
      <c r="A55">
        <v>13940</v>
      </c>
      <c r="B55" t="s">
        <v>746</v>
      </c>
      <c r="C55" t="s">
        <v>1261</v>
      </c>
      <c r="D55" t="s">
        <v>1254</v>
      </c>
      <c r="E55">
        <v>45785</v>
      </c>
      <c r="F55">
        <v>46008</v>
      </c>
      <c r="G55">
        <v>45706</v>
      </c>
      <c r="H55">
        <v>45705</v>
      </c>
      <c r="I55">
        <v>45577</v>
      </c>
      <c r="J55">
        <v>45504</v>
      </c>
      <c r="K55">
        <v>45827</v>
      </c>
      <c r="L55">
        <v>46492</v>
      </c>
      <c r="M55">
        <v>46747</v>
      </c>
      <c r="N55">
        <v>47559</v>
      </c>
      <c r="O55">
        <v>48097</v>
      </c>
      <c r="P55">
        <v>48929</v>
      </c>
      <c r="Q55">
        <v>49973</v>
      </c>
      <c r="R55">
        <v>50395</v>
      </c>
    </row>
    <row r="56" spans="1:18">
      <c r="A56">
        <v>14140</v>
      </c>
      <c r="B56" t="s">
        <v>747</v>
      </c>
      <c r="C56" t="s">
        <v>1261</v>
      </c>
      <c r="D56" t="s">
        <v>1254</v>
      </c>
      <c r="E56">
        <v>114282</v>
      </c>
      <c r="F56">
        <v>114214</v>
      </c>
      <c r="G56">
        <v>113658</v>
      </c>
      <c r="H56">
        <v>113007</v>
      </c>
      <c r="I56">
        <v>112254</v>
      </c>
      <c r="J56">
        <v>111222</v>
      </c>
      <c r="K56">
        <v>110022</v>
      </c>
      <c r="L56">
        <v>108402</v>
      </c>
      <c r="M56">
        <v>107549</v>
      </c>
      <c r="N56">
        <v>106824</v>
      </c>
      <c r="O56">
        <v>106182</v>
      </c>
      <c r="P56">
        <v>105283</v>
      </c>
      <c r="Q56">
        <v>104313</v>
      </c>
      <c r="R56">
        <v>103356</v>
      </c>
    </row>
    <row r="57" spans="1:18">
      <c r="A57">
        <v>14160</v>
      </c>
      <c r="B57" t="s">
        <v>748</v>
      </c>
      <c r="C57" t="s">
        <v>1261</v>
      </c>
      <c r="D57" t="s">
        <v>1254</v>
      </c>
      <c r="E57">
        <v>27681</v>
      </c>
      <c r="F57">
        <v>27743</v>
      </c>
      <c r="G57">
        <v>27719</v>
      </c>
      <c r="H57">
        <v>27734</v>
      </c>
      <c r="I57">
        <v>27839</v>
      </c>
      <c r="J57">
        <v>27882</v>
      </c>
      <c r="K57">
        <v>27896</v>
      </c>
      <c r="L57">
        <v>27972</v>
      </c>
      <c r="M57">
        <v>28025</v>
      </c>
      <c r="N57">
        <v>28178</v>
      </c>
      <c r="O57">
        <v>28155</v>
      </c>
      <c r="P57">
        <v>28154</v>
      </c>
      <c r="Q57">
        <v>28298</v>
      </c>
      <c r="R57">
        <v>28555</v>
      </c>
    </row>
    <row r="58" spans="1:18">
      <c r="A58">
        <v>14180</v>
      </c>
      <c r="B58" t="s">
        <v>749</v>
      </c>
      <c r="C58" t="s">
        <v>1261</v>
      </c>
      <c r="D58" t="s">
        <v>1254</v>
      </c>
      <c r="E58">
        <v>46363</v>
      </c>
      <c r="F58">
        <v>46051</v>
      </c>
      <c r="G58">
        <v>45610</v>
      </c>
      <c r="H58">
        <v>44799</v>
      </c>
      <c r="I58">
        <v>44405</v>
      </c>
      <c r="J58">
        <v>43937</v>
      </c>
      <c r="K58">
        <v>43148</v>
      </c>
      <c r="L58">
        <v>42417</v>
      </c>
      <c r="M58">
        <v>41600</v>
      </c>
      <c r="N58">
        <v>41115</v>
      </c>
      <c r="O58">
        <v>40538</v>
      </c>
      <c r="P58">
        <v>39534</v>
      </c>
      <c r="Q58">
        <v>38863</v>
      </c>
      <c r="R58">
        <v>38663</v>
      </c>
    </row>
    <row r="59" spans="1:18">
      <c r="A59">
        <v>14220</v>
      </c>
      <c r="B59" t="s">
        <v>750</v>
      </c>
      <c r="C59" t="s">
        <v>1261</v>
      </c>
      <c r="D59" t="s">
        <v>1254</v>
      </c>
      <c r="E59">
        <v>47073</v>
      </c>
      <c r="F59">
        <v>47076</v>
      </c>
      <c r="G59">
        <v>46588</v>
      </c>
      <c r="H59">
        <v>46288</v>
      </c>
      <c r="I59">
        <v>46158</v>
      </c>
      <c r="J59">
        <v>46165</v>
      </c>
      <c r="K59">
        <v>46173</v>
      </c>
      <c r="L59">
        <v>46396</v>
      </c>
      <c r="M59">
        <v>46281</v>
      </c>
      <c r="N59">
        <v>45801</v>
      </c>
      <c r="O59">
        <v>45357</v>
      </c>
      <c r="P59">
        <v>45198</v>
      </c>
      <c r="Q59">
        <v>44991</v>
      </c>
      <c r="R59">
        <v>44865</v>
      </c>
    </row>
    <row r="60" spans="1:18">
      <c r="A60">
        <v>14300</v>
      </c>
      <c r="B60" t="s">
        <v>751</v>
      </c>
      <c r="C60" t="s">
        <v>1261</v>
      </c>
      <c r="D60" t="s">
        <v>1254</v>
      </c>
      <c r="E60">
        <v>33918</v>
      </c>
      <c r="F60">
        <v>33864</v>
      </c>
      <c r="G60">
        <v>33565</v>
      </c>
      <c r="H60">
        <v>33457</v>
      </c>
      <c r="I60">
        <v>33538</v>
      </c>
      <c r="J60">
        <v>33416</v>
      </c>
      <c r="K60">
        <v>33835</v>
      </c>
      <c r="L60">
        <v>34448</v>
      </c>
      <c r="M60">
        <v>35116</v>
      </c>
      <c r="N60">
        <v>35392</v>
      </c>
      <c r="O60">
        <v>35801</v>
      </c>
      <c r="P60">
        <v>36723</v>
      </c>
      <c r="Q60">
        <v>37075</v>
      </c>
      <c r="R60">
        <v>37571</v>
      </c>
    </row>
    <row r="61" spans="1:18">
      <c r="A61">
        <v>14380</v>
      </c>
      <c r="B61" t="s">
        <v>752</v>
      </c>
      <c r="C61" t="s">
        <v>1261</v>
      </c>
      <c r="D61" t="s">
        <v>1254</v>
      </c>
      <c r="E61">
        <v>50920</v>
      </c>
      <c r="F61">
        <v>51373</v>
      </c>
      <c r="G61">
        <v>51600</v>
      </c>
      <c r="H61">
        <v>51624</v>
      </c>
      <c r="I61">
        <v>51508</v>
      </c>
      <c r="J61">
        <v>51985</v>
      </c>
      <c r="K61">
        <v>52785</v>
      </c>
      <c r="L61">
        <v>53604</v>
      </c>
      <c r="M61">
        <v>54298</v>
      </c>
      <c r="N61">
        <v>54128</v>
      </c>
      <c r="O61">
        <v>54122</v>
      </c>
      <c r="P61">
        <v>54968</v>
      </c>
      <c r="Q61">
        <v>55013</v>
      </c>
      <c r="R61">
        <v>54748</v>
      </c>
    </row>
    <row r="62" spans="1:18">
      <c r="A62">
        <v>14420</v>
      </c>
      <c r="B62" t="s">
        <v>753</v>
      </c>
      <c r="C62" t="s">
        <v>1261</v>
      </c>
      <c r="D62" t="s">
        <v>1254</v>
      </c>
      <c r="E62">
        <v>22207</v>
      </c>
      <c r="F62">
        <v>22006</v>
      </c>
      <c r="G62">
        <v>21993</v>
      </c>
      <c r="H62">
        <v>21879</v>
      </c>
      <c r="I62">
        <v>21857</v>
      </c>
      <c r="J62">
        <v>21724</v>
      </c>
      <c r="K62">
        <v>21453</v>
      </c>
      <c r="L62">
        <v>21239</v>
      </c>
      <c r="M62">
        <v>20956</v>
      </c>
      <c r="N62">
        <v>20773</v>
      </c>
      <c r="O62">
        <v>20569</v>
      </c>
      <c r="P62">
        <v>20438</v>
      </c>
      <c r="Q62">
        <v>20222</v>
      </c>
      <c r="R62">
        <v>20033</v>
      </c>
    </row>
    <row r="63" spans="1:18">
      <c r="A63">
        <v>14580</v>
      </c>
      <c r="B63" t="s">
        <v>754</v>
      </c>
      <c r="C63" t="s">
        <v>1261</v>
      </c>
      <c r="D63" t="s">
        <v>1254</v>
      </c>
      <c r="E63">
        <v>89713</v>
      </c>
      <c r="F63">
        <v>91671</v>
      </c>
      <c r="G63">
        <v>93098</v>
      </c>
      <c r="H63">
        <v>95581</v>
      </c>
      <c r="I63">
        <v>98564</v>
      </c>
      <c r="J63">
        <v>102238</v>
      </c>
      <c r="K63">
        <v>106484</v>
      </c>
      <c r="L63">
        <v>110640</v>
      </c>
      <c r="M63">
        <v>113975</v>
      </c>
      <c r="N63">
        <v>116884</v>
      </c>
      <c r="O63">
        <v>119597</v>
      </c>
      <c r="P63">
        <v>123098</v>
      </c>
      <c r="Q63">
        <v>124938</v>
      </c>
      <c r="R63">
        <v>126409</v>
      </c>
    </row>
    <row r="64" spans="1:18">
      <c r="A64">
        <v>14620</v>
      </c>
      <c r="B64" t="s">
        <v>755</v>
      </c>
      <c r="C64" t="s">
        <v>1261</v>
      </c>
      <c r="D64" t="s">
        <v>1254</v>
      </c>
      <c r="E64">
        <v>43347</v>
      </c>
      <c r="F64">
        <v>43142</v>
      </c>
      <c r="G64">
        <v>43151</v>
      </c>
      <c r="H64">
        <v>42818</v>
      </c>
      <c r="I64">
        <v>42662</v>
      </c>
      <c r="J64">
        <v>42422</v>
      </c>
      <c r="K64">
        <v>41699</v>
      </c>
      <c r="L64">
        <v>41424</v>
      </c>
      <c r="M64">
        <v>41009</v>
      </c>
      <c r="N64">
        <v>40626</v>
      </c>
      <c r="O64">
        <v>40399</v>
      </c>
      <c r="P64">
        <v>40317</v>
      </c>
      <c r="Q64">
        <v>39819</v>
      </c>
      <c r="R64">
        <v>39519</v>
      </c>
    </row>
    <row r="65" spans="1:18">
      <c r="A65">
        <v>14660</v>
      </c>
      <c r="B65" t="s">
        <v>756</v>
      </c>
      <c r="C65" t="s">
        <v>1261</v>
      </c>
      <c r="D65" t="s">
        <v>1254</v>
      </c>
      <c r="E65">
        <v>91282</v>
      </c>
      <c r="F65">
        <v>91158</v>
      </c>
      <c r="G65">
        <v>91397</v>
      </c>
      <c r="H65">
        <v>91745</v>
      </c>
      <c r="I65">
        <v>92006</v>
      </c>
      <c r="J65">
        <v>92364</v>
      </c>
      <c r="K65">
        <v>93273</v>
      </c>
      <c r="L65">
        <v>94217</v>
      </c>
      <c r="M65">
        <v>95017</v>
      </c>
      <c r="N65">
        <v>95551</v>
      </c>
      <c r="O65">
        <v>96445</v>
      </c>
      <c r="P65">
        <v>98024</v>
      </c>
      <c r="Q65">
        <v>99192</v>
      </c>
      <c r="R65">
        <v>99750</v>
      </c>
    </row>
    <row r="66" spans="1:18">
      <c r="A66">
        <v>14700</v>
      </c>
      <c r="B66" t="s">
        <v>757</v>
      </c>
      <c r="C66" t="s">
        <v>1261</v>
      </c>
      <c r="D66" t="s">
        <v>1254</v>
      </c>
      <c r="E66">
        <v>51904</v>
      </c>
      <c r="F66">
        <v>52659</v>
      </c>
      <c r="G66">
        <v>52916</v>
      </c>
      <c r="H66">
        <v>53280</v>
      </c>
      <c r="I66">
        <v>53836</v>
      </c>
      <c r="J66">
        <v>54248</v>
      </c>
      <c r="K66">
        <v>54620</v>
      </c>
      <c r="L66">
        <v>55125</v>
      </c>
      <c r="M66">
        <v>55756</v>
      </c>
      <c r="N66">
        <v>55986</v>
      </c>
      <c r="O66">
        <v>56062</v>
      </c>
      <c r="P66">
        <v>56304</v>
      </c>
      <c r="Q66">
        <v>56749</v>
      </c>
      <c r="R66">
        <v>56775</v>
      </c>
    </row>
    <row r="67" spans="1:18">
      <c r="A67">
        <v>14720</v>
      </c>
      <c r="B67" t="s">
        <v>758</v>
      </c>
      <c r="C67" t="s">
        <v>1261</v>
      </c>
      <c r="D67" t="s">
        <v>1254</v>
      </c>
      <c r="E67">
        <v>28083</v>
      </c>
      <c r="F67">
        <v>28084</v>
      </c>
      <c r="G67">
        <v>28373</v>
      </c>
      <c r="H67">
        <v>28838</v>
      </c>
      <c r="I67">
        <v>29463</v>
      </c>
      <c r="J67">
        <v>30228</v>
      </c>
      <c r="K67">
        <v>30772</v>
      </c>
      <c r="L67">
        <v>31082</v>
      </c>
      <c r="M67">
        <v>31037</v>
      </c>
      <c r="N67">
        <v>31151</v>
      </c>
      <c r="O67">
        <v>31001</v>
      </c>
      <c r="P67">
        <v>30998</v>
      </c>
      <c r="Q67">
        <v>30636</v>
      </c>
      <c r="R67">
        <v>30465</v>
      </c>
    </row>
    <row r="68" spans="1:18">
      <c r="A68">
        <v>14780</v>
      </c>
      <c r="B68" t="s">
        <v>759</v>
      </c>
      <c r="C68" t="s">
        <v>1261</v>
      </c>
      <c r="D68" t="s">
        <v>1254</v>
      </c>
      <c r="E68">
        <v>33697</v>
      </c>
      <c r="F68">
        <v>33961</v>
      </c>
      <c r="G68">
        <v>33932</v>
      </c>
      <c r="H68">
        <v>34209</v>
      </c>
      <c r="I68">
        <v>34412</v>
      </c>
      <c r="J68">
        <v>34855</v>
      </c>
      <c r="K68">
        <v>34729</v>
      </c>
      <c r="L68">
        <v>34850</v>
      </c>
      <c r="M68">
        <v>35539</v>
      </c>
      <c r="N68">
        <v>35685</v>
      </c>
      <c r="O68">
        <v>35804</v>
      </c>
      <c r="P68">
        <v>35947</v>
      </c>
      <c r="Q68">
        <v>36368</v>
      </c>
      <c r="R68">
        <v>37007</v>
      </c>
    </row>
    <row r="69" spans="1:18">
      <c r="A69">
        <v>14820</v>
      </c>
      <c r="B69" t="s">
        <v>760</v>
      </c>
      <c r="C69" t="s">
        <v>1261</v>
      </c>
      <c r="D69" t="s">
        <v>1254</v>
      </c>
      <c r="E69">
        <v>33053</v>
      </c>
      <c r="F69">
        <v>32640</v>
      </c>
      <c r="G69">
        <v>32537</v>
      </c>
      <c r="H69">
        <v>32397</v>
      </c>
      <c r="I69">
        <v>32380</v>
      </c>
      <c r="J69">
        <v>32450</v>
      </c>
      <c r="K69">
        <v>32550</v>
      </c>
      <c r="L69">
        <v>32775</v>
      </c>
      <c r="M69">
        <v>32989</v>
      </c>
      <c r="N69">
        <v>32928</v>
      </c>
      <c r="O69">
        <v>33048</v>
      </c>
      <c r="P69">
        <v>33272</v>
      </c>
      <c r="Q69">
        <v>33373</v>
      </c>
      <c r="R69">
        <v>33549</v>
      </c>
    </row>
    <row r="70" spans="1:18">
      <c r="A70">
        <v>15020</v>
      </c>
      <c r="B70" t="s">
        <v>761</v>
      </c>
      <c r="C70" t="s">
        <v>1261</v>
      </c>
      <c r="D70" t="s">
        <v>1254</v>
      </c>
      <c r="E70">
        <v>34918</v>
      </c>
      <c r="F70">
        <v>34980</v>
      </c>
      <c r="G70">
        <v>35045</v>
      </c>
      <c r="H70">
        <v>35012</v>
      </c>
      <c r="I70">
        <v>35108</v>
      </c>
      <c r="J70">
        <v>34981</v>
      </c>
      <c r="K70">
        <v>34924</v>
      </c>
      <c r="L70">
        <v>34978</v>
      </c>
      <c r="M70">
        <v>34911</v>
      </c>
      <c r="N70">
        <v>34905</v>
      </c>
      <c r="O70">
        <v>34828</v>
      </c>
      <c r="P70">
        <v>34939</v>
      </c>
      <c r="Q70">
        <v>34764</v>
      </c>
      <c r="R70">
        <v>34702</v>
      </c>
    </row>
    <row r="71" spans="1:18">
      <c r="A71">
        <v>15060</v>
      </c>
      <c r="B71" t="s">
        <v>762</v>
      </c>
      <c r="C71" t="s">
        <v>1261</v>
      </c>
      <c r="D71" t="s">
        <v>1254</v>
      </c>
      <c r="E71">
        <v>22383</v>
      </c>
      <c r="F71">
        <v>22519</v>
      </c>
      <c r="G71">
        <v>22312</v>
      </c>
      <c r="H71">
        <v>22311</v>
      </c>
      <c r="I71">
        <v>22243</v>
      </c>
      <c r="J71">
        <v>22424</v>
      </c>
      <c r="K71">
        <v>22744</v>
      </c>
      <c r="L71">
        <v>22815</v>
      </c>
      <c r="M71">
        <v>23005</v>
      </c>
      <c r="N71">
        <v>23156</v>
      </c>
      <c r="O71">
        <v>23519</v>
      </c>
      <c r="P71">
        <v>23719</v>
      </c>
      <c r="Q71">
        <v>23613</v>
      </c>
      <c r="R71">
        <v>23296</v>
      </c>
    </row>
    <row r="72" spans="1:18">
      <c r="A72">
        <v>15100</v>
      </c>
      <c r="B72" t="s">
        <v>763</v>
      </c>
      <c r="C72" t="s">
        <v>1261</v>
      </c>
      <c r="D72" t="s">
        <v>1254</v>
      </c>
      <c r="E72">
        <v>31976</v>
      </c>
      <c r="F72">
        <v>32016</v>
      </c>
      <c r="G72">
        <v>32550</v>
      </c>
      <c r="H72">
        <v>32696</v>
      </c>
      <c r="I72">
        <v>32826</v>
      </c>
      <c r="J72">
        <v>33261</v>
      </c>
      <c r="K72">
        <v>33644</v>
      </c>
      <c r="L72">
        <v>34014</v>
      </c>
      <c r="M72">
        <v>34279</v>
      </c>
      <c r="N72">
        <v>34347</v>
      </c>
      <c r="O72">
        <v>34343</v>
      </c>
      <c r="P72">
        <v>34696</v>
      </c>
      <c r="Q72">
        <v>35491</v>
      </c>
      <c r="R72">
        <v>35980</v>
      </c>
    </row>
    <row r="73" spans="1:18">
      <c r="A73">
        <v>15140</v>
      </c>
      <c r="B73" t="s">
        <v>764</v>
      </c>
      <c r="C73" t="s">
        <v>1261</v>
      </c>
      <c r="D73" t="s">
        <v>1254</v>
      </c>
      <c r="E73">
        <v>18833</v>
      </c>
      <c r="F73">
        <v>18655</v>
      </c>
      <c r="G73">
        <v>18469</v>
      </c>
      <c r="H73">
        <v>18511</v>
      </c>
      <c r="I73">
        <v>18596</v>
      </c>
      <c r="J73">
        <v>18472</v>
      </c>
      <c r="K73">
        <v>18328</v>
      </c>
      <c r="L73">
        <v>18189</v>
      </c>
      <c r="M73">
        <v>17933</v>
      </c>
      <c r="N73">
        <v>17975</v>
      </c>
      <c r="O73">
        <v>17826</v>
      </c>
      <c r="P73">
        <v>17691</v>
      </c>
      <c r="Q73">
        <v>17518</v>
      </c>
      <c r="R73">
        <v>17328</v>
      </c>
    </row>
    <row r="74" spans="1:18">
      <c r="A74">
        <v>15220</v>
      </c>
      <c r="B74" t="s">
        <v>765</v>
      </c>
      <c r="C74" t="s">
        <v>1261</v>
      </c>
      <c r="D74" t="s">
        <v>1254</v>
      </c>
      <c r="E74">
        <v>38085</v>
      </c>
      <c r="F74">
        <v>38041</v>
      </c>
      <c r="G74">
        <v>37887</v>
      </c>
      <c r="H74">
        <v>37782</v>
      </c>
      <c r="I74">
        <v>37698</v>
      </c>
      <c r="J74">
        <v>37920</v>
      </c>
      <c r="K74">
        <v>38285</v>
      </c>
      <c r="L74">
        <v>38079</v>
      </c>
      <c r="M74">
        <v>38049</v>
      </c>
      <c r="N74">
        <v>38104</v>
      </c>
      <c r="O74">
        <v>38043</v>
      </c>
      <c r="P74">
        <v>38135</v>
      </c>
      <c r="Q74">
        <v>38443</v>
      </c>
      <c r="R74">
        <v>38709</v>
      </c>
    </row>
    <row r="75" spans="1:18">
      <c r="A75">
        <v>15340</v>
      </c>
      <c r="B75" t="s">
        <v>766</v>
      </c>
      <c r="C75" t="s">
        <v>1261</v>
      </c>
      <c r="D75" t="s">
        <v>1254</v>
      </c>
      <c r="E75">
        <v>43769</v>
      </c>
      <c r="F75">
        <v>43387</v>
      </c>
      <c r="G75">
        <v>42910</v>
      </c>
      <c r="H75">
        <v>42912</v>
      </c>
      <c r="I75">
        <v>42662</v>
      </c>
      <c r="J75">
        <v>42643</v>
      </c>
      <c r="K75">
        <v>42471</v>
      </c>
      <c r="L75">
        <v>42164</v>
      </c>
      <c r="M75">
        <v>41942</v>
      </c>
      <c r="N75">
        <v>41944</v>
      </c>
      <c r="O75">
        <v>42013</v>
      </c>
      <c r="P75">
        <v>41782</v>
      </c>
      <c r="Q75">
        <v>41509</v>
      </c>
      <c r="R75">
        <v>41529</v>
      </c>
    </row>
    <row r="76" spans="1:18">
      <c r="A76">
        <v>15420</v>
      </c>
      <c r="B76" t="s">
        <v>767</v>
      </c>
      <c r="C76" t="s">
        <v>1261</v>
      </c>
      <c r="D76" t="s">
        <v>1254</v>
      </c>
      <c r="E76">
        <v>43185</v>
      </c>
      <c r="F76">
        <v>43423</v>
      </c>
      <c r="G76">
        <v>43609</v>
      </c>
      <c r="H76">
        <v>44017</v>
      </c>
      <c r="I76">
        <v>44201</v>
      </c>
      <c r="J76">
        <v>44372</v>
      </c>
      <c r="K76">
        <v>44613</v>
      </c>
      <c r="L76">
        <v>44958</v>
      </c>
      <c r="M76">
        <v>45139</v>
      </c>
      <c r="N76">
        <v>45759</v>
      </c>
      <c r="O76">
        <v>46428</v>
      </c>
      <c r="P76">
        <v>47188</v>
      </c>
      <c r="Q76">
        <v>47852</v>
      </c>
      <c r="R76">
        <v>48176</v>
      </c>
    </row>
    <row r="77" spans="1:18">
      <c r="A77">
        <v>15460</v>
      </c>
      <c r="B77" t="s">
        <v>768</v>
      </c>
      <c r="C77" t="s">
        <v>1261</v>
      </c>
      <c r="D77" t="s">
        <v>1254</v>
      </c>
      <c r="E77">
        <v>47586</v>
      </c>
      <c r="F77">
        <v>47287</v>
      </c>
      <c r="G77">
        <v>47282</v>
      </c>
      <c r="H77">
        <v>47372</v>
      </c>
      <c r="I77">
        <v>47121</v>
      </c>
      <c r="J77">
        <v>46880</v>
      </c>
      <c r="K77">
        <v>46574</v>
      </c>
      <c r="L77">
        <v>46187</v>
      </c>
      <c r="M77">
        <v>45943</v>
      </c>
      <c r="N77">
        <v>45712</v>
      </c>
      <c r="O77">
        <v>45158</v>
      </c>
      <c r="P77">
        <v>44812</v>
      </c>
      <c r="Q77">
        <v>44410</v>
      </c>
      <c r="R77">
        <v>44341</v>
      </c>
    </row>
    <row r="78" spans="1:18">
      <c r="A78">
        <v>15580</v>
      </c>
      <c r="B78" t="s">
        <v>769</v>
      </c>
      <c r="C78" t="s">
        <v>1261</v>
      </c>
      <c r="D78" t="s">
        <v>1254</v>
      </c>
      <c r="E78">
        <v>34236</v>
      </c>
      <c r="F78">
        <v>34421</v>
      </c>
      <c r="G78">
        <v>34495</v>
      </c>
      <c r="H78">
        <v>34609</v>
      </c>
      <c r="I78">
        <v>34798</v>
      </c>
      <c r="J78">
        <v>34743</v>
      </c>
      <c r="K78">
        <v>34765</v>
      </c>
      <c r="L78">
        <v>34857</v>
      </c>
      <c r="M78">
        <v>34765</v>
      </c>
      <c r="N78">
        <v>34899</v>
      </c>
      <c r="O78">
        <v>35210</v>
      </c>
      <c r="P78">
        <v>35502</v>
      </c>
      <c r="Q78">
        <v>35947</v>
      </c>
      <c r="R78">
        <v>36360</v>
      </c>
    </row>
    <row r="79" spans="1:18">
      <c r="A79">
        <v>15620</v>
      </c>
      <c r="B79" t="s">
        <v>770</v>
      </c>
      <c r="C79" t="s">
        <v>1261</v>
      </c>
      <c r="D79" t="s">
        <v>1254</v>
      </c>
      <c r="E79">
        <v>47549</v>
      </c>
      <c r="F79">
        <v>47524</v>
      </c>
      <c r="G79">
        <v>47496</v>
      </c>
      <c r="H79">
        <v>47492</v>
      </c>
      <c r="I79">
        <v>47768</v>
      </c>
      <c r="J79">
        <v>47697</v>
      </c>
      <c r="K79">
        <v>48029</v>
      </c>
      <c r="L79">
        <v>48149</v>
      </c>
      <c r="M79">
        <v>48434</v>
      </c>
      <c r="N79">
        <v>48607</v>
      </c>
      <c r="O79">
        <v>48758</v>
      </c>
      <c r="P79">
        <v>49071</v>
      </c>
      <c r="Q79">
        <v>49250</v>
      </c>
      <c r="R79">
        <v>49433</v>
      </c>
    </row>
    <row r="80" spans="1:18">
      <c r="A80">
        <v>15660</v>
      </c>
      <c r="B80" t="s">
        <v>771</v>
      </c>
      <c r="C80" t="s">
        <v>1261</v>
      </c>
      <c r="D80" t="s">
        <v>1254</v>
      </c>
      <c r="E80">
        <v>55232</v>
      </c>
      <c r="F80">
        <v>55399</v>
      </c>
      <c r="G80">
        <v>55468</v>
      </c>
      <c r="H80">
        <v>55444</v>
      </c>
      <c r="I80">
        <v>55425</v>
      </c>
      <c r="J80">
        <v>55802</v>
      </c>
      <c r="K80">
        <v>56378</v>
      </c>
      <c r="L80">
        <v>56462</v>
      </c>
      <c r="M80">
        <v>56885</v>
      </c>
      <c r="N80">
        <v>57084</v>
      </c>
      <c r="O80">
        <v>57722</v>
      </c>
      <c r="P80">
        <v>58239</v>
      </c>
      <c r="Q80">
        <v>58855</v>
      </c>
      <c r="R80">
        <v>59757</v>
      </c>
    </row>
    <row r="81" spans="1:18">
      <c r="A81">
        <v>15700</v>
      </c>
      <c r="B81" t="s">
        <v>772</v>
      </c>
      <c r="C81" t="s">
        <v>1261</v>
      </c>
      <c r="D81" t="s">
        <v>1254</v>
      </c>
      <c r="E81">
        <v>32706</v>
      </c>
      <c r="F81">
        <v>32787</v>
      </c>
      <c r="G81">
        <v>32635</v>
      </c>
      <c r="H81">
        <v>32784</v>
      </c>
      <c r="I81">
        <v>32789</v>
      </c>
      <c r="J81">
        <v>32784</v>
      </c>
      <c r="K81">
        <v>32686</v>
      </c>
      <c r="L81">
        <v>32574</v>
      </c>
      <c r="M81">
        <v>32439</v>
      </c>
      <c r="N81">
        <v>32473</v>
      </c>
      <c r="O81">
        <v>32530</v>
      </c>
      <c r="P81">
        <v>32594</v>
      </c>
      <c r="Q81">
        <v>32583</v>
      </c>
      <c r="R81">
        <v>32879</v>
      </c>
    </row>
    <row r="82" spans="1:18">
      <c r="A82">
        <v>15740</v>
      </c>
      <c r="B82" t="s">
        <v>773</v>
      </c>
      <c r="C82" t="s">
        <v>1261</v>
      </c>
      <c r="D82" t="s">
        <v>1254</v>
      </c>
      <c r="E82">
        <v>40142</v>
      </c>
      <c r="F82">
        <v>39868</v>
      </c>
      <c r="G82">
        <v>39801</v>
      </c>
      <c r="H82">
        <v>39593</v>
      </c>
      <c r="I82">
        <v>39539</v>
      </c>
      <c r="J82">
        <v>39206</v>
      </c>
      <c r="K82">
        <v>39006</v>
      </c>
      <c r="L82">
        <v>38810</v>
      </c>
      <c r="M82">
        <v>38708</v>
      </c>
      <c r="N82">
        <v>38538</v>
      </c>
      <c r="O82">
        <v>38423</v>
      </c>
      <c r="P82">
        <v>38287</v>
      </c>
      <c r="Q82">
        <v>38060</v>
      </c>
      <c r="R82">
        <v>38089</v>
      </c>
    </row>
    <row r="83" spans="1:18">
      <c r="A83">
        <v>15780</v>
      </c>
      <c r="B83" t="s">
        <v>774</v>
      </c>
      <c r="C83" t="s">
        <v>1261</v>
      </c>
      <c r="D83" t="s">
        <v>1254</v>
      </c>
      <c r="E83">
        <v>31383</v>
      </c>
      <c r="F83">
        <v>30851</v>
      </c>
      <c r="G83">
        <v>30452</v>
      </c>
      <c r="H83">
        <v>29823</v>
      </c>
      <c r="I83">
        <v>29511</v>
      </c>
      <c r="J83">
        <v>29005</v>
      </c>
      <c r="K83">
        <v>28562</v>
      </c>
      <c r="L83">
        <v>28314</v>
      </c>
      <c r="M83">
        <v>28017</v>
      </c>
      <c r="N83">
        <v>27631</v>
      </c>
      <c r="O83">
        <v>27351</v>
      </c>
      <c r="P83">
        <v>27040</v>
      </c>
      <c r="Q83">
        <v>26681</v>
      </c>
      <c r="R83">
        <v>26434</v>
      </c>
    </row>
    <row r="84" spans="1:18">
      <c r="A84">
        <v>15820</v>
      </c>
      <c r="B84" t="s">
        <v>775</v>
      </c>
      <c r="C84" t="s">
        <v>1261</v>
      </c>
      <c r="D84" t="s">
        <v>1254</v>
      </c>
      <c r="E84">
        <v>35905</v>
      </c>
      <c r="F84">
        <v>36222</v>
      </c>
      <c r="G84">
        <v>36434</v>
      </c>
      <c r="H84">
        <v>36444</v>
      </c>
      <c r="I84">
        <v>36553</v>
      </c>
      <c r="J84">
        <v>36763</v>
      </c>
      <c r="K84">
        <v>36677</v>
      </c>
      <c r="L84">
        <v>36889</v>
      </c>
      <c r="M84">
        <v>36845</v>
      </c>
      <c r="N84">
        <v>37086</v>
      </c>
      <c r="O84">
        <v>37132</v>
      </c>
      <c r="P84">
        <v>37512</v>
      </c>
      <c r="Q84">
        <v>37788</v>
      </c>
      <c r="R84">
        <v>37911</v>
      </c>
    </row>
    <row r="85" spans="1:18">
      <c r="A85">
        <v>15860</v>
      </c>
      <c r="B85" t="s">
        <v>776</v>
      </c>
      <c r="C85" t="s">
        <v>1261</v>
      </c>
      <c r="D85" t="s">
        <v>1254</v>
      </c>
      <c r="E85">
        <v>46859</v>
      </c>
      <c r="F85">
        <v>47523</v>
      </c>
      <c r="G85">
        <v>47306</v>
      </c>
      <c r="H85">
        <v>46693</v>
      </c>
      <c r="I85">
        <v>46620</v>
      </c>
      <c r="J85">
        <v>46867</v>
      </c>
      <c r="K85">
        <v>47701</v>
      </c>
      <c r="L85">
        <v>48402</v>
      </c>
      <c r="M85">
        <v>48955</v>
      </c>
      <c r="N85">
        <v>49002</v>
      </c>
      <c r="O85">
        <v>48878</v>
      </c>
      <c r="P85">
        <v>49237</v>
      </c>
      <c r="Q85">
        <v>49616</v>
      </c>
      <c r="R85">
        <v>50318</v>
      </c>
    </row>
    <row r="86" spans="1:18">
      <c r="A86">
        <v>16100</v>
      </c>
      <c r="B86" t="s">
        <v>777</v>
      </c>
      <c r="C86" t="s">
        <v>1261</v>
      </c>
      <c r="D86" t="s">
        <v>1254</v>
      </c>
      <c r="E86">
        <v>53996</v>
      </c>
      <c r="F86">
        <v>54505</v>
      </c>
      <c r="G86">
        <v>55208</v>
      </c>
      <c r="H86">
        <v>56835</v>
      </c>
      <c r="I86">
        <v>58242</v>
      </c>
      <c r="J86">
        <v>59675</v>
      </c>
      <c r="K86">
        <v>59959</v>
      </c>
      <c r="L86">
        <v>59769</v>
      </c>
      <c r="M86">
        <v>60763</v>
      </c>
      <c r="N86">
        <v>61856</v>
      </c>
      <c r="O86">
        <v>62333</v>
      </c>
      <c r="P86">
        <v>60855</v>
      </c>
      <c r="Q86">
        <v>60203</v>
      </c>
      <c r="R86">
        <v>60275</v>
      </c>
    </row>
    <row r="87" spans="1:18">
      <c r="A87">
        <v>16140</v>
      </c>
      <c r="B87" t="s">
        <v>778</v>
      </c>
      <c r="C87" t="s">
        <v>1261</v>
      </c>
      <c r="D87" t="s">
        <v>1254</v>
      </c>
      <c r="E87">
        <v>20843</v>
      </c>
      <c r="F87">
        <v>20960</v>
      </c>
      <c r="G87">
        <v>20833</v>
      </c>
      <c r="H87">
        <v>20797</v>
      </c>
      <c r="I87">
        <v>20832</v>
      </c>
      <c r="J87">
        <v>20837</v>
      </c>
      <c r="K87">
        <v>20858</v>
      </c>
      <c r="L87">
        <v>20829</v>
      </c>
      <c r="M87">
        <v>20749</v>
      </c>
      <c r="N87">
        <v>20846</v>
      </c>
      <c r="O87">
        <v>20726</v>
      </c>
      <c r="P87">
        <v>20740</v>
      </c>
      <c r="Q87">
        <v>20541</v>
      </c>
      <c r="R87">
        <v>20522</v>
      </c>
    </row>
    <row r="88" spans="1:18">
      <c r="A88">
        <v>16260</v>
      </c>
      <c r="B88" t="s">
        <v>779</v>
      </c>
      <c r="C88" t="s">
        <v>1261</v>
      </c>
      <c r="D88" t="s">
        <v>1254</v>
      </c>
      <c r="E88">
        <v>46281</v>
      </c>
      <c r="F88">
        <v>46716</v>
      </c>
      <c r="G88">
        <v>46813</v>
      </c>
      <c r="H88">
        <v>46779</v>
      </c>
      <c r="I88">
        <v>47370</v>
      </c>
      <c r="J88">
        <v>48531</v>
      </c>
      <c r="K88">
        <v>50204</v>
      </c>
      <c r="L88">
        <v>51478</v>
      </c>
      <c r="M88">
        <v>53591</v>
      </c>
      <c r="N88">
        <v>56010</v>
      </c>
      <c r="O88">
        <v>57713</v>
      </c>
      <c r="P88">
        <v>60520</v>
      </c>
      <c r="Q88">
        <v>62508</v>
      </c>
      <c r="R88">
        <v>64211</v>
      </c>
    </row>
    <row r="89" spans="1:18">
      <c r="A89">
        <v>16340</v>
      </c>
      <c r="B89" t="s">
        <v>780</v>
      </c>
      <c r="C89" t="s">
        <v>1261</v>
      </c>
      <c r="D89" t="s">
        <v>1254</v>
      </c>
      <c r="E89">
        <v>41540</v>
      </c>
      <c r="F89">
        <v>41289</v>
      </c>
      <c r="G89">
        <v>41118</v>
      </c>
      <c r="H89">
        <v>41002</v>
      </c>
      <c r="I89">
        <v>40914</v>
      </c>
      <c r="J89">
        <v>41255</v>
      </c>
      <c r="K89">
        <v>41638</v>
      </c>
      <c r="L89">
        <v>41905</v>
      </c>
      <c r="M89">
        <v>42446</v>
      </c>
      <c r="N89">
        <v>42696</v>
      </c>
      <c r="O89">
        <v>42924</v>
      </c>
      <c r="P89">
        <v>43316</v>
      </c>
      <c r="Q89">
        <v>43669</v>
      </c>
      <c r="R89">
        <v>44223</v>
      </c>
    </row>
    <row r="90" spans="1:18">
      <c r="A90">
        <v>16380</v>
      </c>
      <c r="B90" t="s">
        <v>781</v>
      </c>
      <c r="C90" t="s">
        <v>1261</v>
      </c>
      <c r="D90" t="s">
        <v>1254</v>
      </c>
      <c r="E90">
        <v>40819</v>
      </c>
      <c r="F90">
        <v>40864</v>
      </c>
      <c r="G90">
        <v>40969</v>
      </c>
      <c r="H90">
        <v>40997</v>
      </c>
      <c r="I90">
        <v>41231</v>
      </c>
      <c r="J90">
        <v>41344</v>
      </c>
      <c r="K90">
        <v>41494</v>
      </c>
      <c r="L90">
        <v>41735</v>
      </c>
      <c r="M90">
        <v>41953</v>
      </c>
      <c r="N90">
        <v>42348</v>
      </c>
      <c r="O90">
        <v>42542</v>
      </c>
      <c r="P90">
        <v>42392</v>
      </c>
      <c r="Q90">
        <v>42424</v>
      </c>
      <c r="R90">
        <v>42439</v>
      </c>
    </row>
    <row r="91" spans="1:18">
      <c r="A91">
        <v>16420</v>
      </c>
      <c r="B91" t="s">
        <v>782</v>
      </c>
      <c r="C91" t="s">
        <v>1261</v>
      </c>
      <c r="D91" t="s">
        <v>1254</v>
      </c>
      <c r="E91">
        <v>31669</v>
      </c>
      <c r="F91">
        <v>31581</v>
      </c>
      <c r="G91">
        <v>31483</v>
      </c>
      <c r="H91">
        <v>31471</v>
      </c>
      <c r="I91">
        <v>31493</v>
      </c>
      <c r="J91">
        <v>31482</v>
      </c>
      <c r="K91">
        <v>31417</v>
      </c>
      <c r="L91">
        <v>31252</v>
      </c>
      <c r="M91">
        <v>31191</v>
      </c>
      <c r="N91">
        <v>31073</v>
      </c>
      <c r="O91">
        <v>30894</v>
      </c>
      <c r="P91">
        <v>30323</v>
      </c>
      <c r="Q91">
        <v>30696</v>
      </c>
      <c r="R91">
        <v>30568</v>
      </c>
    </row>
    <row r="92" spans="1:18">
      <c r="A92">
        <v>16460</v>
      </c>
      <c r="B92" t="s">
        <v>783</v>
      </c>
      <c r="C92" t="s">
        <v>1261</v>
      </c>
      <c r="D92" t="s">
        <v>1254</v>
      </c>
      <c r="E92">
        <v>39432</v>
      </c>
      <c r="F92">
        <v>39222</v>
      </c>
      <c r="G92">
        <v>39153</v>
      </c>
      <c r="H92">
        <v>38877</v>
      </c>
      <c r="I92">
        <v>38823</v>
      </c>
      <c r="J92">
        <v>38688</v>
      </c>
      <c r="K92">
        <v>38420</v>
      </c>
      <c r="L92">
        <v>38176</v>
      </c>
      <c r="M92">
        <v>37925</v>
      </c>
      <c r="N92">
        <v>37837</v>
      </c>
      <c r="O92">
        <v>37652</v>
      </c>
      <c r="P92">
        <v>37379</v>
      </c>
      <c r="Q92">
        <v>36905</v>
      </c>
      <c r="R92">
        <v>36673</v>
      </c>
    </row>
    <row r="93" spans="1:18">
      <c r="A93">
        <v>16500</v>
      </c>
      <c r="B93" t="s">
        <v>784</v>
      </c>
      <c r="C93" t="s">
        <v>1261</v>
      </c>
      <c r="D93" t="s">
        <v>1254</v>
      </c>
      <c r="E93">
        <v>75512</v>
      </c>
      <c r="F93">
        <v>75718</v>
      </c>
      <c r="G93">
        <v>75531</v>
      </c>
      <c r="H93">
        <v>75107</v>
      </c>
      <c r="I93">
        <v>75025</v>
      </c>
      <c r="J93">
        <v>75658</v>
      </c>
      <c r="K93">
        <v>76932</v>
      </c>
      <c r="L93">
        <v>78533</v>
      </c>
      <c r="M93">
        <v>79771</v>
      </c>
      <c r="N93">
        <v>80945</v>
      </c>
      <c r="O93">
        <v>82553</v>
      </c>
      <c r="P93">
        <v>84569</v>
      </c>
      <c r="Q93">
        <v>85357</v>
      </c>
      <c r="R93">
        <v>86154</v>
      </c>
    </row>
    <row r="94" spans="1:18">
      <c r="A94">
        <v>16660</v>
      </c>
      <c r="B94" t="s">
        <v>785</v>
      </c>
      <c r="C94" t="s">
        <v>1261</v>
      </c>
      <c r="D94" t="s">
        <v>1254</v>
      </c>
      <c r="E94">
        <v>64815</v>
      </c>
      <c r="F94">
        <v>64204</v>
      </c>
      <c r="G94">
        <v>63372</v>
      </c>
      <c r="H94">
        <v>62673</v>
      </c>
      <c r="I94">
        <v>61787</v>
      </c>
      <c r="J94">
        <v>61011</v>
      </c>
      <c r="K94">
        <v>60259</v>
      </c>
      <c r="L94">
        <v>59485</v>
      </c>
      <c r="M94">
        <v>58575</v>
      </c>
      <c r="N94">
        <v>57996</v>
      </c>
      <c r="O94">
        <v>57193</v>
      </c>
      <c r="P94">
        <v>57154</v>
      </c>
      <c r="Q94">
        <v>56654</v>
      </c>
      <c r="R94">
        <v>56321</v>
      </c>
    </row>
    <row r="95" spans="1:18">
      <c r="A95">
        <v>17060</v>
      </c>
      <c r="B95" t="s">
        <v>786</v>
      </c>
      <c r="C95" t="s">
        <v>1261</v>
      </c>
      <c r="D95" t="s">
        <v>1254</v>
      </c>
      <c r="E95">
        <v>78117</v>
      </c>
      <c r="F95">
        <v>77667</v>
      </c>
      <c r="G95">
        <v>77490</v>
      </c>
      <c r="H95">
        <v>77488</v>
      </c>
      <c r="I95">
        <v>77363</v>
      </c>
      <c r="J95">
        <v>77372</v>
      </c>
      <c r="K95">
        <v>77251</v>
      </c>
      <c r="L95">
        <v>77724</v>
      </c>
      <c r="M95">
        <v>77340</v>
      </c>
      <c r="N95">
        <v>77151</v>
      </c>
      <c r="O95">
        <v>77049</v>
      </c>
      <c r="P95">
        <v>76500</v>
      </c>
      <c r="Q95">
        <v>76508</v>
      </c>
      <c r="R95">
        <v>76501</v>
      </c>
    </row>
    <row r="96" spans="1:18">
      <c r="A96">
        <v>17220</v>
      </c>
      <c r="B96" t="s">
        <v>787</v>
      </c>
      <c r="C96" t="s">
        <v>1261</v>
      </c>
      <c r="D96" t="s">
        <v>1254</v>
      </c>
      <c r="E96">
        <v>94277</v>
      </c>
      <c r="F96">
        <v>94272</v>
      </c>
      <c r="G96">
        <v>93997</v>
      </c>
      <c r="H96">
        <v>93918</v>
      </c>
      <c r="I96">
        <v>93556</v>
      </c>
      <c r="J96">
        <v>93320</v>
      </c>
      <c r="K96">
        <v>92883</v>
      </c>
      <c r="L96">
        <v>92196</v>
      </c>
      <c r="M96">
        <v>91586</v>
      </c>
      <c r="N96">
        <v>91000</v>
      </c>
      <c r="O96">
        <v>90315</v>
      </c>
      <c r="P96">
        <v>89668</v>
      </c>
      <c r="Q96">
        <v>88874</v>
      </c>
      <c r="R96">
        <v>88707</v>
      </c>
    </row>
    <row r="97" spans="1:18">
      <c r="A97">
        <v>17260</v>
      </c>
      <c r="B97" t="s">
        <v>788</v>
      </c>
      <c r="C97" t="s">
        <v>1261</v>
      </c>
      <c r="D97" t="s">
        <v>1254</v>
      </c>
      <c r="E97">
        <v>26101</v>
      </c>
      <c r="F97">
        <v>25813</v>
      </c>
      <c r="G97">
        <v>25542</v>
      </c>
      <c r="H97">
        <v>25073</v>
      </c>
      <c r="I97">
        <v>24701</v>
      </c>
      <c r="J97">
        <v>24331</v>
      </c>
      <c r="K97">
        <v>23650</v>
      </c>
      <c r="L97">
        <v>22981</v>
      </c>
      <c r="M97">
        <v>22369</v>
      </c>
      <c r="N97">
        <v>21787</v>
      </c>
      <c r="O97">
        <v>21224</v>
      </c>
      <c r="P97">
        <v>20721</v>
      </c>
      <c r="Q97">
        <v>20235</v>
      </c>
      <c r="R97">
        <v>20077</v>
      </c>
    </row>
    <row r="98" spans="1:18">
      <c r="A98">
        <v>17340</v>
      </c>
      <c r="B98" t="s">
        <v>789</v>
      </c>
      <c r="C98" t="s">
        <v>1261</v>
      </c>
      <c r="D98" t="s">
        <v>1254</v>
      </c>
      <c r="E98">
        <v>64823</v>
      </c>
      <c r="F98">
        <v>64694</v>
      </c>
      <c r="G98">
        <v>64749</v>
      </c>
      <c r="H98">
        <v>64942</v>
      </c>
      <c r="I98">
        <v>65545</v>
      </c>
      <c r="J98">
        <v>66116</v>
      </c>
      <c r="K98">
        <v>66110</v>
      </c>
      <c r="L98">
        <v>66697</v>
      </c>
      <c r="M98">
        <v>67333</v>
      </c>
      <c r="N98">
        <v>67771</v>
      </c>
      <c r="O98">
        <v>68199</v>
      </c>
      <c r="P98">
        <v>68645</v>
      </c>
      <c r="Q98">
        <v>68172</v>
      </c>
      <c r="R98">
        <v>67878</v>
      </c>
    </row>
    <row r="99" spans="1:18">
      <c r="A99">
        <v>17380</v>
      </c>
      <c r="B99" t="s">
        <v>790</v>
      </c>
      <c r="C99" t="s">
        <v>1261</v>
      </c>
      <c r="D99" t="s">
        <v>1254</v>
      </c>
      <c r="E99">
        <v>34123</v>
      </c>
      <c r="F99">
        <v>33904</v>
      </c>
      <c r="G99">
        <v>34177</v>
      </c>
      <c r="H99">
        <v>34238</v>
      </c>
      <c r="I99">
        <v>34151</v>
      </c>
      <c r="J99">
        <v>33629</v>
      </c>
      <c r="K99">
        <v>32995</v>
      </c>
      <c r="L99">
        <v>32245</v>
      </c>
      <c r="M99">
        <v>31739</v>
      </c>
      <c r="N99">
        <v>31361</v>
      </c>
      <c r="O99">
        <v>30835</v>
      </c>
      <c r="P99">
        <v>30201</v>
      </c>
      <c r="Q99">
        <v>29461</v>
      </c>
      <c r="R99">
        <v>28968</v>
      </c>
    </row>
    <row r="100" spans="1:18">
      <c r="A100">
        <v>17500</v>
      </c>
      <c r="B100" t="s">
        <v>791</v>
      </c>
      <c r="C100" t="s">
        <v>1261</v>
      </c>
      <c r="D100" t="s">
        <v>1254</v>
      </c>
      <c r="E100">
        <v>38934</v>
      </c>
      <c r="F100">
        <v>38614</v>
      </c>
      <c r="G100">
        <v>37246</v>
      </c>
      <c r="H100">
        <v>36914</v>
      </c>
      <c r="I100">
        <v>37290</v>
      </c>
      <c r="J100">
        <v>37765</v>
      </c>
      <c r="K100">
        <v>38305</v>
      </c>
      <c r="L100">
        <v>38953</v>
      </c>
      <c r="M100">
        <v>38888</v>
      </c>
      <c r="N100">
        <v>39319</v>
      </c>
      <c r="O100">
        <v>39723</v>
      </c>
      <c r="P100">
        <v>40215</v>
      </c>
      <c r="Q100">
        <v>41391</v>
      </c>
      <c r="R100">
        <v>43333</v>
      </c>
    </row>
    <row r="101" spans="1:18">
      <c r="A101">
        <v>17540</v>
      </c>
      <c r="B101" t="s">
        <v>792</v>
      </c>
      <c r="C101" t="s">
        <v>1261</v>
      </c>
      <c r="D101" t="s">
        <v>1254</v>
      </c>
      <c r="E101">
        <v>49093</v>
      </c>
      <c r="F101">
        <v>49111</v>
      </c>
      <c r="G101">
        <v>48723</v>
      </c>
      <c r="H101">
        <v>48315</v>
      </c>
      <c r="I101">
        <v>47944</v>
      </c>
      <c r="J101">
        <v>47622</v>
      </c>
      <c r="K101">
        <v>47318</v>
      </c>
      <c r="L101">
        <v>46965</v>
      </c>
      <c r="M101">
        <v>46549</v>
      </c>
      <c r="N101">
        <v>46607</v>
      </c>
      <c r="O101">
        <v>46427</v>
      </c>
      <c r="P101">
        <v>46483</v>
      </c>
      <c r="Q101">
        <v>46255</v>
      </c>
      <c r="R101">
        <v>46158</v>
      </c>
    </row>
    <row r="102" spans="1:18">
      <c r="A102">
        <v>17580</v>
      </c>
      <c r="B102" t="s">
        <v>793</v>
      </c>
      <c r="C102" t="s">
        <v>1261</v>
      </c>
      <c r="D102" t="s">
        <v>1254</v>
      </c>
      <c r="E102">
        <v>48967</v>
      </c>
      <c r="F102">
        <v>49780</v>
      </c>
      <c r="G102">
        <v>50727</v>
      </c>
      <c r="H102">
        <v>50660</v>
      </c>
      <c r="I102">
        <v>50954</v>
      </c>
      <c r="J102">
        <v>50101</v>
      </c>
      <c r="K102">
        <v>50046</v>
      </c>
      <c r="L102">
        <v>49559</v>
      </c>
      <c r="M102">
        <v>49041</v>
      </c>
      <c r="N102">
        <v>48667</v>
      </c>
      <c r="O102">
        <v>48370</v>
      </c>
      <c r="P102">
        <v>47936</v>
      </c>
      <c r="Q102">
        <v>47430</v>
      </c>
      <c r="R102">
        <v>47222</v>
      </c>
    </row>
    <row r="103" spans="1:18">
      <c r="A103">
        <v>17700</v>
      </c>
      <c r="B103" t="s">
        <v>794</v>
      </c>
      <c r="C103" t="s">
        <v>1261</v>
      </c>
      <c r="D103" t="s">
        <v>1254</v>
      </c>
      <c r="E103">
        <v>35350</v>
      </c>
      <c r="F103">
        <v>34773</v>
      </c>
      <c r="G103">
        <v>34451</v>
      </c>
      <c r="H103">
        <v>34412</v>
      </c>
      <c r="I103">
        <v>34049</v>
      </c>
      <c r="J103">
        <v>33386</v>
      </c>
      <c r="K103">
        <v>32767</v>
      </c>
      <c r="L103">
        <v>32288</v>
      </c>
      <c r="M103">
        <v>31935</v>
      </c>
      <c r="N103">
        <v>31680</v>
      </c>
      <c r="O103">
        <v>31404</v>
      </c>
      <c r="P103">
        <v>31181</v>
      </c>
      <c r="Q103">
        <v>30853</v>
      </c>
      <c r="R103">
        <v>30568</v>
      </c>
    </row>
    <row r="104" spans="1:18">
      <c r="A104">
        <v>17740</v>
      </c>
      <c r="B104" t="s">
        <v>795</v>
      </c>
      <c r="C104" t="s">
        <v>1261</v>
      </c>
      <c r="D104" t="s">
        <v>1254</v>
      </c>
      <c r="E104">
        <v>45208</v>
      </c>
      <c r="F104">
        <v>44090</v>
      </c>
      <c r="G104">
        <v>44095</v>
      </c>
      <c r="H104">
        <v>44021</v>
      </c>
      <c r="I104">
        <v>44310</v>
      </c>
      <c r="J104">
        <v>44348</v>
      </c>
      <c r="K104">
        <v>44297</v>
      </c>
      <c r="L104">
        <v>44326</v>
      </c>
      <c r="M104">
        <v>44595</v>
      </c>
      <c r="N104">
        <v>44702</v>
      </c>
      <c r="O104">
        <v>44884</v>
      </c>
      <c r="P104">
        <v>45215</v>
      </c>
      <c r="Q104">
        <v>44502</v>
      </c>
      <c r="R104">
        <v>45215</v>
      </c>
    </row>
    <row r="105" spans="1:18">
      <c r="A105">
        <v>18060</v>
      </c>
      <c r="B105" t="s">
        <v>796</v>
      </c>
      <c r="C105" t="s">
        <v>1261</v>
      </c>
      <c r="D105" t="s">
        <v>1254</v>
      </c>
      <c r="E105">
        <v>59807</v>
      </c>
      <c r="F105">
        <v>59679</v>
      </c>
      <c r="G105">
        <v>59713</v>
      </c>
      <c r="H105">
        <v>59962</v>
      </c>
      <c r="I105">
        <v>60006</v>
      </c>
      <c r="J105">
        <v>59942</v>
      </c>
      <c r="K105">
        <v>59809</v>
      </c>
      <c r="L105">
        <v>59470</v>
      </c>
      <c r="M105">
        <v>59160</v>
      </c>
      <c r="N105">
        <v>58995</v>
      </c>
      <c r="O105">
        <v>58777</v>
      </c>
      <c r="P105">
        <v>58160</v>
      </c>
      <c r="Q105">
        <v>57671</v>
      </c>
      <c r="R105">
        <v>57283</v>
      </c>
    </row>
    <row r="106" spans="1:18">
      <c r="A106">
        <v>18100</v>
      </c>
      <c r="B106" t="s">
        <v>797</v>
      </c>
      <c r="C106" t="s">
        <v>1261</v>
      </c>
      <c r="D106" t="s">
        <v>1254</v>
      </c>
      <c r="E106">
        <v>32327</v>
      </c>
      <c r="F106">
        <v>32628</v>
      </c>
      <c r="G106">
        <v>32872</v>
      </c>
      <c r="H106">
        <v>32886</v>
      </c>
      <c r="I106">
        <v>33122</v>
      </c>
      <c r="J106">
        <v>33338</v>
      </c>
      <c r="K106">
        <v>33547</v>
      </c>
      <c r="L106">
        <v>33883</v>
      </c>
      <c r="M106">
        <v>34006</v>
      </c>
      <c r="N106">
        <v>34256</v>
      </c>
      <c r="O106">
        <v>34287</v>
      </c>
      <c r="P106">
        <v>34295</v>
      </c>
      <c r="Q106">
        <v>34355</v>
      </c>
      <c r="R106">
        <v>34609</v>
      </c>
    </row>
    <row r="107" spans="1:18">
      <c r="A107">
        <v>18180</v>
      </c>
      <c r="B107" t="s">
        <v>798</v>
      </c>
      <c r="C107" t="s">
        <v>1261</v>
      </c>
      <c r="D107" t="s">
        <v>1254</v>
      </c>
      <c r="E107">
        <v>146427</v>
      </c>
      <c r="F107">
        <v>147056</v>
      </c>
      <c r="G107">
        <v>147441</v>
      </c>
      <c r="H107">
        <v>147978</v>
      </c>
      <c r="I107">
        <v>148809</v>
      </c>
      <c r="J107">
        <v>149460</v>
      </c>
      <c r="K107">
        <v>150071</v>
      </c>
      <c r="L107">
        <v>151016</v>
      </c>
      <c r="M107">
        <v>152081</v>
      </c>
      <c r="N107">
        <v>152845</v>
      </c>
      <c r="O107">
        <v>154038</v>
      </c>
      <c r="P107">
        <v>154622</v>
      </c>
      <c r="Q107">
        <v>156459</v>
      </c>
      <c r="R107">
        <v>157103</v>
      </c>
    </row>
    <row r="108" spans="1:18">
      <c r="A108">
        <v>18220</v>
      </c>
      <c r="B108" t="s">
        <v>799</v>
      </c>
      <c r="C108" t="s">
        <v>1261</v>
      </c>
      <c r="D108" t="s">
        <v>1254</v>
      </c>
      <c r="E108">
        <v>24336</v>
      </c>
      <c r="F108">
        <v>24210</v>
      </c>
      <c r="G108">
        <v>24053</v>
      </c>
      <c r="H108">
        <v>23977</v>
      </c>
      <c r="I108">
        <v>23635</v>
      </c>
      <c r="J108">
        <v>23627</v>
      </c>
      <c r="K108">
        <v>23527</v>
      </c>
      <c r="L108">
        <v>23462</v>
      </c>
      <c r="M108">
        <v>23393</v>
      </c>
      <c r="N108">
        <v>23450</v>
      </c>
      <c r="O108">
        <v>23359</v>
      </c>
      <c r="P108">
        <v>23381</v>
      </c>
      <c r="Q108">
        <v>23389</v>
      </c>
      <c r="R108">
        <v>23362</v>
      </c>
    </row>
    <row r="109" spans="1:18">
      <c r="A109">
        <v>18260</v>
      </c>
      <c r="B109" t="s">
        <v>800</v>
      </c>
      <c r="C109" t="s">
        <v>1261</v>
      </c>
      <c r="D109" t="s">
        <v>1254</v>
      </c>
      <c r="E109">
        <v>106242</v>
      </c>
      <c r="F109">
        <v>106677</v>
      </c>
      <c r="G109">
        <v>107081</v>
      </c>
      <c r="H109">
        <v>107320</v>
      </c>
      <c r="I109">
        <v>107996</v>
      </c>
      <c r="J109">
        <v>108163</v>
      </c>
      <c r="K109">
        <v>108913</v>
      </c>
      <c r="L109">
        <v>110190</v>
      </c>
      <c r="M109">
        <v>111586</v>
      </c>
      <c r="N109">
        <v>113059</v>
      </c>
      <c r="O109">
        <v>114294</v>
      </c>
      <c r="P109">
        <v>115852</v>
      </c>
      <c r="Q109">
        <v>117478</v>
      </c>
      <c r="R109">
        <v>119534</v>
      </c>
    </row>
    <row r="110" spans="1:18">
      <c r="A110">
        <v>18300</v>
      </c>
      <c r="B110" t="s">
        <v>801</v>
      </c>
      <c r="C110" t="s">
        <v>1261</v>
      </c>
      <c r="D110" t="s">
        <v>1254</v>
      </c>
      <c r="E110">
        <v>63014</v>
      </c>
      <c r="F110">
        <v>62808</v>
      </c>
      <c r="G110">
        <v>62731</v>
      </c>
      <c r="H110">
        <v>62459</v>
      </c>
      <c r="I110">
        <v>62469</v>
      </c>
      <c r="J110">
        <v>62778</v>
      </c>
      <c r="K110">
        <v>63487</v>
      </c>
      <c r="L110">
        <v>63883</v>
      </c>
      <c r="M110">
        <v>64475</v>
      </c>
      <c r="N110">
        <v>64833</v>
      </c>
      <c r="O110">
        <v>64979</v>
      </c>
      <c r="P110">
        <v>65126</v>
      </c>
      <c r="Q110">
        <v>64923</v>
      </c>
      <c r="R110">
        <v>64212</v>
      </c>
    </row>
    <row r="111" spans="1:18">
      <c r="A111">
        <v>18380</v>
      </c>
      <c r="B111" t="s">
        <v>802</v>
      </c>
      <c r="C111" t="s">
        <v>1261</v>
      </c>
      <c r="D111" t="s">
        <v>1254</v>
      </c>
      <c r="E111">
        <v>23382</v>
      </c>
      <c r="F111">
        <v>23481</v>
      </c>
      <c r="G111">
        <v>23109</v>
      </c>
      <c r="H111">
        <v>22616</v>
      </c>
      <c r="I111">
        <v>22178</v>
      </c>
      <c r="J111">
        <v>21876</v>
      </c>
      <c r="K111">
        <v>21599</v>
      </c>
      <c r="L111">
        <v>21207</v>
      </c>
      <c r="M111">
        <v>20917</v>
      </c>
      <c r="N111">
        <v>20550</v>
      </c>
      <c r="O111">
        <v>20053</v>
      </c>
      <c r="P111">
        <v>20000</v>
      </c>
      <c r="Q111">
        <v>19729</v>
      </c>
      <c r="R111">
        <v>19631</v>
      </c>
    </row>
    <row r="112" spans="1:18">
      <c r="A112">
        <v>18420</v>
      </c>
      <c r="B112" t="s">
        <v>803</v>
      </c>
      <c r="C112" t="s">
        <v>1261</v>
      </c>
      <c r="D112" t="s">
        <v>1254</v>
      </c>
      <c r="E112">
        <v>37053</v>
      </c>
      <c r="F112">
        <v>37014</v>
      </c>
      <c r="G112">
        <v>36724</v>
      </c>
      <c r="H112">
        <v>36577</v>
      </c>
      <c r="I112">
        <v>36335</v>
      </c>
      <c r="J112">
        <v>36140</v>
      </c>
      <c r="K112">
        <v>35888</v>
      </c>
      <c r="L112">
        <v>35625</v>
      </c>
      <c r="M112">
        <v>35087</v>
      </c>
      <c r="N112">
        <v>35034</v>
      </c>
      <c r="O112">
        <v>34733</v>
      </c>
      <c r="P112">
        <v>34398</v>
      </c>
      <c r="Q112">
        <v>34147</v>
      </c>
      <c r="R112">
        <v>34135</v>
      </c>
    </row>
    <row r="113" spans="1:18">
      <c r="A113">
        <v>18460</v>
      </c>
      <c r="B113" t="s">
        <v>804</v>
      </c>
      <c r="C113" t="s">
        <v>1261</v>
      </c>
      <c r="D113" t="s">
        <v>1254</v>
      </c>
      <c r="E113">
        <v>43060</v>
      </c>
      <c r="F113">
        <v>43050</v>
      </c>
      <c r="G113">
        <v>43388</v>
      </c>
      <c r="H113">
        <v>43167</v>
      </c>
      <c r="I113">
        <v>43580</v>
      </c>
      <c r="J113">
        <v>43808</v>
      </c>
      <c r="K113">
        <v>44204</v>
      </c>
      <c r="L113">
        <v>44732</v>
      </c>
      <c r="M113">
        <v>45631</v>
      </c>
      <c r="N113">
        <v>45598</v>
      </c>
      <c r="O113">
        <v>46142</v>
      </c>
      <c r="P113">
        <v>46748</v>
      </c>
      <c r="Q113">
        <v>47465</v>
      </c>
      <c r="R113">
        <v>48757</v>
      </c>
    </row>
    <row r="114" spans="1:18">
      <c r="A114">
        <v>18500</v>
      </c>
      <c r="B114" t="s">
        <v>805</v>
      </c>
      <c r="C114" t="s">
        <v>1261</v>
      </c>
      <c r="D114" t="s">
        <v>1254</v>
      </c>
      <c r="E114">
        <v>98939</v>
      </c>
      <c r="F114">
        <v>98967</v>
      </c>
      <c r="G114">
        <v>98632</v>
      </c>
      <c r="H114">
        <v>98431</v>
      </c>
      <c r="I114">
        <v>97637</v>
      </c>
      <c r="J114">
        <v>96911</v>
      </c>
      <c r="K114">
        <v>96217</v>
      </c>
      <c r="L114">
        <v>95506</v>
      </c>
      <c r="M114">
        <v>94890</v>
      </c>
      <c r="N114">
        <v>94230</v>
      </c>
      <c r="O114">
        <v>93309</v>
      </c>
      <c r="P114">
        <v>93087</v>
      </c>
      <c r="Q114">
        <v>92505</v>
      </c>
      <c r="R114">
        <v>92162</v>
      </c>
    </row>
    <row r="115" spans="1:18">
      <c r="A115">
        <v>18620</v>
      </c>
      <c r="B115" t="s">
        <v>806</v>
      </c>
      <c r="C115" t="s">
        <v>1261</v>
      </c>
      <c r="D115" t="s">
        <v>1254</v>
      </c>
      <c r="E115">
        <v>47918</v>
      </c>
      <c r="F115">
        <v>48310</v>
      </c>
      <c r="G115">
        <v>48588</v>
      </c>
      <c r="H115">
        <v>48658</v>
      </c>
      <c r="I115">
        <v>48719</v>
      </c>
      <c r="J115">
        <v>49177</v>
      </c>
      <c r="K115">
        <v>49612</v>
      </c>
      <c r="L115">
        <v>50159</v>
      </c>
      <c r="M115">
        <v>51195</v>
      </c>
      <c r="N115">
        <v>51832</v>
      </c>
      <c r="O115">
        <v>52838</v>
      </c>
      <c r="P115">
        <v>53637</v>
      </c>
      <c r="Q115">
        <v>54687</v>
      </c>
      <c r="R115">
        <v>55635</v>
      </c>
    </row>
    <row r="116" spans="1:18">
      <c r="A116">
        <v>18660</v>
      </c>
      <c r="B116" t="s">
        <v>807</v>
      </c>
      <c r="C116" t="s">
        <v>1261</v>
      </c>
      <c r="D116" t="s">
        <v>1254</v>
      </c>
      <c r="E116">
        <v>49268</v>
      </c>
      <c r="F116">
        <v>49332</v>
      </c>
      <c r="G116">
        <v>48938</v>
      </c>
      <c r="H116">
        <v>48782</v>
      </c>
      <c r="I116">
        <v>48575</v>
      </c>
      <c r="J116">
        <v>48086</v>
      </c>
      <c r="K116">
        <v>47697</v>
      </c>
      <c r="L116">
        <v>47541</v>
      </c>
      <c r="M116">
        <v>47389</v>
      </c>
      <c r="N116">
        <v>47042</v>
      </c>
      <c r="O116">
        <v>46741</v>
      </c>
      <c r="P116">
        <v>46413</v>
      </c>
      <c r="Q116">
        <v>46081</v>
      </c>
      <c r="R116">
        <v>45752</v>
      </c>
    </row>
    <row r="117" spans="1:18">
      <c r="A117">
        <v>18740</v>
      </c>
      <c r="B117" t="s">
        <v>808</v>
      </c>
      <c r="C117" t="s">
        <v>1261</v>
      </c>
      <c r="D117" t="s">
        <v>1254</v>
      </c>
      <c r="E117">
        <v>36940</v>
      </c>
      <c r="F117">
        <v>36943</v>
      </c>
      <c r="G117">
        <v>36846</v>
      </c>
      <c r="H117">
        <v>36757</v>
      </c>
      <c r="I117">
        <v>36576</v>
      </c>
      <c r="J117">
        <v>36637</v>
      </c>
      <c r="K117">
        <v>36720</v>
      </c>
      <c r="L117">
        <v>36615</v>
      </c>
      <c r="M117">
        <v>36698</v>
      </c>
      <c r="N117">
        <v>36652</v>
      </c>
      <c r="O117">
        <v>36584</v>
      </c>
      <c r="P117">
        <v>36658</v>
      </c>
      <c r="Q117">
        <v>36615</v>
      </c>
      <c r="R117">
        <v>36869</v>
      </c>
    </row>
    <row r="118" spans="1:18">
      <c r="A118">
        <v>18780</v>
      </c>
      <c r="B118" t="s">
        <v>809</v>
      </c>
      <c r="C118" t="s">
        <v>1261</v>
      </c>
      <c r="D118" t="s">
        <v>1254</v>
      </c>
      <c r="E118">
        <v>13798</v>
      </c>
      <c r="F118">
        <v>13438</v>
      </c>
      <c r="G118">
        <v>13198</v>
      </c>
      <c r="H118">
        <v>13166</v>
      </c>
      <c r="I118">
        <v>12989</v>
      </c>
      <c r="J118">
        <v>13005</v>
      </c>
      <c r="K118">
        <v>13227</v>
      </c>
      <c r="L118">
        <v>13179</v>
      </c>
      <c r="M118">
        <v>13243</v>
      </c>
      <c r="N118">
        <v>13316</v>
      </c>
      <c r="O118">
        <v>13269</v>
      </c>
      <c r="P118">
        <v>13165</v>
      </c>
      <c r="Q118">
        <v>13205</v>
      </c>
      <c r="R118">
        <v>13327</v>
      </c>
    </row>
    <row r="119" spans="1:18">
      <c r="A119">
        <v>18820</v>
      </c>
      <c r="B119" t="s">
        <v>810</v>
      </c>
      <c r="C119" t="s">
        <v>1261</v>
      </c>
      <c r="D119" t="s">
        <v>1254</v>
      </c>
      <c r="E119">
        <v>38086</v>
      </c>
      <c r="F119">
        <v>38290</v>
      </c>
      <c r="G119">
        <v>38090</v>
      </c>
      <c r="H119">
        <v>38014</v>
      </c>
      <c r="I119">
        <v>37989</v>
      </c>
      <c r="J119">
        <v>38045</v>
      </c>
      <c r="K119">
        <v>37991</v>
      </c>
      <c r="L119">
        <v>38052</v>
      </c>
      <c r="M119">
        <v>37921</v>
      </c>
      <c r="N119">
        <v>37904</v>
      </c>
      <c r="O119">
        <v>37935</v>
      </c>
      <c r="P119">
        <v>38057</v>
      </c>
      <c r="Q119">
        <v>38319</v>
      </c>
      <c r="R119">
        <v>38573</v>
      </c>
    </row>
    <row r="120" spans="1:18">
      <c r="A120">
        <v>18860</v>
      </c>
      <c r="B120" t="s">
        <v>811</v>
      </c>
      <c r="C120" t="s">
        <v>1261</v>
      </c>
      <c r="D120" t="s">
        <v>1254</v>
      </c>
      <c r="E120">
        <v>28562</v>
      </c>
      <c r="F120">
        <v>28414</v>
      </c>
      <c r="G120">
        <v>28135</v>
      </c>
      <c r="H120">
        <v>27736</v>
      </c>
      <c r="I120">
        <v>27074</v>
      </c>
      <c r="J120">
        <v>27065</v>
      </c>
      <c r="K120">
        <v>27255</v>
      </c>
      <c r="L120">
        <v>27198</v>
      </c>
      <c r="M120">
        <v>27580</v>
      </c>
      <c r="N120">
        <v>27664</v>
      </c>
      <c r="O120">
        <v>27604</v>
      </c>
      <c r="P120">
        <v>27584</v>
      </c>
      <c r="Q120">
        <v>27112</v>
      </c>
      <c r="R120">
        <v>26589</v>
      </c>
    </row>
    <row r="121" spans="1:18">
      <c r="A121">
        <v>18900</v>
      </c>
      <c r="B121" t="s">
        <v>812</v>
      </c>
      <c r="C121" t="s">
        <v>1261</v>
      </c>
      <c r="D121" t="s">
        <v>1254</v>
      </c>
      <c r="E121">
        <v>56187</v>
      </c>
      <c r="F121">
        <v>56507</v>
      </c>
      <c r="G121">
        <v>56951</v>
      </c>
      <c r="H121">
        <v>57378</v>
      </c>
      <c r="I121">
        <v>57839</v>
      </c>
      <c r="J121">
        <v>58117</v>
      </c>
      <c r="K121">
        <v>58426</v>
      </c>
      <c r="L121">
        <v>58872</v>
      </c>
      <c r="M121">
        <v>59733</v>
      </c>
      <c r="N121">
        <v>60559</v>
      </c>
      <c r="O121">
        <v>61379</v>
      </c>
      <c r="P121">
        <v>62391</v>
      </c>
      <c r="Q121">
        <v>63482</v>
      </c>
      <c r="R121">
        <v>64760</v>
      </c>
    </row>
    <row r="122" spans="1:18">
      <c r="A122">
        <v>18980</v>
      </c>
      <c r="B122" t="s">
        <v>813</v>
      </c>
      <c r="C122" t="s">
        <v>1261</v>
      </c>
      <c r="D122" t="s">
        <v>1254</v>
      </c>
      <c r="E122">
        <v>80538</v>
      </c>
      <c r="F122">
        <v>80831</v>
      </c>
      <c r="G122">
        <v>81033</v>
      </c>
      <c r="H122">
        <v>81780</v>
      </c>
      <c r="I122">
        <v>82497</v>
      </c>
      <c r="J122">
        <v>83536</v>
      </c>
      <c r="K122">
        <v>84554</v>
      </c>
      <c r="L122">
        <v>85303</v>
      </c>
      <c r="M122">
        <v>86134</v>
      </c>
      <c r="N122">
        <v>86838</v>
      </c>
      <c r="O122">
        <v>88136</v>
      </c>
      <c r="P122">
        <v>89639</v>
      </c>
      <c r="Q122">
        <v>90663</v>
      </c>
      <c r="R122">
        <v>92016</v>
      </c>
    </row>
    <row r="123" spans="1:18">
      <c r="A123">
        <v>19000</v>
      </c>
      <c r="B123" t="s">
        <v>814</v>
      </c>
      <c r="C123" t="s">
        <v>1261</v>
      </c>
      <c r="D123" t="s">
        <v>1254</v>
      </c>
      <c r="E123">
        <v>54361</v>
      </c>
      <c r="F123">
        <v>54154</v>
      </c>
      <c r="G123">
        <v>54519</v>
      </c>
      <c r="H123">
        <v>54724</v>
      </c>
      <c r="I123">
        <v>54821</v>
      </c>
      <c r="J123">
        <v>55204</v>
      </c>
      <c r="K123">
        <v>56250</v>
      </c>
      <c r="L123">
        <v>56798</v>
      </c>
      <c r="M123">
        <v>57003</v>
      </c>
      <c r="N123">
        <v>57147</v>
      </c>
      <c r="O123">
        <v>56340</v>
      </c>
      <c r="P123">
        <v>56715</v>
      </c>
      <c r="Q123">
        <v>57858</v>
      </c>
      <c r="R123">
        <v>58490</v>
      </c>
    </row>
    <row r="124" spans="1:18">
      <c r="A124">
        <v>19220</v>
      </c>
      <c r="B124" t="s">
        <v>815</v>
      </c>
      <c r="C124" t="s">
        <v>1261</v>
      </c>
      <c r="D124" t="s">
        <v>1254</v>
      </c>
      <c r="E124">
        <v>53400</v>
      </c>
      <c r="F124">
        <v>53540</v>
      </c>
      <c r="G124">
        <v>53461</v>
      </c>
      <c r="H124">
        <v>54119</v>
      </c>
      <c r="I124">
        <v>54306</v>
      </c>
      <c r="J124">
        <v>54211</v>
      </c>
      <c r="K124">
        <v>54424</v>
      </c>
      <c r="L124">
        <v>54578</v>
      </c>
      <c r="M124">
        <v>54822</v>
      </c>
      <c r="N124">
        <v>54631</v>
      </c>
      <c r="O124">
        <v>55008</v>
      </c>
      <c r="P124">
        <v>54899</v>
      </c>
      <c r="Q124">
        <v>55270</v>
      </c>
      <c r="R124">
        <v>55764</v>
      </c>
    </row>
    <row r="125" spans="1:18">
      <c r="A125">
        <v>19260</v>
      </c>
      <c r="B125" t="s">
        <v>816</v>
      </c>
      <c r="C125" t="s">
        <v>1261</v>
      </c>
      <c r="D125" t="s">
        <v>1254</v>
      </c>
      <c r="E125">
        <v>106596</v>
      </c>
      <c r="F125">
        <v>106321</v>
      </c>
      <c r="G125">
        <v>106339</v>
      </c>
      <c r="H125">
        <v>106246</v>
      </c>
      <c r="I125">
        <v>106023</v>
      </c>
      <c r="J125">
        <v>105661</v>
      </c>
      <c r="K125">
        <v>105383</v>
      </c>
      <c r="L125">
        <v>104657</v>
      </c>
      <c r="M125">
        <v>104153</v>
      </c>
      <c r="N125">
        <v>103316</v>
      </c>
      <c r="O125">
        <v>102946</v>
      </c>
      <c r="P125">
        <v>102323</v>
      </c>
      <c r="Q125">
        <v>101841</v>
      </c>
      <c r="R125">
        <v>101408</v>
      </c>
    </row>
    <row r="126" spans="1:18">
      <c r="A126">
        <v>19420</v>
      </c>
      <c r="B126" t="s">
        <v>817</v>
      </c>
      <c r="C126" t="s">
        <v>1261</v>
      </c>
      <c r="D126" t="s">
        <v>1254</v>
      </c>
      <c r="E126">
        <v>31848</v>
      </c>
      <c r="F126">
        <v>32028</v>
      </c>
      <c r="G126">
        <v>32268</v>
      </c>
      <c r="H126">
        <v>32385</v>
      </c>
      <c r="I126">
        <v>32437</v>
      </c>
      <c r="J126">
        <v>32143</v>
      </c>
      <c r="K126">
        <v>32219</v>
      </c>
      <c r="L126">
        <v>32346</v>
      </c>
      <c r="M126">
        <v>32515</v>
      </c>
      <c r="N126">
        <v>32734</v>
      </c>
      <c r="O126">
        <v>32938</v>
      </c>
      <c r="P126">
        <v>33189</v>
      </c>
      <c r="Q126">
        <v>33689</v>
      </c>
      <c r="R126">
        <v>33924</v>
      </c>
    </row>
    <row r="127" spans="1:18">
      <c r="A127">
        <v>19540</v>
      </c>
      <c r="B127" t="s">
        <v>818</v>
      </c>
      <c r="C127" t="s">
        <v>1261</v>
      </c>
      <c r="D127" t="s">
        <v>1254</v>
      </c>
      <c r="E127">
        <v>34443</v>
      </c>
      <c r="F127">
        <v>34371</v>
      </c>
      <c r="G127">
        <v>34410</v>
      </c>
      <c r="H127">
        <v>34658</v>
      </c>
      <c r="I127">
        <v>34775</v>
      </c>
      <c r="J127">
        <v>34967</v>
      </c>
      <c r="K127">
        <v>35221</v>
      </c>
      <c r="L127">
        <v>35415</v>
      </c>
      <c r="M127">
        <v>35571</v>
      </c>
      <c r="N127">
        <v>35694</v>
      </c>
      <c r="O127">
        <v>35849</v>
      </c>
      <c r="P127">
        <v>35991</v>
      </c>
      <c r="Q127">
        <v>36151</v>
      </c>
      <c r="R127">
        <v>36288</v>
      </c>
    </row>
    <row r="128" spans="1:18">
      <c r="A128">
        <v>19580</v>
      </c>
      <c r="B128" t="s">
        <v>819</v>
      </c>
      <c r="C128" t="s">
        <v>1261</v>
      </c>
      <c r="D128" t="s">
        <v>1254</v>
      </c>
      <c r="E128">
        <v>39094</v>
      </c>
      <c r="F128">
        <v>39073</v>
      </c>
      <c r="G128">
        <v>38949</v>
      </c>
      <c r="H128">
        <v>38736</v>
      </c>
      <c r="I128">
        <v>38742</v>
      </c>
      <c r="J128">
        <v>38589</v>
      </c>
      <c r="K128">
        <v>38447</v>
      </c>
      <c r="L128">
        <v>38488</v>
      </c>
      <c r="M128">
        <v>38421</v>
      </c>
      <c r="N128">
        <v>38399</v>
      </c>
      <c r="O128">
        <v>38262</v>
      </c>
      <c r="P128">
        <v>38170</v>
      </c>
      <c r="Q128">
        <v>38128</v>
      </c>
      <c r="R128">
        <v>38315</v>
      </c>
    </row>
    <row r="129" spans="1:18">
      <c r="A129">
        <v>19620</v>
      </c>
      <c r="B129" t="s">
        <v>820</v>
      </c>
      <c r="C129" t="s">
        <v>1261</v>
      </c>
      <c r="D129" t="s">
        <v>1254</v>
      </c>
      <c r="E129">
        <v>48928</v>
      </c>
      <c r="F129">
        <v>48785</v>
      </c>
      <c r="G129">
        <v>48649</v>
      </c>
      <c r="H129">
        <v>48567</v>
      </c>
      <c r="I129">
        <v>48222</v>
      </c>
      <c r="J129">
        <v>48120</v>
      </c>
      <c r="K129">
        <v>48018</v>
      </c>
      <c r="L129">
        <v>48045</v>
      </c>
      <c r="M129">
        <v>47881</v>
      </c>
      <c r="N129">
        <v>47734</v>
      </c>
      <c r="O129">
        <v>47605</v>
      </c>
      <c r="P129">
        <v>47533</v>
      </c>
      <c r="Q129">
        <v>47617</v>
      </c>
      <c r="R129">
        <v>47720</v>
      </c>
    </row>
    <row r="130" spans="1:18">
      <c r="A130">
        <v>19700</v>
      </c>
      <c r="B130" t="s">
        <v>821</v>
      </c>
      <c r="C130" t="s">
        <v>1261</v>
      </c>
      <c r="D130" t="s">
        <v>1254</v>
      </c>
      <c r="E130">
        <v>25119</v>
      </c>
      <c r="F130">
        <v>25296</v>
      </c>
      <c r="G130">
        <v>25263</v>
      </c>
      <c r="H130">
        <v>25085</v>
      </c>
      <c r="I130">
        <v>25063</v>
      </c>
      <c r="J130">
        <v>25152</v>
      </c>
      <c r="K130">
        <v>25307</v>
      </c>
      <c r="L130">
        <v>25232</v>
      </c>
      <c r="M130">
        <v>25121</v>
      </c>
      <c r="N130">
        <v>25135</v>
      </c>
      <c r="O130">
        <v>25458</v>
      </c>
      <c r="P130">
        <v>25471</v>
      </c>
      <c r="Q130">
        <v>25693</v>
      </c>
      <c r="R130">
        <v>25316</v>
      </c>
    </row>
    <row r="131" spans="1:18">
      <c r="A131">
        <v>19760</v>
      </c>
      <c r="B131" t="s">
        <v>822</v>
      </c>
      <c r="C131" t="s">
        <v>1261</v>
      </c>
      <c r="D131" t="s">
        <v>1254</v>
      </c>
      <c r="E131">
        <v>35801</v>
      </c>
      <c r="F131">
        <v>35949</v>
      </c>
      <c r="G131">
        <v>36070</v>
      </c>
      <c r="H131">
        <v>35883</v>
      </c>
      <c r="I131">
        <v>35746</v>
      </c>
      <c r="J131">
        <v>35912</v>
      </c>
      <c r="K131">
        <v>36250</v>
      </c>
      <c r="L131">
        <v>35987</v>
      </c>
      <c r="M131">
        <v>36454</v>
      </c>
      <c r="N131">
        <v>36482</v>
      </c>
      <c r="O131">
        <v>36605</v>
      </c>
      <c r="P131">
        <v>36668</v>
      </c>
      <c r="Q131">
        <v>36624</v>
      </c>
      <c r="R131">
        <v>36827</v>
      </c>
    </row>
    <row r="132" spans="1:18">
      <c r="A132">
        <v>19860</v>
      </c>
      <c r="B132" t="s">
        <v>823</v>
      </c>
      <c r="C132" t="s">
        <v>1261</v>
      </c>
      <c r="D132" t="s">
        <v>1254</v>
      </c>
      <c r="E132">
        <v>25175</v>
      </c>
      <c r="F132">
        <v>26204</v>
      </c>
      <c r="G132">
        <v>28161</v>
      </c>
      <c r="H132">
        <v>29747</v>
      </c>
      <c r="I132">
        <v>31954</v>
      </c>
      <c r="J132">
        <v>33751</v>
      </c>
      <c r="K132">
        <v>32923</v>
      </c>
      <c r="L132">
        <v>32467</v>
      </c>
      <c r="M132">
        <v>33226</v>
      </c>
      <c r="N132">
        <v>33983</v>
      </c>
      <c r="O132">
        <v>34765</v>
      </c>
      <c r="P132">
        <v>33992</v>
      </c>
      <c r="Q132">
        <v>33743</v>
      </c>
      <c r="R132">
        <v>34035</v>
      </c>
    </row>
    <row r="133" spans="1:18">
      <c r="A133">
        <v>19940</v>
      </c>
      <c r="B133" t="s">
        <v>824</v>
      </c>
      <c r="C133" t="s">
        <v>1261</v>
      </c>
      <c r="D133" t="s">
        <v>1254</v>
      </c>
      <c r="E133">
        <v>35989</v>
      </c>
      <c r="F133">
        <v>35661</v>
      </c>
      <c r="G133">
        <v>35307</v>
      </c>
      <c r="H133">
        <v>35251</v>
      </c>
      <c r="I133">
        <v>35078</v>
      </c>
      <c r="J133">
        <v>34724</v>
      </c>
      <c r="K133">
        <v>34740</v>
      </c>
      <c r="L133">
        <v>34813</v>
      </c>
      <c r="M133">
        <v>34597</v>
      </c>
      <c r="N133">
        <v>34412</v>
      </c>
      <c r="O133">
        <v>34062</v>
      </c>
      <c r="P133">
        <v>34195</v>
      </c>
      <c r="Q133">
        <v>33938</v>
      </c>
      <c r="R133">
        <v>33654</v>
      </c>
    </row>
    <row r="134" spans="1:18">
      <c r="A134">
        <v>19980</v>
      </c>
      <c r="B134" t="s">
        <v>825</v>
      </c>
      <c r="C134" t="s">
        <v>1261</v>
      </c>
      <c r="D134" t="s">
        <v>1254</v>
      </c>
      <c r="E134">
        <v>34034</v>
      </c>
      <c r="F134">
        <v>34512</v>
      </c>
      <c r="G134">
        <v>34915</v>
      </c>
      <c r="H134">
        <v>35242</v>
      </c>
      <c r="I134">
        <v>35409</v>
      </c>
      <c r="J134">
        <v>35213</v>
      </c>
      <c r="K134">
        <v>35154</v>
      </c>
      <c r="L134">
        <v>34897</v>
      </c>
      <c r="M134">
        <v>34541</v>
      </c>
      <c r="N134">
        <v>34370</v>
      </c>
      <c r="O134">
        <v>34215</v>
      </c>
      <c r="P134">
        <v>34186</v>
      </c>
      <c r="Q134">
        <v>33924</v>
      </c>
      <c r="R134">
        <v>33980</v>
      </c>
    </row>
    <row r="135" spans="1:18">
      <c r="A135">
        <v>20060</v>
      </c>
      <c r="B135" t="s">
        <v>826</v>
      </c>
      <c r="C135" t="s">
        <v>1261</v>
      </c>
      <c r="D135" t="s">
        <v>1254</v>
      </c>
      <c r="E135">
        <v>51087</v>
      </c>
      <c r="F135">
        <v>51327</v>
      </c>
      <c r="G135">
        <v>51331</v>
      </c>
      <c r="H135">
        <v>51269</v>
      </c>
      <c r="I135">
        <v>51002</v>
      </c>
      <c r="J135">
        <v>51201</v>
      </c>
      <c r="K135">
        <v>51062</v>
      </c>
      <c r="L135">
        <v>50950</v>
      </c>
      <c r="M135">
        <v>51199</v>
      </c>
      <c r="N135">
        <v>51315</v>
      </c>
      <c r="O135">
        <v>51368</v>
      </c>
      <c r="P135">
        <v>51394</v>
      </c>
      <c r="Q135">
        <v>51407</v>
      </c>
      <c r="R135">
        <v>51610</v>
      </c>
    </row>
    <row r="136" spans="1:18">
      <c r="A136">
        <v>20140</v>
      </c>
      <c r="B136" t="s">
        <v>827</v>
      </c>
      <c r="C136" t="s">
        <v>1261</v>
      </c>
      <c r="D136" t="s">
        <v>1254</v>
      </c>
      <c r="E136">
        <v>65296</v>
      </c>
      <c r="F136">
        <v>64791</v>
      </c>
      <c r="G136">
        <v>64839</v>
      </c>
      <c r="H136">
        <v>64649</v>
      </c>
      <c r="I136">
        <v>64605</v>
      </c>
      <c r="J136">
        <v>64544</v>
      </c>
      <c r="K136">
        <v>64317</v>
      </c>
      <c r="L136">
        <v>64597</v>
      </c>
      <c r="M136">
        <v>64675</v>
      </c>
      <c r="N136">
        <v>65099</v>
      </c>
      <c r="O136">
        <v>65115</v>
      </c>
      <c r="P136">
        <v>64888</v>
      </c>
      <c r="Q136">
        <v>65280</v>
      </c>
      <c r="R136">
        <v>65564</v>
      </c>
    </row>
    <row r="137" spans="1:18">
      <c r="A137">
        <v>20180</v>
      </c>
      <c r="B137" t="s">
        <v>828</v>
      </c>
      <c r="C137" t="s">
        <v>1261</v>
      </c>
      <c r="D137" t="s">
        <v>1254</v>
      </c>
      <c r="E137">
        <v>81588</v>
      </c>
      <c r="F137">
        <v>81667</v>
      </c>
      <c r="G137">
        <v>81820</v>
      </c>
      <c r="H137">
        <v>82041</v>
      </c>
      <c r="I137">
        <v>81794</v>
      </c>
      <c r="J137">
        <v>81692</v>
      </c>
      <c r="K137">
        <v>81323</v>
      </c>
      <c r="L137">
        <v>81111</v>
      </c>
      <c r="M137">
        <v>81027</v>
      </c>
      <c r="N137">
        <v>80841</v>
      </c>
      <c r="O137">
        <v>80432</v>
      </c>
      <c r="P137">
        <v>78335</v>
      </c>
      <c r="Q137">
        <v>77824</v>
      </c>
      <c r="R137">
        <v>77090</v>
      </c>
    </row>
    <row r="138" spans="1:18">
      <c r="A138">
        <v>20300</v>
      </c>
      <c r="B138" t="s">
        <v>829</v>
      </c>
      <c r="C138" t="s">
        <v>1261</v>
      </c>
      <c r="D138" t="s">
        <v>1254</v>
      </c>
      <c r="E138">
        <v>22024</v>
      </c>
      <c r="F138">
        <v>22156</v>
      </c>
      <c r="G138">
        <v>22578</v>
      </c>
      <c r="H138">
        <v>22348</v>
      </c>
      <c r="I138">
        <v>22247</v>
      </c>
      <c r="J138">
        <v>22041</v>
      </c>
      <c r="K138">
        <v>22032</v>
      </c>
      <c r="L138">
        <v>22027</v>
      </c>
      <c r="M138">
        <v>21560</v>
      </c>
      <c r="N138">
        <v>21496</v>
      </c>
      <c r="O138">
        <v>21264</v>
      </c>
      <c r="P138">
        <v>21136</v>
      </c>
      <c r="Q138">
        <v>21094</v>
      </c>
      <c r="R138">
        <v>21190</v>
      </c>
    </row>
    <row r="139" spans="1:18">
      <c r="A139">
        <v>20340</v>
      </c>
      <c r="B139" t="s">
        <v>830</v>
      </c>
      <c r="C139" t="s">
        <v>1261</v>
      </c>
      <c r="D139" t="s">
        <v>1254</v>
      </c>
      <c r="E139">
        <v>45097</v>
      </c>
      <c r="F139">
        <v>45077</v>
      </c>
      <c r="G139">
        <v>44830</v>
      </c>
      <c r="H139">
        <v>44895</v>
      </c>
      <c r="I139">
        <v>44452</v>
      </c>
      <c r="J139">
        <v>44430</v>
      </c>
      <c r="K139">
        <v>43837</v>
      </c>
      <c r="L139">
        <v>43136</v>
      </c>
      <c r="M139">
        <v>42958</v>
      </c>
      <c r="N139">
        <v>42948</v>
      </c>
      <c r="O139">
        <v>42822</v>
      </c>
      <c r="P139">
        <v>43110</v>
      </c>
      <c r="Q139">
        <v>43616</v>
      </c>
      <c r="R139">
        <v>44014</v>
      </c>
    </row>
    <row r="140" spans="1:18">
      <c r="A140">
        <v>20420</v>
      </c>
      <c r="B140" t="s">
        <v>831</v>
      </c>
      <c r="C140" t="s">
        <v>1261</v>
      </c>
      <c r="D140" t="s">
        <v>1254</v>
      </c>
      <c r="E140">
        <v>51394</v>
      </c>
      <c r="F140">
        <v>51779</v>
      </c>
      <c r="G140">
        <v>52295</v>
      </c>
      <c r="H140">
        <v>53147</v>
      </c>
      <c r="I140">
        <v>53566</v>
      </c>
      <c r="J140">
        <v>54306</v>
      </c>
      <c r="K140">
        <v>54893</v>
      </c>
      <c r="L140">
        <v>55059</v>
      </c>
      <c r="M140">
        <v>55754</v>
      </c>
      <c r="N140">
        <v>55593</v>
      </c>
      <c r="O140">
        <v>55673</v>
      </c>
      <c r="P140">
        <v>56169</v>
      </c>
      <c r="Q140">
        <v>56553</v>
      </c>
      <c r="R140">
        <v>56407</v>
      </c>
    </row>
    <row r="141" spans="1:18">
      <c r="A141">
        <v>20460</v>
      </c>
      <c r="B141" t="s">
        <v>832</v>
      </c>
      <c r="C141" t="s">
        <v>1261</v>
      </c>
      <c r="D141" t="s">
        <v>1254</v>
      </c>
      <c r="E141">
        <v>42521</v>
      </c>
      <c r="F141">
        <v>42837</v>
      </c>
      <c r="G141">
        <v>42940</v>
      </c>
      <c r="H141">
        <v>43371</v>
      </c>
      <c r="I141">
        <v>43500</v>
      </c>
      <c r="J141">
        <v>43798</v>
      </c>
      <c r="K141">
        <v>44134</v>
      </c>
      <c r="L141">
        <v>44747</v>
      </c>
      <c r="M141">
        <v>45185</v>
      </c>
      <c r="N141">
        <v>45691</v>
      </c>
      <c r="O141">
        <v>46330</v>
      </c>
      <c r="P141">
        <v>47126</v>
      </c>
      <c r="Q141">
        <v>48038</v>
      </c>
      <c r="R141">
        <v>48967</v>
      </c>
    </row>
    <row r="142" spans="1:18">
      <c r="A142">
        <v>20540</v>
      </c>
      <c r="B142" t="s">
        <v>833</v>
      </c>
      <c r="C142" t="s">
        <v>1261</v>
      </c>
      <c r="D142" t="s">
        <v>1254</v>
      </c>
      <c r="E142">
        <v>38320</v>
      </c>
      <c r="F142">
        <v>38120</v>
      </c>
      <c r="G142">
        <v>38192</v>
      </c>
      <c r="H142">
        <v>38106</v>
      </c>
      <c r="I142">
        <v>37826</v>
      </c>
      <c r="J142">
        <v>37770</v>
      </c>
      <c r="K142">
        <v>37571</v>
      </c>
      <c r="L142">
        <v>37347</v>
      </c>
      <c r="M142">
        <v>37208</v>
      </c>
      <c r="N142">
        <v>37092</v>
      </c>
      <c r="O142">
        <v>36716</v>
      </c>
      <c r="P142">
        <v>36609</v>
      </c>
      <c r="Q142">
        <v>36440</v>
      </c>
      <c r="R142">
        <v>36498</v>
      </c>
    </row>
    <row r="143" spans="1:18">
      <c r="A143">
        <v>20580</v>
      </c>
      <c r="B143" t="s">
        <v>834</v>
      </c>
      <c r="C143" t="s">
        <v>1261</v>
      </c>
      <c r="D143" t="s">
        <v>1254</v>
      </c>
      <c r="E143">
        <v>54413</v>
      </c>
      <c r="F143">
        <v>55173</v>
      </c>
      <c r="G143">
        <v>55613</v>
      </c>
      <c r="H143">
        <v>56314</v>
      </c>
      <c r="I143">
        <v>56831</v>
      </c>
      <c r="J143">
        <v>57375</v>
      </c>
      <c r="K143">
        <v>57580</v>
      </c>
      <c r="L143">
        <v>57510</v>
      </c>
      <c r="M143">
        <v>57544</v>
      </c>
      <c r="N143">
        <v>57874</v>
      </c>
      <c r="O143">
        <v>57875</v>
      </c>
      <c r="P143">
        <v>57683</v>
      </c>
      <c r="Q143">
        <v>57628</v>
      </c>
      <c r="R143">
        <v>57762</v>
      </c>
    </row>
    <row r="144" spans="1:18">
      <c r="A144">
        <v>20660</v>
      </c>
      <c r="B144" t="s">
        <v>835</v>
      </c>
      <c r="C144" t="s">
        <v>1261</v>
      </c>
      <c r="D144" t="s">
        <v>1254</v>
      </c>
      <c r="E144">
        <v>37889</v>
      </c>
      <c r="F144">
        <v>38017</v>
      </c>
      <c r="G144">
        <v>38112</v>
      </c>
      <c r="H144">
        <v>38077</v>
      </c>
      <c r="I144">
        <v>37749</v>
      </c>
      <c r="J144">
        <v>37696</v>
      </c>
      <c r="K144">
        <v>37483</v>
      </c>
      <c r="L144">
        <v>37418</v>
      </c>
      <c r="M144">
        <v>37462</v>
      </c>
      <c r="N144">
        <v>37646</v>
      </c>
      <c r="O144">
        <v>37488</v>
      </c>
      <c r="P144">
        <v>37756</v>
      </c>
      <c r="Q144">
        <v>37814</v>
      </c>
      <c r="R144">
        <v>37823</v>
      </c>
    </row>
    <row r="145" spans="1:18">
      <c r="A145">
        <v>20780</v>
      </c>
      <c r="B145" t="s">
        <v>836</v>
      </c>
      <c r="C145" t="s">
        <v>1261</v>
      </c>
      <c r="D145" t="s">
        <v>1254</v>
      </c>
      <c r="E145">
        <v>52114</v>
      </c>
      <c r="F145">
        <v>52129</v>
      </c>
      <c r="G145">
        <v>52478</v>
      </c>
      <c r="H145">
        <v>53030</v>
      </c>
      <c r="I145">
        <v>53562</v>
      </c>
      <c r="J145">
        <v>54220</v>
      </c>
      <c r="K145">
        <v>55010</v>
      </c>
      <c r="L145">
        <v>55528</v>
      </c>
      <c r="M145">
        <v>55665</v>
      </c>
      <c r="N145">
        <v>55834</v>
      </c>
      <c r="O145">
        <v>55657</v>
      </c>
      <c r="P145">
        <v>55774</v>
      </c>
      <c r="Q145">
        <v>55218</v>
      </c>
      <c r="R145">
        <v>54381</v>
      </c>
    </row>
    <row r="146" spans="1:18">
      <c r="A146">
        <v>20820</v>
      </c>
      <c r="B146" t="s">
        <v>837</v>
      </c>
      <c r="C146" t="s">
        <v>1261</v>
      </c>
      <c r="D146" t="s">
        <v>1254</v>
      </c>
      <c r="E146">
        <v>34235</v>
      </c>
      <c r="F146">
        <v>34337</v>
      </c>
      <c r="G146">
        <v>34394</v>
      </c>
      <c r="H146">
        <v>34391</v>
      </c>
      <c r="I146">
        <v>34347</v>
      </c>
      <c r="J146">
        <v>34488</v>
      </c>
      <c r="K146">
        <v>34527</v>
      </c>
      <c r="L146">
        <v>34563</v>
      </c>
      <c r="M146">
        <v>34686</v>
      </c>
      <c r="N146">
        <v>34616</v>
      </c>
      <c r="O146">
        <v>34703</v>
      </c>
      <c r="P146">
        <v>34508</v>
      </c>
      <c r="Q146">
        <v>34300</v>
      </c>
      <c r="R146">
        <v>34331</v>
      </c>
    </row>
    <row r="147" spans="1:18">
      <c r="A147">
        <v>20900</v>
      </c>
      <c r="B147" t="s">
        <v>838</v>
      </c>
      <c r="C147" t="s">
        <v>1261</v>
      </c>
      <c r="D147" t="s">
        <v>1254</v>
      </c>
      <c r="E147">
        <v>41277</v>
      </c>
      <c r="F147">
        <v>41271</v>
      </c>
      <c r="G147">
        <v>41103</v>
      </c>
      <c r="H147">
        <v>41075</v>
      </c>
      <c r="I147">
        <v>41030</v>
      </c>
      <c r="J147">
        <v>41303</v>
      </c>
      <c r="K147">
        <v>41539</v>
      </c>
      <c r="L147">
        <v>41774</v>
      </c>
      <c r="M147">
        <v>41408</v>
      </c>
      <c r="N147">
        <v>41549</v>
      </c>
      <c r="O147">
        <v>41564</v>
      </c>
      <c r="P147">
        <v>41652</v>
      </c>
      <c r="Q147">
        <v>41740</v>
      </c>
      <c r="R147">
        <v>41739</v>
      </c>
    </row>
    <row r="148" spans="1:18">
      <c r="A148">
        <v>20980</v>
      </c>
      <c r="B148" t="s">
        <v>839</v>
      </c>
      <c r="C148" t="s">
        <v>1261</v>
      </c>
      <c r="D148" t="s">
        <v>1254</v>
      </c>
      <c r="E148">
        <v>41589</v>
      </c>
      <c r="F148">
        <v>41498</v>
      </c>
      <c r="G148">
        <v>41036</v>
      </c>
      <c r="H148">
        <v>40858</v>
      </c>
      <c r="I148">
        <v>40464</v>
      </c>
      <c r="J148">
        <v>40492</v>
      </c>
      <c r="K148">
        <v>40369</v>
      </c>
      <c r="L148">
        <v>40014</v>
      </c>
      <c r="M148">
        <v>39710</v>
      </c>
      <c r="N148">
        <v>39319</v>
      </c>
      <c r="O148">
        <v>38931</v>
      </c>
      <c r="P148">
        <v>38375</v>
      </c>
      <c r="Q148">
        <v>37813</v>
      </c>
      <c r="R148">
        <v>37397</v>
      </c>
    </row>
    <row r="149" spans="1:18">
      <c r="A149">
        <v>21020</v>
      </c>
      <c r="B149" t="s">
        <v>840</v>
      </c>
      <c r="C149" t="s">
        <v>1261</v>
      </c>
      <c r="D149" t="s">
        <v>1254</v>
      </c>
      <c r="E149">
        <v>54104</v>
      </c>
      <c r="F149">
        <v>53745</v>
      </c>
      <c r="G149">
        <v>53921</v>
      </c>
      <c r="H149">
        <v>53105</v>
      </c>
      <c r="I149">
        <v>52862</v>
      </c>
      <c r="J149">
        <v>52711</v>
      </c>
      <c r="K149">
        <v>52607</v>
      </c>
      <c r="L149">
        <v>52606</v>
      </c>
      <c r="M149">
        <v>52803</v>
      </c>
      <c r="N149">
        <v>53182</v>
      </c>
      <c r="O149">
        <v>53595</v>
      </c>
      <c r="P149">
        <v>53924</v>
      </c>
      <c r="Q149">
        <v>54389</v>
      </c>
      <c r="R149">
        <v>54821</v>
      </c>
    </row>
    <row r="150" spans="1:18">
      <c r="A150">
        <v>21120</v>
      </c>
      <c r="B150" t="s">
        <v>841</v>
      </c>
      <c r="C150" t="s">
        <v>1261</v>
      </c>
      <c r="D150" t="s">
        <v>1254</v>
      </c>
      <c r="E150">
        <v>22077</v>
      </c>
      <c r="F150">
        <v>22418</v>
      </c>
      <c r="G150">
        <v>23277</v>
      </c>
      <c r="H150">
        <v>23772</v>
      </c>
      <c r="I150">
        <v>23993</v>
      </c>
      <c r="J150">
        <v>24034</v>
      </c>
      <c r="K150">
        <v>23000</v>
      </c>
      <c r="L150">
        <v>22393</v>
      </c>
      <c r="M150">
        <v>22419</v>
      </c>
      <c r="N150">
        <v>22600</v>
      </c>
      <c r="O150">
        <v>22334</v>
      </c>
      <c r="P150">
        <v>22032</v>
      </c>
      <c r="Q150">
        <v>21976</v>
      </c>
      <c r="R150">
        <v>22042</v>
      </c>
    </row>
    <row r="151" spans="1:18">
      <c r="A151">
        <v>21180</v>
      </c>
      <c r="B151" t="s">
        <v>842</v>
      </c>
      <c r="C151" t="s">
        <v>1261</v>
      </c>
      <c r="D151" t="s">
        <v>1254</v>
      </c>
      <c r="E151">
        <v>29346</v>
      </c>
      <c r="F151">
        <v>29365</v>
      </c>
      <c r="G151">
        <v>29267</v>
      </c>
      <c r="H151">
        <v>29343</v>
      </c>
      <c r="I151">
        <v>29143</v>
      </c>
      <c r="J151">
        <v>28930</v>
      </c>
      <c r="K151">
        <v>28709</v>
      </c>
      <c r="L151">
        <v>28517</v>
      </c>
      <c r="M151">
        <v>28394</v>
      </c>
      <c r="N151">
        <v>28192</v>
      </c>
      <c r="O151">
        <v>27892</v>
      </c>
      <c r="P151">
        <v>27898</v>
      </c>
      <c r="Q151">
        <v>27552</v>
      </c>
      <c r="R151">
        <v>27350</v>
      </c>
    </row>
    <row r="152" spans="1:18">
      <c r="A152">
        <v>21220</v>
      </c>
      <c r="B152" t="s">
        <v>843</v>
      </c>
      <c r="C152" t="s">
        <v>1261</v>
      </c>
      <c r="D152" t="s">
        <v>1254</v>
      </c>
      <c r="E152">
        <v>51094</v>
      </c>
      <c r="F152">
        <v>51494</v>
      </c>
      <c r="G152">
        <v>53093</v>
      </c>
      <c r="H152">
        <v>54584</v>
      </c>
      <c r="I152">
        <v>54819</v>
      </c>
      <c r="J152">
        <v>54049</v>
      </c>
      <c r="K152">
        <v>54276</v>
      </c>
      <c r="L152">
        <v>54630</v>
      </c>
      <c r="M152">
        <v>54902</v>
      </c>
      <c r="N152">
        <v>55421</v>
      </c>
      <c r="O152">
        <v>55516</v>
      </c>
      <c r="P152">
        <v>55760</v>
      </c>
      <c r="Q152">
        <v>55842</v>
      </c>
      <c r="R152">
        <v>56210</v>
      </c>
    </row>
    <row r="153" spans="1:18">
      <c r="A153">
        <v>21260</v>
      </c>
      <c r="B153" t="s">
        <v>844</v>
      </c>
      <c r="C153" t="s">
        <v>1261</v>
      </c>
      <c r="D153" t="s">
        <v>1254</v>
      </c>
      <c r="E153">
        <v>40894</v>
      </c>
      <c r="F153">
        <v>41066</v>
      </c>
      <c r="G153">
        <v>40748</v>
      </c>
      <c r="H153">
        <v>40563</v>
      </c>
      <c r="I153">
        <v>40919</v>
      </c>
      <c r="J153">
        <v>41005</v>
      </c>
      <c r="K153">
        <v>42312</v>
      </c>
      <c r="L153">
        <v>43068</v>
      </c>
      <c r="M153">
        <v>43746</v>
      </c>
      <c r="N153">
        <v>43799</v>
      </c>
      <c r="O153">
        <v>44599</v>
      </c>
      <c r="P153">
        <v>44645</v>
      </c>
      <c r="Q153">
        <v>45122</v>
      </c>
      <c r="R153">
        <v>45508</v>
      </c>
    </row>
    <row r="154" spans="1:18">
      <c r="A154">
        <v>21380</v>
      </c>
      <c r="B154" t="s">
        <v>845</v>
      </c>
      <c r="C154" t="s">
        <v>1261</v>
      </c>
      <c r="D154" t="s">
        <v>1254</v>
      </c>
      <c r="E154">
        <v>36406</v>
      </c>
      <c r="F154">
        <v>36299</v>
      </c>
      <c r="G154">
        <v>36069</v>
      </c>
      <c r="H154">
        <v>35855</v>
      </c>
      <c r="I154">
        <v>35399</v>
      </c>
      <c r="J154">
        <v>35300</v>
      </c>
      <c r="K154">
        <v>35406</v>
      </c>
      <c r="L154">
        <v>35217</v>
      </c>
      <c r="M154">
        <v>35092</v>
      </c>
      <c r="N154">
        <v>34946</v>
      </c>
      <c r="O154">
        <v>34684</v>
      </c>
      <c r="P154">
        <v>34632</v>
      </c>
      <c r="Q154">
        <v>34599</v>
      </c>
      <c r="R154">
        <v>34751</v>
      </c>
    </row>
    <row r="155" spans="1:18">
      <c r="A155">
        <v>21460</v>
      </c>
      <c r="B155" t="s">
        <v>846</v>
      </c>
      <c r="C155" t="s">
        <v>1261</v>
      </c>
      <c r="D155" t="s">
        <v>1254</v>
      </c>
      <c r="E155">
        <v>50213</v>
      </c>
      <c r="F155">
        <v>50494</v>
      </c>
      <c r="G155">
        <v>51241</v>
      </c>
      <c r="H155">
        <v>50825</v>
      </c>
      <c r="I155">
        <v>50843</v>
      </c>
      <c r="J155">
        <v>51189</v>
      </c>
      <c r="K155">
        <v>51501</v>
      </c>
      <c r="L155">
        <v>52200</v>
      </c>
      <c r="M155">
        <v>52389</v>
      </c>
      <c r="N155">
        <v>52968</v>
      </c>
      <c r="O155">
        <v>53549</v>
      </c>
      <c r="P155">
        <v>54199</v>
      </c>
      <c r="Q155">
        <v>54840</v>
      </c>
      <c r="R155">
        <v>55643</v>
      </c>
    </row>
    <row r="156" spans="1:18">
      <c r="A156">
        <v>21540</v>
      </c>
      <c r="B156" t="s">
        <v>847</v>
      </c>
      <c r="C156" t="s">
        <v>1261</v>
      </c>
      <c r="D156" t="s">
        <v>1254</v>
      </c>
      <c r="E156">
        <v>37080</v>
      </c>
      <c r="F156">
        <v>37100</v>
      </c>
      <c r="G156">
        <v>37117</v>
      </c>
      <c r="H156">
        <v>37206</v>
      </c>
      <c r="I156">
        <v>37114</v>
      </c>
      <c r="J156">
        <v>37074</v>
      </c>
      <c r="K156">
        <v>36980</v>
      </c>
      <c r="L156">
        <v>36790</v>
      </c>
      <c r="M156">
        <v>36887</v>
      </c>
      <c r="N156">
        <v>36863</v>
      </c>
      <c r="O156">
        <v>36870</v>
      </c>
      <c r="P156">
        <v>36825</v>
      </c>
      <c r="Q156">
        <v>36781</v>
      </c>
      <c r="R156">
        <v>36790</v>
      </c>
    </row>
    <row r="157" spans="1:18">
      <c r="A157">
        <v>21580</v>
      </c>
      <c r="B157" t="s">
        <v>848</v>
      </c>
      <c r="C157" t="s">
        <v>1261</v>
      </c>
      <c r="D157" t="s">
        <v>1254</v>
      </c>
      <c r="E157">
        <v>40330</v>
      </c>
      <c r="F157">
        <v>40460</v>
      </c>
      <c r="G157">
        <v>40586</v>
      </c>
      <c r="H157">
        <v>40629</v>
      </c>
      <c r="I157">
        <v>40465</v>
      </c>
      <c r="J157">
        <v>40264</v>
      </c>
      <c r="K157">
        <v>40303</v>
      </c>
      <c r="L157">
        <v>40457</v>
      </c>
      <c r="M157">
        <v>40400</v>
      </c>
      <c r="N157">
        <v>40474</v>
      </c>
      <c r="O157">
        <v>40271</v>
      </c>
      <c r="P157">
        <v>40216</v>
      </c>
      <c r="Q157">
        <v>39991</v>
      </c>
      <c r="R157">
        <v>39876</v>
      </c>
    </row>
    <row r="158" spans="1:18">
      <c r="A158">
        <v>21640</v>
      </c>
      <c r="B158" t="s">
        <v>849</v>
      </c>
      <c r="C158" t="s">
        <v>1261</v>
      </c>
      <c r="D158" t="s">
        <v>1254</v>
      </c>
      <c r="E158">
        <v>29853</v>
      </c>
      <c r="F158">
        <v>29874</v>
      </c>
      <c r="G158">
        <v>29716</v>
      </c>
      <c r="H158">
        <v>29510</v>
      </c>
      <c r="I158">
        <v>29310</v>
      </c>
      <c r="J158">
        <v>28886</v>
      </c>
      <c r="K158">
        <v>28511</v>
      </c>
      <c r="L158">
        <v>27908</v>
      </c>
      <c r="M158">
        <v>27596</v>
      </c>
      <c r="N158">
        <v>27462</v>
      </c>
      <c r="O158">
        <v>27196</v>
      </c>
      <c r="P158">
        <v>26775</v>
      </c>
      <c r="Q158">
        <v>26959</v>
      </c>
      <c r="R158">
        <v>26865</v>
      </c>
    </row>
    <row r="159" spans="1:18">
      <c r="A159">
        <v>21700</v>
      </c>
      <c r="B159" t="s">
        <v>850</v>
      </c>
      <c r="C159" t="s">
        <v>1261</v>
      </c>
      <c r="D159" t="s">
        <v>1254</v>
      </c>
      <c r="E159">
        <v>135042</v>
      </c>
      <c r="F159">
        <v>135419</v>
      </c>
      <c r="G159">
        <v>134888</v>
      </c>
      <c r="H159">
        <v>134866</v>
      </c>
      <c r="I159">
        <v>135106</v>
      </c>
      <c r="J159">
        <v>135860</v>
      </c>
      <c r="K159">
        <v>137299</v>
      </c>
      <c r="L159">
        <v>137667</v>
      </c>
      <c r="M159">
        <v>137591</v>
      </c>
      <c r="N159">
        <v>137054</v>
      </c>
      <c r="O159">
        <v>136262</v>
      </c>
      <c r="P159">
        <v>134897</v>
      </c>
      <c r="Q159">
        <v>134944</v>
      </c>
      <c r="R159">
        <v>133985</v>
      </c>
    </row>
    <row r="160" spans="1:18">
      <c r="A160">
        <v>21740</v>
      </c>
      <c r="B160" t="s">
        <v>851</v>
      </c>
      <c r="C160" t="s">
        <v>1261</v>
      </c>
      <c r="D160" t="s">
        <v>1254</v>
      </c>
      <c r="E160">
        <v>21096</v>
      </c>
      <c r="F160">
        <v>20928</v>
      </c>
      <c r="G160">
        <v>21058</v>
      </c>
      <c r="H160">
        <v>21040</v>
      </c>
      <c r="I160">
        <v>20928</v>
      </c>
      <c r="J160">
        <v>20891</v>
      </c>
      <c r="K160">
        <v>20846</v>
      </c>
      <c r="L160">
        <v>20604</v>
      </c>
      <c r="M160">
        <v>20475</v>
      </c>
      <c r="N160">
        <v>20393</v>
      </c>
      <c r="O160">
        <v>20457</v>
      </c>
      <c r="P160">
        <v>20681</v>
      </c>
      <c r="Q160">
        <v>20727</v>
      </c>
      <c r="R160">
        <v>20745</v>
      </c>
    </row>
    <row r="161" spans="1:18">
      <c r="A161">
        <v>21840</v>
      </c>
      <c r="B161" t="s">
        <v>852</v>
      </c>
      <c r="C161" t="s">
        <v>1261</v>
      </c>
      <c r="D161" t="s">
        <v>1254</v>
      </c>
      <c r="E161">
        <v>16770</v>
      </c>
      <c r="F161">
        <v>16773</v>
      </c>
      <c r="G161">
        <v>16692</v>
      </c>
      <c r="H161">
        <v>16771</v>
      </c>
      <c r="I161">
        <v>16668</v>
      </c>
      <c r="J161">
        <v>16522</v>
      </c>
      <c r="K161">
        <v>16373</v>
      </c>
      <c r="L161">
        <v>16196</v>
      </c>
      <c r="M161">
        <v>15943</v>
      </c>
      <c r="N161">
        <v>15767</v>
      </c>
      <c r="O161">
        <v>15694</v>
      </c>
      <c r="P161">
        <v>15781</v>
      </c>
      <c r="Q161">
        <v>15668</v>
      </c>
      <c r="R161">
        <v>15440</v>
      </c>
    </row>
    <row r="162" spans="1:18">
      <c r="A162">
        <v>21860</v>
      </c>
      <c r="B162" t="s">
        <v>853</v>
      </c>
      <c r="C162" t="s">
        <v>1261</v>
      </c>
      <c r="D162" t="s">
        <v>1254</v>
      </c>
      <c r="E162">
        <v>20817</v>
      </c>
      <c r="F162">
        <v>20690</v>
      </c>
      <c r="G162">
        <v>20574</v>
      </c>
      <c r="H162">
        <v>20586</v>
      </c>
      <c r="I162">
        <v>20458</v>
      </c>
      <c r="J162">
        <v>20299</v>
      </c>
      <c r="K162">
        <v>20226</v>
      </c>
      <c r="L162">
        <v>20221</v>
      </c>
      <c r="M162">
        <v>20174</v>
      </c>
      <c r="N162">
        <v>20089</v>
      </c>
      <c r="O162">
        <v>19987</v>
      </c>
      <c r="P162">
        <v>19923</v>
      </c>
      <c r="Q162">
        <v>19656</v>
      </c>
      <c r="R162">
        <v>19657</v>
      </c>
    </row>
    <row r="163" spans="1:18">
      <c r="A163">
        <v>21900</v>
      </c>
      <c r="B163" t="s">
        <v>854</v>
      </c>
      <c r="C163" t="s">
        <v>1261</v>
      </c>
      <c r="D163" t="s">
        <v>1254</v>
      </c>
      <c r="E163">
        <v>56572</v>
      </c>
      <c r="F163">
        <v>56741</v>
      </c>
      <c r="G163">
        <v>56838</v>
      </c>
      <c r="H163">
        <v>56830</v>
      </c>
      <c r="I163">
        <v>56929</v>
      </c>
      <c r="J163">
        <v>56925</v>
      </c>
      <c r="K163">
        <v>56688</v>
      </c>
      <c r="L163">
        <v>56583</v>
      </c>
      <c r="M163">
        <v>56306</v>
      </c>
      <c r="N163">
        <v>56273</v>
      </c>
      <c r="O163">
        <v>56240</v>
      </c>
      <c r="P163">
        <v>56053</v>
      </c>
      <c r="Q163">
        <v>55784</v>
      </c>
      <c r="R163">
        <v>55807</v>
      </c>
    </row>
    <row r="164" spans="1:18">
      <c r="A164">
        <v>21980</v>
      </c>
      <c r="B164" t="s">
        <v>855</v>
      </c>
      <c r="C164" t="s">
        <v>1261</v>
      </c>
      <c r="D164" t="s">
        <v>1254</v>
      </c>
      <c r="E164">
        <v>24820</v>
      </c>
      <c r="F164">
        <v>24627</v>
      </c>
      <c r="G164">
        <v>24302</v>
      </c>
      <c r="H164">
        <v>24007</v>
      </c>
      <c r="I164">
        <v>23930</v>
      </c>
      <c r="J164">
        <v>24089</v>
      </c>
      <c r="K164">
        <v>24056</v>
      </c>
      <c r="L164">
        <v>24204</v>
      </c>
      <c r="M164">
        <v>24708</v>
      </c>
      <c r="N164">
        <v>25202</v>
      </c>
      <c r="O164">
        <v>25572</v>
      </c>
      <c r="P164">
        <v>25664</v>
      </c>
      <c r="Q164">
        <v>25798</v>
      </c>
      <c r="R164">
        <v>25803</v>
      </c>
    </row>
    <row r="165" spans="1:18">
      <c r="A165">
        <v>22060</v>
      </c>
      <c r="B165" t="s">
        <v>856</v>
      </c>
      <c r="C165" t="s">
        <v>1261</v>
      </c>
      <c r="D165" t="s">
        <v>1254</v>
      </c>
      <c r="E165">
        <v>64231</v>
      </c>
      <c r="F165">
        <v>64455</v>
      </c>
      <c r="G165">
        <v>64432</v>
      </c>
      <c r="H165">
        <v>64635</v>
      </c>
      <c r="I165">
        <v>64990</v>
      </c>
      <c r="J165">
        <v>65321</v>
      </c>
      <c r="K165">
        <v>65844</v>
      </c>
      <c r="L165">
        <v>66178</v>
      </c>
      <c r="M165">
        <v>66559</v>
      </c>
      <c r="N165">
        <v>66989</v>
      </c>
      <c r="O165">
        <v>67102</v>
      </c>
      <c r="P165">
        <v>67341</v>
      </c>
      <c r="Q165">
        <v>67523</v>
      </c>
      <c r="R165">
        <v>67948</v>
      </c>
    </row>
    <row r="166" spans="1:18">
      <c r="A166">
        <v>22100</v>
      </c>
      <c r="B166" t="s">
        <v>857</v>
      </c>
      <c r="C166" t="s">
        <v>1261</v>
      </c>
      <c r="D166" t="s">
        <v>1254</v>
      </c>
      <c r="E166">
        <v>65545</v>
      </c>
      <c r="F166">
        <v>65650</v>
      </c>
      <c r="G166">
        <v>65908</v>
      </c>
      <c r="H166">
        <v>66257</v>
      </c>
      <c r="I166">
        <v>65980</v>
      </c>
      <c r="J166">
        <v>66473</v>
      </c>
      <c r="K166">
        <v>66656</v>
      </c>
      <c r="L166">
        <v>67005</v>
      </c>
      <c r="M166">
        <v>67082</v>
      </c>
      <c r="N166">
        <v>67324</v>
      </c>
      <c r="O166">
        <v>66443</v>
      </c>
      <c r="P166">
        <v>67010</v>
      </c>
      <c r="Q166">
        <v>66906</v>
      </c>
      <c r="R166">
        <v>67058</v>
      </c>
    </row>
    <row r="167" spans="1:18">
      <c r="A167">
        <v>22260</v>
      </c>
      <c r="B167" t="s">
        <v>858</v>
      </c>
      <c r="C167" t="s">
        <v>1261</v>
      </c>
      <c r="D167" t="s">
        <v>1254</v>
      </c>
      <c r="E167">
        <v>57322</v>
      </c>
      <c r="F167">
        <v>57437</v>
      </c>
      <c r="G167">
        <v>57504</v>
      </c>
      <c r="H167">
        <v>57905</v>
      </c>
      <c r="I167">
        <v>58022</v>
      </c>
      <c r="J167">
        <v>58190</v>
      </c>
      <c r="K167">
        <v>58620</v>
      </c>
      <c r="L167">
        <v>59124</v>
      </c>
      <c r="M167">
        <v>59647</v>
      </c>
      <c r="N167">
        <v>59859</v>
      </c>
      <c r="O167">
        <v>60099</v>
      </c>
      <c r="P167">
        <v>60231</v>
      </c>
      <c r="Q167">
        <v>60544</v>
      </c>
      <c r="R167">
        <v>60626</v>
      </c>
    </row>
    <row r="168" spans="1:18">
      <c r="A168">
        <v>22280</v>
      </c>
      <c r="B168" t="s">
        <v>859</v>
      </c>
      <c r="C168" t="s">
        <v>1261</v>
      </c>
      <c r="D168" t="s">
        <v>1254</v>
      </c>
      <c r="E168">
        <v>52072</v>
      </c>
      <c r="F168">
        <v>51508</v>
      </c>
      <c r="G168">
        <v>51189</v>
      </c>
      <c r="H168">
        <v>51416</v>
      </c>
      <c r="I168">
        <v>51757</v>
      </c>
      <c r="J168">
        <v>52499</v>
      </c>
      <c r="K168">
        <v>53376</v>
      </c>
      <c r="L168">
        <v>54665</v>
      </c>
      <c r="M168">
        <v>56649</v>
      </c>
      <c r="N168">
        <v>58479</v>
      </c>
      <c r="O168">
        <v>59465</v>
      </c>
      <c r="P168">
        <v>60961</v>
      </c>
      <c r="Q168">
        <v>61628</v>
      </c>
      <c r="R168">
        <v>62583</v>
      </c>
    </row>
    <row r="169" spans="1:18">
      <c r="A169">
        <v>22300</v>
      </c>
      <c r="B169" t="s">
        <v>860</v>
      </c>
      <c r="C169" t="s">
        <v>1261</v>
      </c>
      <c r="D169" t="s">
        <v>1254</v>
      </c>
      <c r="E169">
        <v>74685</v>
      </c>
      <c r="F169">
        <v>74859</v>
      </c>
      <c r="G169">
        <v>75356</v>
      </c>
      <c r="H169">
        <v>75436</v>
      </c>
      <c r="I169">
        <v>75096</v>
      </c>
      <c r="J169">
        <v>75443</v>
      </c>
      <c r="K169">
        <v>75492</v>
      </c>
      <c r="L169">
        <v>75593</v>
      </c>
      <c r="M169">
        <v>75469</v>
      </c>
      <c r="N169">
        <v>75193</v>
      </c>
      <c r="O169">
        <v>74928</v>
      </c>
      <c r="P169">
        <v>74764</v>
      </c>
      <c r="Q169">
        <v>74774</v>
      </c>
      <c r="R169">
        <v>74704</v>
      </c>
    </row>
    <row r="170" spans="1:18">
      <c r="A170">
        <v>22340</v>
      </c>
      <c r="B170" t="s">
        <v>861</v>
      </c>
      <c r="C170" t="s">
        <v>1261</v>
      </c>
      <c r="D170" t="s">
        <v>1254</v>
      </c>
      <c r="E170">
        <v>17663</v>
      </c>
      <c r="F170">
        <v>17665</v>
      </c>
      <c r="G170">
        <v>17733</v>
      </c>
      <c r="H170">
        <v>17641</v>
      </c>
      <c r="I170">
        <v>17697</v>
      </c>
      <c r="J170">
        <v>17656</v>
      </c>
      <c r="K170">
        <v>17608</v>
      </c>
      <c r="L170">
        <v>17451</v>
      </c>
      <c r="M170">
        <v>17233</v>
      </c>
      <c r="N170">
        <v>17201</v>
      </c>
      <c r="O170">
        <v>17168</v>
      </c>
      <c r="P170">
        <v>17128</v>
      </c>
      <c r="Q170">
        <v>17057</v>
      </c>
      <c r="R170">
        <v>17128</v>
      </c>
    </row>
    <row r="171" spans="1:18">
      <c r="A171">
        <v>22580</v>
      </c>
      <c r="B171" t="s">
        <v>862</v>
      </c>
      <c r="C171" t="s">
        <v>1261</v>
      </c>
      <c r="D171" t="s">
        <v>1254</v>
      </c>
      <c r="E171">
        <v>67675</v>
      </c>
      <c r="F171">
        <v>67100</v>
      </c>
      <c r="G171">
        <v>66645</v>
      </c>
      <c r="H171">
        <v>66028</v>
      </c>
      <c r="I171">
        <v>65496</v>
      </c>
      <c r="J171">
        <v>65061</v>
      </c>
      <c r="K171">
        <v>64714</v>
      </c>
      <c r="L171">
        <v>64688</v>
      </c>
      <c r="M171">
        <v>64586</v>
      </c>
      <c r="N171">
        <v>64623</v>
      </c>
      <c r="O171">
        <v>64486</v>
      </c>
      <c r="P171">
        <v>64616</v>
      </c>
      <c r="Q171">
        <v>64945</v>
      </c>
      <c r="R171">
        <v>65507</v>
      </c>
    </row>
    <row r="172" spans="1:18">
      <c r="A172">
        <v>22620</v>
      </c>
      <c r="B172" t="s">
        <v>863</v>
      </c>
      <c r="C172" t="s">
        <v>1261</v>
      </c>
      <c r="D172" t="s">
        <v>1254</v>
      </c>
      <c r="E172">
        <v>28085</v>
      </c>
      <c r="F172">
        <v>27703</v>
      </c>
      <c r="G172">
        <v>27512</v>
      </c>
      <c r="H172">
        <v>26854</v>
      </c>
      <c r="I172">
        <v>26273</v>
      </c>
      <c r="J172">
        <v>25683</v>
      </c>
      <c r="K172">
        <v>25230</v>
      </c>
      <c r="L172">
        <v>24730</v>
      </c>
      <c r="M172">
        <v>24091</v>
      </c>
      <c r="N172">
        <v>23477</v>
      </c>
      <c r="O172">
        <v>23021</v>
      </c>
      <c r="P172">
        <v>22715</v>
      </c>
      <c r="Q172">
        <v>22402</v>
      </c>
      <c r="R172">
        <v>22101</v>
      </c>
    </row>
    <row r="173" spans="1:18">
      <c r="A173">
        <v>22700</v>
      </c>
      <c r="B173" t="s">
        <v>864</v>
      </c>
      <c r="C173" t="s">
        <v>1261</v>
      </c>
      <c r="D173" t="s">
        <v>1254</v>
      </c>
      <c r="E173">
        <v>37909</v>
      </c>
      <c r="F173">
        <v>37885</v>
      </c>
      <c r="G173">
        <v>37570</v>
      </c>
      <c r="H173">
        <v>37684</v>
      </c>
      <c r="I173">
        <v>37527</v>
      </c>
      <c r="J173">
        <v>37636</v>
      </c>
      <c r="K173">
        <v>37461</v>
      </c>
      <c r="L173">
        <v>37399</v>
      </c>
      <c r="M173">
        <v>37207</v>
      </c>
      <c r="N173">
        <v>36921</v>
      </c>
      <c r="O173">
        <v>36996</v>
      </c>
      <c r="P173">
        <v>37170</v>
      </c>
      <c r="Q173">
        <v>36652</v>
      </c>
      <c r="R173">
        <v>36485</v>
      </c>
    </row>
    <row r="174" spans="1:18">
      <c r="A174">
        <v>22780</v>
      </c>
      <c r="B174" t="s">
        <v>865</v>
      </c>
      <c r="C174" t="s">
        <v>1261</v>
      </c>
      <c r="D174" t="s">
        <v>1254</v>
      </c>
      <c r="E174">
        <v>52896</v>
      </c>
      <c r="F174">
        <v>53478</v>
      </c>
      <c r="G174">
        <v>53803</v>
      </c>
      <c r="H174">
        <v>54563</v>
      </c>
      <c r="I174">
        <v>54182</v>
      </c>
      <c r="J174">
        <v>53978</v>
      </c>
      <c r="K174">
        <v>53321</v>
      </c>
      <c r="L174">
        <v>52796</v>
      </c>
      <c r="M174">
        <v>52982</v>
      </c>
      <c r="N174">
        <v>53767</v>
      </c>
      <c r="O174">
        <v>54010</v>
      </c>
      <c r="P174">
        <v>53815</v>
      </c>
      <c r="Q174">
        <v>53810</v>
      </c>
      <c r="R174">
        <v>53812</v>
      </c>
    </row>
    <row r="175" spans="1:18">
      <c r="A175">
        <v>22800</v>
      </c>
      <c r="B175" t="s">
        <v>866</v>
      </c>
      <c r="C175" t="s">
        <v>1261</v>
      </c>
      <c r="D175" t="s">
        <v>1254</v>
      </c>
      <c r="E175">
        <v>62080</v>
      </c>
      <c r="F175">
        <v>61601</v>
      </c>
      <c r="G175">
        <v>61347</v>
      </c>
      <c r="H175">
        <v>60696</v>
      </c>
      <c r="I175">
        <v>60293</v>
      </c>
      <c r="J175">
        <v>59943</v>
      </c>
      <c r="K175">
        <v>59382</v>
      </c>
      <c r="L175">
        <v>58918</v>
      </c>
      <c r="M175">
        <v>58566</v>
      </c>
      <c r="N175">
        <v>58139</v>
      </c>
      <c r="O175">
        <v>57736</v>
      </c>
      <c r="P175">
        <v>57368</v>
      </c>
      <c r="Q175">
        <v>56798</v>
      </c>
      <c r="R175">
        <v>56392</v>
      </c>
    </row>
    <row r="176" spans="1:18">
      <c r="A176">
        <v>22820</v>
      </c>
      <c r="B176" t="s">
        <v>867</v>
      </c>
      <c r="C176" t="s">
        <v>1261</v>
      </c>
      <c r="D176" t="s">
        <v>1254</v>
      </c>
      <c r="E176">
        <v>28246</v>
      </c>
      <c r="F176">
        <v>28463</v>
      </c>
      <c r="G176">
        <v>28267</v>
      </c>
      <c r="H176">
        <v>28251</v>
      </c>
      <c r="I176">
        <v>28143</v>
      </c>
      <c r="J176">
        <v>28301</v>
      </c>
      <c r="K176">
        <v>28246</v>
      </c>
      <c r="L176">
        <v>28354</v>
      </c>
      <c r="M176">
        <v>28845</v>
      </c>
      <c r="N176">
        <v>29041</v>
      </c>
      <c r="O176">
        <v>29076</v>
      </c>
      <c r="P176">
        <v>29006</v>
      </c>
      <c r="Q176">
        <v>29266</v>
      </c>
      <c r="R176">
        <v>29524</v>
      </c>
    </row>
    <row r="177" spans="1:18">
      <c r="A177">
        <v>22840</v>
      </c>
      <c r="B177" t="s">
        <v>868</v>
      </c>
      <c r="C177" t="s">
        <v>1261</v>
      </c>
      <c r="D177" t="s">
        <v>1254</v>
      </c>
      <c r="E177">
        <v>71134</v>
      </c>
      <c r="F177">
        <v>71341</v>
      </c>
      <c r="G177">
        <v>70922</v>
      </c>
      <c r="H177">
        <v>70892</v>
      </c>
      <c r="I177">
        <v>70977</v>
      </c>
      <c r="J177">
        <v>71080</v>
      </c>
      <c r="K177">
        <v>71131</v>
      </c>
      <c r="L177">
        <v>71456</v>
      </c>
      <c r="M177">
        <v>71446</v>
      </c>
      <c r="N177">
        <v>71521</v>
      </c>
      <c r="O177">
        <v>71659</v>
      </c>
      <c r="P177">
        <v>71912</v>
      </c>
      <c r="Q177">
        <v>72082</v>
      </c>
      <c r="R177">
        <v>72569</v>
      </c>
    </row>
    <row r="178" spans="1:18">
      <c r="A178">
        <v>22860</v>
      </c>
      <c r="B178" t="s">
        <v>869</v>
      </c>
      <c r="C178" t="s">
        <v>1261</v>
      </c>
      <c r="D178" t="s">
        <v>1254</v>
      </c>
      <c r="E178">
        <v>52756</v>
      </c>
      <c r="F178">
        <v>52390</v>
      </c>
      <c r="G178">
        <v>54347</v>
      </c>
      <c r="H178">
        <v>53131</v>
      </c>
      <c r="I178">
        <v>53222</v>
      </c>
      <c r="J178">
        <v>51923</v>
      </c>
      <c r="K178">
        <v>52127</v>
      </c>
      <c r="L178">
        <v>50456</v>
      </c>
      <c r="M178">
        <v>49251</v>
      </c>
      <c r="N178">
        <v>49032</v>
      </c>
      <c r="O178">
        <v>48622</v>
      </c>
      <c r="P178">
        <v>48022</v>
      </c>
      <c r="Q178">
        <v>46870</v>
      </c>
      <c r="R178">
        <v>46250</v>
      </c>
    </row>
    <row r="179" spans="1:18">
      <c r="A179">
        <v>23140</v>
      </c>
      <c r="B179" t="s">
        <v>870</v>
      </c>
      <c r="C179" t="s">
        <v>1261</v>
      </c>
      <c r="D179" t="s">
        <v>1254</v>
      </c>
      <c r="E179">
        <v>33246</v>
      </c>
      <c r="F179">
        <v>33154</v>
      </c>
      <c r="G179">
        <v>33103</v>
      </c>
      <c r="H179">
        <v>33074</v>
      </c>
      <c r="I179">
        <v>32861</v>
      </c>
      <c r="J179">
        <v>32865</v>
      </c>
      <c r="K179">
        <v>32741</v>
      </c>
      <c r="L179">
        <v>32833</v>
      </c>
      <c r="M179">
        <v>32884</v>
      </c>
      <c r="N179">
        <v>33168</v>
      </c>
      <c r="O179">
        <v>33178</v>
      </c>
      <c r="P179">
        <v>32983</v>
      </c>
      <c r="Q179">
        <v>32769</v>
      </c>
      <c r="R179">
        <v>32730</v>
      </c>
    </row>
    <row r="180" spans="1:18">
      <c r="A180">
        <v>23180</v>
      </c>
      <c r="B180" t="s">
        <v>871</v>
      </c>
      <c r="C180" t="s">
        <v>1261</v>
      </c>
      <c r="D180" t="s">
        <v>1254</v>
      </c>
      <c r="E180">
        <v>70761</v>
      </c>
      <c r="F180">
        <v>71055</v>
      </c>
      <c r="G180">
        <v>71468</v>
      </c>
      <c r="H180">
        <v>71692</v>
      </c>
      <c r="I180">
        <v>72215</v>
      </c>
      <c r="J180">
        <v>72765</v>
      </c>
      <c r="K180">
        <v>73436</v>
      </c>
      <c r="L180">
        <v>74171</v>
      </c>
      <c r="M180">
        <v>74627</v>
      </c>
      <c r="N180">
        <v>74947</v>
      </c>
      <c r="O180">
        <v>75477</v>
      </c>
      <c r="P180">
        <v>75798</v>
      </c>
      <c r="Q180">
        <v>75821</v>
      </c>
      <c r="R180">
        <v>76257</v>
      </c>
    </row>
    <row r="181" spans="1:18">
      <c r="A181">
        <v>23240</v>
      </c>
      <c r="B181" t="s">
        <v>872</v>
      </c>
      <c r="C181" t="s">
        <v>1261</v>
      </c>
      <c r="D181" t="s">
        <v>1254</v>
      </c>
      <c r="E181">
        <v>24870</v>
      </c>
      <c r="F181">
        <v>25016</v>
      </c>
      <c r="G181">
        <v>25131</v>
      </c>
      <c r="H181">
        <v>25298</v>
      </c>
      <c r="I181">
        <v>25388</v>
      </c>
      <c r="J181">
        <v>25803</v>
      </c>
      <c r="K181">
        <v>26091</v>
      </c>
      <c r="L181">
        <v>26362</v>
      </c>
      <c r="M181">
        <v>26525</v>
      </c>
      <c r="N181">
        <v>26721</v>
      </c>
      <c r="O181">
        <v>26748</v>
      </c>
      <c r="P181">
        <v>27293</v>
      </c>
      <c r="Q181">
        <v>27501</v>
      </c>
      <c r="R181">
        <v>27733</v>
      </c>
    </row>
    <row r="182" spans="1:18">
      <c r="A182">
        <v>23300</v>
      </c>
      <c r="B182" t="s">
        <v>873</v>
      </c>
      <c r="C182" t="s">
        <v>1261</v>
      </c>
      <c r="D182" t="s">
        <v>1254</v>
      </c>
      <c r="E182">
        <v>47623</v>
      </c>
      <c r="F182">
        <v>47413</v>
      </c>
      <c r="G182">
        <v>47046</v>
      </c>
      <c r="H182">
        <v>46899</v>
      </c>
      <c r="I182">
        <v>46560</v>
      </c>
      <c r="J182">
        <v>46022</v>
      </c>
      <c r="K182">
        <v>45917</v>
      </c>
      <c r="L182">
        <v>45463</v>
      </c>
      <c r="M182">
        <v>45228</v>
      </c>
      <c r="N182">
        <v>44956</v>
      </c>
      <c r="O182">
        <v>44503</v>
      </c>
      <c r="P182">
        <v>44062</v>
      </c>
      <c r="Q182">
        <v>43556</v>
      </c>
      <c r="R182">
        <v>43105</v>
      </c>
    </row>
    <row r="183" spans="1:18">
      <c r="A183">
        <v>23340</v>
      </c>
      <c r="B183" t="s">
        <v>874</v>
      </c>
      <c r="C183" t="s">
        <v>1261</v>
      </c>
      <c r="D183" t="s">
        <v>1254</v>
      </c>
      <c r="E183">
        <v>36693</v>
      </c>
      <c r="F183">
        <v>37039</v>
      </c>
      <c r="G183">
        <v>36786</v>
      </c>
      <c r="H183">
        <v>36778</v>
      </c>
      <c r="I183">
        <v>36982</v>
      </c>
      <c r="J183">
        <v>37029</v>
      </c>
      <c r="K183">
        <v>37256</v>
      </c>
      <c r="L183">
        <v>37423</v>
      </c>
      <c r="M183">
        <v>37410</v>
      </c>
      <c r="N183">
        <v>37259</v>
      </c>
      <c r="O183">
        <v>37116</v>
      </c>
      <c r="P183">
        <v>37128</v>
      </c>
      <c r="Q183">
        <v>37045</v>
      </c>
      <c r="R183">
        <v>37187</v>
      </c>
    </row>
    <row r="184" spans="1:18">
      <c r="A184">
        <v>23380</v>
      </c>
      <c r="B184" t="s">
        <v>875</v>
      </c>
      <c r="C184" t="s">
        <v>1261</v>
      </c>
      <c r="D184" t="s">
        <v>1254</v>
      </c>
      <c r="E184">
        <v>60899</v>
      </c>
      <c r="F184">
        <v>60672</v>
      </c>
      <c r="G184">
        <v>60580</v>
      </c>
      <c r="H184">
        <v>60215</v>
      </c>
      <c r="I184">
        <v>60043</v>
      </c>
      <c r="J184">
        <v>59738</v>
      </c>
      <c r="K184">
        <v>59622</v>
      </c>
      <c r="L184">
        <v>59457</v>
      </c>
      <c r="M184">
        <v>59133</v>
      </c>
      <c r="N184">
        <v>58976</v>
      </c>
      <c r="O184">
        <v>58856</v>
      </c>
      <c r="P184">
        <v>58741</v>
      </c>
      <c r="Q184">
        <v>58567</v>
      </c>
      <c r="R184">
        <v>58709</v>
      </c>
    </row>
    <row r="185" spans="1:18">
      <c r="A185">
        <v>23500</v>
      </c>
      <c r="B185" t="s">
        <v>876</v>
      </c>
      <c r="C185" t="s">
        <v>1261</v>
      </c>
      <c r="D185" t="s">
        <v>1254</v>
      </c>
      <c r="E185">
        <v>55506</v>
      </c>
      <c r="F185">
        <v>55565</v>
      </c>
      <c r="G185">
        <v>55575</v>
      </c>
      <c r="H185">
        <v>55698</v>
      </c>
      <c r="I185">
        <v>55880</v>
      </c>
      <c r="J185">
        <v>55939</v>
      </c>
      <c r="K185">
        <v>56022</v>
      </c>
      <c r="L185">
        <v>56150</v>
      </c>
      <c r="M185">
        <v>56258</v>
      </c>
      <c r="N185">
        <v>56277</v>
      </c>
      <c r="O185">
        <v>56220</v>
      </c>
      <c r="P185">
        <v>56098</v>
      </c>
      <c r="Q185">
        <v>56121</v>
      </c>
      <c r="R185">
        <v>56714</v>
      </c>
    </row>
    <row r="186" spans="1:18">
      <c r="A186">
        <v>23620</v>
      </c>
      <c r="B186" t="s">
        <v>877</v>
      </c>
      <c r="C186" t="s">
        <v>1261</v>
      </c>
      <c r="D186" t="s">
        <v>1254</v>
      </c>
      <c r="E186">
        <v>38489</v>
      </c>
      <c r="F186">
        <v>38487</v>
      </c>
      <c r="G186">
        <v>38793</v>
      </c>
      <c r="H186">
        <v>38556</v>
      </c>
      <c r="I186">
        <v>38892</v>
      </c>
      <c r="J186">
        <v>39328</v>
      </c>
      <c r="K186">
        <v>39512</v>
      </c>
      <c r="L186">
        <v>40111</v>
      </c>
      <c r="M186">
        <v>40674</v>
      </c>
      <c r="N186">
        <v>41346</v>
      </c>
      <c r="O186">
        <v>41748</v>
      </c>
      <c r="P186">
        <v>42398</v>
      </c>
      <c r="Q186">
        <v>43048</v>
      </c>
      <c r="R186">
        <v>43782</v>
      </c>
    </row>
    <row r="187" spans="1:18">
      <c r="A187">
        <v>23660</v>
      </c>
      <c r="B187" t="s">
        <v>878</v>
      </c>
      <c r="C187" t="s">
        <v>1261</v>
      </c>
      <c r="D187" t="s">
        <v>1254</v>
      </c>
      <c r="E187">
        <v>52930</v>
      </c>
      <c r="F187">
        <v>52794</v>
      </c>
      <c r="G187">
        <v>52466</v>
      </c>
      <c r="H187">
        <v>52366</v>
      </c>
      <c r="I187">
        <v>52252</v>
      </c>
      <c r="J187">
        <v>51752</v>
      </c>
      <c r="K187">
        <v>51373</v>
      </c>
      <c r="L187">
        <v>51111</v>
      </c>
      <c r="M187">
        <v>50582</v>
      </c>
      <c r="N187">
        <v>50308</v>
      </c>
      <c r="O187">
        <v>49790</v>
      </c>
      <c r="P187">
        <v>49310</v>
      </c>
      <c r="Q187">
        <v>48620</v>
      </c>
      <c r="R187">
        <v>48411</v>
      </c>
    </row>
    <row r="188" spans="1:18">
      <c r="A188">
        <v>23700</v>
      </c>
      <c r="B188" t="s">
        <v>879</v>
      </c>
      <c r="C188" t="s">
        <v>1261</v>
      </c>
      <c r="D188" t="s">
        <v>1254</v>
      </c>
      <c r="E188">
        <v>71718</v>
      </c>
      <c r="F188">
        <v>72565</v>
      </c>
      <c r="G188">
        <v>72786</v>
      </c>
      <c r="H188">
        <v>73272</v>
      </c>
      <c r="I188">
        <v>73586</v>
      </c>
      <c r="J188">
        <v>74446</v>
      </c>
      <c r="K188">
        <v>74180</v>
      </c>
      <c r="L188">
        <v>73778</v>
      </c>
      <c r="M188">
        <v>73461</v>
      </c>
      <c r="N188">
        <v>73133</v>
      </c>
      <c r="O188">
        <v>72590</v>
      </c>
      <c r="P188">
        <v>71464</v>
      </c>
      <c r="Q188">
        <v>69931</v>
      </c>
      <c r="R188">
        <v>68797</v>
      </c>
    </row>
    <row r="189" spans="1:18">
      <c r="A189">
        <v>23780</v>
      </c>
      <c r="B189" t="s">
        <v>880</v>
      </c>
      <c r="C189" t="s">
        <v>1261</v>
      </c>
      <c r="D189" t="s">
        <v>1254</v>
      </c>
      <c r="E189">
        <v>41017</v>
      </c>
      <c r="F189">
        <v>41395</v>
      </c>
      <c r="G189">
        <v>41659</v>
      </c>
      <c r="H189">
        <v>41820</v>
      </c>
      <c r="I189">
        <v>42147</v>
      </c>
      <c r="J189">
        <v>42429</v>
      </c>
      <c r="K189">
        <v>42343</v>
      </c>
      <c r="L189">
        <v>42505</v>
      </c>
      <c r="M189">
        <v>42536</v>
      </c>
      <c r="N189">
        <v>42549</v>
      </c>
      <c r="O189">
        <v>42266</v>
      </c>
      <c r="P189">
        <v>41976</v>
      </c>
      <c r="Q189">
        <v>41504</v>
      </c>
      <c r="R189">
        <v>41289</v>
      </c>
    </row>
    <row r="190" spans="1:18">
      <c r="A190">
        <v>23820</v>
      </c>
      <c r="B190" t="s">
        <v>881</v>
      </c>
      <c r="C190" t="s">
        <v>1261</v>
      </c>
      <c r="D190" t="s">
        <v>1254</v>
      </c>
      <c r="E190">
        <v>47045</v>
      </c>
      <c r="F190">
        <v>47023</v>
      </c>
      <c r="G190">
        <v>47006</v>
      </c>
      <c r="H190">
        <v>47066</v>
      </c>
      <c r="I190">
        <v>47553</v>
      </c>
      <c r="J190">
        <v>47605</v>
      </c>
      <c r="K190">
        <v>48025</v>
      </c>
      <c r="L190">
        <v>48273</v>
      </c>
      <c r="M190">
        <v>48824</v>
      </c>
      <c r="N190">
        <v>49334</v>
      </c>
      <c r="O190">
        <v>49525</v>
      </c>
      <c r="P190">
        <v>49999</v>
      </c>
      <c r="Q190">
        <v>49662</v>
      </c>
      <c r="R190">
        <v>49545</v>
      </c>
    </row>
    <row r="191" spans="1:18">
      <c r="A191">
        <v>23860</v>
      </c>
      <c r="B191" t="s">
        <v>882</v>
      </c>
      <c r="C191" t="s">
        <v>1261</v>
      </c>
      <c r="D191" t="s">
        <v>1254</v>
      </c>
      <c r="E191">
        <v>60344</v>
      </c>
      <c r="F191">
        <v>60196</v>
      </c>
      <c r="G191">
        <v>60261</v>
      </c>
      <c r="H191">
        <v>60516</v>
      </c>
      <c r="I191">
        <v>60884</v>
      </c>
      <c r="J191">
        <v>61530</v>
      </c>
      <c r="K191">
        <v>61640</v>
      </c>
      <c r="L191">
        <v>61930</v>
      </c>
      <c r="M191">
        <v>62504</v>
      </c>
      <c r="N191">
        <v>63073</v>
      </c>
      <c r="O191">
        <v>63509</v>
      </c>
      <c r="P191">
        <v>63925</v>
      </c>
      <c r="Q191">
        <v>64669</v>
      </c>
      <c r="R191">
        <v>65731</v>
      </c>
    </row>
    <row r="192" spans="1:18">
      <c r="A192">
        <v>23940</v>
      </c>
      <c r="B192" t="s">
        <v>883</v>
      </c>
      <c r="C192" t="s">
        <v>1261</v>
      </c>
      <c r="D192" t="s">
        <v>1254</v>
      </c>
      <c r="E192">
        <v>60572</v>
      </c>
      <c r="F192">
        <v>60840</v>
      </c>
      <c r="G192">
        <v>62122</v>
      </c>
      <c r="H192">
        <v>62392</v>
      </c>
      <c r="I192">
        <v>62606</v>
      </c>
      <c r="J192">
        <v>64027</v>
      </c>
      <c r="K192">
        <v>63678</v>
      </c>
      <c r="L192">
        <v>60851</v>
      </c>
      <c r="M192">
        <v>60752</v>
      </c>
      <c r="N192">
        <v>60932</v>
      </c>
      <c r="O192">
        <v>61141</v>
      </c>
      <c r="P192">
        <v>60597</v>
      </c>
      <c r="Q192">
        <v>61336</v>
      </c>
      <c r="R192">
        <v>61898</v>
      </c>
    </row>
    <row r="193" spans="1:18">
      <c r="A193">
        <v>23980</v>
      </c>
      <c r="B193" t="s">
        <v>884</v>
      </c>
      <c r="C193" t="s">
        <v>1261</v>
      </c>
      <c r="D193" t="s">
        <v>1254</v>
      </c>
      <c r="E193">
        <v>52260</v>
      </c>
      <c r="F193">
        <v>52425</v>
      </c>
      <c r="G193">
        <v>52663</v>
      </c>
      <c r="H193">
        <v>53012</v>
      </c>
      <c r="I193">
        <v>53180</v>
      </c>
      <c r="J193">
        <v>53665</v>
      </c>
      <c r="K193">
        <v>54026</v>
      </c>
      <c r="L193">
        <v>54139</v>
      </c>
      <c r="M193">
        <v>54449</v>
      </c>
      <c r="N193">
        <v>54612</v>
      </c>
      <c r="O193">
        <v>54793</v>
      </c>
      <c r="P193">
        <v>54989</v>
      </c>
      <c r="Q193">
        <v>55280</v>
      </c>
      <c r="R193">
        <v>55490</v>
      </c>
    </row>
    <row r="194" spans="1:18">
      <c r="A194">
        <v>24060</v>
      </c>
      <c r="B194" t="s">
        <v>885</v>
      </c>
      <c r="C194" t="s">
        <v>1261</v>
      </c>
      <c r="D194" t="s">
        <v>1254</v>
      </c>
      <c r="E194">
        <v>73245</v>
      </c>
      <c r="F194">
        <v>73315</v>
      </c>
      <c r="G194">
        <v>74230</v>
      </c>
      <c r="H194">
        <v>74655</v>
      </c>
      <c r="I194">
        <v>75213</v>
      </c>
      <c r="J194">
        <v>76071</v>
      </c>
      <c r="K194">
        <v>77323</v>
      </c>
      <c r="L194">
        <v>77650</v>
      </c>
      <c r="M194">
        <v>78436</v>
      </c>
      <c r="N194">
        <v>78675</v>
      </c>
      <c r="O194">
        <v>79149</v>
      </c>
      <c r="P194">
        <v>79444</v>
      </c>
      <c r="Q194">
        <v>79103</v>
      </c>
      <c r="R194">
        <v>79347</v>
      </c>
    </row>
    <row r="195" spans="1:18">
      <c r="A195">
        <v>24100</v>
      </c>
      <c r="B195" t="s">
        <v>886</v>
      </c>
      <c r="C195" t="s">
        <v>1261</v>
      </c>
      <c r="D195" t="s">
        <v>1254</v>
      </c>
      <c r="E195">
        <v>55464</v>
      </c>
      <c r="F195">
        <v>55169</v>
      </c>
      <c r="G195">
        <v>54945</v>
      </c>
      <c r="H195">
        <v>54485</v>
      </c>
      <c r="I195">
        <v>54110</v>
      </c>
      <c r="J195">
        <v>54019</v>
      </c>
      <c r="K195">
        <v>53888</v>
      </c>
      <c r="L195">
        <v>54100</v>
      </c>
      <c r="M195">
        <v>53978</v>
      </c>
      <c r="N195">
        <v>53698</v>
      </c>
      <c r="O195">
        <v>53100</v>
      </c>
      <c r="P195">
        <v>52747</v>
      </c>
      <c r="Q195">
        <v>52256</v>
      </c>
      <c r="R195">
        <v>52234</v>
      </c>
    </row>
    <row r="196" spans="1:18">
      <c r="A196">
        <v>24180</v>
      </c>
      <c r="B196" t="s">
        <v>887</v>
      </c>
      <c r="C196" t="s">
        <v>1261</v>
      </c>
      <c r="D196" t="s">
        <v>1254</v>
      </c>
      <c r="E196">
        <v>51238</v>
      </c>
      <c r="F196">
        <v>51409</v>
      </c>
      <c r="G196">
        <v>51848</v>
      </c>
      <c r="H196">
        <v>52456</v>
      </c>
      <c r="I196">
        <v>53273</v>
      </c>
      <c r="J196">
        <v>54544</v>
      </c>
      <c r="K196">
        <v>55739</v>
      </c>
      <c r="L196">
        <v>56976</v>
      </c>
      <c r="M196">
        <v>59046</v>
      </c>
      <c r="N196">
        <v>60379</v>
      </c>
      <c r="O196">
        <v>62057</v>
      </c>
      <c r="P196">
        <v>64293</v>
      </c>
      <c r="Q196">
        <v>66394</v>
      </c>
      <c r="R196">
        <v>67774</v>
      </c>
    </row>
    <row r="197" spans="1:18">
      <c r="A197">
        <v>24330</v>
      </c>
      <c r="B197" t="s">
        <v>888</v>
      </c>
      <c r="C197" t="s">
        <v>1261</v>
      </c>
      <c r="D197" t="s">
        <v>1254</v>
      </c>
      <c r="E197">
        <v>45028</v>
      </c>
      <c r="F197">
        <v>45070</v>
      </c>
      <c r="G197">
        <v>45092</v>
      </c>
      <c r="H197">
        <v>45249</v>
      </c>
      <c r="I197">
        <v>45216</v>
      </c>
      <c r="J197">
        <v>45131</v>
      </c>
      <c r="K197">
        <v>45008</v>
      </c>
      <c r="L197">
        <v>44907</v>
      </c>
      <c r="M197">
        <v>44924</v>
      </c>
      <c r="N197">
        <v>44984</v>
      </c>
      <c r="O197">
        <v>45034</v>
      </c>
      <c r="P197">
        <v>45099</v>
      </c>
      <c r="Q197">
        <v>45194</v>
      </c>
      <c r="R197">
        <v>45365</v>
      </c>
    </row>
    <row r="198" spans="1:18">
      <c r="A198">
        <v>24380</v>
      </c>
      <c r="B198" t="s">
        <v>889</v>
      </c>
      <c r="C198" t="s">
        <v>1261</v>
      </c>
      <c r="D198" t="s">
        <v>1254</v>
      </c>
      <c r="E198">
        <v>27337</v>
      </c>
      <c r="F198">
        <v>27584</v>
      </c>
      <c r="G198">
        <v>27586</v>
      </c>
      <c r="H198">
        <v>27653</v>
      </c>
      <c r="I198">
        <v>27465</v>
      </c>
      <c r="J198">
        <v>27426</v>
      </c>
      <c r="K198">
        <v>27515</v>
      </c>
      <c r="L198">
        <v>27446</v>
      </c>
      <c r="M198">
        <v>27391</v>
      </c>
      <c r="N198">
        <v>27345</v>
      </c>
      <c r="O198">
        <v>27101</v>
      </c>
      <c r="P198">
        <v>27185</v>
      </c>
      <c r="Q198">
        <v>26871</v>
      </c>
      <c r="R198">
        <v>26780</v>
      </c>
    </row>
    <row r="199" spans="1:18">
      <c r="A199">
        <v>24460</v>
      </c>
      <c r="B199" t="s">
        <v>890</v>
      </c>
      <c r="C199" t="s">
        <v>1261</v>
      </c>
      <c r="D199" t="s">
        <v>1254</v>
      </c>
      <c r="E199">
        <v>27669</v>
      </c>
      <c r="F199">
        <v>27669</v>
      </c>
      <c r="G199">
        <v>27468</v>
      </c>
      <c r="H199">
        <v>27368</v>
      </c>
      <c r="I199">
        <v>27236</v>
      </c>
      <c r="J199">
        <v>27038</v>
      </c>
      <c r="K199">
        <v>26756</v>
      </c>
      <c r="L199">
        <v>26260</v>
      </c>
      <c r="M199">
        <v>25933</v>
      </c>
      <c r="N199">
        <v>25731</v>
      </c>
      <c r="O199">
        <v>25427</v>
      </c>
      <c r="P199">
        <v>25263</v>
      </c>
      <c r="Q199">
        <v>25058</v>
      </c>
      <c r="R199">
        <v>24899</v>
      </c>
    </row>
    <row r="200" spans="1:18">
      <c r="A200">
        <v>24620</v>
      </c>
      <c r="B200" t="s">
        <v>891</v>
      </c>
      <c r="C200" t="s">
        <v>1261</v>
      </c>
      <c r="D200" t="s">
        <v>1254</v>
      </c>
      <c r="E200">
        <v>68852</v>
      </c>
      <c r="F200">
        <v>69260</v>
      </c>
      <c r="G200">
        <v>68926</v>
      </c>
      <c r="H200">
        <v>68571</v>
      </c>
      <c r="I200">
        <v>68774</v>
      </c>
      <c r="J200">
        <v>68969</v>
      </c>
      <c r="K200">
        <v>68993</v>
      </c>
      <c r="L200">
        <v>69344</v>
      </c>
      <c r="M200">
        <v>69781</v>
      </c>
      <c r="N200">
        <v>69734</v>
      </c>
      <c r="O200">
        <v>70344</v>
      </c>
      <c r="P200">
        <v>70565</v>
      </c>
      <c r="Q200">
        <v>71292</v>
      </c>
      <c r="R200">
        <v>72577</v>
      </c>
    </row>
    <row r="201" spans="1:18">
      <c r="A201">
        <v>24700</v>
      </c>
      <c r="B201" t="s">
        <v>892</v>
      </c>
      <c r="C201" t="s">
        <v>1261</v>
      </c>
      <c r="D201" t="s">
        <v>1254</v>
      </c>
      <c r="E201">
        <v>25792</v>
      </c>
      <c r="F201">
        <v>25889</v>
      </c>
      <c r="G201">
        <v>26022</v>
      </c>
      <c r="H201">
        <v>26203</v>
      </c>
      <c r="I201">
        <v>26374</v>
      </c>
      <c r="J201">
        <v>26292</v>
      </c>
      <c r="K201">
        <v>26514</v>
      </c>
      <c r="L201">
        <v>26562</v>
      </c>
      <c r="M201">
        <v>26611</v>
      </c>
      <c r="N201">
        <v>26389</v>
      </c>
      <c r="O201">
        <v>26474</v>
      </c>
      <c r="P201">
        <v>26353</v>
      </c>
      <c r="Q201">
        <v>26454</v>
      </c>
      <c r="R201">
        <v>26399</v>
      </c>
    </row>
    <row r="202" spans="1:18">
      <c r="A202">
        <v>24740</v>
      </c>
      <c r="B202" t="s">
        <v>893</v>
      </c>
      <c r="C202" t="s">
        <v>1261</v>
      </c>
      <c r="D202" t="s">
        <v>1254</v>
      </c>
      <c r="E202">
        <v>51149</v>
      </c>
      <c r="F202">
        <v>50716</v>
      </c>
      <c r="G202">
        <v>50484</v>
      </c>
      <c r="H202">
        <v>50324</v>
      </c>
      <c r="I202">
        <v>49866</v>
      </c>
      <c r="J202">
        <v>48999</v>
      </c>
      <c r="K202">
        <v>48396</v>
      </c>
      <c r="L202">
        <v>47584</v>
      </c>
      <c r="M202">
        <v>46593</v>
      </c>
      <c r="N202">
        <v>45612</v>
      </c>
      <c r="O202">
        <v>44640</v>
      </c>
      <c r="P202">
        <v>43626</v>
      </c>
      <c r="Q202">
        <v>42524</v>
      </c>
      <c r="R202">
        <v>41946</v>
      </c>
    </row>
    <row r="203" spans="1:18">
      <c r="A203">
        <v>24820</v>
      </c>
      <c r="B203" t="s">
        <v>894</v>
      </c>
      <c r="C203" t="s">
        <v>1261</v>
      </c>
      <c r="D203" t="s">
        <v>1254</v>
      </c>
      <c r="E203">
        <v>52982</v>
      </c>
      <c r="F203">
        <v>52743</v>
      </c>
      <c r="G203">
        <v>52680</v>
      </c>
      <c r="H203">
        <v>52545</v>
      </c>
      <c r="I203">
        <v>52495</v>
      </c>
      <c r="J203">
        <v>52363</v>
      </c>
      <c r="K203">
        <v>52080</v>
      </c>
      <c r="L203">
        <v>52070</v>
      </c>
      <c r="M203">
        <v>51884</v>
      </c>
      <c r="N203">
        <v>51809</v>
      </c>
      <c r="O203">
        <v>51893</v>
      </c>
      <c r="P203">
        <v>51642</v>
      </c>
      <c r="Q203">
        <v>51526</v>
      </c>
      <c r="R203">
        <v>51415</v>
      </c>
    </row>
    <row r="204" spans="1:18">
      <c r="A204">
        <v>24900</v>
      </c>
      <c r="B204" t="s">
        <v>895</v>
      </c>
      <c r="C204" t="s">
        <v>1261</v>
      </c>
      <c r="D204" t="s">
        <v>1254</v>
      </c>
      <c r="E204">
        <v>43041</v>
      </c>
      <c r="F204">
        <v>42586</v>
      </c>
      <c r="G204">
        <v>41342</v>
      </c>
      <c r="H204">
        <v>41275</v>
      </c>
      <c r="I204">
        <v>41207</v>
      </c>
      <c r="J204">
        <v>40770</v>
      </c>
      <c r="K204">
        <v>40351</v>
      </c>
      <c r="L204">
        <v>39823</v>
      </c>
      <c r="M204">
        <v>39004</v>
      </c>
      <c r="N204">
        <v>38631</v>
      </c>
      <c r="O204">
        <v>38122</v>
      </c>
      <c r="P204">
        <v>37247</v>
      </c>
      <c r="Q204">
        <v>36400</v>
      </c>
      <c r="R204">
        <v>35913</v>
      </c>
    </row>
    <row r="205" spans="1:18">
      <c r="A205">
        <v>24940</v>
      </c>
      <c r="B205" t="s">
        <v>896</v>
      </c>
      <c r="C205" t="s">
        <v>1261</v>
      </c>
      <c r="D205" t="s">
        <v>1254</v>
      </c>
      <c r="E205">
        <v>69717</v>
      </c>
      <c r="F205">
        <v>69635</v>
      </c>
      <c r="G205">
        <v>69585</v>
      </c>
      <c r="H205">
        <v>69288</v>
      </c>
      <c r="I205">
        <v>68974</v>
      </c>
      <c r="J205">
        <v>69111</v>
      </c>
      <c r="K205">
        <v>69126</v>
      </c>
      <c r="L205">
        <v>69295</v>
      </c>
      <c r="M205">
        <v>69245</v>
      </c>
      <c r="N205">
        <v>69402</v>
      </c>
      <c r="O205">
        <v>69390</v>
      </c>
      <c r="P205">
        <v>69126</v>
      </c>
      <c r="Q205">
        <v>69223</v>
      </c>
      <c r="R205">
        <v>69460</v>
      </c>
    </row>
    <row r="206" spans="1:18">
      <c r="A206">
        <v>24980</v>
      </c>
      <c r="B206" t="s">
        <v>897</v>
      </c>
      <c r="C206" t="s">
        <v>1261</v>
      </c>
      <c r="D206" t="s">
        <v>1254</v>
      </c>
      <c r="E206">
        <v>21861</v>
      </c>
      <c r="F206">
        <v>21732</v>
      </c>
      <c r="G206">
        <v>21843</v>
      </c>
      <c r="H206">
        <v>21859</v>
      </c>
      <c r="I206">
        <v>22027</v>
      </c>
      <c r="J206">
        <v>21973</v>
      </c>
      <c r="K206">
        <v>21828</v>
      </c>
      <c r="L206">
        <v>21747</v>
      </c>
      <c r="M206">
        <v>21807</v>
      </c>
      <c r="N206">
        <v>21610</v>
      </c>
      <c r="O206">
        <v>21577</v>
      </c>
      <c r="P206">
        <v>21330</v>
      </c>
      <c r="Q206">
        <v>21134</v>
      </c>
      <c r="R206">
        <v>21065</v>
      </c>
    </row>
    <row r="207" spans="1:18">
      <c r="A207">
        <v>25100</v>
      </c>
      <c r="B207" t="s">
        <v>898</v>
      </c>
      <c r="C207" t="s">
        <v>1261</v>
      </c>
      <c r="D207" t="s">
        <v>1254</v>
      </c>
      <c r="E207">
        <v>20833</v>
      </c>
      <c r="F207">
        <v>21422</v>
      </c>
      <c r="G207">
        <v>21900</v>
      </c>
      <c r="H207">
        <v>22497</v>
      </c>
      <c r="I207">
        <v>22316</v>
      </c>
      <c r="J207">
        <v>22153</v>
      </c>
      <c r="K207">
        <v>22070</v>
      </c>
      <c r="L207">
        <v>22006</v>
      </c>
      <c r="M207">
        <v>21726</v>
      </c>
      <c r="N207">
        <v>21387</v>
      </c>
      <c r="O207">
        <v>21289</v>
      </c>
      <c r="P207">
        <v>20849</v>
      </c>
      <c r="Q207">
        <v>20505</v>
      </c>
      <c r="R207">
        <v>20371</v>
      </c>
    </row>
    <row r="208" spans="1:18">
      <c r="A208">
        <v>25200</v>
      </c>
      <c r="B208" t="s">
        <v>899</v>
      </c>
      <c r="C208" t="s">
        <v>1261</v>
      </c>
      <c r="D208" t="s">
        <v>1254</v>
      </c>
      <c r="E208">
        <v>22430</v>
      </c>
      <c r="F208">
        <v>22291</v>
      </c>
      <c r="G208">
        <v>22381</v>
      </c>
      <c r="H208">
        <v>22622</v>
      </c>
      <c r="I208">
        <v>22850</v>
      </c>
      <c r="J208">
        <v>23135</v>
      </c>
      <c r="K208">
        <v>23641</v>
      </c>
      <c r="L208">
        <v>24076</v>
      </c>
      <c r="M208">
        <v>24510</v>
      </c>
      <c r="N208">
        <v>24871</v>
      </c>
      <c r="O208">
        <v>25432</v>
      </c>
      <c r="P208">
        <v>25919</v>
      </c>
      <c r="Q208">
        <v>26070</v>
      </c>
      <c r="R208">
        <v>26273</v>
      </c>
    </row>
    <row r="209" spans="1:18">
      <c r="A209">
        <v>25300</v>
      </c>
      <c r="B209" t="s">
        <v>900</v>
      </c>
      <c r="C209" t="s">
        <v>1261</v>
      </c>
      <c r="D209" t="s">
        <v>1254</v>
      </c>
      <c r="E209">
        <v>38984</v>
      </c>
      <c r="F209">
        <v>39079</v>
      </c>
      <c r="G209">
        <v>39008</v>
      </c>
      <c r="H209">
        <v>38985</v>
      </c>
      <c r="I209">
        <v>39110</v>
      </c>
      <c r="J209">
        <v>38945</v>
      </c>
      <c r="K209">
        <v>39026</v>
      </c>
      <c r="L209">
        <v>38909</v>
      </c>
      <c r="M209">
        <v>38881</v>
      </c>
      <c r="N209">
        <v>38928</v>
      </c>
      <c r="O209">
        <v>38844</v>
      </c>
      <c r="P209">
        <v>38924</v>
      </c>
      <c r="Q209">
        <v>38899</v>
      </c>
      <c r="R209">
        <v>38825</v>
      </c>
    </row>
    <row r="210" spans="1:18">
      <c r="A210">
        <v>25460</v>
      </c>
      <c r="B210" t="s">
        <v>901</v>
      </c>
      <c r="C210" t="s">
        <v>1261</v>
      </c>
      <c r="D210" t="s">
        <v>1254</v>
      </c>
      <c r="E210">
        <v>45181</v>
      </c>
      <c r="F210">
        <v>45259</v>
      </c>
      <c r="G210">
        <v>45247</v>
      </c>
      <c r="H210">
        <v>45177</v>
      </c>
      <c r="I210">
        <v>44733</v>
      </c>
      <c r="J210">
        <v>44660</v>
      </c>
      <c r="K210">
        <v>44741</v>
      </c>
      <c r="L210">
        <v>44858</v>
      </c>
      <c r="M210">
        <v>44771</v>
      </c>
      <c r="N210">
        <v>44709</v>
      </c>
      <c r="O210">
        <v>44577</v>
      </c>
      <c r="P210">
        <v>45061</v>
      </c>
      <c r="Q210">
        <v>45381</v>
      </c>
      <c r="R210">
        <v>45601</v>
      </c>
    </row>
    <row r="211" spans="1:18">
      <c r="A211">
        <v>25580</v>
      </c>
      <c r="B211" t="s">
        <v>902</v>
      </c>
      <c r="C211" t="s">
        <v>1261</v>
      </c>
      <c r="D211" t="s">
        <v>1254</v>
      </c>
      <c r="E211">
        <v>31325</v>
      </c>
      <c r="F211">
        <v>31189</v>
      </c>
      <c r="G211">
        <v>31318</v>
      </c>
      <c r="H211">
        <v>31486</v>
      </c>
      <c r="I211">
        <v>31336</v>
      </c>
      <c r="J211">
        <v>31496</v>
      </c>
      <c r="K211">
        <v>31626</v>
      </c>
      <c r="L211">
        <v>31725</v>
      </c>
      <c r="M211">
        <v>31385</v>
      </c>
      <c r="N211">
        <v>31166</v>
      </c>
      <c r="O211">
        <v>31178</v>
      </c>
      <c r="P211">
        <v>30967</v>
      </c>
      <c r="Q211">
        <v>30947</v>
      </c>
      <c r="R211">
        <v>30899</v>
      </c>
    </row>
    <row r="212" spans="1:18">
      <c r="A212">
        <v>25700</v>
      </c>
      <c r="B212" t="s">
        <v>903</v>
      </c>
      <c r="C212" t="s">
        <v>1261</v>
      </c>
      <c r="D212" t="s">
        <v>1254</v>
      </c>
      <c r="E212">
        <v>28430</v>
      </c>
      <c r="F212">
        <v>28805</v>
      </c>
      <c r="G212">
        <v>29160</v>
      </c>
      <c r="H212">
        <v>29129</v>
      </c>
      <c r="I212">
        <v>29095</v>
      </c>
      <c r="J212">
        <v>29168</v>
      </c>
      <c r="K212">
        <v>29112</v>
      </c>
      <c r="L212">
        <v>28947</v>
      </c>
      <c r="M212">
        <v>28928</v>
      </c>
      <c r="N212">
        <v>28898</v>
      </c>
      <c r="O212">
        <v>28948</v>
      </c>
      <c r="P212">
        <v>28850</v>
      </c>
      <c r="Q212">
        <v>28840</v>
      </c>
      <c r="R212">
        <v>28810</v>
      </c>
    </row>
    <row r="213" spans="1:18">
      <c r="A213">
        <v>25720</v>
      </c>
      <c r="B213" t="s">
        <v>904</v>
      </c>
      <c r="C213" t="s">
        <v>1261</v>
      </c>
      <c r="D213" t="s">
        <v>1254</v>
      </c>
      <c r="E213">
        <v>60139</v>
      </c>
      <c r="F213">
        <v>61817</v>
      </c>
      <c r="G213">
        <v>63180</v>
      </c>
      <c r="H213">
        <v>64955</v>
      </c>
      <c r="I213">
        <v>66863</v>
      </c>
      <c r="J213">
        <v>68683</v>
      </c>
      <c r="K213">
        <v>70841</v>
      </c>
      <c r="L213">
        <v>73232</v>
      </c>
      <c r="M213">
        <v>74935</v>
      </c>
      <c r="N213">
        <v>76037</v>
      </c>
      <c r="O213">
        <v>77544</v>
      </c>
      <c r="P213">
        <v>79425</v>
      </c>
      <c r="Q213">
        <v>79642</v>
      </c>
      <c r="R213">
        <v>79903</v>
      </c>
    </row>
    <row r="214" spans="1:18">
      <c r="A214">
        <v>25740</v>
      </c>
      <c r="B214" t="s">
        <v>905</v>
      </c>
      <c r="C214" t="s">
        <v>1261</v>
      </c>
      <c r="D214" t="s">
        <v>1254</v>
      </c>
      <c r="E214">
        <v>74999</v>
      </c>
      <c r="F214">
        <v>75731</v>
      </c>
      <c r="G214">
        <v>76212</v>
      </c>
      <c r="H214">
        <v>76927</v>
      </c>
      <c r="I214">
        <v>77521</v>
      </c>
      <c r="J214">
        <v>78197</v>
      </c>
      <c r="K214">
        <v>79155</v>
      </c>
      <c r="L214">
        <v>80356</v>
      </c>
      <c r="M214">
        <v>81378</v>
      </c>
      <c r="N214">
        <v>82380</v>
      </c>
      <c r="O214">
        <v>83319</v>
      </c>
      <c r="P214">
        <v>84975</v>
      </c>
      <c r="Q214">
        <v>86615</v>
      </c>
      <c r="R214">
        <v>88059</v>
      </c>
    </row>
    <row r="215" spans="1:18">
      <c r="A215">
        <v>25760</v>
      </c>
      <c r="B215" t="s">
        <v>906</v>
      </c>
      <c r="C215" t="s">
        <v>1261</v>
      </c>
      <c r="D215" t="s">
        <v>1254</v>
      </c>
      <c r="E215">
        <v>21648</v>
      </c>
      <c r="F215">
        <v>21276</v>
      </c>
      <c r="G215">
        <v>20508</v>
      </c>
      <c r="H215">
        <v>20111</v>
      </c>
      <c r="I215">
        <v>19539</v>
      </c>
      <c r="J215">
        <v>19049</v>
      </c>
      <c r="K215">
        <v>18462</v>
      </c>
      <c r="L215">
        <v>17953</v>
      </c>
      <c r="M215">
        <v>17318</v>
      </c>
      <c r="N215">
        <v>16975</v>
      </c>
      <c r="O215">
        <v>16440</v>
      </c>
      <c r="P215">
        <v>15825</v>
      </c>
      <c r="Q215">
        <v>15350</v>
      </c>
      <c r="R215">
        <v>14961</v>
      </c>
    </row>
    <row r="216" spans="1:18">
      <c r="A216">
        <v>25780</v>
      </c>
      <c r="B216" t="s">
        <v>907</v>
      </c>
      <c r="C216" t="s">
        <v>1261</v>
      </c>
      <c r="D216" t="s">
        <v>1254</v>
      </c>
      <c r="E216">
        <v>45239</v>
      </c>
      <c r="F216">
        <v>45022</v>
      </c>
      <c r="G216">
        <v>44617</v>
      </c>
      <c r="H216">
        <v>43813</v>
      </c>
      <c r="I216">
        <v>43625</v>
      </c>
      <c r="J216">
        <v>43357</v>
      </c>
      <c r="K216">
        <v>43221</v>
      </c>
      <c r="L216">
        <v>42842</v>
      </c>
      <c r="M216">
        <v>42963</v>
      </c>
      <c r="N216">
        <v>42686</v>
      </c>
      <c r="O216">
        <v>42540</v>
      </c>
      <c r="P216">
        <v>42101</v>
      </c>
      <c r="Q216">
        <v>42154</v>
      </c>
      <c r="R216">
        <v>42301</v>
      </c>
    </row>
    <row r="217" spans="1:18">
      <c r="A217">
        <v>25820</v>
      </c>
      <c r="B217" t="s">
        <v>908</v>
      </c>
      <c r="C217" t="s">
        <v>1261</v>
      </c>
      <c r="D217" t="s">
        <v>1254</v>
      </c>
      <c r="E217">
        <v>19471</v>
      </c>
      <c r="F217">
        <v>19549</v>
      </c>
      <c r="G217">
        <v>19422</v>
      </c>
      <c r="H217">
        <v>19250</v>
      </c>
      <c r="I217">
        <v>19215</v>
      </c>
      <c r="J217">
        <v>18939</v>
      </c>
      <c r="K217">
        <v>18966</v>
      </c>
      <c r="L217">
        <v>18907</v>
      </c>
      <c r="M217">
        <v>18873</v>
      </c>
      <c r="N217">
        <v>18766</v>
      </c>
      <c r="O217">
        <v>18526</v>
      </c>
      <c r="P217">
        <v>18379</v>
      </c>
      <c r="Q217">
        <v>18399</v>
      </c>
      <c r="R217">
        <v>18347</v>
      </c>
    </row>
    <row r="218" spans="1:18">
      <c r="A218">
        <v>25840</v>
      </c>
      <c r="B218" t="s">
        <v>909</v>
      </c>
      <c r="C218" t="s">
        <v>1261</v>
      </c>
      <c r="D218" t="s">
        <v>1254</v>
      </c>
      <c r="E218">
        <v>87363</v>
      </c>
      <c r="F218">
        <v>88358</v>
      </c>
      <c r="G218">
        <v>88820</v>
      </c>
      <c r="H218">
        <v>88931</v>
      </c>
      <c r="I218">
        <v>88907</v>
      </c>
      <c r="J218">
        <v>88981</v>
      </c>
      <c r="K218">
        <v>89576</v>
      </c>
      <c r="L218">
        <v>90196</v>
      </c>
      <c r="M218">
        <v>90860</v>
      </c>
      <c r="N218">
        <v>91820</v>
      </c>
      <c r="O218">
        <v>92329</v>
      </c>
      <c r="P218">
        <v>92512</v>
      </c>
      <c r="Q218">
        <v>92553</v>
      </c>
      <c r="R218">
        <v>92355</v>
      </c>
    </row>
    <row r="219" spans="1:18">
      <c r="A219">
        <v>25880</v>
      </c>
      <c r="B219" t="s">
        <v>910</v>
      </c>
      <c r="C219" t="s">
        <v>1261</v>
      </c>
      <c r="D219" t="s">
        <v>1254</v>
      </c>
      <c r="E219">
        <v>46646</v>
      </c>
      <c r="F219">
        <v>46605</v>
      </c>
      <c r="G219">
        <v>46276</v>
      </c>
      <c r="H219">
        <v>46147</v>
      </c>
      <c r="I219">
        <v>45949</v>
      </c>
      <c r="J219">
        <v>45909</v>
      </c>
      <c r="K219">
        <v>45807</v>
      </c>
      <c r="L219">
        <v>45851</v>
      </c>
      <c r="M219">
        <v>45732</v>
      </c>
      <c r="N219">
        <v>45574</v>
      </c>
      <c r="O219">
        <v>45731</v>
      </c>
      <c r="P219">
        <v>45625</v>
      </c>
      <c r="Q219">
        <v>45735</v>
      </c>
      <c r="R219">
        <v>45587</v>
      </c>
    </row>
    <row r="220" spans="1:18">
      <c r="A220">
        <v>25900</v>
      </c>
      <c r="B220" t="s">
        <v>911</v>
      </c>
      <c r="C220" t="s">
        <v>1261</v>
      </c>
      <c r="D220" t="s">
        <v>1254</v>
      </c>
      <c r="E220">
        <v>185303</v>
      </c>
      <c r="F220">
        <v>186807</v>
      </c>
      <c r="G220">
        <v>188661</v>
      </c>
      <c r="H220">
        <v>190737</v>
      </c>
      <c r="I220">
        <v>192782</v>
      </c>
      <c r="J220">
        <v>194827</v>
      </c>
      <c r="K220">
        <v>197045</v>
      </c>
      <c r="L220">
        <v>198619</v>
      </c>
      <c r="M220">
        <v>200241</v>
      </c>
      <c r="N220">
        <v>199912</v>
      </c>
      <c r="O220">
        <v>200744</v>
      </c>
      <c r="P220">
        <v>203875</v>
      </c>
      <c r="Q220">
        <v>206348</v>
      </c>
      <c r="R220">
        <v>207615</v>
      </c>
    </row>
    <row r="221" spans="1:18">
      <c r="A221">
        <v>26020</v>
      </c>
      <c r="B221" t="s">
        <v>912</v>
      </c>
      <c r="C221" t="s">
        <v>1261</v>
      </c>
      <c r="D221" t="s">
        <v>1254</v>
      </c>
      <c r="E221">
        <v>64658</v>
      </c>
      <c r="F221">
        <v>65437</v>
      </c>
      <c r="G221">
        <v>66931</v>
      </c>
      <c r="H221">
        <v>69462</v>
      </c>
      <c r="I221">
        <v>71289</v>
      </c>
      <c r="J221">
        <v>72878</v>
      </c>
      <c r="K221">
        <v>71916</v>
      </c>
      <c r="L221">
        <v>70907</v>
      </c>
      <c r="M221">
        <v>71691</v>
      </c>
      <c r="N221">
        <v>73594</v>
      </c>
      <c r="O221">
        <v>74642</v>
      </c>
      <c r="P221">
        <v>73062</v>
      </c>
      <c r="Q221">
        <v>72343</v>
      </c>
      <c r="R221">
        <v>72101</v>
      </c>
    </row>
    <row r="222" spans="1:18">
      <c r="A222">
        <v>26090</v>
      </c>
      <c r="B222" t="s">
        <v>913</v>
      </c>
      <c r="C222" t="s">
        <v>1261</v>
      </c>
      <c r="D222" t="s">
        <v>1254</v>
      </c>
      <c r="E222">
        <v>111560</v>
      </c>
      <c r="F222">
        <v>111358</v>
      </c>
      <c r="G222">
        <v>111852</v>
      </c>
      <c r="H222">
        <v>112523</v>
      </c>
      <c r="I222">
        <v>114027</v>
      </c>
      <c r="J222">
        <v>114951</v>
      </c>
      <c r="K222">
        <v>116015</v>
      </c>
      <c r="L222">
        <v>117564</v>
      </c>
      <c r="M222">
        <v>118478</v>
      </c>
      <c r="N222">
        <v>119562</v>
      </c>
      <c r="O222">
        <v>120669</v>
      </c>
      <c r="P222">
        <v>121068</v>
      </c>
      <c r="Q222">
        <v>121290</v>
      </c>
      <c r="R222">
        <v>121939</v>
      </c>
    </row>
    <row r="223" spans="1:18">
      <c r="A223">
        <v>26220</v>
      </c>
      <c r="B223" t="s">
        <v>914</v>
      </c>
      <c r="C223" t="s">
        <v>1261</v>
      </c>
      <c r="D223" t="s">
        <v>1254</v>
      </c>
      <c r="E223">
        <v>22462</v>
      </c>
      <c r="F223">
        <v>22515</v>
      </c>
      <c r="G223">
        <v>22683</v>
      </c>
      <c r="H223">
        <v>22775</v>
      </c>
      <c r="I223">
        <v>22934</v>
      </c>
      <c r="J223">
        <v>23255</v>
      </c>
      <c r="K223">
        <v>23487</v>
      </c>
      <c r="L223">
        <v>23872</v>
      </c>
      <c r="M223">
        <v>23758</v>
      </c>
      <c r="N223">
        <v>23945</v>
      </c>
      <c r="O223">
        <v>23962</v>
      </c>
      <c r="P223">
        <v>24086</v>
      </c>
      <c r="Q223">
        <v>24035</v>
      </c>
      <c r="R223">
        <v>23745</v>
      </c>
    </row>
    <row r="224" spans="1:18">
      <c r="A224">
        <v>26260</v>
      </c>
      <c r="B224" t="s">
        <v>915</v>
      </c>
      <c r="C224" t="s">
        <v>1261</v>
      </c>
      <c r="D224" t="s">
        <v>1254</v>
      </c>
      <c r="E224">
        <v>31569</v>
      </c>
      <c r="F224">
        <v>31364</v>
      </c>
      <c r="G224">
        <v>31012</v>
      </c>
      <c r="H224">
        <v>30835</v>
      </c>
      <c r="I224">
        <v>30505</v>
      </c>
      <c r="J224">
        <v>30020</v>
      </c>
      <c r="K224">
        <v>29725</v>
      </c>
      <c r="L224">
        <v>29403</v>
      </c>
      <c r="M224">
        <v>29095</v>
      </c>
      <c r="N224">
        <v>28784</v>
      </c>
      <c r="O224">
        <v>28273</v>
      </c>
      <c r="P224">
        <v>27851</v>
      </c>
      <c r="Q224">
        <v>27660</v>
      </c>
      <c r="R224">
        <v>27463</v>
      </c>
    </row>
    <row r="225" spans="1:18">
      <c r="A225">
        <v>26340</v>
      </c>
      <c r="B225" t="s">
        <v>916</v>
      </c>
      <c r="C225" t="s">
        <v>1261</v>
      </c>
      <c r="D225" t="s">
        <v>1254</v>
      </c>
      <c r="E225">
        <v>38947</v>
      </c>
      <c r="F225">
        <v>39206</v>
      </c>
      <c r="G225">
        <v>39364</v>
      </c>
      <c r="H225">
        <v>39477</v>
      </c>
      <c r="I225">
        <v>39499</v>
      </c>
      <c r="J225">
        <v>39403</v>
      </c>
      <c r="K225">
        <v>39732</v>
      </c>
      <c r="L225">
        <v>39791</v>
      </c>
      <c r="M225">
        <v>39693</v>
      </c>
      <c r="N225">
        <v>39604</v>
      </c>
      <c r="O225">
        <v>39297</v>
      </c>
      <c r="P225">
        <v>39615</v>
      </c>
      <c r="Q225">
        <v>39315</v>
      </c>
      <c r="R225">
        <v>39771</v>
      </c>
    </row>
    <row r="226" spans="1:18">
      <c r="A226">
        <v>26460</v>
      </c>
      <c r="B226" t="s">
        <v>917</v>
      </c>
      <c r="C226" t="s">
        <v>1261</v>
      </c>
      <c r="D226" t="s">
        <v>1254</v>
      </c>
      <c r="E226">
        <v>63088</v>
      </c>
      <c r="F226">
        <v>62796</v>
      </c>
      <c r="G226">
        <v>62925</v>
      </c>
      <c r="H226">
        <v>62835</v>
      </c>
      <c r="I226">
        <v>62844</v>
      </c>
      <c r="J226">
        <v>62539</v>
      </c>
      <c r="K226">
        <v>62082</v>
      </c>
      <c r="L226">
        <v>61788</v>
      </c>
      <c r="M226">
        <v>61524</v>
      </c>
      <c r="N226">
        <v>61451</v>
      </c>
      <c r="O226">
        <v>61414</v>
      </c>
      <c r="P226">
        <v>61961</v>
      </c>
      <c r="Q226">
        <v>61108</v>
      </c>
      <c r="R226">
        <v>60470</v>
      </c>
    </row>
    <row r="227" spans="1:18">
      <c r="A227">
        <v>26500</v>
      </c>
      <c r="B227" t="s">
        <v>918</v>
      </c>
      <c r="C227" t="s">
        <v>1261</v>
      </c>
      <c r="D227" t="s">
        <v>1254</v>
      </c>
      <c r="E227">
        <v>45986</v>
      </c>
      <c r="F227">
        <v>45946</v>
      </c>
      <c r="G227">
        <v>45827</v>
      </c>
      <c r="H227">
        <v>45673</v>
      </c>
      <c r="I227">
        <v>45521</v>
      </c>
      <c r="J227">
        <v>45234</v>
      </c>
      <c r="K227">
        <v>45078</v>
      </c>
      <c r="L227">
        <v>45062</v>
      </c>
      <c r="M227">
        <v>44947</v>
      </c>
      <c r="N227">
        <v>44407</v>
      </c>
      <c r="O227">
        <v>44049</v>
      </c>
      <c r="P227">
        <v>43958</v>
      </c>
      <c r="Q227">
        <v>43297</v>
      </c>
      <c r="R227">
        <v>43514</v>
      </c>
    </row>
    <row r="228" spans="1:18">
      <c r="A228">
        <v>26540</v>
      </c>
      <c r="B228" t="s">
        <v>919</v>
      </c>
      <c r="C228" t="s">
        <v>1261</v>
      </c>
      <c r="D228" t="s">
        <v>1254</v>
      </c>
      <c r="E228">
        <v>37121</v>
      </c>
      <c r="F228">
        <v>37197</v>
      </c>
      <c r="G228">
        <v>37033</v>
      </c>
      <c r="H228">
        <v>36858</v>
      </c>
      <c r="I228">
        <v>36719</v>
      </c>
      <c r="J228">
        <v>36652</v>
      </c>
      <c r="K228">
        <v>36451</v>
      </c>
      <c r="L228">
        <v>36413</v>
      </c>
      <c r="M228">
        <v>36429</v>
      </c>
      <c r="N228">
        <v>36747</v>
      </c>
      <c r="O228">
        <v>36646</v>
      </c>
      <c r="P228">
        <v>36788</v>
      </c>
      <c r="Q228">
        <v>36800</v>
      </c>
      <c r="R228">
        <v>36781</v>
      </c>
    </row>
    <row r="229" spans="1:18">
      <c r="A229">
        <v>26660</v>
      </c>
      <c r="B229" t="s">
        <v>920</v>
      </c>
      <c r="C229" t="s">
        <v>1261</v>
      </c>
      <c r="D229" t="s">
        <v>1254</v>
      </c>
      <c r="E229">
        <v>68338</v>
      </c>
      <c r="F229">
        <v>68900</v>
      </c>
      <c r="G229">
        <v>69498</v>
      </c>
      <c r="H229">
        <v>70714</v>
      </c>
      <c r="I229">
        <v>71800</v>
      </c>
      <c r="J229">
        <v>72998</v>
      </c>
      <c r="K229">
        <v>74442</v>
      </c>
      <c r="L229">
        <v>75863</v>
      </c>
      <c r="M229">
        <v>76585</v>
      </c>
      <c r="N229">
        <v>75613</v>
      </c>
      <c r="O229">
        <v>76553</v>
      </c>
      <c r="P229">
        <v>78348</v>
      </c>
      <c r="Q229">
        <v>79678</v>
      </c>
      <c r="R229">
        <v>81268</v>
      </c>
    </row>
    <row r="230" spans="1:18">
      <c r="A230">
        <v>26700</v>
      </c>
      <c r="B230" t="s">
        <v>921</v>
      </c>
      <c r="C230" t="s">
        <v>1261</v>
      </c>
      <c r="D230" t="s">
        <v>1254</v>
      </c>
      <c r="E230">
        <v>19503</v>
      </c>
      <c r="F230">
        <v>19818</v>
      </c>
      <c r="G230">
        <v>20118</v>
      </c>
      <c r="H230">
        <v>20379</v>
      </c>
      <c r="I230">
        <v>20233</v>
      </c>
      <c r="J230">
        <v>20315</v>
      </c>
      <c r="K230">
        <v>20341</v>
      </c>
      <c r="L230">
        <v>20632</v>
      </c>
      <c r="M230">
        <v>20497</v>
      </c>
      <c r="N230">
        <v>20679</v>
      </c>
      <c r="O230">
        <v>20813</v>
      </c>
      <c r="P230">
        <v>20826</v>
      </c>
      <c r="Q230">
        <v>21150</v>
      </c>
      <c r="R230">
        <v>21251</v>
      </c>
    </row>
    <row r="231" spans="1:18">
      <c r="A231">
        <v>26740</v>
      </c>
      <c r="B231" t="s">
        <v>922</v>
      </c>
      <c r="C231" t="s">
        <v>1261</v>
      </c>
      <c r="D231" t="s">
        <v>1254</v>
      </c>
      <c r="E231">
        <v>64553</v>
      </c>
      <c r="F231">
        <v>64437</v>
      </c>
      <c r="G231">
        <v>64216</v>
      </c>
      <c r="H231">
        <v>64100</v>
      </c>
      <c r="I231">
        <v>63729</v>
      </c>
      <c r="J231">
        <v>63629</v>
      </c>
      <c r="K231">
        <v>63252</v>
      </c>
      <c r="L231">
        <v>62784</v>
      </c>
      <c r="M231">
        <v>62397</v>
      </c>
      <c r="N231">
        <v>62003</v>
      </c>
      <c r="O231">
        <v>61878</v>
      </c>
      <c r="P231">
        <v>61499</v>
      </c>
      <c r="Q231">
        <v>61552</v>
      </c>
      <c r="R231">
        <v>61497</v>
      </c>
    </row>
    <row r="232" spans="1:18">
      <c r="A232">
        <v>26780</v>
      </c>
      <c r="B232" t="s">
        <v>923</v>
      </c>
      <c r="C232" t="s">
        <v>1261</v>
      </c>
      <c r="D232" t="s">
        <v>1254</v>
      </c>
      <c r="E232">
        <v>36616</v>
      </c>
      <c r="F232">
        <v>36468</v>
      </c>
      <c r="G232">
        <v>36153</v>
      </c>
      <c r="H232">
        <v>36213</v>
      </c>
      <c r="I232">
        <v>36185</v>
      </c>
      <c r="J232">
        <v>36320</v>
      </c>
      <c r="K232">
        <v>36356</v>
      </c>
      <c r="L232">
        <v>36570</v>
      </c>
      <c r="M232">
        <v>36606</v>
      </c>
      <c r="N232">
        <v>36734</v>
      </c>
      <c r="O232">
        <v>36755</v>
      </c>
      <c r="P232">
        <v>36815</v>
      </c>
      <c r="Q232">
        <v>36734</v>
      </c>
      <c r="R232">
        <v>36785</v>
      </c>
    </row>
    <row r="233" spans="1:18">
      <c r="A233">
        <v>26860</v>
      </c>
      <c r="B233" t="s">
        <v>924</v>
      </c>
      <c r="C233" t="s">
        <v>1261</v>
      </c>
      <c r="D233" t="s">
        <v>1254</v>
      </c>
      <c r="E233">
        <v>88851</v>
      </c>
      <c r="F233">
        <v>88575</v>
      </c>
      <c r="G233">
        <v>88128</v>
      </c>
      <c r="H233">
        <v>88011</v>
      </c>
      <c r="I233">
        <v>87243</v>
      </c>
      <c r="J233">
        <v>86535</v>
      </c>
      <c r="K233">
        <v>84932</v>
      </c>
      <c r="L233">
        <v>84451</v>
      </c>
      <c r="M233">
        <v>84171</v>
      </c>
      <c r="N233">
        <v>83567</v>
      </c>
      <c r="O233">
        <v>83151</v>
      </c>
      <c r="P233">
        <v>83201</v>
      </c>
      <c r="Q233">
        <v>83064</v>
      </c>
      <c r="R233">
        <v>83094</v>
      </c>
    </row>
    <row r="234" spans="1:18">
      <c r="A234">
        <v>26940</v>
      </c>
      <c r="B234" t="s">
        <v>925</v>
      </c>
      <c r="C234" t="s">
        <v>1261</v>
      </c>
      <c r="D234" t="s">
        <v>1254</v>
      </c>
      <c r="E234">
        <v>29013</v>
      </c>
      <c r="F234">
        <v>28670</v>
      </c>
      <c r="G234">
        <v>28685</v>
      </c>
      <c r="H234">
        <v>28294</v>
      </c>
      <c r="I234">
        <v>27900</v>
      </c>
      <c r="J234">
        <v>27480</v>
      </c>
      <c r="K234">
        <v>27222</v>
      </c>
      <c r="L234">
        <v>26955</v>
      </c>
      <c r="M234">
        <v>27176</v>
      </c>
      <c r="N234">
        <v>26122</v>
      </c>
      <c r="O234">
        <v>25856</v>
      </c>
      <c r="P234">
        <v>25329</v>
      </c>
      <c r="Q234">
        <v>24837</v>
      </c>
      <c r="R234">
        <v>24468</v>
      </c>
    </row>
    <row r="235" spans="1:18">
      <c r="A235">
        <v>27020</v>
      </c>
      <c r="B235" t="s">
        <v>926</v>
      </c>
      <c r="C235" t="s">
        <v>1261</v>
      </c>
      <c r="D235" t="s">
        <v>1254</v>
      </c>
      <c r="E235">
        <v>30579</v>
      </c>
      <c r="F235">
        <v>30581</v>
      </c>
      <c r="G235">
        <v>30777</v>
      </c>
      <c r="H235">
        <v>30748</v>
      </c>
      <c r="I235">
        <v>30694</v>
      </c>
      <c r="J235">
        <v>30556</v>
      </c>
      <c r="K235">
        <v>30490</v>
      </c>
      <c r="L235">
        <v>30538</v>
      </c>
      <c r="M235">
        <v>30568</v>
      </c>
      <c r="N235">
        <v>30579</v>
      </c>
      <c r="O235">
        <v>30469</v>
      </c>
      <c r="P235">
        <v>30412</v>
      </c>
      <c r="Q235">
        <v>30649</v>
      </c>
      <c r="R235">
        <v>30664</v>
      </c>
    </row>
    <row r="236" spans="1:18">
      <c r="A236">
        <v>27160</v>
      </c>
      <c r="B236" t="s">
        <v>927</v>
      </c>
      <c r="C236" t="s">
        <v>1261</v>
      </c>
      <c r="D236" t="s">
        <v>1254</v>
      </c>
      <c r="E236">
        <v>33253</v>
      </c>
      <c r="F236">
        <v>33145</v>
      </c>
      <c r="G236">
        <v>32904</v>
      </c>
      <c r="H236">
        <v>32858</v>
      </c>
      <c r="I236">
        <v>32839</v>
      </c>
      <c r="J236">
        <v>32657</v>
      </c>
      <c r="K236">
        <v>32663</v>
      </c>
      <c r="L236">
        <v>32512</v>
      </c>
      <c r="M236">
        <v>32499</v>
      </c>
      <c r="N236">
        <v>32517</v>
      </c>
      <c r="O236">
        <v>32662</v>
      </c>
      <c r="P236">
        <v>32539</v>
      </c>
      <c r="Q236">
        <v>32611</v>
      </c>
      <c r="R236">
        <v>32606</v>
      </c>
    </row>
    <row r="237" spans="1:18">
      <c r="A237">
        <v>27220</v>
      </c>
      <c r="B237" t="s">
        <v>928</v>
      </c>
      <c r="C237" t="s">
        <v>1261</v>
      </c>
      <c r="D237" t="s">
        <v>1254</v>
      </c>
      <c r="E237">
        <v>31428</v>
      </c>
      <c r="F237">
        <v>31488</v>
      </c>
      <c r="G237">
        <v>31601</v>
      </c>
      <c r="H237">
        <v>32491</v>
      </c>
      <c r="I237">
        <v>32917</v>
      </c>
      <c r="J237">
        <v>33404</v>
      </c>
      <c r="K237">
        <v>33913</v>
      </c>
      <c r="L237">
        <v>34231</v>
      </c>
      <c r="M237">
        <v>34196</v>
      </c>
      <c r="N237">
        <v>34667</v>
      </c>
      <c r="O237">
        <v>35114</v>
      </c>
      <c r="P237">
        <v>35878</v>
      </c>
      <c r="Q237">
        <v>35816</v>
      </c>
      <c r="R237">
        <v>35781</v>
      </c>
    </row>
    <row r="238" spans="1:18">
      <c r="A238">
        <v>27300</v>
      </c>
      <c r="B238" t="s">
        <v>929</v>
      </c>
      <c r="C238" t="s">
        <v>1261</v>
      </c>
      <c r="D238" t="s">
        <v>1254</v>
      </c>
      <c r="E238">
        <v>40813</v>
      </c>
      <c r="F238">
        <v>40634</v>
      </c>
      <c r="G238">
        <v>40465</v>
      </c>
      <c r="H238">
        <v>40017</v>
      </c>
      <c r="I238">
        <v>39590</v>
      </c>
      <c r="J238">
        <v>39479</v>
      </c>
      <c r="K238">
        <v>39320</v>
      </c>
      <c r="L238">
        <v>38813</v>
      </c>
      <c r="M238">
        <v>38500</v>
      </c>
      <c r="N238">
        <v>38096</v>
      </c>
      <c r="O238">
        <v>37786</v>
      </c>
      <c r="P238">
        <v>37495</v>
      </c>
      <c r="Q238">
        <v>37069</v>
      </c>
      <c r="R238">
        <v>36850</v>
      </c>
    </row>
    <row r="239" spans="1:18">
      <c r="A239">
        <v>27380</v>
      </c>
      <c r="B239" t="s">
        <v>930</v>
      </c>
      <c r="C239" t="s">
        <v>1261</v>
      </c>
      <c r="D239" t="s">
        <v>1254</v>
      </c>
      <c r="E239">
        <v>50876</v>
      </c>
      <c r="F239">
        <v>50796</v>
      </c>
      <c r="G239">
        <v>50753</v>
      </c>
      <c r="H239">
        <v>50346</v>
      </c>
      <c r="I239">
        <v>50215</v>
      </c>
      <c r="J239">
        <v>50359</v>
      </c>
      <c r="K239">
        <v>50426</v>
      </c>
      <c r="L239">
        <v>50419</v>
      </c>
      <c r="M239">
        <v>50383</v>
      </c>
      <c r="N239">
        <v>50404</v>
      </c>
      <c r="O239">
        <v>50493</v>
      </c>
      <c r="P239">
        <v>51150</v>
      </c>
      <c r="Q239">
        <v>51432</v>
      </c>
      <c r="R239">
        <v>52217</v>
      </c>
    </row>
    <row r="240" spans="1:18">
      <c r="A240">
        <v>27420</v>
      </c>
      <c r="B240" t="s">
        <v>931</v>
      </c>
      <c r="C240" t="s">
        <v>1261</v>
      </c>
      <c r="D240" t="s">
        <v>1254</v>
      </c>
      <c r="E240">
        <v>21164</v>
      </c>
      <c r="F240">
        <v>21157</v>
      </c>
      <c r="G240">
        <v>21226</v>
      </c>
      <c r="H240">
        <v>21445</v>
      </c>
      <c r="I240">
        <v>21600</v>
      </c>
      <c r="J240">
        <v>21639</v>
      </c>
      <c r="K240">
        <v>21780</v>
      </c>
      <c r="L240">
        <v>21944</v>
      </c>
      <c r="M240">
        <v>21755</v>
      </c>
      <c r="N240">
        <v>21649</v>
      </c>
      <c r="O240">
        <v>21540</v>
      </c>
      <c r="P240">
        <v>21579</v>
      </c>
      <c r="Q240">
        <v>21476</v>
      </c>
      <c r="R240">
        <v>21392</v>
      </c>
    </row>
    <row r="241" spans="1:18">
      <c r="A241">
        <v>27460</v>
      </c>
      <c r="B241" t="s">
        <v>932</v>
      </c>
      <c r="C241" t="s">
        <v>1261</v>
      </c>
      <c r="D241" t="s">
        <v>1254</v>
      </c>
      <c r="E241">
        <v>134767</v>
      </c>
      <c r="F241">
        <v>134429</v>
      </c>
      <c r="G241">
        <v>133691</v>
      </c>
      <c r="H241">
        <v>133396</v>
      </c>
      <c r="I241">
        <v>132450</v>
      </c>
      <c r="J241">
        <v>131382</v>
      </c>
      <c r="K241">
        <v>130251</v>
      </c>
      <c r="L241">
        <v>129508</v>
      </c>
      <c r="M241">
        <v>128743</v>
      </c>
      <c r="N241">
        <v>128005</v>
      </c>
      <c r="O241">
        <v>127376</v>
      </c>
      <c r="P241">
        <v>126183</v>
      </c>
      <c r="Q241">
        <v>125344</v>
      </c>
      <c r="R241">
        <v>124891</v>
      </c>
    </row>
    <row r="242" spans="1:18">
      <c r="A242">
        <v>27530</v>
      </c>
      <c r="B242" t="s">
        <v>933</v>
      </c>
      <c r="C242" t="s">
        <v>1261</v>
      </c>
      <c r="D242" t="s">
        <v>1254</v>
      </c>
      <c r="E242">
        <v>67047</v>
      </c>
      <c r="F242">
        <v>66842</v>
      </c>
      <c r="G242">
        <v>66569</v>
      </c>
      <c r="H242">
        <v>66449</v>
      </c>
      <c r="I242">
        <v>66209</v>
      </c>
      <c r="J242">
        <v>66000</v>
      </c>
      <c r="K242">
        <v>65802</v>
      </c>
      <c r="L242">
        <v>65356</v>
      </c>
      <c r="M242">
        <v>65320</v>
      </c>
      <c r="N242">
        <v>65495</v>
      </c>
      <c r="O242">
        <v>65138</v>
      </c>
      <c r="P242">
        <v>64636</v>
      </c>
      <c r="Q242">
        <v>64438</v>
      </c>
      <c r="R242">
        <v>64728</v>
      </c>
    </row>
    <row r="243" spans="1:18">
      <c r="A243">
        <v>27540</v>
      </c>
      <c r="B243" t="s">
        <v>934</v>
      </c>
      <c r="C243" t="s">
        <v>1261</v>
      </c>
      <c r="D243" t="s">
        <v>1254</v>
      </c>
      <c r="E243">
        <v>54643</v>
      </c>
      <c r="F243">
        <v>54865</v>
      </c>
      <c r="G243">
        <v>54901</v>
      </c>
      <c r="H243">
        <v>55066</v>
      </c>
      <c r="I243">
        <v>55179</v>
      </c>
      <c r="J243">
        <v>55209</v>
      </c>
      <c r="K243">
        <v>55410</v>
      </c>
      <c r="L243">
        <v>55491</v>
      </c>
      <c r="M243">
        <v>55714</v>
      </c>
      <c r="N243">
        <v>55816</v>
      </c>
      <c r="O243">
        <v>55891</v>
      </c>
      <c r="P243">
        <v>55735</v>
      </c>
      <c r="Q243">
        <v>55635</v>
      </c>
      <c r="R243">
        <v>55652</v>
      </c>
    </row>
    <row r="244" spans="1:18">
      <c r="A244">
        <v>27600</v>
      </c>
      <c r="B244" t="s">
        <v>935</v>
      </c>
      <c r="C244" t="s">
        <v>1261</v>
      </c>
      <c r="D244" t="s">
        <v>1254</v>
      </c>
      <c r="E244">
        <v>60717</v>
      </c>
      <c r="F244">
        <v>61038</v>
      </c>
      <c r="G244">
        <v>60955</v>
      </c>
      <c r="H244">
        <v>61423</v>
      </c>
      <c r="I244">
        <v>62304</v>
      </c>
      <c r="J244">
        <v>63664</v>
      </c>
      <c r="K244">
        <v>65364</v>
      </c>
      <c r="L244">
        <v>68010</v>
      </c>
      <c r="M244">
        <v>70736</v>
      </c>
      <c r="N244">
        <v>73465</v>
      </c>
      <c r="O244">
        <v>76731</v>
      </c>
      <c r="P244">
        <v>80374</v>
      </c>
      <c r="Q244">
        <v>84009</v>
      </c>
      <c r="R244">
        <v>88615</v>
      </c>
    </row>
    <row r="245" spans="1:18">
      <c r="A245">
        <v>27660</v>
      </c>
      <c r="B245" t="s">
        <v>936</v>
      </c>
      <c r="C245" t="s">
        <v>1261</v>
      </c>
      <c r="D245" t="s">
        <v>1254</v>
      </c>
      <c r="E245">
        <v>31652</v>
      </c>
      <c r="F245">
        <v>31713</v>
      </c>
      <c r="G245">
        <v>31663</v>
      </c>
      <c r="H245">
        <v>31611</v>
      </c>
      <c r="I245">
        <v>31864</v>
      </c>
      <c r="J245">
        <v>31946</v>
      </c>
      <c r="K245">
        <v>31989</v>
      </c>
      <c r="L245">
        <v>32189</v>
      </c>
      <c r="M245">
        <v>32359</v>
      </c>
      <c r="N245">
        <v>32321</v>
      </c>
      <c r="O245">
        <v>32210</v>
      </c>
      <c r="P245">
        <v>32373</v>
      </c>
      <c r="Q245">
        <v>31929</v>
      </c>
      <c r="R245">
        <v>31553</v>
      </c>
    </row>
    <row r="246" spans="1:18">
      <c r="A246">
        <v>27700</v>
      </c>
      <c r="B246" t="s">
        <v>937</v>
      </c>
      <c r="C246" t="s">
        <v>1261</v>
      </c>
      <c r="D246" t="s">
        <v>1254</v>
      </c>
      <c r="E246">
        <v>30084</v>
      </c>
      <c r="F246">
        <v>30319</v>
      </c>
      <c r="G246">
        <v>30362</v>
      </c>
      <c r="H246">
        <v>30054</v>
      </c>
      <c r="I246">
        <v>29973</v>
      </c>
      <c r="J246">
        <v>29529</v>
      </c>
      <c r="K246">
        <v>30121</v>
      </c>
      <c r="L246">
        <v>29939</v>
      </c>
      <c r="M246">
        <v>29983</v>
      </c>
      <c r="N246">
        <v>30139</v>
      </c>
      <c r="O246">
        <v>30142</v>
      </c>
      <c r="P246">
        <v>30220</v>
      </c>
      <c r="Q246">
        <v>30737</v>
      </c>
      <c r="R246">
        <v>31373</v>
      </c>
    </row>
    <row r="247" spans="1:18">
      <c r="A247">
        <v>27940</v>
      </c>
      <c r="B247" t="s">
        <v>938</v>
      </c>
      <c r="C247" t="s">
        <v>1261</v>
      </c>
      <c r="D247" t="s">
        <v>1254</v>
      </c>
      <c r="E247">
        <v>31395</v>
      </c>
      <c r="F247">
        <v>32206</v>
      </c>
      <c r="G247">
        <v>32466</v>
      </c>
      <c r="H247">
        <v>32714</v>
      </c>
      <c r="I247">
        <v>32643</v>
      </c>
      <c r="J247">
        <v>32822</v>
      </c>
      <c r="K247">
        <v>32670</v>
      </c>
      <c r="L247">
        <v>32352</v>
      </c>
      <c r="M247">
        <v>32323</v>
      </c>
      <c r="N247">
        <v>32353</v>
      </c>
      <c r="O247">
        <v>32209</v>
      </c>
      <c r="P247">
        <v>31979</v>
      </c>
      <c r="Q247">
        <v>31740</v>
      </c>
      <c r="R247">
        <v>31555</v>
      </c>
    </row>
    <row r="248" spans="1:18">
      <c r="A248">
        <v>28060</v>
      </c>
      <c r="B248" t="s">
        <v>939</v>
      </c>
      <c r="C248" t="s">
        <v>1261</v>
      </c>
      <c r="D248" t="s">
        <v>1254</v>
      </c>
      <c r="E248">
        <v>90841</v>
      </c>
      <c r="F248">
        <v>91172</v>
      </c>
      <c r="G248">
        <v>91430</v>
      </c>
      <c r="H248">
        <v>92694</v>
      </c>
      <c r="I248">
        <v>94248</v>
      </c>
      <c r="J248">
        <v>95446</v>
      </c>
      <c r="K248">
        <v>97304</v>
      </c>
      <c r="L248">
        <v>99566</v>
      </c>
      <c r="M248">
        <v>101284</v>
      </c>
      <c r="N248">
        <v>102952</v>
      </c>
      <c r="O248">
        <v>104876</v>
      </c>
      <c r="P248">
        <v>108769</v>
      </c>
      <c r="Q248">
        <v>111885</v>
      </c>
      <c r="R248">
        <v>113679</v>
      </c>
    </row>
    <row r="249" spans="1:18">
      <c r="A249">
        <v>28180</v>
      </c>
      <c r="B249" t="s">
        <v>940</v>
      </c>
      <c r="C249" t="s">
        <v>1261</v>
      </c>
      <c r="D249" t="s">
        <v>1254</v>
      </c>
      <c r="E249">
        <v>67238</v>
      </c>
      <c r="F249">
        <v>68047</v>
      </c>
      <c r="G249">
        <v>68959</v>
      </c>
      <c r="H249">
        <v>70062</v>
      </c>
      <c r="I249">
        <v>70861</v>
      </c>
      <c r="J249">
        <v>71733</v>
      </c>
      <c r="K249">
        <v>72395</v>
      </c>
      <c r="L249">
        <v>72801</v>
      </c>
      <c r="M249">
        <v>73404</v>
      </c>
      <c r="N249">
        <v>73441</v>
      </c>
      <c r="O249">
        <v>73190</v>
      </c>
      <c r="P249">
        <v>73829</v>
      </c>
      <c r="Q249">
        <v>73783</v>
      </c>
      <c r="R249">
        <v>73851</v>
      </c>
    </row>
    <row r="250" spans="1:18">
      <c r="A250">
        <v>28260</v>
      </c>
      <c r="B250" t="s">
        <v>941</v>
      </c>
      <c r="C250" t="s">
        <v>1261</v>
      </c>
      <c r="D250" t="s">
        <v>1254</v>
      </c>
      <c r="E250">
        <v>52654</v>
      </c>
      <c r="F250">
        <v>53386</v>
      </c>
      <c r="G250">
        <v>54171</v>
      </c>
      <c r="H250">
        <v>54529</v>
      </c>
      <c r="I250">
        <v>54848</v>
      </c>
      <c r="J250">
        <v>55211</v>
      </c>
      <c r="K250">
        <v>55793</v>
      </c>
      <c r="L250">
        <v>55991</v>
      </c>
      <c r="M250">
        <v>56118</v>
      </c>
      <c r="N250">
        <v>56508</v>
      </c>
      <c r="O250">
        <v>56881</v>
      </c>
      <c r="P250">
        <v>56983</v>
      </c>
      <c r="Q250">
        <v>57238</v>
      </c>
      <c r="R250">
        <v>57467</v>
      </c>
    </row>
    <row r="251" spans="1:18">
      <c r="A251">
        <v>28300</v>
      </c>
      <c r="B251" t="s">
        <v>942</v>
      </c>
      <c r="C251" t="s">
        <v>1261</v>
      </c>
      <c r="D251" t="s">
        <v>1254</v>
      </c>
      <c r="E251">
        <v>77071</v>
      </c>
      <c r="F251">
        <v>77004</v>
      </c>
      <c r="G251">
        <v>77026</v>
      </c>
      <c r="H251">
        <v>76888</v>
      </c>
      <c r="I251">
        <v>76645</v>
      </c>
      <c r="J251">
        <v>76552</v>
      </c>
      <c r="K251">
        <v>76296</v>
      </c>
      <c r="L251">
        <v>76285</v>
      </c>
      <c r="M251">
        <v>76177</v>
      </c>
      <c r="N251">
        <v>76162</v>
      </c>
      <c r="O251">
        <v>76547</v>
      </c>
      <c r="P251">
        <v>76846</v>
      </c>
      <c r="Q251">
        <v>77463</v>
      </c>
      <c r="R251">
        <v>77703</v>
      </c>
    </row>
    <row r="252" spans="1:18">
      <c r="A252">
        <v>28340</v>
      </c>
      <c r="B252" t="s">
        <v>943</v>
      </c>
      <c r="C252" t="s">
        <v>1261</v>
      </c>
      <c r="D252" t="s">
        <v>1254</v>
      </c>
      <c r="E252">
        <v>47445</v>
      </c>
      <c r="F252">
        <v>47246</v>
      </c>
      <c r="G252">
        <v>47101</v>
      </c>
      <c r="H252">
        <v>47113</v>
      </c>
      <c r="I252">
        <v>47198</v>
      </c>
      <c r="J252">
        <v>47298</v>
      </c>
      <c r="K252">
        <v>47176</v>
      </c>
      <c r="L252">
        <v>47081</v>
      </c>
      <c r="M252">
        <v>47308</v>
      </c>
      <c r="N252">
        <v>47520</v>
      </c>
      <c r="O252">
        <v>47460</v>
      </c>
      <c r="P252">
        <v>47392</v>
      </c>
      <c r="Q252">
        <v>47234</v>
      </c>
      <c r="R252">
        <v>47430</v>
      </c>
    </row>
    <row r="253" spans="1:18">
      <c r="A253">
        <v>28380</v>
      </c>
      <c r="B253" t="s">
        <v>944</v>
      </c>
      <c r="C253" t="s">
        <v>1261</v>
      </c>
      <c r="D253" t="s">
        <v>1254</v>
      </c>
      <c r="E253">
        <v>31933</v>
      </c>
      <c r="F253">
        <v>31924</v>
      </c>
      <c r="G253">
        <v>31680</v>
      </c>
      <c r="H253">
        <v>31496</v>
      </c>
      <c r="I253">
        <v>31007</v>
      </c>
      <c r="J253">
        <v>30487</v>
      </c>
      <c r="K253">
        <v>30171</v>
      </c>
      <c r="L253">
        <v>29632</v>
      </c>
      <c r="M253">
        <v>28891</v>
      </c>
      <c r="N253">
        <v>28536</v>
      </c>
      <c r="O253">
        <v>28217</v>
      </c>
      <c r="P253">
        <v>27743</v>
      </c>
      <c r="Q253">
        <v>27411</v>
      </c>
      <c r="R253">
        <v>27032</v>
      </c>
    </row>
    <row r="254" spans="1:18">
      <c r="A254">
        <v>28500</v>
      </c>
      <c r="B254" t="s">
        <v>945</v>
      </c>
      <c r="C254" t="s">
        <v>1261</v>
      </c>
      <c r="D254" t="s">
        <v>1254</v>
      </c>
      <c r="E254">
        <v>49637</v>
      </c>
      <c r="F254">
        <v>49615</v>
      </c>
      <c r="G254">
        <v>49674</v>
      </c>
      <c r="H254">
        <v>49726</v>
      </c>
      <c r="I254">
        <v>50260</v>
      </c>
      <c r="J254">
        <v>50777</v>
      </c>
      <c r="K254">
        <v>51330</v>
      </c>
      <c r="L254">
        <v>51751</v>
      </c>
      <c r="M254">
        <v>52206</v>
      </c>
      <c r="N254">
        <v>52248</v>
      </c>
      <c r="O254">
        <v>52693</v>
      </c>
      <c r="P254">
        <v>53175</v>
      </c>
      <c r="Q254">
        <v>53784</v>
      </c>
      <c r="R254">
        <v>53915</v>
      </c>
    </row>
    <row r="255" spans="1:18">
      <c r="A255">
        <v>28540</v>
      </c>
      <c r="B255" t="s">
        <v>946</v>
      </c>
      <c r="C255" t="s">
        <v>1261</v>
      </c>
      <c r="D255" t="s">
        <v>1254</v>
      </c>
      <c r="E255">
        <v>13588</v>
      </c>
      <c r="F255">
        <v>13706</v>
      </c>
      <c r="G255">
        <v>13776</v>
      </c>
      <c r="H255">
        <v>13796</v>
      </c>
      <c r="I255">
        <v>13889</v>
      </c>
      <c r="J255">
        <v>13815</v>
      </c>
      <c r="K255">
        <v>13853</v>
      </c>
      <c r="L255">
        <v>13984</v>
      </c>
      <c r="M255">
        <v>14006</v>
      </c>
      <c r="N255">
        <v>14046</v>
      </c>
      <c r="O255">
        <v>13915</v>
      </c>
      <c r="P255">
        <v>13866</v>
      </c>
      <c r="Q255">
        <v>13772</v>
      </c>
      <c r="R255">
        <v>13738</v>
      </c>
    </row>
    <row r="256" spans="1:18">
      <c r="A256">
        <v>28580</v>
      </c>
      <c r="B256" t="s">
        <v>947</v>
      </c>
      <c r="C256" t="s">
        <v>1261</v>
      </c>
      <c r="D256" t="s">
        <v>1254</v>
      </c>
      <c r="E256">
        <v>73430</v>
      </c>
      <c r="F256">
        <v>75025</v>
      </c>
      <c r="G256">
        <v>76490</v>
      </c>
      <c r="H256">
        <v>78675</v>
      </c>
      <c r="I256">
        <v>80054</v>
      </c>
      <c r="J256">
        <v>81378</v>
      </c>
      <c r="K256">
        <v>82518</v>
      </c>
      <c r="L256">
        <v>82995</v>
      </c>
      <c r="M256">
        <v>81518</v>
      </c>
      <c r="N256">
        <v>81918</v>
      </c>
      <c r="O256">
        <v>82847</v>
      </c>
      <c r="P256">
        <v>82220</v>
      </c>
      <c r="Q256">
        <v>81618</v>
      </c>
      <c r="R256">
        <v>80614</v>
      </c>
    </row>
    <row r="257" spans="1:18">
      <c r="A257">
        <v>28620</v>
      </c>
      <c r="B257" t="s">
        <v>948</v>
      </c>
      <c r="C257" t="s">
        <v>1261</v>
      </c>
      <c r="D257" t="s">
        <v>1254</v>
      </c>
      <c r="E257">
        <v>33970</v>
      </c>
      <c r="F257">
        <v>34104</v>
      </c>
      <c r="G257">
        <v>34285</v>
      </c>
      <c r="H257">
        <v>34669</v>
      </c>
      <c r="I257">
        <v>34710</v>
      </c>
      <c r="J257">
        <v>35241</v>
      </c>
      <c r="K257">
        <v>35591</v>
      </c>
      <c r="L257">
        <v>35885</v>
      </c>
      <c r="M257">
        <v>36279</v>
      </c>
      <c r="N257">
        <v>36579</v>
      </c>
      <c r="O257">
        <v>37039</v>
      </c>
      <c r="P257">
        <v>37914</v>
      </c>
      <c r="Q257">
        <v>37987</v>
      </c>
      <c r="R257">
        <v>38110</v>
      </c>
    </row>
    <row r="258" spans="1:18">
      <c r="A258">
        <v>28780</v>
      </c>
      <c r="B258" t="s">
        <v>949</v>
      </c>
      <c r="C258" t="s">
        <v>1261</v>
      </c>
      <c r="D258" t="s">
        <v>1254</v>
      </c>
      <c r="E258">
        <v>32469</v>
      </c>
      <c r="F258">
        <v>32547</v>
      </c>
      <c r="G258">
        <v>32675</v>
      </c>
      <c r="H258">
        <v>32646</v>
      </c>
      <c r="I258">
        <v>32576</v>
      </c>
      <c r="J258">
        <v>32156</v>
      </c>
      <c r="K258">
        <v>32104</v>
      </c>
      <c r="L258">
        <v>31583</v>
      </c>
      <c r="M258">
        <v>31612</v>
      </c>
      <c r="N258">
        <v>31419</v>
      </c>
      <c r="O258">
        <v>31334</v>
      </c>
      <c r="P258">
        <v>30964</v>
      </c>
      <c r="Q258">
        <v>30730</v>
      </c>
      <c r="R258">
        <v>30412</v>
      </c>
    </row>
    <row r="259" spans="1:18">
      <c r="A259">
        <v>28820</v>
      </c>
      <c r="B259" t="s">
        <v>950</v>
      </c>
      <c r="C259" t="s">
        <v>1261</v>
      </c>
      <c r="D259" t="s">
        <v>1254</v>
      </c>
      <c r="E259">
        <v>59473</v>
      </c>
      <c r="F259">
        <v>59336</v>
      </c>
      <c r="G259">
        <v>58972</v>
      </c>
      <c r="H259">
        <v>58523</v>
      </c>
      <c r="I259">
        <v>57971</v>
      </c>
      <c r="J259">
        <v>57635</v>
      </c>
      <c r="K259">
        <v>56817</v>
      </c>
      <c r="L259">
        <v>56126</v>
      </c>
      <c r="M259">
        <v>55461</v>
      </c>
      <c r="N259">
        <v>55407</v>
      </c>
      <c r="O259">
        <v>55046</v>
      </c>
      <c r="P259">
        <v>54683</v>
      </c>
      <c r="Q259">
        <v>54499</v>
      </c>
      <c r="R259">
        <v>54895</v>
      </c>
    </row>
    <row r="260" spans="1:18">
      <c r="A260">
        <v>28860</v>
      </c>
      <c r="B260" t="s">
        <v>951</v>
      </c>
      <c r="C260" t="s">
        <v>1261</v>
      </c>
      <c r="D260" t="s">
        <v>1254</v>
      </c>
      <c r="E260">
        <v>30062</v>
      </c>
      <c r="F260">
        <v>29983</v>
      </c>
      <c r="G260">
        <v>29938</v>
      </c>
      <c r="H260">
        <v>29889</v>
      </c>
      <c r="I260">
        <v>29670</v>
      </c>
      <c r="J260">
        <v>29553</v>
      </c>
      <c r="K260">
        <v>29394</v>
      </c>
      <c r="L260">
        <v>29552</v>
      </c>
      <c r="M260">
        <v>29616</v>
      </c>
      <c r="N260">
        <v>29517</v>
      </c>
      <c r="O260">
        <v>29274</v>
      </c>
      <c r="P260">
        <v>29203</v>
      </c>
      <c r="Q260">
        <v>29151</v>
      </c>
      <c r="R260">
        <v>29175</v>
      </c>
    </row>
    <row r="261" spans="1:18">
      <c r="A261">
        <v>28900</v>
      </c>
      <c r="B261" t="s">
        <v>952</v>
      </c>
      <c r="C261" t="s">
        <v>1261</v>
      </c>
      <c r="D261" t="s">
        <v>1254</v>
      </c>
      <c r="E261">
        <v>66341</v>
      </c>
      <c r="F261">
        <v>66409</v>
      </c>
      <c r="G261">
        <v>66093</v>
      </c>
      <c r="H261">
        <v>65946</v>
      </c>
      <c r="I261">
        <v>65628</v>
      </c>
      <c r="J261">
        <v>66111</v>
      </c>
      <c r="K261">
        <v>66731</v>
      </c>
      <c r="L261">
        <v>67374</v>
      </c>
      <c r="M261">
        <v>68413</v>
      </c>
      <c r="N261">
        <v>69025</v>
      </c>
      <c r="O261">
        <v>69553</v>
      </c>
      <c r="P261">
        <v>70246</v>
      </c>
      <c r="Q261">
        <v>70190</v>
      </c>
      <c r="R261">
        <v>70003</v>
      </c>
    </row>
    <row r="262" spans="1:18">
      <c r="A262">
        <v>29060</v>
      </c>
      <c r="B262" t="s">
        <v>953</v>
      </c>
      <c r="C262" t="s">
        <v>1261</v>
      </c>
      <c r="D262" t="s">
        <v>1254</v>
      </c>
      <c r="E262">
        <v>60153</v>
      </c>
      <c r="F262">
        <v>60601</v>
      </c>
      <c r="G262">
        <v>60924</v>
      </c>
      <c r="H262">
        <v>60940</v>
      </c>
      <c r="I262">
        <v>61209</v>
      </c>
      <c r="J262">
        <v>61518</v>
      </c>
      <c r="K262">
        <v>62106</v>
      </c>
      <c r="L262">
        <v>62458</v>
      </c>
      <c r="M262">
        <v>63018</v>
      </c>
      <c r="N262">
        <v>63397</v>
      </c>
      <c r="O262">
        <v>63776</v>
      </c>
      <c r="P262">
        <v>64599</v>
      </c>
      <c r="Q262">
        <v>64705</v>
      </c>
      <c r="R262">
        <v>65027</v>
      </c>
    </row>
    <row r="263" spans="1:18">
      <c r="A263">
        <v>29260</v>
      </c>
      <c r="B263" t="s">
        <v>954</v>
      </c>
      <c r="C263" t="s">
        <v>1261</v>
      </c>
      <c r="D263" t="s">
        <v>1254</v>
      </c>
      <c r="E263">
        <v>25715</v>
      </c>
      <c r="F263">
        <v>25857</v>
      </c>
      <c r="G263">
        <v>25714</v>
      </c>
      <c r="H263">
        <v>25406</v>
      </c>
      <c r="I263">
        <v>25481</v>
      </c>
      <c r="J263">
        <v>25518</v>
      </c>
      <c r="K263">
        <v>25838</v>
      </c>
      <c r="L263">
        <v>26125</v>
      </c>
      <c r="M263">
        <v>26405</v>
      </c>
      <c r="N263">
        <v>26367</v>
      </c>
      <c r="O263">
        <v>26173</v>
      </c>
      <c r="P263">
        <v>26288</v>
      </c>
      <c r="Q263">
        <v>26165</v>
      </c>
      <c r="R263">
        <v>25944</v>
      </c>
    </row>
    <row r="264" spans="1:18">
      <c r="A264">
        <v>29300</v>
      </c>
      <c r="B264" t="s">
        <v>955</v>
      </c>
      <c r="C264" t="s">
        <v>1261</v>
      </c>
      <c r="D264" t="s">
        <v>1254</v>
      </c>
      <c r="E264">
        <v>101193</v>
      </c>
      <c r="F264">
        <v>101800</v>
      </c>
      <c r="G264">
        <v>102651</v>
      </c>
      <c r="H264">
        <v>103328</v>
      </c>
      <c r="I264">
        <v>103749</v>
      </c>
      <c r="J264">
        <v>104205</v>
      </c>
      <c r="K264">
        <v>104375</v>
      </c>
      <c r="L264">
        <v>104584</v>
      </c>
      <c r="M264">
        <v>104505</v>
      </c>
      <c r="N264">
        <v>104235</v>
      </c>
      <c r="O264">
        <v>103984</v>
      </c>
      <c r="P264">
        <v>104006</v>
      </c>
      <c r="Q264">
        <v>104411</v>
      </c>
      <c r="R264">
        <v>104821</v>
      </c>
    </row>
    <row r="265" spans="1:18">
      <c r="A265">
        <v>29380</v>
      </c>
      <c r="B265" t="s">
        <v>956</v>
      </c>
      <c r="C265" t="s">
        <v>1261</v>
      </c>
      <c r="D265" t="s">
        <v>1254</v>
      </c>
      <c r="E265">
        <v>67495</v>
      </c>
      <c r="F265">
        <v>67012</v>
      </c>
      <c r="G265">
        <v>67332</v>
      </c>
      <c r="H265">
        <v>66626</v>
      </c>
      <c r="I265">
        <v>66749</v>
      </c>
      <c r="J265">
        <v>66946</v>
      </c>
      <c r="K265">
        <v>67694</v>
      </c>
      <c r="L265">
        <v>68172</v>
      </c>
      <c r="M265">
        <v>68564</v>
      </c>
      <c r="N265">
        <v>69322</v>
      </c>
      <c r="O265">
        <v>69740</v>
      </c>
      <c r="P265">
        <v>69932</v>
      </c>
      <c r="Q265">
        <v>71870</v>
      </c>
      <c r="R265">
        <v>73063</v>
      </c>
    </row>
    <row r="266" spans="1:18">
      <c r="A266">
        <v>29500</v>
      </c>
      <c r="B266" t="s">
        <v>957</v>
      </c>
      <c r="C266" t="s">
        <v>1261</v>
      </c>
      <c r="D266" t="s">
        <v>1254</v>
      </c>
      <c r="E266">
        <v>13812</v>
      </c>
      <c r="F266">
        <v>13680</v>
      </c>
      <c r="G266">
        <v>13490</v>
      </c>
      <c r="H266">
        <v>13050</v>
      </c>
      <c r="I266">
        <v>13219</v>
      </c>
      <c r="J266">
        <v>12724</v>
      </c>
      <c r="K266">
        <v>12671</v>
      </c>
      <c r="L266">
        <v>12360</v>
      </c>
      <c r="M266">
        <v>12133</v>
      </c>
      <c r="N266">
        <v>12501</v>
      </c>
      <c r="O266">
        <v>12474</v>
      </c>
      <c r="P266">
        <v>12367</v>
      </c>
      <c r="Q266">
        <v>12176</v>
      </c>
      <c r="R266">
        <v>12004</v>
      </c>
    </row>
    <row r="267" spans="1:18">
      <c r="A267">
        <v>29660</v>
      </c>
      <c r="B267" t="s">
        <v>958</v>
      </c>
      <c r="C267" t="s">
        <v>1261</v>
      </c>
      <c r="D267" t="s">
        <v>1254</v>
      </c>
      <c r="E267">
        <v>36427</v>
      </c>
      <c r="F267">
        <v>36652</v>
      </c>
      <c r="G267">
        <v>37000</v>
      </c>
      <c r="H267">
        <v>37032</v>
      </c>
      <c r="I267">
        <v>36934</v>
      </c>
      <c r="J267">
        <v>37099</v>
      </c>
      <c r="K267">
        <v>36877</v>
      </c>
      <c r="L267">
        <v>37268</v>
      </c>
      <c r="M267">
        <v>37413</v>
      </c>
      <c r="N267">
        <v>37120</v>
      </c>
      <c r="O267">
        <v>37112</v>
      </c>
      <c r="P267">
        <v>37854</v>
      </c>
      <c r="Q267">
        <v>38178</v>
      </c>
      <c r="R267">
        <v>38257</v>
      </c>
    </row>
    <row r="268" spans="1:18">
      <c r="A268">
        <v>29780</v>
      </c>
      <c r="B268" t="s">
        <v>959</v>
      </c>
      <c r="C268" t="s">
        <v>1261</v>
      </c>
      <c r="D268" t="s">
        <v>1254</v>
      </c>
      <c r="E268">
        <v>34276</v>
      </c>
      <c r="F268">
        <v>34092</v>
      </c>
      <c r="G268">
        <v>33703</v>
      </c>
      <c r="H268">
        <v>33412</v>
      </c>
      <c r="I268">
        <v>32975</v>
      </c>
      <c r="J268">
        <v>32662</v>
      </c>
      <c r="K268">
        <v>32332</v>
      </c>
      <c r="L268">
        <v>32040</v>
      </c>
      <c r="M268">
        <v>31728</v>
      </c>
      <c r="N268">
        <v>31540</v>
      </c>
      <c r="O268">
        <v>31322</v>
      </c>
      <c r="P268">
        <v>31344</v>
      </c>
      <c r="Q268">
        <v>31049</v>
      </c>
      <c r="R268">
        <v>30791</v>
      </c>
    </row>
    <row r="269" spans="1:18">
      <c r="A269">
        <v>29860</v>
      </c>
      <c r="B269" t="s">
        <v>960</v>
      </c>
      <c r="C269" t="s">
        <v>1261</v>
      </c>
      <c r="D269" t="s">
        <v>1254</v>
      </c>
      <c r="E269">
        <v>84812</v>
      </c>
      <c r="F269">
        <v>84702</v>
      </c>
      <c r="G269">
        <v>84817</v>
      </c>
      <c r="H269">
        <v>85203</v>
      </c>
      <c r="I269">
        <v>84611</v>
      </c>
      <c r="J269">
        <v>84779</v>
      </c>
      <c r="K269">
        <v>84587</v>
      </c>
      <c r="L269">
        <v>84392</v>
      </c>
      <c r="M269">
        <v>84049</v>
      </c>
      <c r="N269">
        <v>83887</v>
      </c>
      <c r="O269">
        <v>83513</v>
      </c>
      <c r="P269">
        <v>83045</v>
      </c>
      <c r="Q269">
        <v>82517</v>
      </c>
      <c r="R269">
        <v>82263</v>
      </c>
    </row>
    <row r="270" spans="1:18">
      <c r="A270">
        <v>29900</v>
      </c>
      <c r="B270" t="s">
        <v>961</v>
      </c>
      <c r="C270" t="s">
        <v>1261</v>
      </c>
      <c r="D270" t="s">
        <v>1254</v>
      </c>
      <c r="E270">
        <v>36050</v>
      </c>
      <c r="F270">
        <v>36210</v>
      </c>
      <c r="G270">
        <v>35979</v>
      </c>
      <c r="H270">
        <v>35749</v>
      </c>
      <c r="I270">
        <v>35444</v>
      </c>
      <c r="J270">
        <v>35064</v>
      </c>
      <c r="K270">
        <v>34991</v>
      </c>
      <c r="L270">
        <v>34801</v>
      </c>
      <c r="M270">
        <v>34274</v>
      </c>
      <c r="N270">
        <v>34293</v>
      </c>
      <c r="O270">
        <v>34290</v>
      </c>
      <c r="P270">
        <v>34285</v>
      </c>
      <c r="Q270">
        <v>34350</v>
      </c>
      <c r="R270">
        <v>34376</v>
      </c>
    </row>
    <row r="271" spans="1:18">
      <c r="A271">
        <v>29980</v>
      </c>
      <c r="B271" t="s">
        <v>962</v>
      </c>
      <c r="C271" t="s">
        <v>1261</v>
      </c>
      <c r="D271" t="s">
        <v>1254</v>
      </c>
      <c r="E271">
        <v>41966</v>
      </c>
      <c r="F271">
        <v>42142</v>
      </c>
      <c r="G271">
        <v>42119</v>
      </c>
      <c r="H271">
        <v>41974</v>
      </c>
      <c r="I271">
        <v>42229</v>
      </c>
      <c r="J271">
        <v>42501</v>
      </c>
      <c r="K271">
        <v>42957</v>
      </c>
      <c r="L271">
        <v>43253</v>
      </c>
      <c r="M271">
        <v>43636</v>
      </c>
      <c r="N271">
        <v>43961</v>
      </c>
      <c r="O271">
        <v>44181</v>
      </c>
      <c r="P271">
        <v>44768</v>
      </c>
      <c r="Q271">
        <v>45502</v>
      </c>
      <c r="R271">
        <v>46114</v>
      </c>
    </row>
    <row r="272" spans="1:18">
      <c r="A272">
        <v>30060</v>
      </c>
      <c r="B272" t="s">
        <v>963</v>
      </c>
      <c r="C272" t="s">
        <v>1261</v>
      </c>
      <c r="D272" t="s">
        <v>1254</v>
      </c>
      <c r="E272">
        <v>35701</v>
      </c>
      <c r="F272">
        <v>35686</v>
      </c>
      <c r="G272">
        <v>35522</v>
      </c>
      <c r="H272">
        <v>35717</v>
      </c>
      <c r="I272">
        <v>35616</v>
      </c>
      <c r="J272">
        <v>35576</v>
      </c>
      <c r="K272">
        <v>35569</v>
      </c>
      <c r="L272">
        <v>35562</v>
      </c>
      <c r="M272">
        <v>35791</v>
      </c>
      <c r="N272">
        <v>35988</v>
      </c>
      <c r="O272">
        <v>36043</v>
      </c>
      <c r="P272">
        <v>36156</v>
      </c>
      <c r="Q272">
        <v>36345</v>
      </c>
      <c r="R272">
        <v>36680</v>
      </c>
    </row>
    <row r="273" spans="1:18">
      <c r="A273">
        <v>30100</v>
      </c>
      <c r="B273" t="s">
        <v>964</v>
      </c>
      <c r="C273" t="s">
        <v>1261</v>
      </c>
      <c r="D273" t="s">
        <v>1254</v>
      </c>
      <c r="E273">
        <v>218509</v>
      </c>
      <c r="F273">
        <v>218884</v>
      </c>
      <c r="G273">
        <v>218758</v>
      </c>
      <c r="H273">
        <v>219035</v>
      </c>
      <c r="I273">
        <v>219312</v>
      </c>
      <c r="J273">
        <v>219006</v>
      </c>
      <c r="K273">
        <v>219734</v>
      </c>
      <c r="L273">
        <v>219981</v>
      </c>
      <c r="M273">
        <v>220230</v>
      </c>
      <c r="N273">
        <v>220607</v>
      </c>
      <c r="O273">
        <v>221299</v>
      </c>
      <c r="P273">
        <v>222080</v>
      </c>
      <c r="Q273">
        <v>225079</v>
      </c>
      <c r="R273">
        <v>225159</v>
      </c>
    </row>
    <row r="274" spans="1:18">
      <c r="A274">
        <v>30220</v>
      </c>
      <c r="B274" t="s">
        <v>965</v>
      </c>
      <c r="C274" t="s">
        <v>1261</v>
      </c>
      <c r="D274" t="s">
        <v>1254</v>
      </c>
      <c r="E274">
        <v>22791</v>
      </c>
      <c r="F274">
        <v>22729</v>
      </c>
      <c r="G274">
        <v>22730</v>
      </c>
      <c r="H274">
        <v>22915</v>
      </c>
      <c r="I274">
        <v>22829</v>
      </c>
      <c r="J274">
        <v>22536</v>
      </c>
      <c r="K274">
        <v>22163</v>
      </c>
      <c r="L274">
        <v>21951</v>
      </c>
      <c r="M274">
        <v>21771</v>
      </c>
      <c r="N274">
        <v>21752</v>
      </c>
      <c r="O274">
        <v>21504</v>
      </c>
      <c r="P274">
        <v>21265</v>
      </c>
      <c r="Q274">
        <v>21278</v>
      </c>
      <c r="R274">
        <v>21460</v>
      </c>
    </row>
    <row r="275" spans="1:18">
      <c r="A275">
        <v>30260</v>
      </c>
      <c r="B275" t="s">
        <v>966</v>
      </c>
      <c r="C275" t="s">
        <v>1261</v>
      </c>
      <c r="D275" t="s">
        <v>1254</v>
      </c>
      <c r="E275">
        <v>44964</v>
      </c>
      <c r="F275">
        <v>44923</v>
      </c>
      <c r="G275">
        <v>44821</v>
      </c>
      <c r="H275">
        <v>44240</v>
      </c>
      <c r="I275">
        <v>44317</v>
      </c>
      <c r="J275">
        <v>44700</v>
      </c>
      <c r="K275">
        <v>44489</v>
      </c>
      <c r="L275">
        <v>43563</v>
      </c>
      <c r="M275">
        <v>43738</v>
      </c>
      <c r="N275">
        <v>43003</v>
      </c>
      <c r="O275">
        <v>42646</v>
      </c>
      <c r="P275">
        <v>42469</v>
      </c>
      <c r="Q275">
        <v>42690</v>
      </c>
      <c r="R275">
        <v>42042</v>
      </c>
    </row>
    <row r="276" spans="1:18">
      <c r="A276">
        <v>30280</v>
      </c>
      <c r="B276" t="s">
        <v>967</v>
      </c>
      <c r="C276" t="s">
        <v>1261</v>
      </c>
      <c r="D276" t="s">
        <v>1254</v>
      </c>
      <c r="E276">
        <v>30677</v>
      </c>
      <c r="F276">
        <v>30796</v>
      </c>
      <c r="G276">
        <v>30874</v>
      </c>
      <c r="H276">
        <v>30991</v>
      </c>
      <c r="I276">
        <v>31088</v>
      </c>
      <c r="J276">
        <v>31340</v>
      </c>
      <c r="K276">
        <v>31764</v>
      </c>
      <c r="L276">
        <v>32703</v>
      </c>
      <c r="M276">
        <v>33429</v>
      </c>
      <c r="N276">
        <v>34007</v>
      </c>
      <c r="O276">
        <v>34475</v>
      </c>
      <c r="P276">
        <v>35059</v>
      </c>
      <c r="Q276">
        <v>35857</v>
      </c>
      <c r="R276">
        <v>36961</v>
      </c>
    </row>
    <row r="277" spans="1:18">
      <c r="A277">
        <v>30380</v>
      </c>
      <c r="B277" t="s">
        <v>968</v>
      </c>
      <c r="C277" t="s">
        <v>1261</v>
      </c>
      <c r="D277" t="s">
        <v>1254</v>
      </c>
      <c r="E277">
        <v>46639</v>
      </c>
      <c r="F277">
        <v>46750</v>
      </c>
      <c r="G277">
        <v>46763</v>
      </c>
      <c r="H277">
        <v>46648</v>
      </c>
      <c r="I277">
        <v>46514</v>
      </c>
      <c r="J277">
        <v>46454</v>
      </c>
      <c r="K277">
        <v>46312</v>
      </c>
      <c r="L277">
        <v>46295</v>
      </c>
      <c r="M277">
        <v>46209</v>
      </c>
      <c r="N277">
        <v>46121</v>
      </c>
      <c r="O277">
        <v>46137</v>
      </c>
      <c r="P277">
        <v>46171</v>
      </c>
      <c r="Q277">
        <v>45984</v>
      </c>
      <c r="R277">
        <v>45922</v>
      </c>
    </row>
    <row r="278" spans="1:18">
      <c r="A278">
        <v>30420</v>
      </c>
      <c r="B278" t="s">
        <v>969</v>
      </c>
      <c r="C278" t="s">
        <v>1261</v>
      </c>
      <c r="D278" t="s">
        <v>1254</v>
      </c>
      <c r="E278">
        <v>26354</v>
      </c>
      <c r="F278">
        <v>26250</v>
      </c>
      <c r="G278">
        <v>26144</v>
      </c>
      <c r="H278">
        <v>26164</v>
      </c>
      <c r="I278">
        <v>26157</v>
      </c>
      <c r="J278">
        <v>26127</v>
      </c>
      <c r="K278">
        <v>26042</v>
      </c>
      <c r="L278">
        <v>25984</v>
      </c>
      <c r="M278">
        <v>26076</v>
      </c>
      <c r="N278">
        <v>25953</v>
      </c>
      <c r="O278">
        <v>25981</v>
      </c>
      <c r="P278">
        <v>25763</v>
      </c>
      <c r="Q278">
        <v>25740</v>
      </c>
      <c r="R278">
        <v>25932</v>
      </c>
    </row>
    <row r="279" spans="1:18">
      <c r="A279">
        <v>30580</v>
      </c>
      <c r="B279" t="s">
        <v>970</v>
      </c>
      <c r="C279" t="s">
        <v>1261</v>
      </c>
      <c r="D279" t="s">
        <v>1254</v>
      </c>
      <c r="E279">
        <v>22993</v>
      </c>
      <c r="F279">
        <v>23237</v>
      </c>
      <c r="G279">
        <v>23550</v>
      </c>
      <c r="H279">
        <v>23595</v>
      </c>
      <c r="I279">
        <v>23672</v>
      </c>
      <c r="J279">
        <v>23732</v>
      </c>
      <c r="K279">
        <v>23435</v>
      </c>
      <c r="L279">
        <v>22835</v>
      </c>
      <c r="M279">
        <v>22575</v>
      </c>
      <c r="N279">
        <v>22158</v>
      </c>
      <c r="O279">
        <v>21857</v>
      </c>
      <c r="P279">
        <v>21763</v>
      </c>
      <c r="Q279">
        <v>21345</v>
      </c>
      <c r="R279">
        <v>21067</v>
      </c>
    </row>
    <row r="280" spans="1:18">
      <c r="A280">
        <v>30660</v>
      </c>
      <c r="B280" t="s">
        <v>971</v>
      </c>
      <c r="C280" t="s">
        <v>1261</v>
      </c>
      <c r="D280" t="s">
        <v>1254</v>
      </c>
      <c r="E280">
        <v>30269</v>
      </c>
      <c r="F280">
        <v>30207</v>
      </c>
      <c r="G280">
        <v>30243</v>
      </c>
      <c r="H280">
        <v>29664</v>
      </c>
      <c r="I280">
        <v>29446</v>
      </c>
      <c r="J280">
        <v>29024</v>
      </c>
      <c r="K280">
        <v>28856</v>
      </c>
      <c r="L280">
        <v>28676</v>
      </c>
      <c r="M280">
        <v>28468</v>
      </c>
      <c r="N280">
        <v>28183</v>
      </c>
      <c r="O280">
        <v>27912</v>
      </c>
      <c r="P280">
        <v>27979</v>
      </c>
      <c r="Q280">
        <v>27666</v>
      </c>
      <c r="R280">
        <v>27590</v>
      </c>
    </row>
    <row r="281" spans="1:18">
      <c r="A281">
        <v>30820</v>
      </c>
      <c r="B281" t="s">
        <v>972</v>
      </c>
      <c r="C281" t="s">
        <v>1261</v>
      </c>
      <c r="D281" t="s">
        <v>1254</v>
      </c>
      <c r="E281">
        <v>39248</v>
      </c>
      <c r="F281">
        <v>39436</v>
      </c>
      <c r="G281">
        <v>39604</v>
      </c>
      <c r="H281">
        <v>39640</v>
      </c>
      <c r="I281">
        <v>39237</v>
      </c>
      <c r="J281">
        <v>39090</v>
      </c>
      <c r="K281">
        <v>38641</v>
      </c>
      <c r="L281">
        <v>38406</v>
      </c>
      <c r="M281">
        <v>38167</v>
      </c>
      <c r="N281">
        <v>37768</v>
      </c>
      <c r="O281">
        <v>37370</v>
      </c>
      <c r="P281">
        <v>38015</v>
      </c>
      <c r="Q281">
        <v>37776</v>
      </c>
      <c r="R281">
        <v>37607</v>
      </c>
    </row>
    <row r="282" spans="1:18">
      <c r="A282">
        <v>30900</v>
      </c>
      <c r="B282" t="s">
        <v>973</v>
      </c>
      <c r="C282" t="s">
        <v>1261</v>
      </c>
      <c r="D282" t="s">
        <v>1254</v>
      </c>
      <c r="E282">
        <v>38996</v>
      </c>
      <c r="F282">
        <v>38968</v>
      </c>
      <c r="G282">
        <v>38863</v>
      </c>
      <c r="H282">
        <v>38713</v>
      </c>
      <c r="I282">
        <v>38655</v>
      </c>
      <c r="J282">
        <v>38290</v>
      </c>
      <c r="K282">
        <v>38178</v>
      </c>
      <c r="L282">
        <v>38117</v>
      </c>
      <c r="M282">
        <v>38215</v>
      </c>
      <c r="N282">
        <v>37976</v>
      </c>
      <c r="O282">
        <v>37786</v>
      </c>
      <c r="P282">
        <v>37558</v>
      </c>
      <c r="Q282">
        <v>37537</v>
      </c>
      <c r="R282">
        <v>37666</v>
      </c>
    </row>
    <row r="283" spans="1:18">
      <c r="A283">
        <v>30940</v>
      </c>
      <c r="B283" t="s">
        <v>974</v>
      </c>
      <c r="C283" t="s">
        <v>1261</v>
      </c>
      <c r="D283" t="s">
        <v>1254</v>
      </c>
      <c r="E283">
        <v>148261</v>
      </c>
      <c r="F283">
        <v>148879</v>
      </c>
      <c r="G283">
        <v>148667</v>
      </c>
      <c r="H283">
        <v>148900</v>
      </c>
      <c r="I283">
        <v>149015</v>
      </c>
      <c r="J283">
        <v>149283</v>
      </c>
      <c r="K283">
        <v>149194</v>
      </c>
      <c r="L283">
        <v>149240</v>
      </c>
      <c r="M283">
        <v>149481</v>
      </c>
      <c r="N283">
        <v>149613</v>
      </c>
      <c r="O283">
        <v>149922</v>
      </c>
      <c r="P283">
        <v>149527</v>
      </c>
      <c r="Q283">
        <v>149434</v>
      </c>
      <c r="R283">
        <v>149563</v>
      </c>
    </row>
    <row r="284" spans="1:18">
      <c r="A284">
        <v>31060</v>
      </c>
      <c r="B284" t="s">
        <v>975</v>
      </c>
      <c r="C284" t="s">
        <v>1261</v>
      </c>
      <c r="D284" t="s">
        <v>1254</v>
      </c>
      <c r="E284">
        <v>17994</v>
      </c>
      <c r="F284">
        <v>18234</v>
      </c>
      <c r="G284">
        <v>18242</v>
      </c>
      <c r="H284">
        <v>17961</v>
      </c>
      <c r="I284">
        <v>17818</v>
      </c>
      <c r="J284">
        <v>17832</v>
      </c>
      <c r="K284">
        <v>18221</v>
      </c>
      <c r="L284">
        <v>18755</v>
      </c>
      <c r="M284">
        <v>18992</v>
      </c>
      <c r="N284">
        <v>19353</v>
      </c>
      <c r="O284">
        <v>19418</v>
      </c>
      <c r="P284">
        <v>19390</v>
      </c>
      <c r="Q284">
        <v>19273</v>
      </c>
      <c r="R284">
        <v>19444</v>
      </c>
    </row>
    <row r="285" spans="1:18">
      <c r="A285">
        <v>31220</v>
      </c>
      <c r="B285" t="s">
        <v>976</v>
      </c>
      <c r="C285" t="s">
        <v>1261</v>
      </c>
      <c r="D285" t="s">
        <v>1254</v>
      </c>
      <c r="E285">
        <v>28717</v>
      </c>
      <c r="F285">
        <v>28638</v>
      </c>
      <c r="G285">
        <v>28646</v>
      </c>
      <c r="H285">
        <v>28651</v>
      </c>
      <c r="I285">
        <v>28709</v>
      </c>
      <c r="J285">
        <v>28706</v>
      </c>
      <c r="K285">
        <v>28790</v>
      </c>
      <c r="L285">
        <v>28960</v>
      </c>
      <c r="M285">
        <v>29046</v>
      </c>
      <c r="N285">
        <v>29070</v>
      </c>
      <c r="O285">
        <v>29033</v>
      </c>
      <c r="P285">
        <v>29339</v>
      </c>
      <c r="Q285">
        <v>29318</v>
      </c>
      <c r="R285">
        <v>29159</v>
      </c>
    </row>
    <row r="286" spans="1:18">
      <c r="A286">
        <v>31260</v>
      </c>
      <c r="B286" t="s">
        <v>977</v>
      </c>
      <c r="C286" t="s">
        <v>1261</v>
      </c>
      <c r="D286" t="s">
        <v>1254</v>
      </c>
      <c r="E286">
        <v>86895</v>
      </c>
      <c r="F286">
        <v>87247</v>
      </c>
      <c r="G286">
        <v>87415</v>
      </c>
      <c r="H286">
        <v>87178</v>
      </c>
      <c r="I286">
        <v>87391</v>
      </c>
      <c r="J286">
        <v>87608</v>
      </c>
      <c r="K286">
        <v>87387</v>
      </c>
      <c r="L286">
        <v>87204</v>
      </c>
      <c r="M286">
        <v>86493</v>
      </c>
      <c r="N286">
        <v>86353</v>
      </c>
      <c r="O286">
        <v>86388</v>
      </c>
      <c r="P286">
        <v>86730</v>
      </c>
      <c r="Q286">
        <v>87124</v>
      </c>
      <c r="R286">
        <v>87319</v>
      </c>
    </row>
    <row r="287" spans="1:18">
      <c r="A287">
        <v>31300</v>
      </c>
      <c r="B287" t="s">
        <v>978</v>
      </c>
      <c r="C287" t="s">
        <v>1261</v>
      </c>
      <c r="D287" t="s">
        <v>1254</v>
      </c>
      <c r="E287">
        <v>134110</v>
      </c>
      <c r="F287">
        <v>133370</v>
      </c>
      <c r="G287">
        <v>132224</v>
      </c>
      <c r="H287">
        <v>130495</v>
      </c>
      <c r="I287">
        <v>128889</v>
      </c>
      <c r="J287">
        <v>127053</v>
      </c>
      <c r="K287">
        <v>124647</v>
      </c>
      <c r="L287">
        <v>122617</v>
      </c>
      <c r="M287">
        <v>120634</v>
      </c>
      <c r="N287">
        <v>118011</v>
      </c>
      <c r="O287">
        <v>116309</v>
      </c>
      <c r="P287">
        <v>116142</v>
      </c>
      <c r="Q287">
        <v>116466</v>
      </c>
      <c r="R287">
        <v>117365</v>
      </c>
    </row>
    <row r="288" spans="1:18">
      <c r="A288">
        <v>31380</v>
      </c>
      <c r="B288" t="s">
        <v>979</v>
      </c>
      <c r="C288" t="s">
        <v>1261</v>
      </c>
      <c r="D288" t="s">
        <v>1254</v>
      </c>
      <c r="E288">
        <v>32569</v>
      </c>
      <c r="F288">
        <v>32219</v>
      </c>
      <c r="G288">
        <v>32012</v>
      </c>
      <c r="H288">
        <v>31473</v>
      </c>
      <c r="I288">
        <v>30795</v>
      </c>
      <c r="J288">
        <v>30225</v>
      </c>
      <c r="K288">
        <v>29495</v>
      </c>
      <c r="L288">
        <v>28780</v>
      </c>
      <c r="M288">
        <v>28253</v>
      </c>
      <c r="N288">
        <v>27759</v>
      </c>
      <c r="O288">
        <v>27100</v>
      </c>
      <c r="P288">
        <v>26880</v>
      </c>
      <c r="Q288">
        <v>26914</v>
      </c>
      <c r="R288">
        <v>26839</v>
      </c>
    </row>
    <row r="289" spans="1:18">
      <c r="A289">
        <v>31500</v>
      </c>
      <c r="B289" t="s">
        <v>980</v>
      </c>
      <c r="C289" t="s">
        <v>1261</v>
      </c>
      <c r="D289" t="s">
        <v>1254</v>
      </c>
      <c r="E289">
        <v>32423</v>
      </c>
      <c r="F289">
        <v>32392</v>
      </c>
      <c r="G289">
        <v>32659</v>
      </c>
      <c r="H289">
        <v>32711</v>
      </c>
      <c r="I289">
        <v>32820</v>
      </c>
      <c r="J289">
        <v>32809</v>
      </c>
      <c r="K289">
        <v>32860</v>
      </c>
      <c r="L289">
        <v>32723</v>
      </c>
      <c r="M289">
        <v>32960</v>
      </c>
      <c r="N289">
        <v>33155</v>
      </c>
      <c r="O289">
        <v>33100</v>
      </c>
      <c r="P289">
        <v>33117</v>
      </c>
      <c r="Q289">
        <v>32936</v>
      </c>
      <c r="R289">
        <v>33056</v>
      </c>
    </row>
    <row r="290" spans="1:18">
      <c r="A290">
        <v>31580</v>
      </c>
      <c r="B290" t="s">
        <v>981</v>
      </c>
      <c r="C290" t="s">
        <v>1261</v>
      </c>
      <c r="D290" t="s">
        <v>1254</v>
      </c>
      <c r="E290">
        <v>46860</v>
      </c>
      <c r="F290">
        <v>46940</v>
      </c>
      <c r="G290">
        <v>46782</v>
      </c>
      <c r="H290">
        <v>46671</v>
      </c>
      <c r="I290">
        <v>46475</v>
      </c>
      <c r="J290">
        <v>46446</v>
      </c>
      <c r="K290">
        <v>46064</v>
      </c>
      <c r="L290">
        <v>45820</v>
      </c>
      <c r="M290">
        <v>45562</v>
      </c>
      <c r="N290">
        <v>45313</v>
      </c>
      <c r="O290">
        <v>45369</v>
      </c>
      <c r="P290">
        <v>45189</v>
      </c>
      <c r="Q290">
        <v>44926</v>
      </c>
      <c r="R290">
        <v>44929</v>
      </c>
    </row>
    <row r="291" spans="1:18">
      <c r="A291">
        <v>31620</v>
      </c>
      <c r="B291" t="s">
        <v>982</v>
      </c>
      <c r="C291" t="s">
        <v>1261</v>
      </c>
      <c r="D291" t="s">
        <v>1254</v>
      </c>
      <c r="E291">
        <v>24707</v>
      </c>
      <c r="F291">
        <v>24631</v>
      </c>
      <c r="G291">
        <v>24273</v>
      </c>
      <c r="H291">
        <v>24088</v>
      </c>
      <c r="I291">
        <v>23798</v>
      </c>
      <c r="J291">
        <v>23805</v>
      </c>
      <c r="K291">
        <v>23644</v>
      </c>
      <c r="L291">
        <v>23250</v>
      </c>
      <c r="M291">
        <v>23100</v>
      </c>
      <c r="N291">
        <v>22958</v>
      </c>
      <c r="O291">
        <v>22744</v>
      </c>
      <c r="P291">
        <v>22490</v>
      </c>
      <c r="Q291">
        <v>22286</v>
      </c>
      <c r="R291">
        <v>22150</v>
      </c>
    </row>
    <row r="292" spans="1:18">
      <c r="A292">
        <v>31660</v>
      </c>
      <c r="B292" t="s">
        <v>983</v>
      </c>
      <c r="C292" t="s">
        <v>1261</v>
      </c>
      <c r="D292" t="s">
        <v>1254</v>
      </c>
      <c r="E292">
        <v>51581</v>
      </c>
      <c r="F292">
        <v>51239</v>
      </c>
      <c r="G292">
        <v>51239</v>
      </c>
      <c r="H292">
        <v>50434</v>
      </c>
      <c r="I292">
        <v>50083</v>
      </c>
      <c r="J292">
        <v>49298</v>
      </c>
      <c r="K292">
        <v>49566</v>
      </c>
      <c r="L292">
        <v>48754</v>
      </c>
      <c r="M292">
        <v>48375</v>
      </c>
      <c r="N292">
        <v>47931</v>
      </c>
      <c r="O292">
        <v>47477</v>
      </c>
      <c r="P292">
        <v>47106</v>
      </c>
      <c r="Q292">
        <v>46393</v>
      </c>
      <c r="R292">
        <v>46502</v>
      </c>
    </row>
    <row r="293" spans="1:18">
      <c r="A293">
        <v>31680</v>
      </c>
      <c r="B293" t="s">
        <v>984</v>
      </c>
      <c r="C293" t="s">
        <v>1261</v>
      </c>
      <c r="D293" t="s">
        <v>1254</v>
      </c>
      <c r="E293">
        <v>33219</v>
      </c>
      <c r="F293">
        <v>33055</v>
      </c>
      <c r="G293">
        <v>33349</v>
      </c>
      <c r="H293">
        <v>33297</v>
      </c>
      <c r="I293">
        <v>33109</v>
      </c>
      <c r="J293">
        <v>33127</v>
      </c>
      <c r="K293">
        <v>32996</v>
      </c>
      <c r="L293">
        <v>33098</v>
      </c>
      <c r="M293">
        <v>33074</v>
      </c>
      <c r="N293">
        <v>33102</v>
      </c>
      <c r="O293">
        <v>33075</v>
      </c>
      <c r="P293">
        <v>33079</v>
      </c>
      <c r="Q293">
        <v>33149</v>
      </c>
      <c r="R293">
        <v>33258</v>
      </c>
    </row>
    <row r="294" spans="1:18">
      <c r="A294">
        <v>31820</v>
      </c>
      <c r="B294" t="s">
        <v>985</v>
      </c>
      <c r="C294" t="s">
        <v>1261</v>
      </c>
      <c r="D294" t="s">
        <v>1254</v>
      </c>
      <c r="E294">
        <v>81393</v>
      </c>
      <c r="F294">
        <v>81348</v>
      </c>
      <c r="G294">
        <v>81283</v>
      </c>
      <c r="H294">
        <v>81299</v>
      </c>
      <c r="I294">
        <v>81007</v>
      </c>
      <c r="J294">
        <v>80787</v>
      </c>
      <c r="K294">
        <v>80909</v>
      </c>
      <c r="L294">
        <v>80843</v>
      </c>
      <c r="M294">
        <v>80956</v>
      </c>
      <c r="N294">
        <v>81060</v>
      </c>
      <c r="O294">
        <v>81387</v>
      </c>
      <c r="P294">
        <v>81506</v>
      </c>
      <c r="Q294">
        <v>81198</v>
      </c>
      <c r="R294">
        <v>81331</v>
      </c>
    </row>
    <row r="295" spans="1:18">
      <c r="A295">
        <v>31930</v>
      </c>
      <c r="B295" t="s">
        <v>986</v>
      </c>
      <c r="C295" t="s">
        <v>1261</v>
      </c>
      <c r="D295" t="s">
        <v>1254</v>
      </c>
      <c r="E295">
        <v>61714</v>
      </c>
      <c r="F295">
        <v>61614</v>
      </c>
      <c r="G295">
        <v>61467</v>
      </c>
      <c r="H295">
        <v>61394</v>
      </c>
      <c r="I295">
        <v>61196</v>
      </c>
      <c r="J295">
        <v>61066</v>
      </c>
      <c r="K295">
        <v>60663</v>
      </c>
      <c r="L295">
        <v>60545</v>
      </c>
      <c r="M295">
        <v>60170</v>
      </c>
      <c r="N295">
        <v>60004</v>
      </c>
      <c r="O295">
        <v>59647</v>
      </c>
      <c r="P295">
        <v>59486</v>
      </c>
      <c r="Q295">
        <v>58868</v>
      </c>
      <c r="R295">
        <v>58577</v>
      </c>
    </row>
    <row r="296" spans="1:18">
      <c r="A296">
        <v>31940</v>
      </c>
      <c r="B296" t="s">
        <v>987</v>
      </c>
      <c r="C296" t="s">
        <v>1261</v>
      </c>
      <c r="D296" t="s">
        <v>1254</v>
      </c>
      <c r="E296">
        <v>65692</v>
      </c>
      <c r="F296">
        <v>65594</v>
      </c>
      <c r="G296">
        <v>65644</v>
      </c>
      <c r="H296">
        <v>65832</v>
      </c>
      <c r="I296">
        <v>65638</v>
      </c>
      <c r="J296">
        <v>65435</v>
      </c>
      <c r="K296">
        <v>65010</v>
      </c>
      <c r="L296">
        <v>65076</v>
      </c>
      <c r="M296">
        <v>65282</v>
      </c>
      <c r="N296">
        <v>65233</v>
      </c>
      <c r="O296">
        <v>65340</v>
      </c>
      <c r="P296">
        <v>65175</v>
      </c>
      <c r="Q296">
        <v>65191</v>
      </c>
      <c r="R296">
        <v>65051</v>
      </c>
    </row>
    <row r="297" spans="1:18">
      <c r="A297">
        <v>31980</v>
      </c>
      <c r="B297" t="s">
        <v>988</v>
      </c>
      <c r="C297" t="s">
        <v>1261</v>
      </c>
      <c r="D297" t="s">
        <v>1254</v>
      </c>
      <c r="E297">
        <v>69939</v>
      </c>
      <c r="F297">
        <v>69795</v>
      </c>
      <c r="G297">
        <v>69402</v>
      </c>
      <c r="H297">
        <v>69307</v>
      </c>
      <c r="I297">
        <v>68927</v>
      </c>
      <c r="J297">
        <v>68209</v>
      </c>
      <c r="K297">
        <v>67516</v>
      </c>
      <c r="L297">
        <v>67278</v>
      </c>
      <c r="M297">
        <v>67137</v>
      </c>
      <c r="N297">
        <v>66980</v>
      </c>
      <c r="O297">
        <v>66507</v>
      </c>
      <c r="P297">
        <v>66188</v>
      </c>
      <c r="Q297">
        <v>65993</v>
      </c>
      <c r="R297">
        <v>66200</v>
      </c>
    </row>
    <row r="298" spans="1:18">
      <c r="A298">
        <v>32000</v>
      </c>
      <c r="B298" t="s">
        <v>989</v>
      </c>
      <c r="C298" t="s">
        <v>1261</v>
      </c>
      <c r="D298" t="s">
        <v>1254</v>
      </c>
      <c r="E298">
        <v>45073</v>
      </c>
      <c r="F298">
        <v>44910</v>
      </c>
      <c r="G298">
        <v>44740</v>
      </c>
      <c r="H298">
        <v>44644</v>
      </c>
      <c r="I298">
        <v>44514</v>
      </c>
      <c r="J298">
        <v>44359</v>
      </c>
      <c r="K298">
        <v>44133</v>
      </c>
      <c r="L298">
        <v>44221</v>
      </c>
      <c r="M298">
        <v>44481</v>
      </c>
      <c r="N298">
        <v>44652</v>
      </c>
      <c r="O298">
        <v>44547</v>
      </c>
      <c r="P298">
        <v>44530</v>
      </c>
      <c r="Q298">
        <v>44755</v>
      </c>
      <c r="R298">
        <v>44893</v>
      </c>
    </row>
    <row r="299" spans="1:18">
      <c r="A299">
        <v>32020</v>
      </c>
      <c r="B299" t="s">
        <v>990</v>
      </c>
      <c r="C299" t="s">
        <v>1261</v>
      </c>
      <c r="D299" t="s">
        <v>1254</v>
      </c>
      <c r="E299">
        <v>66473</v>
      </c>
      <c r="F299">
        <v>66685</v>
      </c>
      <c r="G299">
        <v>66428</v>
      </c>
      <c r="H299">
        <v>66178</v>
      </c>
      <c r="I299">
        <v>66059</v>
      </c>
      <c r="J299">
        <v>65762</v>
      </c>
      <c r="K299">
        <v>65830</v>
      </c>
      <c r="L299">
        <v>65516</v>
      </c>
      <c r="M299">
        <v>65888</v>
      </c>
      <c r="N299">
        <v>65572</v>
      </c>
      <c r="O299">
        <v>65388</v>
      </c>
      <c r="P299">
        <v>65310</v>
      </c>
      <c r="Q299">
        <v>64609</v>
      </c>
      <c r="R299">
        <v>64851</v>
      </c>
    </row>
    <row r="300" spans="1:18">
      <c r="A300">
        <v>32100</v>
      </c>
      <c r="B300" t="s">
        <v>991</v>
      </c>
      <c r="C300" t="s">
        <v>1261</v>
      </c>
      <c r="D300" t="s">
        <v>1254</v>
      </c>
      <c r="E300">
        <v>67082</v>
      </c>
      <c r="F300">
        <v>67475</v>
      </c>
      <c r="G300">
        <v>67865</v>
      </c>
      <c r="H300">
        <v>67828</v>
      </c>
      <c r="I300">
        <v>67844</v>
      </c>
      <c r="J300">
        <v>67415</v>
      </c>
      <c r="K300">
        <v>66632</v>
      </c>
      <c r="L300">
        <v>66603</v>
      </c>
      <c r="M300">
        <v>66496</v>
      </c>
      <c r="N300">
        <v>66791</v>
      </c>
      <c r="O300">
        <v>66012</v>
      </c>
      <c r="P300">
        <v>65739</v>
      </c>
      <c r="Q300">
        <v>66548</v>
      </c>
      <c r="R300">
        <v>66999</v>
      </c>
    </row>
    <row r="301" spans="1:18">
      <c r="A301">
        <v>32140</v>
      </c>
      <c r="B301" t="s">
        <v>992</v>
      </c>
      <c r="C301" t="s">
        <v>1261</v>
      </c>
      <c r="D301" t="s">
        <v>1254</v>
      </c>
      <c r="E301">
        <v>25850</v>
      </c>
      <c r="F301">
        <v>25823</v>
      </c>
      <c r="G301">
        <v>25619</v>
      </c>
      <c r="H301">
        <v>25699</v>
      </c>
      <c r="I301">
        <v>25742</v>
      </c>
      <c r="J301">
        <v>25784</v>
      </c>
      <c r="K301">
        <v>25941</v>
      </c>
      <c r="L301">
        <v>25910</v>
      </c>
      <c r="M301">
        <v>25584</v>
      </c>
      <c r="N301">
        <v>25498</v>
      </c>
      <c r="O301">
        <v>25423</v>
      </c>
      <c r="P301">
        <v>25492</v>
      </c>
      <c r="Q301">
        <v>25433</v>
      </c>
      <c r="R301">
        <v>25427</v>
      </c>
    </row>
    <row r="302" spans="1:18">
      <c r="A302">
        <v>32180</v>
      </c>
      <c r="B302" t="s">
        <v>993</v>
      </c>
      <c r="C302" t="s">
        <v>1261</v>
      </c>
      <c r="D302" t="s">
        <v>1254</v>
      </c>
      <c r="E302">
        <v>23433</v>
      </c>
      <c r="F302">
        <v>23468</v>
      </c>
      <c r="G302">
        <v>23652</v>
      </c>
      <c r="H302">
        <v>23513</v>
      </c>
      <c r="I302">
        <v>23606</v>
      </c>
      <c r="J302">
        <v>23483</v>
      </c>
      <c r="K302">
        <v>23412</v>
      </c>
      <c r="L302">
        <v>23269</v>
      </c>
      <c r="M302">
        <v>23280</v>
      </c>
      <c r="N302">
        <v>23244</v>
      </c>
      <c r="O302">
        <v>23331</v>
      </c>
      <c r="P302">
        <v>23253</v>
      </c>
      <c r="Q302">
        <v>23003</v>
      </c>
      <c r="R302">
        <v>23049</v>
      </c>
    </row>
    <row r="303" spans="1:18">
      <c r="A303">
        <v>32260</v>
      </c>
      <c r="B303" t="s">
        <v>994</v>
      </c>
      <c r="C303" t="s">
        <v>1261</v>
      </c>
      <c r="D303" t="s">
        <v>1254</v>
      </c>
      <c r="E303">
        <v>40737</v>
      </c>
      <c r="F303">
        <v>41087</v>
      </c>
      <c r="G303">
        <v>41165</v>
      </c>
      <c r="H303">
        <v>41185</v>
      </c>
      <c r="I303">
        <v>40962</v>
      </c>
      <c r="J303">
        <v>40647</v>
      </c>
      <c r="K303">
        <v>40485</v>
      </c>
      <c r="L303">
        <v>40472</v>
      </c>
      <c r="M303">
        <v>40356</v>
      </c>
      <c r="N303">
        <v>40001</v>
      </c>
      <c r="O303">
        <v>40096</v>
      </c>
      <c r="P303">
        <v>39913</v>
      </c>
      <c r="Q303">
        <v>39821</v>
      </c>
      <c r="R303">
        <v>40014</v>
      </c>
    </row>
    <row r="304" spans="1:18">
      <c r="A304">
        <v>32280</v>
      </c>
      <c r="B304" t="s">
        <v>995</v>
      </c>
      <c r="C304" t="s">
        <v>1261</v>
      </c>
      <c r="D304" t="s">
        <v>1254</v>
      </c>
      <c r="E304">
        <v>35033</v>
      </c>
      <c r="F304">
        <v>34804</v>
      </c>
      <c r="G304">
        <v>34454</v>
      </c>
      <c r="H304">
        <v>34009</v>
      </c>
      <c r="I304">
        <v>33813</v>
      </c>
      <c r="J304">
        <v>33640</v>
      </c>
      <c r="K304">
        <v>33312</v>
      </c>
      <c r="L304">
        <v>33001</v>
      </c>
      <c r="M304">
        <v>33001</v>
      </c>
      <c r="N304">
        <v>32857</v>
      </c>
      <c r="O304">
        <v>32903</v>
      </c>
      <c r="P304">
        <v>32883</v>
      </c>
      <c r="Q304">
        <v>33043</v>
      </c>
      <c r="R304">
        <v>33084</v>
      </c>
    </row>
    <row r="305" spans="1:18">
      <c r="A305">
        <v>32300</v>
      </c>
      <c r="B305" t="s">
        <v>996</v>
      </c>
      <c r="C305" t="s">
        <v>1261</v>
      </c>
      <c r="D305" t="s">
        <v>1254</v>
      </c>
      <c r="E305">
        <v>67929</v>
      </c>
      <c r="F305">
        <v>67355</v>
      </c>
      <c r="G305">
        <v>66981</v>
      </c>
      <c r="H305">
        <v>66707</v>
      </c>
      <c r="I305">
        <v>66261</v>
      </c>
      <c r="J305">
        <v>66074</v>
      </c>
      <c r="K305">
        <v>65672</v>
      </c>
      <c r="L305">
        <v>65335</v>
      </c>
      <c r="M305">
        <v>64956</v>
      </c>
      <c r="N305">
        <v>64591</v>
      </c>
      <c r="O305">
        <v>64325</v>
      </c>
      <c r="P305">
        <v>63796</v>
      </c>
      <c r="Q305">
        <v>63492</v>
      </c>
      <c r="R305">
        <v>63465</v>
      </c>
    </row>
    <row r="306" spans="1:18">
      <c r="A306">
        <v>32340</v>
      </c>
      <c r="B306" t="s">
        <v>997</v>
      </c>
      <c r="C306" t="s">
        <v>1261</v>
      </c>
      <c r="D306" t="s">
        <v>1254</v>
      </c>
      <c r="E306">
        <v>23388</v>
      </c>
      <c r="F306">
        <v>23370</v>
      </c>
      <c r="G306">
        <v>23213</v>
      </c>
      <c r="H306">
        <v>22989</v>
      </c>
      <c r="I306">
        <v>22773</v>
      </c>
      <c r="J306">
        <v>22370</v>
      </c>
      <c r="K306">
        <v>22156</v>
      </c>
      <c r="L306">
        <v>22050</v>
      </c>
      <c r="M306">
        <v>21813</v>
      </c>
      <c r="N306">
        <v>21609</v>
      </c>
      <c r="O306">
        <v>20997</v>
      </c>
      <c r="P306">
        <v>20983</v>
      </c>
      <c r="Q306">
        <v>20715</v>
      </c>
      <c r="R306">
        <v>20695</v>
      </c>
    </row>
    <row r="307" spans="1:18">
      <c r="A307">
        <v>32380</v>
      </c>
      <c r="B307" t="s">
        <v>998</v>
      </c>
      <c r="C307" t="s">
        <v>1261</v>
      </c>
      <c r="D307" t="s">
        <v>1254</v>
      </c>
      <c r="E307">
        <v>51704</v>
      </c>
      <c r="F307">
        <v>51651</v>
      </c>
      <c r="G307">
        <v>51415</v>
      </c>
      <c r="H307">
        <v>51336</v>
      </c>
      <c r="I307">
        <v>51188</v>
      </c>
      <c r="J307">
        <v>51007</v>
      </c>
      <c r="K307">
        <v>51173</v>
      </c>
      <c r="L307">
        <v>51176</v>
      </c>
      <c r="M307">
        <v>50838</v>
      </c>
      <c r="N307">
        <v>50755</v>
      </c>
      <c r="O307">
        <v>50458</v>
      </c>
      <c r="P307">
        <v>50138</v>
      </c>
      <c r="Q307">
        <v>49737</v>
      </c>
      <c r="R307">
        <v>49703</v>
      </c>
    </row>
    <row r="308" spans="1:18">
      <c r="A308">
        <v>32460</v>
      </c>
      <c r="B308" t="s">
        <v>999</v>
      </c>
      <c r="C308" t="s">
        <v>1261</v>
      </c>
      <c r="D308" t="s">
        <v>1254</v>
      </c>
      <c r="E308">
        <v>37246</v>
      </c>
      <c r="F308">
        <v>37571</v>
      </c>
      <c r="G308">
        <v>37499</v>
      </c>
      <c r="H308">
        <v>37312</v>
      </c>
      <c r="I308">
        <v>37458</v>
      </c>
      <c r="J308">
        <v>37096</v>
      </c>
      <c r="K308">
        <v>37036</v>
      </c>
      <c r="L308">
        <v>36951</v>
      </c>
      <c r="M308">
        <v>37023</v>
      </c>
      <c r="N308">
        <v>36905</v>
      </c>
      <c r="O308">
        <v>36528</v>
      </c>
      <c r="P308">
        <v>36673</v>
      </c>
      <c r="Q308">
        <v>36493</v>
      </c>
      <c r="R308">
        <v>36461</v>
      </c>
    </row>
    <row r="309" spans="1:18">
      <c r="A309">
        <v>32500</v>
      </c>
      <c r="B309" t="s">
        <v>1000</v>
      </c>
      <c r="C309" t="s">
        <v>1261</v>
      </c>
      <c r="D309" t="s">
        <v>1254</v>
      </c>
      <c r="E309">
        <v>17504</v>
      </c>
      <c r="F309">
        <v>17552</v>
      </c>
      <c r="G309">
        <v>17475</v>
      </c>
      <c r="H309">
        <v>17343</v>
      </c>
      <c r="I309">
        <v>17162</v>
      </c>
      <c r="J309">
        <v>17081</v>
      </c>
      <c r="K309">
        <v>17237</v>
      </c>
      <c r="L309">
        <v>17262</v>
      </c>
      <c r="M309">
        <v>17150</v>
      </c>
      <c r="N309">
        <v>17100</v>
      </c>
      <c r="O309">
        <v>17133</v>
      </c>
      <c r="P309">
        <v>16960</v>
      </c>
      <c r="Q309">
        <v>16903</v>
      </c>
      <c r="R309">
        <v>16841</v>
      </c>
    </row>
    <row r="310" spans="1:18">
      <c r="A310">
        <v>32540</v>
      </c>
      <c r="B310" t="s">
        <v>1001</v>
      </c>
      <c r="C310" t="s">
        <v>1261</v>
      </c>
      <c r="D310" t="s">
        <v>1254</v>
      </c>
      <c r="E310">
        <v>45801</v>
      </c>
      <c r="F310">
        <v>45733</v>
      </c>
      <c r="G310">
        <v>45562</v>
      </c>
      <c r="H310">
        <v>45293</v>
      </c>
      <c r="I310">
        <v>44884</v>
      </c>
      <c r="J310">
        <v>44760</v>
      </c>
      <c r="K310">
        <v>44437</v>
      </c>
      <c r="L310">
        <v>44225</v>
      </c>
      <c r="M310">
        <v>43888</v>
      </c>
      <c r="N310">
        <v>43720</v>
      </c>
      <c r="O310">
        <v>43788</v>
      </c>
      <c r="P310">
        <v>43630</v>
      </c>
      <c r="Q310">
        <v>43476</v>
      </c>
      <c r="R310">
        <v>43479</v>
      </c>
    </row>
    <row r="311" spans="1:18">
      <c r="A311">
        <v>32620</v>
      </c>
      <c r="B311" t="s">
        <v>1002</v>
      </c>
      <c r="C311" t="s">
        <v>1261</v>
      </c>
      <c r="D311" t="s">
        <v>1254</v>
      </c>
      <c r="E311">
        <v>40472</v>
      </c>
      <c r="F311">
        <v>40588</v>
      </c>
      <c r="G311">
        <v>40362</v>
      </c>
      <c r="H311">
        <v>40334</v>
      </c>
      <c r="I311">
        <v>40471</v>
      </c>
      <c r="J311">
        <v>40536</v>
      </c>
      <c r="K311">
        <v>40383</v>
      </c>
      <c r="L311">
        <v>40398</v>
      </c>
      <c r="M311">
        <v>40350</v>
      </c>
      <c r="N311">
        <v>40381</v>
      </c>
      <c r="O311">
        <v>40192</v>
      </c>
      <c r="P311">
        <v>40010</v>
      </c>
      <c r="Q311">
        <v>39687</v>
      </c>
      <c r="R311">
        <v>39394</v>
      </c>
    </row>
    <row r="312" spans="1:18">
      <c r="A312">
        <v>32660</v>
      </c>
      <c r="B312" t="s">
        <v>1003</v>
      </c>
      <c r="C312" t="s">
        <v>1261</v>
      </c>
      <c r="D312" t="s">
        <v>1254</v>
      </c>
      <c r="E312">
        <v>39846</v>
      </c>
      <c r="F312">
        <v>39847</v>
      </c>
      <c r="G312">
        <v>39641</v>
      </c>
      <c r="H312">
        <v>39715</v>
      </c>
      <c r="I312">
        <v>39771</v>
      </c>
      <c r="J312">
        <v>39994</v>
      </c>
      <c r="K312">
        <v>40091</v>
      </c>
      <c r="L312">
        <v>40309</v>
      </c>
      <c r="M312">
        <v>40412</v>
      </c>
      <c r="N312">
        <v>40763</v>
      </c>
      <c r="O312">
        <v>41052</v>
      </c>
      <c r="P312">
        <v>41468</v>
      </c>
      <c r="Q312">
        <v>42001</v>
      </c>
      <c r="R312">
        <v>42638</v>
      </c>
    </row>
    <row r="313" spans="1:18">
      <c r="A313">
        <v>32700</v>
      </c>
      <c r="B313" t="s">
        <v>1004</v>
      </c>
      <c r="C313" t="s">
        <v>1261</v>
      </c>
      <c r="D313" t="s">
        <v>1254</v>
      </c>
      <c r="E313">
        <v>29169</v>
      </c>
      <c r="F313">
        <v>29367</v>
      </c>
      <c r="G313">
        <v>29605</v>
      </c>
      <c r="H313">
        <v>29977</v>
      </c>
      <c r="I313">
        <v>29620</v>
      </c>
      <c r="J313">
        <v>29542</v>
      </c>
      <c r="K313">
        <v>29505</v>
      </c>
      <c r="L313">
        <v>29942</v>
      </c>
      <c r="M313">
        <v>29950</v>
      </c>
      <c r="N313">
        <v>30145</v>
      </c>
      <c r="O313">
        <v>30184</v>
      </c>
      <c r="P313">
        <v>30164</v>
      </c>
      <c r="Q313">
        <v>30063</v>
      </c>
      <c r="R313">
        <v>30091</v>
      </c>
    </row>
    <row r="314" spans="1:18">
      <c r="A314">
        <v>32740</v>
      </c>
      <c r="B314" t="s">
        <v>1005</v>
      </c>
      <c r="C314" t="s">
        <v>1261</v>
      </c>
      <c r="D314" t="s">
        <v>1254</v>
      </c>
      <c r="E314">
        <v>88616</v>
      </c>
      <c r="F314">
        <v>88186</v>
      </c>
      <c r="G314">
        <v>87763</v>
      </c>
      <c r="H314">
        <v>87558</v>
      </c>
      <c r="I314">
        <v>87213</v>
      </c>
      <c r="J314">
        <v>86581</v>
      </c>
      <c r="K314">
        <v>86400</v>
      </c>
      <c r="L314">
        <v>85844</v>
      </c>
      <c r="M314">
        <v>85171</v>
      </c>
      <c r="N314">
        <v>84487</v>
      </c>
      <c r="O314">
        <v>83807</v>
      </c>
      <c r="P314">
        <v>83209</v>
      </c>
      <c r="Q314">
        <v>82405</v>
      </c>
      <c r="R314">
        <v>82001</v>
      </c>
    </row>
    <row r="315" spans="1:18">
      <c r="A315">
        <v>32860</v>
      </c>
      <c r="B315" t="s">
        <v>1006</v>
      </c>
      <c r="C315" t="s">
        <v>1261</v>
      </c>
      <c r="D315" t="s">
        <v>1254</v>
      </c>
      <c r="E315">
        <v>43889</v>
      </c>
      <c r="F315">
        <v>43810</v>
      </c>
      <c r="G315">
        <v>43820</v>
      </c>
      <c r="H315">
        <v>44067</v>
      </c>
      <c r="I315">
        <v>44104</v>
      </c>
      <c r="J315">
        <v>44305</v>
      </c>
      <c r="K315">
        <v>44395</v>
      </c>
      <c r="L315">
        <v>44790</v>
      </c>
      <c r="M315">
        <v>45140</v>
      </c>
      <c r="N315">
        <v>45389</v>
      </c>
      <c r="O315">
        <v>45440</v>
      </c>
      <c r="P315">
        <v>44518</v>
      </c>
      <c r="Q315">
        <v>45622</v>
      </c>
      <c r="R315">
        <v>45794</v>
      </c>
    </row>
    <row r="316" spans="1:18">
      <c r="A316">
        <v>32940</v>
      </c>
      <c r="B316" t="s">
        <v>1007</v>
      </c>
      <c r="C316" t="s">
        <v>1261</v>
      </c>
      <c r="D316" t="s">
        <v>1254</v>
      </c>
      <c r="E316">
        <v>107536</v>
      </c>
      <c r="F316">
        <v>107467</v>
      </c>
      <c r="G316">
        <v>106872</v>
      </c>
      <c r="H316">
        <v>106516</v>
      </c>
      <c r="I316">
        <v>105217</v>
      </c>
      <c r="J316">
        <v>103807</v>
      </c>
      <c r="K316">
        <v>102559</v>
      </c>
      <c r="L316">
        <v>101296</v>
      </c>
      <c r="M316">
        <v>99653</v>
      </c>
      <c r="N316">
        <v>98657</v>
      </c>
      <c r="O316">
        <v>97180</v>
      </c>
      <c r="P316">
        <v>96153</v>
      </c>
      <c r="Q316">
        <v>95015</v>
      </c>
      <c r="R316">
        <v>94339</v>
      </c>
    </row>
    <row r="317" spans="1:18">
      <c r="A317">
        <v>33020</v>
      </c>
      <c r="B317" t="s">
        <v>1008</v>
      </c>
      <c r="C317" t="s">
        <v>1261</v>
      </c>
      <c r="D317" t="s">
        <v>1254</v>
      </c>
      <c r="E317">
        <v>25455</v>
      </c>
      <c r="F317">
        <v>25548</v>
      </c>
      <c r="G317">
        <v>25562</v>
      </c>
      <c r="H317">
        <v>25597</v>
      </c>
      <c r="I317">
        <v>25884</v>
      </c>
      <c r="J317">
        <v>26028</v>
      </c>
      <c r="K317">
        <v>25923</v>
      </c>
      <c r="L317">
        <v>25678</v>
      </c>
      <c r="M317">
        <v>25488</v>
      </c>
      <c r="N317">
        <v>25046</v>
      </c>
      <c r="O317">
        <v>24786</v>
      </c>
      <c r="P317">
        <v>24861</v>
      </c>
      <c r="Q317">
        <v>24482</v>
      </c>
      <c r="R317">
        <v>24394</v>
      </c>
    </row>
    <row r="318" spans="1:18">
      <c r="A318">
        <v>33060</v>
      </c>
      <c r="B318" t="s">
        <v>1009</v>
      </c>
      <c r="C318" t="s">
        <v>1261</v>
      </c>
      <c r="D318" t="s">
        <v>1254</v>
      </c>
      <c r="E318">
        <v>31844</v>
      </c>
      <c r="F318">
        <v>31795</v>
      </c>
      <c r="G318">
        <v>32047</v>
      </c>
      <c r="H318">
        <v>31972</v>
      </c>
      <c r="I318">
        <v>31674</v>
      </c>
      <c r="J318">
        <v>31541</v>
      </c>
      <c r="K318">
        <v>31204</v>
      </c>
      <c r="L318">
        <v>30929</v>
      </c>
      <c r="M318">
        <v>30789</v>
      </c>
      <c r="N318">
        <v>30572</v>
      </c>
      <c r="O318">
        <v>30222</v>
      </c>
      <c r="P318">
        <v>30380</v>
      </c>
      <c r="Q318">
        <v>30329</v>
      </c>
      <c r="R318">
        <v>30287</v>
      </c>
    </row>
    <row r="319" spans="1:18">
      <c r="A319">
        <v>33180</v>
      </c>
      <c r="B319" t="s">
        <v>1010</v>
      </c>
      <c r="C319" t="s">
        <v>1261</v>
      </c>
      <c r="D319" t="s">
        <v>1254</v>
      </c>
      <c r="E319">
        <v>28661</v>
      </c>
      <c r="F319">
        <v>28440</v>
      </c>
      <c r="G319">
        <v>27905</v>
      </c>
      <c r="H319">
        <v>27487</v>
      </c>
      <c r="I319">
        <v>27123</v>
      </c>
      <c r="J319">
        <v>26520</v>
      </c>
      <c r="K319">
        <v>26212</v>
      </c>
      <c r="L319">
        <v>25713</v>
      </c>
      <c r="M319">
        <v>25244</v>
      </c>
      <c r="N319">
        <v>24612</v>
      </c>
      <c r="O319">
        <v>23984</v>
      </c>
      <c r="P319">
        <v>23834</v>
      </c>
      <c r="Q319">
        <v>23611</v>
      </c>
      <c r="R319">
        <v>23317</v>
      </c>
    </row>
    <row r="320" spans="1:18">
      <c r="A320">
        <v>33300</v>
      </c>
      <c r="B320" t="s">
        <v>1011</v>
      </c>
      <c r="C320" t="s">
        <v>1261</v>
      </c>
      <c r="D320" t="s">
        <v>1254</v>
      </c>
      <c r="E320">
        <v>55110</v>
      </c>
      <c r="F320">
        <v>54441</v>
      </c>
      <c r="G320">
        <v>55354</v>
      </c>
      <c r="H320">
        <v>54788</v>
      </c>
      <c r="I320">
        <v>54027</v>
      </c>
      <c r="J320">
        <v>53577</v>
      </c>
      <c r="K320">
        <v>53234</v>
      </c>
      <c r="L320">
        <v>52766</v>
      </c>
      <c r="M320">
        <v>52463</v>
      </c>
      <c r="N320">
        <v>52495</v>
      </c>
      <c r="O320">
        <v>52501</v>
      </c>
      <c r="P320">
        <v>52372</v>
      </c>
      <c r="Q320">
        <v>52050</v>
      </c>
      <c r="R320">
        <v>52072</v>
      </c>
    </row>
    <row r="321" spans="1:18">
      <c r="A321">
        <v>33380</v>
      </c>
      <c r="B321" t="s">
        <v>1012</v>
      </c>
      <c r="C321" t="s">
        <v>1261</v>
      </c>
      <c r="D321" t="s">
        <v>1254</v>
      </c>
      <c r="E321">
        <v>41173</v>
      </c>
      <c r="F321">
        <v>41105</v>
      </c>
      <c r="G321">
        <v>40659</v>
      </c>
      <c r="H321">
        <v>40304</v>
      </c>
      <c r="I321">
        <v>39819</v>
      </c>
      <c r="J321">
        <v>39486</v>
      </c>
      <c r="K321">
        <v>39064</v>
      </c>
      <c r="L321">
        <v>38482</v>
      </c>
      <c r="M321">
        <v>37898</v>
      </c>
      <c r="N321">
        <v>37346</v>
      </c>
      <c r="O321">
        <v>36883</v>
      </c>
      <c r="P321">
        <v>35938</v>
      </c>
      <c r="Q321">
        <v>35527</v>
      </c>
      <c r="R321">
        <v>35238</v>
      </c>
    </row>
    <row r="322" spans="1:18">
      <c r="A322">
        <v>33420</v>
      </c>
      <c r="B322" t="s">
        <v>1013</v>
      </c>
      <c r="C322" t="s">
        <v>1261</v>
      </c>
      <c r="D322" t="s">
        <v>1254</v>
      </c>
      <c r="E322">
        <v>28072</v>
      </c>
      <c r="F322">
        <v>27954</v>
      </c>
      <c r="G322">
        <v>27674</v>
      </c>
      <c r="H322">
        <v>27608</v>
      </c>
      <c r="I322">
        <v>27678</v>
      </c>
      <c r="J322">
        <v>27526</v>
      </c>
      <c r="K322">
        <v>27606</v>
      </c>
      <c r="L322">
        <v>27937</v>
      </c>
      <c r="M322">
        <v>28135</v>
      </c>
      <c r="N322">
        <v>28313</v>
      </c>
      <c r="O322">
        <v>28452</v>
      </c>
      <c r="P322">
        <v>28742</v>
      </c>
      <c r="Q322">
        <v>29322</v>
      </c>
      <c r="R322">
        <v>29747</v>
      </c>
    </row>
    <row r="323" spans="1:18">
      <c r="A323">
        <v>33500</v>
      </c>
      <c r="B323" t="s">
        <v>1014</v>
      </c>
      <c r="C323" t="s">
        <v>1261</v>
      </c>
      <c r="D323" t="s">
        <v>1254</v>
      </c>
      <c r="E323">
        <v>70037</v>
      </c>
      <c r="F323">
        <v>72509</v>
      </c>
      <c r="G323">
        <v>74172</v>
      </c>
      <c r="H323">
        <v>76880</v>
      </c>
      <c r="I323">
        <v>78581</v>
      </c>
      <c r="J323">
        <v>80500</v>
      </c>
      <c r="K323">
        <v>79333</v>
      </c>
      <c r="L323">
        <v>78334</v>
      </c>
      <c r="M323">
        <v>77506</v>
      </c>
      <c r="N323">
        <v>77479</v>
      </c>
      <c r="O323">
        <v>77527</v>
      </c>
      <c r="P323">
        <v>76867</v>
      </c>
      <c r="Q323">
        <v>76233</v>
      </c>
      <c r="R323">
        <v>75742</v>
      </c>
    </row>
    <row r="324" spans="1:18">
      <c r="A324">
        <v>33580</v>
      </c>
      <c r="B324" t="s">
        <v>1015</v>
      </c>
      <c r="C324" t="s">
        <v>1261</v>
      </c>
      <c r="D324" t="s">
        <v>1254</v>
      </c>
      <c r="E324">
        <v>22818</v>
      </c>
      <c r="F324">
        <v>23115</v>
      </c>
      <c r="G324">
        <v>23367</v>
      </c>
      <c r="H324">
        <v>23394</v>
      </c>
      <c r="I324">
        <v>23449</v>
      </c>
      <c r="J324">
        <v>23374</v>
      </c>
      <c r="K324">
        <v>23493</v>
      </c>
      <c r="L324">
        <v>23388</v>
      </c>
      <c r="M324">
        <v>23310</v>
      </c>
      <c r="N324">
        <v>23430</v>
      </c>
      <c r="O324">
        <v>23419</v>
      </c>
      <c r="P324">
        <v>23409</v>
      </c>
      <c r="Q324">
        <v>23386</v>
      </c>
      <c r="R324">
        <v>23393</v>
      </c>
    </row>
    <row r="325" spans="1:18">
      <c r="A325">
        <v>33620</v>
      </c>
      <c r="B325" t="s">
        <v>1016</v>
      </c>
      <c r="C325" t="s">
        <v>1261</v>
      </c>
      <c r="D325" t="s">
        <v>1254</v>
      </c>
      <c r="E325">
        <v>25460</v>
      </c>
      <c r="F325">
        <v>25314</v>
      </c>
      <c r="G325">
        <v>25392</v>
      </c>
      <c r="H325">
        <v>25029</v>
      </c>
      <c r="I325">
        <v>25163</v>
      </c>
      <c r="J325">
        <v>25186</v>
      </c>
      <c r="K325">
        <v>25136</v>
      </c>
      <c r="L325">
        <v>25076</v>
      </c>
      <c r="M325">
        <v>24885</v>
      </c>
      <c r="N325">
        <v>25049</v>
      </c>
      <c r="O325">
        <v>24448</v>
      </c>
      <c r="P325">
        <v>24563</v>
      </c>
      <c r="Q325">
        <v>24626</v>
      </c>
      <c r="R325">
        <v>24109</v>
      </c>
    </row>
    <row r="326" spans="1:18">
      <c r="A326">
        <v>33940</v>
      </c>
      <c r="B326" t="s">
        <v>1017</v>
      </c>
      <c r="C326" t="s">
        <v>1261</v>
      </c>
      <c r="D326" t="s">
        <v>1254</v>
      </c>
      <c r="E326">
        <v>45623</v>
      </c>
      <c r="F326">
        <v>45327</v>
      </c>
      <c r="G326">
        <v>45044</v>
      </c>
      <c r="H326">
        <v>44938</v>
      </c>
      <c r="I326">
        <v>44936</v>
      </c>
      <c r="J326">
        <v>44896</v>
      </c>
      <c r="K326">
        <v>45585</v>
      </c>
      <c r="L326">
        <v>46151</v>
      </c>
      <c r="M326">
        <v>46615</v>
      </c>
      <c r="N326">
        <v>47196</v>
      </c>
      <c r="O326">
        <v>47700</v>
      </c>
      <c r="P326">
        <v>48299</v>
      </c>
      <c r="Q326">
        <v>48910</v>
      </c>
      <c r="R326">
        <v>49332</v>
      </c>
    </row>
    <row r="327" spans="1:18">
      <c r="A327">
        <v>33980</v>
      </c>
      <c r="B327" t="s">
        <v>1018</v>
      </c>
      <c r="C327" t="s">
        <v>1261</v>
      </c>
      <c r="D327" t="s">
        <v>1254</v>
      </c>
      <c r="E327">
        <v>66657</v>
      </c>
      <c r="F327">
        <v>67212</v>
      </c>
      <c r="G327">
        <v>67392</v>
      </c>
      <c r="H327">
        <v>67832</v>
      </c>
      <c r="I327">
        <v>67899</v>
      </c>
      <c r="J327">
        <v>67810</v>
      </c>
      <c r="K327">
        <v>67729</v>
      </c>
      <c r="L327">
        <v>67678</v>
      </c>
      <c r="M327">
        <v>68011</v>
      </c>
      <c r="N327">
        <v>67786</v>
      </c>
      <c r="O327">
        <v>67728</v>
      </c>
      <c r="P327">
        <v>68729</v>
      </c>
      <c r="Q327">
        <v>69326</v>
      </c>
      <c r="R327">
        <v>69615</v>
      </c>
    </row>
    <row r="328" spans="1:18">
      <c r="A328">
        <v>34020</v>
      </c>
      <c r="B328" t="s">
        <v>1019</v>
      </c>
      <c r="C328" t="s">
        <v>1261</v>
      </c>
      <c r="D328" t="s">
        <v>1254</v>
      </c>
      <c r="E328">
        <v>54576</v>
      </c>
      <c r="F328">
        <v>54311</v>
      </c>
      <c r="G328">
        <v>53783</v>
      </c>
      <c r="H328">
        <v>53898</v>
      </c>
      <c r="I328">
        <v>53680</v>
      </c>
      <c r="J328">
        <v>53370</v>
      </c>
      <c r="K328">
        <v>52604</v>
      </c>
      <c r="L328">
        <v>51281</v>
      </c>
      <c r="M328">
        <v>50420</v>
      </c>
      <c r="N328">
        <v>50050</v>
      </c>
      <c r="O328">
        <v>49142</v>
      </c>
      <c r="P328">
        <v>48219</v>
      </c>
      <c r="Q328">
        <v>47819</v>
      </c>
      <c r="R328">
        <v>47055</v>
      </c>
    </row>
    <row r="329" spans="1:18">
      <c r="A329">
        <v>34140</v>
      </c>
      <c r="B329" t="s">
        <v>1020</v>
      </c>
      <c r="C329" t="s">
        <v>1261</v>
      </c>
      <c r="D329" t="s">
        <v>1254</v>
      </c>
      <c r="E329">
        <v>37232</v>
      </c>
      <c r="F329">
        <v>37734</v>
      </c>
      <c r="G329">
        <v>37878</v>
      </c>
      <c r="H329">
        <v>37902</v>
      </c>
      <c r="I329">
        <v>38095</v>
      </c>
      <c r="J329">
        <v>38271</v>
      </c>
      <c r="K329">
        <v>38448</v>
      </c>
      <c r="L329">
        <v>39065</v>
      </c>
      <c r="M329">
        <v>39043</v>
      </c>
      <c r="N329">
        <v>39294</v>
      </c>
      <c r="O329">
        <v>39638</v>
      </c>
      <c r="P329">
        <v>40400</v>
      </c>
      <c r="Q329">
        <v>40924</v>
      </c>
      <c r="R329">
        <v>41301</v>
      </c>
    </row>
    <row r="330" spans="1:18">
      <c r="A330">
        <v>34180</v>
      </c>
      <c r="B330" t="s">
        <v>1021</v>
      </c>
      <c r="C330" t="s">
        <v>1261</v>
      </c>
      <c r="D330" t="s">
        <v>1254</v>
      </c>
      <c r="E330">
        <v>89555</v>
      </c>
      <c r="F330">
        <v>90590</v>
      </c>
      <c r="G330">
        <v>91296</v>
      </c>
      <c r="H330">
        <v>91703</v>
      </c>
      <c r="I330">
        <v>92905</v>
      </c>
      <c r="J330">
        <v>93526</v>
      </c>
      <c r="K330">
        <v>94155</v>
      </c>
      <c r="L330">
        <v>95276</v>
      </c>
      <c r="M330">
        <v>96514</v>
      </c>
      <c r="N330">
        <v>97976</v>
      </c>
      <c r="O330">
        <v>99441</v>
      </c>
      <c r="P330">
        <v>100427</v>
      </c>
      <c r="Q330">
        <v>101580</v>
      </c>
      <c r="R330">
        <v>102678</v>
      </c>
    </row>
    <row r="331" spans="1:18">
      <c r="A331">
        <v>34220</v>
      </c>
      <c r="B331" t="s">
        <v>1022</v>
      </c>
      <c r="C331" t="s">
        <v>1261</v>
      </c>
      <c r="D331" t="s">
        <v>1254</v>
      </c>
      <c r="E331">
        <v>45647</v>
      </c>
      <c r="F331">
        <v>45820</v>
      </c>
      <c r="G331">
        <v>46105</v>
      </c>
      <c r="H331">
        <v>46247</v>
      </c>
      <c r="I331">
        <v>46020</v>
      </c>
      <c r="J331">
        <v>45656</v>
      </c>
      <c r="K331">
        <v>45672</v>
      </c>
      <c r="L331">
        <v>45735</v>
      </c>
      <c r="M331">
        <v>45732</v>
      </c>
      <c r="N331">
        <v>45865</v>
      </c>
      <c r="O331">
        <v>45891</v>
      </c>
      <c r="P331">
        <v>45763</v>
      </c>
      <c r="Q331">
        <v>45830</v>
      </c>
      <c r="R331">
        <v>46167</v>
      </c>
    </row>
    <row r="332" spans="1:18">
      <c r="A332">
        <v>34260</v>
      </c>
      <c r="B332" t="s">
        <v>1023</v>
      </c>
      <c r="C332" t="s">
        <v>1261</v>
      </c>
      <c r="D332" t="s">
        <v>1254</v>
      </c>
      <c r="E332">
        <v>41498</v>
      </c>
      <c r="F332">
        <v>41286</v>
      </c>
      <c r="G332">
        <v>40968</v>
      </c>
      <c r="H332">
        <v>40822</v>
      </c>
      <c r="I332">
        <v>40669</v>
      </c>
      <c r="J332">
        <v>40864</v>
      </c>
      <c r="K332">
        <v>40810</v>
      </c>
      <c r="L332">
        <v>40912</v>
      </c>
      <c r="M332">
        <v>41197</v>
      </c>
      <c r="N332">
        <v>41449</v>
      </c>
      <c r="O332">
        <v>41686</v>
      </c>
      <c r="P332">
        <v>42224</v>
      </c>
      <c r="Q332">
        <v>42485</v>
      </c>
      <c r="R332">
        <v>42875</v>
      </c>
    </row>
    <row r="333" spans="1:18">
      <c r="A333">
        <v>34300</v>
      </c>
      <c r="B333" t="s">
        <v>1024</v>
      </c>
      <c r="C333" t="s">
        <v>1261</v>
      </c>
      <c r="D333" t="s">
        <v>1254</v>
      </c>
      <c r="E333">
        <v>27155</v>
      </c>
      <c r="F333">
        <v>26378</v>
      </c>
      <c r="G333">
        <v>26569</v>
      </c>
      <c r="H333">
        <v>26665</v>
      </c>
      <c r="I333">
        <v>26740</v>
      </c>
      <c r="J333">
        <v>26449</v>
      </c>
      <c r="K333">
        <v>26886</v>
      </c>
      <c r="L333">
        <v>27753</v>
      </c>
      <c r="M333">
        <v>28290</v>
      </c>
      <c r="N333">
        <v>28476</v>
      </c>
      <c r="O333">
        <v>28669</v>
      </c>
      <c r="P333">
        <v>28978</v>
      </c>
      <c r="Q333">
        <v>29391</v>
      </c>
      <c r="R333">
        <v>29724</v>
      </c>
    </row>
    <row r="334" spans="1:18">
      <c r="A334">
        <v>34340</v>
      </c>
      <c r="B334" t="s">
        <v>1025</v>
      </c>
      <c r="C334" t="s">
        <v>1261</v>
      </c>
      <c r="D334" t="s">
        <v>1254</v>
      </c>
      <c r="E334">
        <v>73770</v>
      </c>
      <c r="F334">
        <v>73453</v>
      </c>
      <c r="G334">
        <v>73207</v>
      </c>
      <c r="H334">
        <v>72513</v>
      </c>
      <c r="I334">
        <v>72314</v>
      </c>
      <c r="J334">
        <v>71783</v>
      </c>
      <c r="K334">
        <v>71770</v>
      </c>
      <c r="L334">
        <v>71813</v>
      </c>
      <c r="M334">
        <v>71608</v>
      </c>
      <c r="N334">
        <v>71343</v>
      </c>
      <c r="O334">
        <v>71373</v>
      </c>
      <c r="P334">
        <v>71257</v>
      </c>
      <c r="Q334">
        <v>71482</v>
      </c>
      <c r="R334">
        <v>71462</v>
      </c>
    </row>
    <row r="335" spans="1:18">
      <c r="A335">
        <v>34350</v>
      </c>
      <c r="B335" t="s">
        <v>1026</v>
      </c>
      <c r="C335" t="s">
        <v>1261</v>
      </c>
      <c r="D335" t="s">
        <v>1254</v>
      </c>
      <c r="E335">
        <v>36741</v>
      </c>
      <c r="F335">
        <v>36572</v>
      </c>
      <c r="G335">
        <v>36520</v>
      </c>
      <c r="H335">
        <v>36220</v>
      </c>
      <c r="I335">
        <v>35617</v>
      </c>
      <c r="J335">
        <v>34883</v>
      </c>
      <c r="K335">
        <v>34175</v>
      </c>
      <c r="L335">
        <v>33616</v>
      </c>
      <c r="M335">
        <v>33255</v>
      </c>
      <c r="N335">
        <v>32714</v>
      </c>
      <c r="O335">
        <v>32514</v>
      </c>
      <c r="P335">
        <v>31846</v>
      </c>
      <c r="Q335">
        <v>31206</v>
      </c>
      <c r="R335">
        <v>30827</v>
      </c>
    </row>
    <row r="336" spans="1:18">
      <c r="A336">
        <v>34380</v>
      </c>
      <c r="B336" t="s">
        <v>1027</v>
      </c>
      <c r="C336" t="s">
        <v>1261</v>
      </c>
      <c r="D336" t="s">
        <v>1254</v>
      </c>
      <c r="E336">
        <v>70169</v>
      </c>
      <c r="F336">
        <v>69984</v>
      </c>
      <c r="G336">
        <v>69529</v>
      </c>
      <c r="H336">
        <v>68596</v>
      </c>
      <c r="I336">
        <v>67977</v>
      </c>
      <c r="J336">
        <v>68141</v>
      </c>
      <c r="K336">
        <v>68075</v>
      </c>
      <c r="L336">
        <v>67380</v>
      </c>
      <c r="M336">
        <v>66285</v>
      </c>
      <c r="N336">
        <v>65097</v>
      </c>
      <c r="O336">
        <v>64518</v>
      </c>
      <c r="P336">
        <v>64248</v>
      </c>
      <c r="Q336">
        <v>64366</v>
      </c>
      <c r="R336">
        <v>64118</v>
      </c>
    </row>
    <row r="337" spans="1:18">
      <c r="A337">
        <v>34420</v>
      </c>
      <c r="B337" t="s">
        <v>1028</v>
      </c>
      <c r="C337" t="s">
        <v>1261</v>
      </c>
      <c r="D337" t="s">
        <v>1254</v>
      </c>
      <c r="E337">
        <v>44758</v>
      </c>
      <c r="F337">
        <v>44593</v>
      </c>
      <c r="G337">
        <v>44595</v>
      </c>
      <c r="H337">
        <v>44321</v>
      </c>
      <c r="I337">
        <v>44203</v>
      </c>
      <c r="J337">
        <v>44139</v>
      </c>
      <c r="K337">
        <v>43833</v>
      </c>
      <c r="L337">
        <v>43881</v>
      </c>
      <c r="M337">
        <v>43914</v>
      </c>
      <c r="N337">
        <v>43775</v>
      </c>
      <c r="O337">
        <v>43719</v>
      </c>
      <c r="P337">
        <v>43862</v>
      </c>
      <c r="Q337">
        <v>43958</v>
      </c>
      <c r="R337">
        <v>44357</v>
      </c>
    </row>
    <row r="338" spans="1:18">
      <c r="A338">
        <v>34460</v>
      </c>
      <c r="B338" t="s">
        <v>1029</v>
      </c>
      <c r="C338" t="s">
        <v>1261</v>
      </c>
      <c r="D338" t="s">
        <v>1254</v>
      </c>
      <c r="E338">
        <v>44538</v>
      </c>
      <c r="F338">
        <v>44868</v>
      </c>
      <c r="G338">
        <v>44934</v>
      </c>
      <c r="H338">
        <v>45485</v>
      </c>
      <c r="I338">
        <v>45719</v>
      </c>
      <c r="J338">
        <v>46049</v>
      </c>
      <c r="K338">
        <v>46248</v>
      </c>
      <c r="L338">
        <v>46641</v>
      </c>
      <c r="M338">
        <v>46850</v>
      </c>
      <c r="N338">
        <v>47000</v>
      </c>
      <c r="O338">
        <v>46974</v>
      </c>
      <c r="P338">
        <v>47210</v>
      </c>
      <c r="Q338">
        <v>47421</v>
      </c>
      <c r="R338">
        <v>47788</v>
      </c>
    </row>
    <row r="339" spans="1:18">
      <c r="A339">
        <v>34500</v>
      </c>
      <c r="B339" t="s">
        <v>1030</v>
      </c>
      <c r="C339" t="s">
        <v>1261</v>
      </c>
      <c r="D339" t="s">
        <v>1254</v>
      </c>
      <c r="E339">
        <v>38753</v>
      </c>
      <c r="F339">
        <v>38734</v>
      </c>
      <c r="G339">
        <v>38629</v>
      </c>
      <c r="H339">
        <v>38593</v>
      </c>
      <c r="I339">
        <v>38308</v>
      </c>
      <c r="J339">
        <v>38188</v>
      </c>
      <c r="K339">
        <v>38115</v>
      </c>
      <c r="L339">
        <v>37920</v>
      </c>
      <c r="M339">
        <v>37547</v>
      </c>
      <c r="N339">
        <v>37458</v>
      </c>
      <c r="O339">
        <v>36995</v>
      </c>
      <c r="P339">
        <v>36889</v>
      </c>
      <c r="Q339">
        <v>36419</v>
      </c>
      <c r="R339">
        <v>36320</v>
      </c>
    </row>
    <row r="340" spans="1:18">
      <c r="A340">
        <v>34540</v>
      </c>
      <c r="B340" t="s">
        <v>1031</v>
      </c>
      <c r="C340" t="s">
        <v>1261</v>
      </c>
      <c r="D340" t="s">
        <v>1254</v>
      </c>
      <c r="E340">
        <v>61096</v>
      </c>
      <c r="F340">
        <v>61333</v>
      </c>
      <c r="G340">
        <v>60858</v>
      </c>
      <c r="H340">
        <v>60994</v>
      </c>
      <c r="I340">
        <v>61182</v>
      </c>
      <c r="J340">
        <v>61227</v>
      </c>
      <c r="K340">
        <v>61170</v>
      </c>
      <c r="L340">
        <v>61600</v>
      </c>
      <c r="M340">
        <v>62213</v>
      </c>
      <c r="N340">
        <v>62569</v>
      </c>
      <c r="O340">
        <v>62803</v>
      </c>
      <c r="P340">
        <v>62543</v>
      </c>
      <c r="Q340">
        <v>63196</v>
      </c>
      <c r="R340">
        <v>63320</v>
      </c>
    </row>
    <row r="341" spans="1:18">
      <c r="A341">
        <v>34660</v>
      </c>
      <c r="B341" t="s">
        <v>1032</v>
      </c>
      <c r="C341" t="s">
        <v>1261</v>
      </c>
      <c r="D341" t="s">
        <v>1254</v>
      </c>
      <c r="E341">
        <v>37309</v>
      </c>
      <c r="F341">
        <v>37423</v>
      </c>
      <c r="G341">
        <v>37599</v>
      </c>
      <c r="H341">
        <v>37771</v>
      </c>
      <c r="I341">
        <v>37598</v>
      </c>
      <c r="J341">
        <v>37601</v>
      </c>
      <c r="K341">
        <v>37459</v>
      </c>
      <c r="L341">
        <v>37334</v>
      </c>
      <c r="M341">
        <v>37266</v>
      </c>
      <c r="N341">
        <v>37150</v>
      </c>
      <c r="O341">
        <v>37596</v>
      </c>
      <c r="P341">
        <v>37896</v>
      </c>
      <c r="Q341">
        <v>38093</v>
      </c>
      <c r="R341">
        <v>38280</v>
      </c>
    </row>
    <row r="342" spans="1:18">
      <c r="A342">
        <v>34700</v>
      </c>
      <c r="B342" t="s">
        <v>1033</v>
      </c>
      <c r="C342" t="s">
        <v>1261</v>
      </c>
      <c r="D342" t="s">
        <v>1254</v>
      </c>
      <c r="E342">
        <v>42823</v>
      </c>
      <c r="F342">
        <v>42938</v>
      </c>
      <c r="G342">
        <v>43086</v>
      </c>
      <c r="H342">
        <v>43256</v>
      </c>
      <c r="I342">
        <v>43344</v>
      </c>
      <c r="J342">
        <v>43454</v>
      </c>
      <c r="K342">
        <v>43401</v>
      </c>
      <c r="L342">
        <v>43355</v>
      </c>
      <c r="M342">
        <v>43388</v>
      </c>
      <c r="N342">
        <v>43245</v>
      </c>
      <c r="O342">
        <v>43143</v>
      </c>
      <c r="P342">
        <v>42674</v>
      </c>
      <c r="Q342">
        <v>42395</v>
      </c>
      <c r="R342">
        <v>42218</v>
      </c>
    </row>
    <row r="343" spans="1:18">
      <c r="A343">
        <v>34780</v>
      </c>
      <c r="B343" t="s">
        <v>1034</v>
      </c>
      <c r="C343" t="s">
        <v>1261</v>
      </c>
      <c r="D343" t="s">
        <v>1254</v>
      </c>
      <c r="E343">
        <v>71086</v>
      </c>
      <c r="F343">
        <v>70591</v>
      </c>
      <c r="G343">
        <v>70217</v>
      </c>
      <c r="H343">
        <v>69728</v>
      </c>
      <c r="I343">
        <v>69144</v>
      </c>
      <c r="J343">
        <v>68599</v>
      </c>
      <c r="K343">
        <v>68136</v>
      </c>
      <c r="L343">
        <v>68052</v>
      </c>
      <c r="M343">
        <v>67258</v>
      </c>
      <c r="N343">
        <v>66784</v>
      </c>
      <c r="O343">
        <v>66246</v>
      </c>
      <c r="P343">
        <v>66267</v>
      </c>
      <c r="Q343">
        <v>66307</v>
      </c>
      <c r="R343">
        <v>66677</v>
      </c>
    </row>
    <row r="344" spans="1:18">
      <c r="A344">
        <v>34860</v>
      </c>
      <c r="B344" t="s">
        <v>1035</v>
      </c>
      <c r="C344" t="s">
        <v>1261</v>
      </c>
      <c r="D344" t="s">
        <v>1254</v>
      </c>
      <c r="E344">
        <v>64682</v>
      </c>
      <c r="F344">
        <v>65642</v>
      </c>
      <c r="G344">
        <v>65842</v>
      </c>
      <c r="H344">
        <v>65151</v>
      </c>
      <c r="I344">
        <v>65185</v>
      </c>
      <c r="J344">
        <v>65393</v>
      </c>
      <c r="K344">
        <v>65455</v>
      </c>
      <c r="L344">
        <v>65141</v>
      </c>
      <c r="M344">
        <v>64937</v>
      </c>
      <c r="N344">
        <v>64728</v>
      </c>
      <c r="O344">
        <v>64616</v>
      </c>
      <c r="P344">
        <v>64778</v>
      </c>
      <c r="Q344">
        <v>64994</v>
      </c>
      <c r="R344">
        <v>65375</v>
      </c>
    </row>
    <row r="345" spans="1:18">
      <c r="A345">
        <v>35020</v>
      </c>
      <c r="B345" t="s">
        <v>1036</v>
      </c>
      <c r="C345" t="s">
        <v>1261</v>
      </c>
      <c r="D345" t="s">
        <v>1254</v>
      </c>
      <c r="E345">
        <v>53389</v>
      </c>
      <c r="F345">
        <v>53123</v>
      </c>
      <c r="G345">
        <v>52429</v>
      </c>
      <c r="H345">
        <v>52227</v>
      </c>
      <c r="I345">
        <v>52036</v>
      </c>
      <c r="J345">
        <v>51163</v>
      </c>
      <c r="K345">
        <v>50811</v>
      </c>
      <c r="L345">
        <v>50618</v>
      </c>
      <c r="M345">
        <v>49871</v>
      </c>
      <c r="N345">
        <v>48954</v>
      </c>
      <c r="O345">
        <v>47992</v>
      </c>
      <c r="P345">
        <v>47194</v>
      </c>
      <c r="Q345">
        <v>46543</v>
      </c>
      <c r="R345">
        <v>46434</v>
      </c>
    </row>
    <row r="346" spans="1:18">
      <c r="A346">
        <v>35060</v>
      </c>
      <c r="B346" t="s">
        <v>1037</v>
      </c>
      <c r="C346" t="s">
        <v>1261</v>
      </c>
      <c r="D346" t="s">
        <v>1254</v>
      </c>
      <c r="E346">
        <v>39515</v>
      </c>
      <c r="F346">
        <v>39348</v>
      </c>
      <c r="G346">
        <v>39274</v>
      </c>
      <c r="H346">
        <v>39026</v>
      </c>
      <c r="I346">
        <v>39005</v>
      </c>
      <c r="J346">
        <v>38862</v>
      </c>
      <c r="K346">
        <v>38829</v>
      </c>
      <c r="L346">
        <v>38833</v>
      </c>
      <c r="M346">
        <v>38378</v>
      </c>
      <c r="N346">
        <v>37907</v>
      </c>
      <c r="O346">
        <v>37387</v>
      </c>
      <c r="P346">
        <v>36973</v>
      </c>
      <c r="Q346">
        <v>36648</v>
      </c>
      <c r="R346">
        <v>36291</v>
      </c>
    </row>
    <row r="347" spans="1:18">
      <c r="A347">
        <v>35140</v>
      </c>
      <c r="B347" t="s">
        <v>1038</v>
      </c>
      <c r="C347" t="s">
        <v>1261</v>
      </c>
      <c r="D347" t="s">
        <v>1254</v>
      </c>
      <c r="E347">
        <v>37592</v>
      </c>
      <c r="F347">
        <v>37417</v>
      </c>
      <c r="G347">
        <v>37378</v>
      </c>
      <c r="H347">
        <v>37239</v>
      </c>
      <c r="I347">
        <v>37367</v>
      </c>
      <c r="J347">
        <v>37406</v>
      </c>
      <c r="K347">
        <v>37503</v>
      </c>
      <c r="L347">
        <v>37845</v>
      </c>
      <c r="M347">
        <v>37854</v>
      </c>
      <c r="N347">
        <v>37731</v>
      </c>
      <c r="O347">
        <v>37731</v>
      </c>
      <c r="P347">
        <v>37968</v>
      </c>
      <c r="Q347">
        <v>38315</v>
      </c>
      <c r="R347">
        <v>38825</v>
      </c>
    </row>
    <row r="348" spans="1:18">
      <c r="A348">
        <v>35220</v>
      </c>
      <c r="B348" t="s">
        <v>1039</v>
      </c>
      <c r="C348" t="s">
        <v>1261</v>
      </c>
      <c r="D348" t="s">
        <v>1254</v>
      </c>
      <c r="E348">
        <v>49552</v>
      </c>
      <c r="F348">
        <v>49331</v>
      </c>
      <c r="G348">
        <v>49315</v>
      </c>
      <c r="H348">
        <v>49130</v>
      </c>
      <c r="I348">
        <v>49258</v>
      </c>
      <c r="J348">
        <v>49118</v>
      </c>
      <c r="K348">
        <v>48889</v>
      </c>
      <c r="L348">
        <v>48802</v>
      </c>
      <c r="M348">
        <v>48915</v>
      </c>
      <c r="N348">
        <v>48817</v>
      </c>
      <c r="O348">
        <v>48903</v>
      </c>
      <c r="P348">
        <v>49024</v>
      </c>
      <c r="Q348">
        <v>48815</v>
      </c>
      <c r="R348">
        <v>48929</v>
      </c>
    </row>
    <row r="349" spans="1:18">
      <c r="A349">
        <v>35260</v>
      </c>
      <c r="B349" t="s">
        <v>1040</v>
      </c>
      <c r="C349" t="s">
        <v>1261</v>
      </c>
      <c r="D349" t="s">
        <v>1254</v>
      </c>
      <c r="E349">
        <v>91037</v>
      </c>
      <c r="F349">
        <v>90634</v>
      </c>
      <c r="G349">
        <v>90088</v>
      </c>
      <c r="H349">
        <v>89550</v>
      </c>
      <c r="I349">
        <v>89027</v>
      </c>
      <c r="J349">
        <v>88595</v>
      </c>
      <c r="K349">
        <v>87900</v>
      </c>
      <c r="L349">
        <v>87206</v>
      </c>
      <c r="M349">
        <v>86841</v>
      </c>
      <c r="N349">
        <v>86256</v>
      </c>
      <c r="O349">
        <v>85970</v>
      </c>
      <c r="P349">
        <v>85554</v>
      </c>
      <c r="Q349">
        <v>84812</v>
      </c>
      <c r="R349">
        <v>84472</v>
      </c>
    </row>
    <row r="350" spans="1:18">
      <c r="A350">
        <v>35420</v>
      </c>
      <c r="B350" t="s">
        <v>1041</v>
      </c>
      <c r="C350" t="s">
        <v>1261</v>
      </c>
      <c r="D350" t="s">
        <v>1254</v>
      </c>
      <c r="E350">
        <v>92577</v>
      </c>
      <c r="F350">
        <v>92652</v>
      </c>
      <c r="G350">
        <v>92716</v>
      </c>
      <c r="H350">
        <v>93045</v>
      </c>
      <c r="I350">
        <v>93232</v>
      </c>
      <c r="J350">
        <v>93463</v>
      </c>
      <c r="K350">
        <v>93413</v>
      </c>
      <c r="L350">
        <v>93316</v>
      </c>
      <c r="M350">
        <v>93142</v>
      </c>
      <c r="N350">
        <v>93189</v>
      </c>
      <c r="O350">
        <v>93193</v>
      </c>
      <c r="P350">
        <v>92618</v>
      </c>
      <c r="Q350">
        <v>91971</v>
      </c>
      <c r="R350">
        <v>91874</v>
      </c>
    </row>
    <row r="351" spans="1:18">
      <c r="A351">
        <v>35440</v>
      </c>
      <c r="B351" t="s">
        <v>1042</v>
      </c>
      <c r="C351" t="s">
        <v>1261</v>
      </c>
      <c r="D351" t="s">
        <v>1254</v>
      </c>
      <c r="E351">
        <v>45995</v>
      </c>
      <c r="F351">
        <v>45864</v>
      </c>
      <c r="G351">
        <v>46156</v>
      </c>
      <c r="H351">
        <v>46316</v>
      </c>
      <c r="I351">
        <v>46338</v>
      </c>
      <c r="J351">
        <v>46990</v>
      </c>
      <c r="K351">
        <v>47788</v>
      </c>
      <c r="L351">
        <v>48715</v>
      </c>
      <c r="M351">
        <v>49230</v>
      </c>
      <c r="N351">
        <v>50023</v>
      </c>
      <c r="O351">
        <v>50510</v>
      </c>
      <c r="P351">
        <v>51013</v>
      </c>
      <c r="Q351">
        <v>50752</v>
      </c>
      <c r="R351">
        <v>50821</v>
      </c>
    </row>
    <row r="352" spans="1:18">
      <c r="A352">
        <v>35460</v>
      </c>
      <c r="B352" t="s">
        <v>1043</v>
      </c>
      <c r="C352" t="s">
        <v>1261</v>
      </c>
      <c r="D352" t="s">
        <v>1254</v>
      </c>
      <c r="E352">
        <v>35637</v>
      </c>
      <c r="F352">
        <v>35414</v>
      </c>
      <c r="G352">
        <v>35498</v>
      </c>
      <c r="H352">
        <v>35355</v>
      </c>
      <c r="I352">
        <v>35207</v>
      </c>
      <c r="J352">
        <v>35067</v>
      </c>
      <c r="K352">
        <v>35133</v>
      </c>
      <c r="L352">
        <v>35435</v>
      </c>
      <c r="M352">
        <v>35788</v>
      </c>
      <c r="N352">
        <v>35848</v>
      </c>
      <c r="O352">
        <v>36045</v>
      </c>
      <c r="P352">
        <v>36364</v>
      </c>
      <c r="Q352">
        <v>36849</v>
      </c>
      <c r="R352">
        <v>37404</v>
      </c>
    </row>
    <row r="353" spans="1:18">
      <c r="A353">
        <v>35580</v>
      </c>
      <c r="B353" t="s">
        <v>1044</v>
      </c>
      <c r="C353" t="s">
        <v>1261</v>
      </c>
      <c r="D353" t="s">
        <v>1254</v>
      </c>
      <c r="E353">
        <v>25870</v>
      </c>
      <c r="F353">
        <v>25789</v>
      </c>
      <c r="G353">
        <v>25645</v>
      </c>
      <c r="H353">
        <v>25600</v>
      </c>
      <c r="I353">
        <v>25711</v>
      </c>
      <c r="J353">
        <v>25786</v>
      </c>
      <c r="K353">
        <v>25923</v>
      </c>
      <c r="L353">
        <v>25920</v>
      </c>
      <c r="M353">
        <v>25968</v>
      </c>
      <c r="N353">
        <v>25913</v>
      </c>
      <c r="O353">
        <v>25914</v>
      </c>
      <c r="P353">
        <v>25899</v>
      </c>
      <c r="Q353">
        <v>25762</v>
      </c>
      <c r="R353">
        <v>25628</v>
      </c>
    </row>
    <row r="354" spans="1:18">
      <c r="A354">
        <v>35700</v>
      </c>
      <c r="B354" t="s">
        <v>1045</v>
      </c>
      <c r="C354" t="s">
        <v>1261</v>
      </c>
      <c r="D354" t="s">
        <v>1254</v>
      </c>
      <c r="E354">
        <v>47422</v>
      </c>
      <c r="F354">
        <v>47737</v>
      </c>
      <c r="G354">
        <v>47504</v>
      </c>
      <c r="H354">
        <v>47151</v>
      </c>
      <c r="I354">
        <v>46919</v>
      </c>
      <c r="J354">
        <v>46893</v>
      </c>
      <c r="K354">
        <v>46889</v>
      </c>
      <c r="L354">
        <v>47136</v>
      </c>
      <c r="M354">
        <v>47082</v>
      </c>
      <c r="N354">
        <v>47448</v>
      </c>
      <c r="O354">
        <v>47712</v>
      </c>
      <c r="P354">
        <v>47956</v>
      </c>
      <c r="Q354">
        <v>48680</v>
      </c>
      <c r="R354">
        <v>49158</v>
      </c>
    </row>
    <row r="355" spans="1:18">
      <c r="A355">
        <v>35740</v>
      </c>
      <c r="B355" t="s">
        <v>1046</v>
      </c>
      <c r="C355" t="s">
        <v>1261</v>
      </c>
      <c r="D355" t="s">
        <v>1254</v>
      </c>
      <c r="E355">
        <v>48383</v>
      </c>
      <c r="F355">
        <v>48475</v>
      </c>
      <c r="G355">
        <v>48533</v>
      </c>
      <c r="H355">
        <v>48667</v>
      </c>
      <c r="I355">
        <v>48708</v>
      </c>
      <c r="J355">
        <v>48532</v>
      </c>
      <c r="K355">
        <v>48530</v>
      </c>
      <c r="L355">
        <v>48746</v>
      </c>
      <c r="M355">
        <v>48878</v>
      </c>
      <c r="N355">
        <v>48826</v>
      </c>
      <c r="O355">
        <v>48704</v>
      </c>
      <c r="P355">
        <v>48551</v>
      </c>
      <c r="Q355">
        <v>48496</v>
      </c>
      <c r="R355">
        <v>48782</v>
      </c>
    </row>
    <row r="356" spans="1:18">
      <c r="A356">
        <v>35820</v>
      </c>
      <c r="B356" t="s">
        <v>1047</v>
      </c>
      <c r="C356" t="s">
        <v>1261</v>
      </c>
      <c r="D356" t="s">
        <v>1254</v>
      </c>
      <c r="E356">
        <v>37564</v>
      </c>
      <c r="F356">
        <v>37378</v>
      </c>
      <c r="G356">
        <v>37297</v>
      </c>
      <c r="H356">
        <v>37286</v>
      </c>
      <c r="I356">
        <v>36984</v>
      </c>
      <c r="J356">
        <v>36857</v>
      </c>
      <c r="K356">
        <v>36896</v>
      </c>
      <c r="L356">
        <v>36639</v>
      </c>
      <c r="M356">
        <v>36516</v>
      </c>
      <c r="N356">
        <v>36198</v>
      </c>
      <c r="O356">
        <v>35644</v>
      </c>
      <c r="P356">
        <v>35140</v>
      </c>
      <c r="Q356">
        <v>34678</v>
      </c>
      <c r="R356">
        <v>34403</v>
      </c>
    </row>
    <row r="357" spans="1:18">
      <c r="A357">
        <v>35860</v>
      </c>
      <c r="B357" t="s">
        <v>1048</v>
      </c>
      <c r="C357" t="s">
        <v>1261</v>
      </c>
      <c r="D357" t="s">
        <v>1254</v>
      </c>
      <c r="E357">
        <v>28483</v>
      </c>
      <c r="F357">
        <v>28162</v>
      </c>
      <c r="G357">
        <v>28165</v>
      </c>
      <c r="H357">
        <v>28260</v>
      </c>
      <c r="I357">
        <v>27958</v>
      </c>
      <c r="J357">
        <v>27881</v>
      </c>
      <c r="K357">
        <v>27723</v>
      </c>
      <c r="L357">
        <v>27733</v>
      </c>
      <c r="M357">
        <v>27703</v>
      </c>
      <c r="N357">
        <v>27720</v>
      </c>
      <c r="O357">
        <v>27580</v>
      </c>
      <c r="P357">
        <v>27513</v>
      </c>
      <c r="Q357">
        <v>27484</v>
      </c>
      <c r="R357">
        <v>27622</v>
      </c>
    </row>
    <row r="358" spans="1:18">
      <c r="A358">
        <v>35900</v>
      </c>
      <c r="B358" t="s">
        <v>1049</v>
      </c>
      <c r="C358" t="s">
        <v>1261</v>
      </c>
      <c r="D358" t="s">
        <v>1254</v>
      </c>
      <c r="E358">
        <v>69212</v>
      </c>
      <c r="F358">
        <v>68684</v>
      </c>
      <c r="G358">
        <v>68432</v>
      </c>
      <c r="H358">
        <v>67922</v>
      </c>
      <c r="I358">
        <v>67518</v>
      </c>
      <c r="J358">
        <v>67190</v>
      </c>
      <c r="K358">
        <v>67239</v>
      </c>
      <c r="L358">
        <v>66912</v>
      </c>
      <c r="M358">
        <v>66715</v>
      </c>
      <c r="N358">
        <v>66316</v>
      </c>
      <c r="O358">
        <v>65916</v>
      </c>
      <c r="P358">
        <v>65826</v>
      </c>
      <c r="Q358">
        <v>65791</v>
      </c>
      <c r="R358">
        <v>66013</v>
      </c>
    </row>
    <row r="359" spans="1:18">
      <c r="A359">
        <v>35940</v>
      </c>
      <c r="B359" t="s">
        <v>1050</v>
      </c>
      <c r="C359" t="s">
        <v>1261</v>
      </c>
      <c r="D359" t="s">
        <v>1254</v>
      </c>
      <c r="E359">
        <v>59578</v>
      </c>
      <c r="F359">
        <v>59487</v>
      </c>
      <c r="G359">
        <v>59327</v>
      </c>
      <c r="H359">
        <v>58994</v>
      </c>
      <c r="I359">
        <v>58826</v>
      </c>
      <c r="J359">
        <v>58572</v>
      </c>
      <c r="K359">
        <v>58681</v>
      </c>
      <c r="L359">
        <v>58746</v>
      </c>
      <c r="M359">
        <v>58706</v>
      </c>
      <c r="N359">
        <v>58707</v>
      </c>
      <c r="O359">
        <v>58495</v>
      </c>
      <c r="P359">
        <v>58412</v>
      </c>
      <c r="Q359">
        <v>58219</v>
      </c>
      <c r="R359">
        <v>58199</v>
      </c>
    </row>
    <row r="360" spans="1:18">
      <c r="A360">
        <v>36020</v>
      </c>
      <c r="B360" t="s">
        <v>1051</v>
      </c>
      <c r="C360" t="s">
        <v>1261</v>
      </c>
      <c r="D360" t="s">
        <v>1254</v>
      </c>
      <c r="E360">
        <v>78722</v>
      </c>
      <c r="F360">
        <v>79077</v>
      </c>
      <c r="G360">
        <v>79279</v>
      </c>
      <c r="H360">
        <v>78542</v>
      </c>
      <c r="I360">
        <v>79140</v>
      </c>
      <c r="J360">
        <v>80592</v>
      </c>
      <c r="K360">
        <v>82383</v>
      </c>
      <c r="L360">
        <v>84021</v>
      </c>
      <c r="M360">
        <v>85151</v>
      </c>
      <c r="N360">
        <v>86205</v>
      </c>
      <c r="O360">
        <v>86998</v>
      </c>
      <c r="P360">
        <v>87566</v>
      </c>
      <c r="Q360">
        <v>86682</v>
      </c>
      <c r="R360">
        <v>86267</v>
      </c>
    </row>
    <row r="361" spans="1:18">
      <c r="A361">
        <v>36300</v>
      </c>
      <c r="B361" t="s">
        <v>1052</v>
      </c>
      <c r="C361" t="s">
        <v>1261</v>
      </c>
      <c r="D361" t="s">
        <v>1254</v>
      </c>
      <c r="E361">
        <v>111853</v>
      </c>
      <c r="F361">
        <v>112451</v>
      </c>
      <c r="G361">
        <v>112676</v>
      </c>
      <c r="H361">
        <v>112379</v>
      </c>
      <c r="I361">
        <v>112008</v>
      </c>
      <c r="J361">
        <v>111045</v>
      </c>
      <c r="K361">
        <v>110267</v>
      </c>
      <c r="L361">
        <v>109645</v>
      </c>
      <c r="M361">
        <v>109532</v>
      </c>
      <c r="N361">
        <v>108879</v>
      </c>
      <c r="O361">
        <v>108329</v>
      </c>
      <c r="P361">
        <v>107823</v>
      </c>
      <c r="Q361">
        <v>107089</v>
      </c>
      <c r="R361">
        <v>106940</v>
      </c>
    </row>
    <row r="362" spans="1:18">
      <c r="A362">
        <v>36340</v>
      </c>
      <c r="B362" t="s">
        <v>1053</v>
      </c>
      <c r="C362" t="s">
        <v>1261</v>
      </c>
      <c r="D362" t="s">
        <v>1254</v>
      </c>
      <c r="E362">
        <v>54972</v>
      </c>
      <c r="F362">
        <v>54676</v>
      </c>
      <c r="G362">
        <v>54179</v>
      </c>
      <c r="H362">
        <v>53806</v>
      </c>
      <c r="I362">
        <v>53341</v>
      </c>
      <c r="J362">
        <v>52949</v>
      </c>
      <c r="K362">
        <v>52472</v>
      </c>
      <c r="L362">
        <v>51782</v>
      </c>
      <c r="M362">
        <v>51264</v>
      </c>
      <c r="N362">
        <v>50852</v>
      </c>
      <c r="O362">
        <v>50365</v>
      </c>
      <c r="P362">
        <v>50040</v>
      </c>
      <c r="Q362">
        <v>49734</v>
      </c>
      <c r="R362">
        <v>49431</v>
      </c>
    </row>
    <row r="363" spans="1:18">
      <c r="A363">
        <v>36380</v>
      </c>
      <c r="B363" t="s">
        <v>1054</v>
      </c>
      <c r="C363" t="s">
        <v>1261</v>
      </c>
      <c r="D363" t="s">
        <v>1254</v>
      </c>
      <c r="E363">
        <v>39951</v>
      </c>
      <c r="F363">
        <v>39542</v>
      </c>
      <c r="G363">
        <v>39135</v>
      </c>
      <c r="H363">
        <v>38665</v>
      </c>
      <c r="I363">
        <v>38507</v>
      </c>
      <c r="J363">
        <v>38539</v>
      </c>
      <c r="K363">
        <v>39194</v>
      </c>
      <c r="L363">
        <v>39409</v>
      </c>
      <c r="M363">
        <v>39497</v>
      </c>
      <c r="N363">
        <v>39760</v>
      </c>
      <c r="O363">
        <v>39652</v>
      </c>
      <c r="P363">
        <v>40031</v>
      </c>
      <c r="Q363">
        <v>40373</v>
      </c>
      <c r="R363">
        <v>41427</v>
      </c>
    </row>
    <row r="364" spans="1:18">
      <c r="A364">
        <v>36460</v>
      </c>
      <c r="B364" t="s">
        <v>1055</v>
      </c>
      <c r="C364" t="s">
        <v>1261</v>
      </c>
      <c r="D364" t="s">
        <v>1254</v>
      </c>
      <c r="E364">
        <v>80250</v>
      </c>
      <c r="F364">
        <v>79966</v>
      </c>
      <c r="G364">
        <v>79613</v>
      </c>
      <c r="H364">
        <v>79374</v>
      </c>
      <c r="I364">
        <v>79171</v>
      </c>
      <c r="J364">
        <v>78526</v>
      </c>
      <c r="K364">
        <v>78404</v>
      </c>
      <c r="L364">
        <v>77999</v>
      </c>
      <c r="M364">
        <v>77654</v>
      </c>
      <c r="N364">
        <v>77241</v>
      </c>
      <c r="O364">
        <v>76974</v>
      </c>
      <c r="P364">
        <v>76539</v>
      </c>
      <c r="Q364">
        <v>76050</v>
      </c>
      <c r="R364">
        <v>75600</v>
      </c>
    </row>
    <row r="365" spans="1:18">
      <c r="A365">
        <v>36580</v>
      </c>
      <c r="B365" t="s">
        <v>1056</v>
      </c>
      <c r="C365" t="s">
        <v>1261</v>
      </c>
      <c r="D365" t="s">
        <v>1254</v>
      </c>
      <c r="E365">
        <v>62253</v>
      </c>
      <c r="F365">
        <v>61944</v>
      </c>
      <c r="G365">
        <v>61699</v>
      </c>
      <c r="H365">
        <v>61542</v>
      </c>
      <c r="I365">
        <v>60848</v>
      </c>
      <c r="J365">
        <v>60368</v>
      </c>
      <c r="K365">
        <v>59949</v>
      </c>
      <c r="L365">
        <v>59740</v>
      </c>
      <c r="M365">
        <v>59585</v>
      </c>
      <c r="N365">
        <v>59078</v>
      </c>
      <c r="O365">
        <v>58373</v>
      </c>
      <c r="P365">
        <v>60732</v>
      </c>
      <c r="Q365">
        <v>60409</v>
      </c>
      <c r="R365">
        <v>60126</v>
      </c>
    </row>
    <row r="366" spans="1:18">
      <c r="A366">
        <v>36620</v>
      </c>
      <c r="B366" t="s">
        <v>1057</v>
      </c>
      <c r="C366" t="s">
        <v>1261</v>
      </c>
      <c r="D366" t="s">
        <v>1254</v>
      </c>
      <c r="E366">
        <v>54023</v>
      </c>
      <c r="F366">
        <v>53689</v>
      </c>
      <c r="G366">
        <v>53751</v>
      </c>
      <c r="H366">
        <v>53654</v>
      </c>
      <c r="I366">
        <v>53707</v>
      </c>
      <c r="J366">
        <v>53758</v>
      </c>
      <c r="K366">
        <v>54158</v>
      </c>
      <c r="L366">
        <v>54643</v>
      </c>
      <c r="M366">
        <v>55318</v>
      </c>
      <c r="N366">
        <v>56027</v>
      </c>
      <c r="O366">
        <v>57232</v>
      </c>
      <c r="P366">
        <v>58063</v>
      </c>
      <c r="Q366">
        <v>58787</v>
      </c>
      <c r="R366">
        <v>59323</v>
      </c>
    </row>
    <row r="367" spans="1:18">
      <c r="A367">
        <v>36660</v>
      </c>
      <c r="B367" t="s">
        <v>1058</v>
      </c>
      <c r="C367" t="s">
        <v>1261</v>
      </c>
      <c r="D367" t="s">
        <v>1254</v>
      </c>
      <c r="E367">
        <v>83525</v>
      </c>
      <c r="F367">
        <v>83566</v>
      </c>
      <c r="G367">
        <v>83681</v>
      </c>
      <c r="H367">
        <v>83729</v>
      </c>
      <c r="I367">
        <v>84087</v>
      </c>
      <c r="J367">
        <v>84146</v>
      </c>
      <c r="K367">
        <v>84423</v>
      </c>
      <c r="L367">
        <v>84202</v>
      </c>
      <c r="M367">
        <v>83526</v>
      </c>
      <c r="N367">
        <v>82972</v>
      </c>
      <c r="O367">
        <v>82314</v>
      </c>
      <c r="P367">
        <v>82191</v>
      </c>
      <c r="Q367">
        <v>81679</v>
      </c>
      <c r="R367">
        <v>81464</v>
      </c>
    </row>
    <row r="368" spans="1:18">
      <c r="A368">
        <v>36700</v>
      </c>
      <c r="B368" t="s">
        <v>1059</v>
      </c>
      <c r="C368" t="s">
        <v>1261</v>
      </c>
      <c r="D368" t="s">
        <v>1254</v>
      </c>
      <c r="E368">
        <v>92284</v>
      </c>
      <c r="F368">
        <v>91514</v>
      </c>
      <c r="G368">
        <v>91128</v>
      </c>
      <c r="H368">
        <v>90193</v>
      </c>
      <c r="I368">
        <v>89424</v>
      </c>
      <c r="J368">
        <v>88402</v>
      </c>
      <c r="K368">
        <v>87513</v>
      </c>
      <c r="L368">
        <v>86622</v>
      </c>
      <c r="M368">
        <v>85929</v>
      </c>
      <c r="N368">
        <v>84927</v>
      </c>
      <c r="O368">
        <v>83954</v>
      </c>
      <c r="P368">
        <v>82815</v>
      </c>
      <c r="Q368">
        <v>83101</v>
      </c>
      <c r="R368">
        <v>82820</v>
      </c>
    </row>
    <row r="369" spans="1:18">
      <c r="A369">
        <v>36820</v>
      </c>
      <c r="B369" t="s">
        <v>1060</v>
      </c>
      <c r="C369" t="s">
        <v>1261</v>
      </c>
      <c r="D369" t="s">
        <v>1254</v>
      </c>
      <c r="E369">
        <v>22405</v>
      </c>
      <c r="F369">
        <v>22480</v>
      </c>
      <c r="G369">
        <v>22361</v>
      </c>
      <c r="H369">
        <v>22365</v>
      </c>
      <c r="I369">
        <v>22378</v>
      </c>
      <c r="J369">
        <v>22310</v>
      </c>
      <c r="K369">
        <v>22198</v>
      </c>
      <c r="L369">
        <v>22274</v>
      </c>
      <c r="M369">
        <v>22037</v>
      </c>
      <c r="N369">
        <v>22240</v>
      </c>
      <c r="O369">
        <v>22160</v>
      </c>
      <c r="P369">
        <v>21974</v>
      </c>
      <c r="Q369">
        <v>21971</v>
      </c>
      <c r="R369">
        <v>21874</v>
      </c>
    </row>
    <row r="370" spans="1:18">
      <c r="A370">
        <v>36830</v>
      </c>
      <c r="B370" t="s">
        <v>1061</v>
      </c>
      <c r="C370" t="s">
        <v>1261</v>
      </c>
      <c r="D370" t="s">
        <v>1254</v>
      </c>
      <c r="E370">
        <v>18804</v>
      </c>
      <c r="F370">
        <v>18943</v>
      </c>
      <c r="G370">
        <v>19056</v>
      </c>
      <c r="H370">
        <v>19255</v>
      </c>
      <c r="I370">
        <v>19383</v>
      </c>
      <c r="J370">
        <v>19493</v>
      </c>
      <c r="K370">
        <v>19653</v>
      </c>
      <c r="L370">
        <v>19977</v>
      </c>
      <c r="M370">
        <v>20100</v>
      </c>
      <c r="N370">
        <v>20484</v>
      </c>
      <c r="O370">
        <v>20607</v>
      </c>
      <c r="P370">
        <v>20647</v>
      </c>
      <c r="Q370">
        <v>20898</v>
      </c>
      <c r="R370">
        <v>20820</v>
      </c>
    </row>
    <row r="371" spans="1:18">
      <c r="A371">
        <v>36837</v>
      </c>
      <c r="B371" t="s">
        <v>1062</v>
      </c>
      <c r="C371" t="s">
        <v>1261</v>
      </c>
      <c r="D371" t="s">
        <v>1254</v>
      </c>
      <c r="E371">
        <v>154853</v>
      </c>
      <c r="F371">
        <v>154468</v>
      </c>
      <c r="G371">
        <v>153768</v>
      </c>
      <c r="H371">
        <v>153239</v>
      </c>
      <c r="I371">
        <v>152447</v>
      </c>
      <c r="J371">
        <v>151595</v>
      </c>
      <c r="K371">
        <v>150878</v>
      </c>
      <c r="L371">
        <v>150274</v>
      </c>
      <c r="M371">
        <v>149914</v>
      </c>
      <c r="N371">
        <v>149223</v>
      </c>
      <c r="O371">
        <v>148231</v>
      </c>
      <c r="P371">
        <v>147707</v>
      </c>
      <c r="Q371">
        <v>146561</v>
      </c>
      <c r="R371">
        <v>146599</v>
      </c>
    </row>
    <row r="372" spans="1:18">
      <c r="A372">
        <v>36840</v>
      </c>
      <c r="B372" t="s">
        <v>1063</v>
      </c>
      <c r="C372" t="s">
        <v>1261</v>
      </c>
      <c r="D372" t="s">
        <v>1254</v>
      </c>
      <c r="E372">
        <v>25994</v>
      </c>
      <c r="F372">
        <v>25902</v>
      </c>
      <c r="G372">
        <v>25908</v>
      </c>
      <c r="H372">
        <v>25852</v>
      </c>
      <c r="I372">
        <v>25687</v>
      </c>
      <c r="J372">
        <v>25664</v>
      </c>
      <c r="K372">
        <v>25747</v>
      </c>
      <c r="L372">
        <v>25903</v>
      </c>
      <c r="M372">
        <v>25951</v>
      </c>
      <c r="N372">
        <v>25921</v>
      </c>
      <c r="O372">
        <v>26000</v>
      </c>
      <c r="P372">
        <v>26002</v>
      </c>
      <c r="Q372">
        <v>25959</v>
      </c>
      <c r="R372">
        <v>26125</v>
      </c>
    </row>
    <row r="373" spans="1:18">
      <c r="A373">
        <v>36900</v>
      </c>
      <c r="B373" t="s">
        <v>1064</v>
      </c>
      <c r="C373" t="s">
        <v>1261</v>
      </c>
      <c r="D373" t="s">
        <v>1254</v>
      </c>
      <c r="E373">
        <v>35689</v>
      </c>
      <c r="F373">
        <v>35530</v>
      </c>
      <c r="G373">
        <v>35513</v>
      </c>
      <c r="H373">
        <v>35626</v>
      </c>
      <c r="I373">
        <v>35579</v>
      </c>
      <c r="J373">
        <v>35645</v>
      </c>
      <c r="K373">
        <v>35501</v>
      </c>
      <c r="L373">
        <v>35310</v>
      </c>
      <c r="M373">
        <v>35364</v>
      </c>
      <c r="N373">
        <v>35493</v>
      </c>
      <c r="O373">
        <v>35326</v>
      </c>
      <c r="P373">
        <v>35295</v>
      </c>
      <c r="Q373">
        <v>35081</v>
      </c>
      <c r="R373">
        <v>35166</v>
      </c>
    </row>
    <row r="374" spans="1:18">
      <c r="A374">
        <v>36940</v>
      </c>
      <c r="B374" t="s">
        <v>1065</v>
      </c>
      <c r="C374" t="s">
        <v>1261</v>
      </c>
      <c r="D374" t="s">
        <v>1254</v>
      </c>
      <c r="E374">
        <v>36515</v>
      </c>
      <c r="F374">
        <v>36669</v>
      </c>
      <c r="G374">
        <v>36490</v>
      </c>
      <c r="H374">
        <v>36620</v>
      </c>
      <c r="I374">
        <v>36821</v>
      </c>
      <c r="J374">
        <v>37020</v>
      </c>
      <c r="K374">
        <v>37139</v>
      </c>
      <c r="L374">
        <v>37359</v>
      </c>
      <c r="M374">
        <v>37404</v>
      </c>
      <c r="N374">
        <v>37382</v>
      </c>
      <c r="O374">
        <v>37384</v>
      </c>
      <c r="P374">
        <v>37427</v>
      </c>
      <c r="Q374">
        <v>37429</v>
      </c>
      <c r="R374">
        <v>37421</v>
      </c>
    </row>
    <row r="375" spans="1:18">
      <c r="A375">
        <v>37060</v>
      </c>
      <c r="B375" t="s">
        <v>1066</v>
      </c>
      <c r="C375" t="s">
        <v>1261</v>
      </c>
      <c r="D375" t="s">
        <v>1254</v>
      </c>
      <c r="E375">
        <v>47606</v>
      </c>
      <c r="F375">
        <v>48589</v>
      </c>
      <c r="G375">
        <v>50567</v>
      </c>
      <c r="H375">
        <v>52071</v>
      </c>
      <c r="I375">
        <v>52707</v>
      </c>
      <c r="J375">
        <v>53579</v>
      </c>
      <c r="K375">
        <v>54507</v>
      </c>
      <c r="L375">
        <v>55369</v>
      </c>
      <c r="M375">
        <v>54899</v>
      </c>
      <c r="N375">
        <v>55580</v>
      </c>
      <c r="O375">
        <v>55913</v>
      </c>
      <c r="P375">
        <v>56902</v>
      </c>
      <c r="Q375">
        <v>57730</v>
      </c>
      <c r="R375">
        <v>58467</v>
      </c>
    </row>
    <row r="376" spans="1:18">
      <c r="A376">
        <v>37120</v>
      </c>
      <c r="B376" t="s">
        <v>1067</v>
      </c>
      <c r="C376" t="s">
        <v>1261</v>
      </c>
      <c r="D376" t="s">
        <v>1254</v>
      </c>
      <c r="E376">
        <v>50403</v>
      </c>
      <c r="F376">
        <v>50172</v>
      </c>
      <c r="G376">
        <v>50381</v>
      </c>
      <c r="H376">
        <v>49903</v>
      </c>
      <c r="I376">
        <v>49589</v>
      </c>
      <c r="J376">
        <v>49580</v>
      </c>
      <c r="K376">
        <v>49655</v>
      </c>
      <c r="L376">
        <v>49673</v>
      </c>
      <c r="M376">
        <v>49500</v>
      </c>
      <c r="N376">
        <v>49554</v>
      </c>
      <c r="O376">
        <v>49257</v>
      </c>
      <c r="P376">
        <v>49395</v>
      </c>
      <c r="Q376">
        <v>49495</v>
      </c>
      <c r="R376">
        <v>49871</v>
      </c>
    </row>
    <row r="377" spans="1:18">
      <c r="A377">
        <v>37140</v>
      </c>
      <c r="B377" t="s">
        <v>1068</v>
      </c>
      <c r="C377" t="s">
        <v>1261</v>
      </c>
      <c r="D377" t="s">
        <v>1254</v>
      </c>
      <c r="E377">
        <v>98733</v>
      </c>
      <c r="F377">
        <v>99153</v>
      </c>
      <c r="G377">
        <v>98930</v>
      </c>
      <c r="H377">
        <v>98572</v>
      </c>
      <c r="I377">
        <v>98641</v>
      </c>
      <c r="J377">
        <v>98311</v>
      </c>
      <c r="K377">
        <v>98558</v>
      </c>
      <c r="L377">
        <v>98719</v>
      </c>
      <c r="M377">
        <v>98579</v>
      </c>
      <c r="N377">
        <v>98594</v>
      </c>
      <c r="O377">
        <v>98634</v>
      </c>
      <c r="P377">
        <v>98159</v>
      </c>
      <c r="Q377">
        <v>97803</v>
      </c>
      <c r="R377">
        <v>97563</v>
      </c>
    </row>
    <row r="378" spans="1:18">
      <c r="A378">
        <v>37220</v>
      </c>
      <c r="B378" t="s">
        <v>1069</v>
      </c>
      <c r="C378" t="s">
        <v>1261</v>
      </c>
      <c r="D378" t="s">
        <v>1254</v>
      </c>
      <c r="E378">
        <v>43932</v>
      </c>
      <c r="F378">
        <v>44399</v>
      </c>
      <c r="G378">
        <v>44356</v>
      </c>
      <c r="H378">
        <v>43978</v>
      </c>
      <c r="I378">
        <v>44287</v>
      </c>
      <c r="J378">
        <v>44763</v>
      </c>
      <c r="K378">
        <v>45408</v>
      </c>
      <c r="L378">
        <v>46550</v>
      </c>
      <c r="M378">
        <v>48271</v>
      </c>
      <c r="N378">
        <v>50268</v>
      </c>
      <c r="O378">
        <v>51963</v>
      </c>
      <c r="P378">
        <v>53324</v>
      </c>
      <c r="Q378">
        <v>54769</v>
      </c>
      <c r="R378">
        <v>55720</v>
      </c>
    </row>
    <row r="379" spans="1:18">
      <c r="A379">
        <v>37260</v>
      </c>
      <c r="B379" t="s">
        <v>1070</v>
      </c>
      <c r="C379" t="s">
        <v>1261</v>
      </c>
      <c r="D379" t="s">
        <v>1254</v>
      </c>
      <c r="E379">
        <v>74188</v>
      </c>
      <c r="F379">
        <v>73483</v>
      </c>
      <c r="G379">
        <v>72625</v>
      </c>
      <c r="H379">
        <v>71935</v>
      </c>
      <c r="I379">
        <v>71408</v>
      </c>
      <c r="J379">
        <v>71248</v>
      </c>
      <c r="K379">
        <v>71555</v>
      </c>
      <c r="L379">
        <v>72414</v>
      </c>
      <c r="M379">
        <v>72818</v>
      </c>
      <c r="N379">
        <v>73018</v>
      </c>
      <c r="O379">
        <v>73372</v>
      </c>
      <c r="P379">
        <v>74095</v>
      </c>
      <c r="Q379">
        <v>74736</v>
      </c>
      <c r="R379">
        <v>75955</v>
      </c>
    </row>
    <row r="380" spans="1:18">
      <c r="A380">
        <v>37300</v>
      </c>
      <c r="B380" t="s">
        <v>1071</v>
      </c>
      <c r="C380" t="s">
        <v>1261</v>
      </c>
      <c r="D380" t="s">
        <v>1254</v>
      </c>
      <c r="E380">
        <v>58501</v>
      </c>
      <c r="F380">
        <v>58415</v>
      </c>
      <c r="G380">
        <v>58094</v>
      </c>
      <c r="H380">
        <v>58009</v>
      </c>
      <c r="I380">
        <v>57882</v>
      </c>
      <c r="J380">
        <v>57707</v>
      </c>
      <c r="K380">
        <v>57644</v>
      </c>
      <c r="L380">
        <v>58288</v>
      </c>
      <c r="M380">
        <v>58201</v>
      </c>
      <c r="N380">
        <v>57884</v>
      </c>
      <c r="O380">
        <v>57930</v>
      </c>
      <c r="P380">
        <v>58302</v>
      </c>
      <c r="Q380">
        <v>57227</v>
      </c>
      <c r="R380">
        <v>57736</v>
      </c>
    </row>
    <row r="381" spans="1:18">
      <c r="A381">
        <v>37420</v>
      </c>
      <c r="B381" t="s">
        <v>1072</v>
      </c>
      <c r="C381" t="s">
        <v>1261</v>
      </c>
      <c r="D381" t="s">
        <v>1254</v>
      </c>
      <c r="E381">
        <v>23382</v>
      </c>
      <c r="F381">
        <v>23525</v>
      </c>
      <c r="G381">
        <v>23752</v>
      </c>
      <c r="H381">
        <v>23752</v>
      </c>
      <c r="I381">
        <v>24125</v>
      </c>
      <c r="J381">
        <v>23910</v>
      </c>
      <c r="K381">
        <v>23323</v>
      </c>
      <c r="L381">
        <v>22688</v>
      </c>
      <c r="M381">
        <v>22512</v>
      </c>
      <c r="N381">
        <v>22259</v>
      </c>
      <c r="O381">
        <v>22021</v>
      </c>
      <c r="P381">
        <v>21929</v>
      </c>
      <c r="Q381">
        <v>21792</v>
      </c>
      <c r="R381">
        <v>21756</v>
      </c>
    </row>
    <row r="382" spans="1:18">
      <c r="A382">
        <v>37500</v>
      </c>
      <c r="B382" t="s">
        <v>1073</v>
      </c>
      <c r="C382" t="s">
        <v>1261</v>
      </c>
      <c r="D382" t="s">
        <v>1254</v>
      </c>
      <c r="E382">
        <v>42208</v>
      </c>
      <c r="F382">
        <v>42794</v>
      </c>
      <c r="G382">
        <v>43286</v>
      </c>
      <c r="H382">
        <v>43245</v>
      </c>
      <c r="I382">
        <v>43900</v>
      </c>
      <c r="J382">
        <v>44433</v>
      </c>
      <c r="K382">
        <v>44866</v>
      </c>
      <c r="L382">
        <v>45156</v>
      </c>
      <c r="M382">
        <v>45515</v>
      </c>
      <c r="N382">
        <v>45512</v>
      </c>
      <c r="O382">
        <v>45864</v>
      </c>
      <c r="P382">
        <v>46341</v>
      </c>
      <c r="Q382">
        <v>46408</v>
      </c>
      <c r="R382">
        <v>46743</v>
      </c>
    </row>
    <row r="383" spans="1:18">
      <c r="A383">
        <v>37540</v>
      </c>
      <c r="B383" t="s">
        <v>1074</v>
      </c>
      <c r="C383" t="s">
        <v>1261</v>
      </c>
      <c r="D383" t="s">
        <v>1254</v>
      </c>
      <c r="E383">
        <v>32398</v>
      </c>
      <c r="F383">
        <v>32453</v>
      </c>
      <c r="G383">
        <v>32398</v>
      </c>
      <c r="H383">
        <v>32274</v>
      </c>
      <c r="I383">
        <v>32281</v>
      </c>
      <c r="J383">
        <v>32173</v>
      </c>
      <c r="K383">
        <v>32259</v>
      </c>
      <c r="L383">
        <v>32440</v>
      </c>
      <c r="M383">
        <v>32348</v>
      </c>
      <c r="N383">
        <v>32375</v>
      </c>
      <c r="O383">
        <v>32149</v>
      </c>
      <c r="P383">
        <v>32246</v>
      </c>
      <c r="Q383">
        <v>32382</v>
      </c>
      <c r="R383">
        <v>32554</v>
      </c>
    </row>
    <row r="384" spans="1:18">
      <c r="A384">
        <v>37580</v>
      </c>
      <c r="B384" t="s">
        <v>1075</v>
      </c>
      <c r="C384" t="s">
        <v>1261</v>
      </c>
      <c r="D384" t="s">
        <v>1254</v>
      </c>
      <c r="E384">
        <v>49827</v>
      </c>
      <c r="F384">
        <v>49892</v>
      </c>
      <c r="G384">
        <v>49713</v>
      </c>
      <c r="H384">
        <v>49170</v>
      </c>
      <c r="I384">
        <v>49509</v>
      </c>
      <c r="J384">
        <v>49489</v>
      </c>
      <c r="K384">
        <v>49661</v>
      </c>
      <c r="L384">
        <v>49733</v>
      </c>
      <c r="M384">
        <v>49811</v>
      </c>
      <c r="N384">
        <v>49935</v>
      </c>
      <c r="O384">
        <v>50131</v>
      </c>
      <c r="P384">
        <v>50349</v>
      </c>
      <c r="Q384">
        <v>50515</v>
      </c>
      <c r="R384">
        <v>51127</v>
      </c>
    </row>
    <row r="385" spans="1:18">
      <c r="A385">
        <v>37660</v>
      </c>
      <c r="B385" t="s">
        <v>1076</v>
      </c>
      <c r="C385" t="s">
        <v>1261</v>
      </c>
      <c r="D385" t="s">
        <v>1254</v>
      </c>
      <c r="E385">
        <v>21550</v>
      </c>
      <c r="F385">
        <v>21451</v>
      </c>
      <c r="G385">
        <v>21291</v>
      </c>
      <c r="H385">
        <v>21055</v>
      </c>
      <c r="I385">
        <v>21014</v>
      </c>
      <c r="J385">
        <v>20929</v>
      </c>
      <c r="K385">
        <v>20662</v>
      </c>
      <c r="L385">
        <v>20537</v>
      </c>
      <c r="M385">
        <v>20371</v>
      </c>
      <c r="N385">
        <v>20196</v>
      </c>
      <c r="O385">
        <v>20170</v>
      </c>
      <c r="P385">
        <v>19914</v>
      </c>
      <c r="Q385">
        <v>19702</v>
      </c>
      <c r="R385">
        <v>19728</v>
      </c>
    </row>
    <row r="386" spans="1:18">
      <c r="A386">
        <v>37740</v>
      </c>
      <c r="B386" t="s">
        <v>1077</v>
      </c>
      <c r="C386" t="s">
        <v>1261</v>
      </c>
      <c r="D386" t="s">
        <v>1254</v>
      </c>
      <c r="E386">
        <v>53540</v>
      </c>
      <c r="F386">
        <v>53317</v>
      </c>
      <c r="G386">
        <v>52780</v>
      </c>
      <c r="H386">
        <v>52694</v>
      </c>
      <c r="I386">
        <v>52642</v>
      </c>
      <c r="J386">
        <v>52487</v>
      </c>
      <c r="K386">
        <v>52763</v>
      </c>
      <c r="L386">
        <v>52881</v>
      </c>
      <c r="M386">
        <v>52994</v>
      </c>
      <c r="N386">
        <v>53135</v>
      </c>
      <c r="O386">
        <v>53351</v>
      </c>
      <c r="P386">
        <v>53549</v>
      </c>
      <c r="Q386">
        <v>53922</v>
      </c>
      <c r="R386">
        <v>54003</v>
      </c>
    </row>
    <row r="387" spans="1:18">
      <c r="A387">
        <v>37770</v>
      </c>
      <c r="B387" t="s">
        <v>1078</v>
      </c>
      <c r="C387" t="s">
        <v>1261</v>
      </c>
      <c r="D387" t="s">
        <v>1254</v>
      </c>
      <c r="E387">
        <v>17211</v>
      </c>
      <c r="F387">
        <v>17272</v>
      </c>
      <c r="G387">
        <v>17520</v>
      </c>
      <c r="H387">
        <v>17801</v>
      </c>
      <c r="I387">
        <v>18132</v>
      </c>
      <c r="J387">
        <v>18346</v>
      </c>
      <c r="K387">
        <v>18347</v>
      </c>
      <c r="L387">
        <v>18414</v>
      </c>
      <c r="M387">
        <v>18506</v>
      </c>
      <c r="N387">
        <v>18390</v>
      </c>
      <c r="O387">
        <v>18412</v>
      </c>
      <c r="P387">
        <v>17543</v>
      </c>
      <c r="Q387">
        <v>17716</v>
      </c>
      <c r="R387">
        <v>17987</v>
      </c>
    </row>
    <row r="388" spans="1:18">
      <c r="A388">
        <v>37780</v>
      </c>
      <c r="B388" t="s">
        <v>1079</v>
      </c>
      <c r="C388" t="s">
        <v>1261</v>
      </c>
      <c r="D388" t="s">
        <v>1254</v>
      </c>
      <c r="E388">
        <v>13885</v>
      </c>
      <c r="F388">
        <v>14043</v>
      </c>
      <c r="G388">
        <v>14079</v>
      </c>
      <c r="H388">
        <v>14196</v>
      </c>
      <c r="I388">
        <v>14673</v>
      </c>
      <c r="J388">
        <v>15008</v>
      </c>
      <c r="K388">
        <v>14548</v>
      </c>
      <c r="L388">
        <v>14380</v>
      </c>
      <c r="M388">
        <v>14593</v>
      </c>
      <c r="N388">
        <v>14914</v>
      </c>
      <c r="O388">
        <v>14833</v>
      </c>
      <c r="P388">
        <v>13035</v>
      </c>
      <c r="Q388">
        <v>11736</v>
      </c>
      <c r="R388">
        <v>11813</v>
      </c>
    </row>
    <row r="389" spans="1:18">
      <c r="A389">
        <v>37800</v>
      </c>
      <c r="B389" t="s">
        <v>1080</v>
      </c>
      <c r="C389" t="s">
        <v>1261</v>
      </c>
      <c r="D389" t="s">
        <v>1254</v>
      </c>
      <c r="E389">
        <v>33231</v>
      </c>
      <c r="F389">
        <v>33301</v>
      </c>
      <c r="G389">
        <v>33327</v>
      </c>
      <c r="H389">
        <v>33091</v>
      </c>
      <c r="I389">
        <v>33375</v>
      </c>
      <c r="J389">
        <v>33240</v>
      </c>
      <c r="K389">
        <v>33296</v>
      </c>
      <c r="L389">
        <v>33268</v>
      </c>
      <c r="M389">
        <v>33436</v>
      </c>
      <c r="N389">
        <v>33487</v>
      </c>
      <c r="O389">
        <v>33414</v>
      </c>
      <c r="P389">
        <v>33441</v>
      </c>
      <c r="Q389">
        <v>33630</v>
      </c>
      <c r="R389">
        <v>33770</v>
      </c>
    </row>
    <row r="390" spans="1:18">
      <c r="A390">
        <v>37940</v>
      </c>
      <c r="B390" t="s">
        <v>1081</v>
      </c>
      <c r="C390" t="s">
        <v>1261</v>
      </c>
      <c r="D390" t="s">
        <v>1254</v>
      </c>
      <c r="E390">
        <v>36826</v>
      </c>
      <c r="F390">
        <v>36736</v>
      </c>
      <c r="G390">
        <v>36686</v>
      </c>
      <c r="H390">
        <v>36390</v>
      </c>
      <c r="I390">
        <v>36348</v>
      </c>
      <c r="J390">
        <v>36345</v>
      </c>
      <c r="K390">
        <v>36431</v>
      </c>
      <c r="L390">
        <v>36346</v>
      </c>
      <c r="M390">
        <v>36152</v>
      </c>
      <c r="N390">
        <v>36046</v>
      </c>
      <c r="O390">
        <v>35906</v>
      </c>
      <c r="P390">
        <v>35999</v>
      </c>
      <c r="Q390">
        <v>35546</v>
      </c>
      <c r="R390">
        <v>35402</v>
      </c>
    </row>
    <row r="391" spans="1:18">
      <c r="A391">
        <v>38100</v>
      </c>
      <c r="B391" t="s">
        <v>1082</v>
      </c>
      <c r="C391" t="s">
        <v>1261</v>
      </c>
      <c r="D391" t="s">
        <v>1254</v>
      </c>
      <c r="E391">
        <v>55690</v>
      </c>
      <c r="F391">
        <v>55474</v>
      </c>
      <c r="G391">
        <v>55061</v>
      </c>
      <c r="H391">
        <v>54931</v>
      </c>
      <c r="I391">
        <v>55258</v>
      </c>
      <c r="J391">
        <v>55110</v>
      </c>
      <c r="K391">
        <v>55267</v>
      </c>
      <c r="L391">
        <v>55512</v>
      </c>
      <c r="M391">
        <v>55699</v>
      </c>
      <c r="N391">
        <v>55986</v>
      </c>
      <c r="O391">
        <v>56211</v>
      </c>
      <c r="P391">
        <v>56480</v>
      </c>
      <c r="Q391">
        <v>57183</v>
      </c>
      <c r="R391">
        <v>57978</v>
      </c>
    </row>
    <row r="392" spans="1:18">
      <c r="A392">
        <v>38180</v>
      </c>
      <c r="B392" t="s">
        <v>1083</v>
      </c>
      <c r="C392" t="s">
        <v>1261</v>
      </c>
      <c r="D392" t="s">
        <v>1254</v>
      </c>
      <c r="E392">
        <v>20056</v>
      </c>
      <c r="F392">
        <v>20327</v>
      </c>
      <c r="G392">
        <v>20479</v>
      </c>
      <c r="H392">
        <v>20507</v>
      </c>
      <c r="I392">
        <v>20738</v>
      </c>
      <c r="J392">
        <v>20688</v>
      </c>
      <c r="K392">
        <v>20786</v>
      </c>
      <c r="L392">
        <v>20864</v>
      </c>
      <c r="M392">
        <v>20900</v>
      </c>
      <c r="N392">
        <v>20833</v>
      </c>
      <c r="O392">
        <v>20711</v>
      </c>
      <c r="P392">
        <v>20795</v>
      </c>
      <c r="Q392">
        <v>20698</v>
      </c>
      <c r="R392">
        <v>20667</v>
      </c>
    </row>
    <row r="393" spans="1:18">
      <c r="A393">
        <v>38240</v>
      </c>
      <c r="B393" t="s">
        <v>1084</v>
      </c>
      <c r="C393" t="s">
        <v>1261</v>
      </c>
      <c r="D393" t="s">
        <v>1254</v>
      </c>
      <c r="E393">
        <v>88530</v>
      </c>
      <c r="F393">
        <v>88935</v>
      </c>
      <c r="G393">
        <v>89602</v>
      </c>
      <c r="H393">
        <v>90507</v>
      </c>
      <c r="I393">
        <v>91671</v>
      </c>
      <c r="J393">
        <v>92580</v>
      </c>
      <c r="K393">
        <v>93667</v>
      </c>
      <c r="L393">
        <v>95251</v>
      </c>
      <c r="M393">
        <v>96498</v>
      </c>
      <c r="N393">
        <v>98337</v>
      </c>
      <c r="O393">
        <v>100296</v>
      </c>
      <c r="P393">
        <v>103044</v>
      </c>
      <c r="Q393">
        <v>105491</v>
      </c>
      <c r="R393">
        <v>106898</v>
      </c>
    </row>
    <row r="394" spans="1:18">
      <c r="A394">
        <v>38260</v>
      </c>
      <c r="B394" t="s">
        <v>1085</v>
      </c>
      <c r="C394" t="s">
        <v>1261</v>
      </c>
      <c r="D394" t="s">
        <v>1254</v>
      </c>
      <c r="E394">
        <v>39179</v>
      </c>
      <c r="F394">
        <v>39237</v>
      </c>
      <c r="G394">
        <v>39380</v>
      </c>
      <c r="H394">
        <v>39331</v>
      </c>
      <c r="I394">
        <v>39380</v>
      </c>
      <c r="J394">
        <v>39275</v>
      </c>
      <c r="K394">
        <v>39213</v>
      </c>
      <c r="L394">
        <v>39094</v>
      </c>
      <c r="M394">
        <v>39060</v>
      </c>
      <c r="N394">
        <v>38930</v>
      </c>
      <c r="O394">
        <v>38948</v>
      </c>
      <c r="P394">
        <v>39028</v>
      </c>
      <c r="Q394">
        <v>39145</v>
      </c>
      <c r="R394">
        <v>38764</v>
      </c>
    </row>
    <row r="395" spans="1:18">
      <c r="A395">
        <v>38380</v>
      </c>
      <c r="B395" t="s">
        <v>1086</v>
      </c>
      <c r="C395" t="s">
        <v>1261</v>
      </c>
      <c r="D395" t="s">
        <v>1254</v>
      </c>
      <c r="E395">
        <v>36262</v>
      </c>
      <c r="F395">
        <v>36341</v>
      </c>
      <c r="G395">
        <v>36173</v>
      </c>
      <c r="H395">
        <v>35553</v>
      </c>
      <c r="I395">
        <v>34299</v>
      </c>
      <c r="J395">
        <v>33844</v>
      </c>
      <c r="K395">
        <v>33864</v>
      </c>
      <c r="L395">
        <v>33671</v>
      </c>
      <c r="M395">
        <v>33242</v>
      </c>
      <c r="N395">
        <v>32811</v>
      </c>
      <c r="O395">
        <v>32465</v>
      </c>
      <c r="P395">
        <v>32208</v>
      </c>
      <c r="Q395">
        <v>31966</v>
      </c>
      <c r="R395">
        <v>31761</v>
      </c>
    </row>
    <row r="396" spans="1:18">
      <c r="A396">
        <v>38420</v>
      </c>
      <c r="B396" t="s">
        <v>1087</v>
      </c>
      <c r="C396" t="s">
        <v>1261</v>
      </c>
      <c r="D396" t="s">
        <v>1254</v>
      </c>
      <c r="E396">
        <v>51257</v>
      </c>
      <c r="F396">
        <v>51300</v>
      </c>
      <c r="G396">
        <v>51085</v>
      </c>
      <c r="H396">
        <v>51307</v>
      </c>
      <c r="I396">
        <v>52101</v>
      </c>
      <c r="J396">
        <v>52591</v>
      </c>
      <c r="K396">
        <v>52625</v>
      </c>
      <c r="L396">
        <v>52443</v>
      </c>
      <c r="M396">
        <v>52258</v>
      </c>
      <c r="N396">
        <v>52358</v>
      </c>
      <c r="O396">
        <v>51985</v>
      </c>
      <c r="P396">
        <v>51296</v>
      </c>
      <c r="Q396">
        <v>51315</v>
      </c>
      <c r="R396">
        <v>51409</v>
      </c>
    </row>
    <row r="397" spans="1:18">
      <c r="A397">
        <v>38460</v>
      </c>
      <c r="B397" t="s">
        <v>1088</v>
      </c>
      <c r="C397" t="s">
        <v>1261</v>
      </c>
      <c r="D397" t="s">
        <v>1254</v>
      </c>
      <c r="E397">
        <v>82100</v>
      </c>
      <c r="F397">
        <v>81740</v>
      </c>
      <c r="G397">
        <v>81738</v>
      </c>
      <c r="H397">
        <v>81553</v>
      </c>
      <c r="I397">
        <v>81505</v>
      </c>
      <c r="J397">
        <v>80765</v>
      </c>
      <c r="K397">
        <v>80526</v>
      </c>
      <c r="L397">
        <v>80601</v>
      </c>
      <c r="M397">
        <v>80684</v>
      </c>
      <c r="N397">
        <v>80041</v>
      </c>
      <c r="O397">
        <v>79699</v>
      </c>
      <c r="P397">
        <v>78993</v>
      </c>
      <c r="Q397">
        <v>78037</v>
      </c>
      <c r="R397">
        <v>78115</v>
      </c>
    </row>
    <row r="398" spans="1:18">
      <c r="A398">
        <v>38500</v>
      </c>
      <c r="B398" t="s">
        <v>1089</v>
      </c>
      <c r="C398" t="s">
        <v>1261</v>
      </c>
      <c r="D398" t="s">
        <v>1254</v>
      </c>
      <c r="E398">
        <v>46999</v>
      </c>
      <c r="F398">
        <v>46937</v>
      </c>
      <c r="G398">
        <v>46937</v>
      </c>
      <c r="H398">
        <v>46901</v>
      </c>
      <c r="I398">
        <v>46909</v>
      </c>
      <c r="J398">
        <v>46714</v>
      </c>
      <c r="K398">
        <v>46591</v>
      </c>
      <c r="L398">
        <v>46390</v>
      </c>
      <c r="M398">
        <v>46259</v>
      </c>
      <c r="N398">
        <v>46139</v>
      </c>
      <c r="O398">
        <v>46071</v>
      </c>
      <c r="P398">
        <v>46160</v>
      </c>
      <c r="Q398">
        <v>46378</v>
      </c>
      <c r="R398">
        <v>46352</v>
      </c>
    </row>
    <row r="399" spans="1:18">
      <c r="A399">
        <v>38580</v>
      </c>
      <c r="B399" t="s">
        <v>1090</v>
      </c>
      <c r="C399" t="s">
        <v>1261</v>
      </c>
      <c r="D399" t="s">
        <v>1254</v>
      </c>
      <c r="E399">
        <v>58402</v>
      </c>
      <c r="F399">
        <v>58149</v>
      </c>
      <c r="G399">
        <v>57752</v>
      </c>
      <c r="H399">
        <v>57329</v>
      </c>
      <c r="I399">
        <v>56968</v>
      </c>
      <c r="J399">
        <v>56545</v>
      </c>
      <c r="K399">
        <v>56187</v>
      </c>
      <c r="L399">
        <v>55865</v>
      </c>
      <c r="M399">
        <v>55469</v>
      </c>
      <c r="N399">
        <v>54997</v>
      </c>
      <c r="O399">
        <v>54636</v>
      </c>
      <c r="P399">
        <v>54490</v>
      </c>
      <c r="Q399">
        <v>53941</v>
      </c>
      <c r="R399">
        <v>53751</v>
      </c>
    </row>
    <row r="400" spans="1:18">
      <c r="A400">
        <v>38620</v>
      </c>
      <c r="B400" t="s">
        <v>1091</v>
      </c>
      <c r="C400" t="s">
        <v>1261</v>
      </c>
      <c r="D400" t="s">
        <v>1254</v>
      </c>
      <c r="E400">
        <v>46436</v>
      </c>
      <c r="F400">
        <v>45891</v>
      </c>
      <c r="G400">
        <v>45763</v>
      </c>
      <c r="H400">
        <v>45653</v>
      </c>
      <c r="I400">
        <v>45603</v>
      </c>
      <c r="J400">
        <v>45415</v>
      </c>
      <c r="K400">
        <v>45116</v>
      </c>
      <c r="L400">
        <v>44648</v>
      </c>
      <c r="M400">
        <v>44273</v>
      </c>
      <c r="N400">
        <v>43915</v>
      </c>
      <c r="O400">
        <v>43599</v>
      </c>
      <c r="P400">
        <v>43715</v>
      </c>
      <c r="Q400">
        <v>43738</v>
      </c>
      <c r="R400">
        <v>43641</v>
      </c>
    </row>
    <row r="401" spans="1:18">
      <c r="A401">
        <v>38700</v>
      </c>
      <c r="B401" t="s">
        <v>1092</v>
      </c>
      <c r="C401" t="s">
        <v>1261</v>
      </c>
      <c r="D401" t="s">
        <v>1254</v>
      </c>
      <c r="E401">
        <v>38872</v>
      </c>
      <c r="F401">
        <v>38860</v>
      </c>
      <c r="G401">
        <v>38603</v>
      </c>
      <c r="H401">
        <v>37522</v>
      </c>
      <c r="I401">
        <v>37195</v>
      </c>
      <c r="J401">
        <v>36801</v>
      </c>
      <c r="K401">
        <v>36322</v>
      </c>
      <c r="L401">
        <v>36332</v>
      </c>
      <c r="M401">
        <v>35913</v>
      </c>
      <c r="N401">
        <v>35874</v>
      </c>
      <c r="O401">
        <v>35792</v>
      </c>
      <c r="P401">
        <v>35769</v>
      </c>
      <c r="Q401">
        <v>35517</v>
      </c>
      <c r="R401">
        <v>35320</v>
      </c>
    </row>
    <row r="402" spans="1:18">
      <c r="A402">
        <v>38740</v>
      </c>
      <c r="B402" t="s">
        <v>1093</v>
      </c>
      <c r="C402" t="s">
        <v>1261</v>
      </c>
      <c r="D402" t="s">
        <v>1254</v>
      </c>
      <c r="E402">
        <v>56809</v>
      </c>
      <c r="F402">
        <v>56749</v>
      </c>
      <c r="G402">
        <v>56340</v>
      </c>
      <c r="H402">
        <v>55987</v>
      </c>
      <c r="I402">
        <v>55535</v>
      </c>
      <c r="J402">
        <v>55107</v>
      </c>
      <c r="K402">
        <v>54754</v>
      </c>
      <c r="L402">
        <v>54160</v>
      </c>
      <c r="M402">
        <v>53763</v>
      </c>
      <c r="N402">
        <v>53369</v>
      </c>
      <c r="O402">
        <v>52739</v>
      </c>
      <c r="P402">
        <v>52815</v>
      </c>
      <c r="Q402">
        <v>52880</v>
      </c>
      <c r="R402">
        <v>52754</v>
      </c>
    </row>
    <row r="403" spans="1:18">
      <c r="A403">
        <v>38780</v>
      </c>
      <c r="B403" t="s">
        <v>1094</v>
      </c>
      <c r="C403" t="s">
        <v>1261</v>
      </c>
      <c r="D403" t="s">
        <v>1254</v>
      </c>
      <c r="E403">
        <v>20040</v>
      </c>
      <c r="F403">
        <v>20532</v>
      </c>
      <c r="G403">
        <v>20508</v>
      </c>
      <c r="H403">
        <v>20297</v>
      </c>
      <c r="I403">
        <v>19998</v>
      </c>
      <c r="J403">
        <v>19565</v>
      </c>
      <c r="K403">
        <v>19651</v>
      </c>
      <c r="L403">
        <v>19449</v>
      </c>
      <c r="M403">
        <v>19345</v>
      </c>
      <c r="N403">
        <v>19201</v>
      </c>
      <c r="O403">
        <v>19148</v>
      </c>
      <c r="P403">
        <v>18992</v>
      </c>
      <c r="Q403">
        <v>18858</v>
      </c>
      <c r="R403">
        <v>18787</v>
      </c>
    </row>
    <row r="404" spans="1:18">
      <c r="A404">
        <v>38820</v>
      </c>
      <c r="B404" t="s">
        <v>1095</v>
      </c>
      <c r="C404" t="s">
        <v>1261</v>
      </c>
      <c r="D404" t="s">
        <v>1254</v>
      </c>
      <c r="E404">
        <v>71487</v>
      </c>
      <c r="F404">
        <v>71692</v>
      </c>
      <c r="G404">
        <v>71636</v>
      </c>
      <c r="H404">
        <v>71867</v>
      </c>
      <c r="I404">
        <v>72223</v>
      </c>
      <c r="J404">
        <v>72894</v>
      </c>
      <c r="K404">
        <v>73907</v>
      </c>
      <c r="L404">
        <v>75217</v>
      </c>
      <c r="M404">
        <v>76188</v>
      </c>
      <c r="N404">
        <v>76774</v>
      </c>
      <c r="O404">
        <v>77367</v>
      </c>
      <c r="P404">
        <v>78466</v>
      </c>
      <c r="Q404">
        <v>77684</v>
      </c>
      <c r="R404">
        <v>77616</v>
      </c>
    </row>
    <row r="405" spans="1:18">
      <c r="A405">
        <v>38920</v>
      </c>
      <c r="B405" t="s">
        <v>1096</v>
      </c>
      <c r="C405" t="s">
        <v>1261</v>
      </c>
      <c r="D405" t="s">
        <v>1254</v>
      </c>
      <c r="E405">
        <v>21288</v>
      </c>
      <c r="F405">
        <v>21233</v>
      </c>
      <c r="G405">
        <v>21346</v>
      </c>
      <c r="H405">
        <v>21402</v>
      </c>
      <c r="I405">
        <v>21384</v>
      </c>
      <c r="J405">
        <v>21359</v>
      </c>
      <c r="K405">
        <v>21327</v>
      </c>
      <c r="L405">
        <v>21015</v>
      </c>
      <c r="M405">
        <v>20668</v>
      </c>
      <c r="N405">
        <v>20365</v>
      </c>
      <c r="O405">
        <v>20064</v>
      </c>
      <c r="P405">
        <v>19782</v>
      </c>
      <c r="Q405">
        <v>19682</v>
      </c>
      <c r="R405">
        <v>19696</v>
      </c>
    </row>
    <row r="406" spans="1:18">
      <c r="A406">
        <v>39020</v>
      </c>
      <c r="B406" t="s">
        <v>1097</v>
      </c>
      <c r="C406" t="s">
        <v>1261</v>
      </c>
      <c r="D406" t="s">
        <v>1254</v>
      </c>
      <c r="E406">
        <v>79657</v>
      </c>
      <c r="F406">
        <v>79346</v>
      </c>
      <c r="G406">
        <v>78668</v>
      </c>
      <c r="H406">
        <v>78131</v>
      </c>
      <c r="I406">
        <v>77248</v>
      </c>
      <c r="J406">
        <v>76705</v>
      </c>
      <c r="K406">
        <v>76074</v>
      </c>
      <c r="L406">
        <v>75585</v>
      </c>
      <c r="M406">
        <v>74849</v>
      </c>
      <c r="N406">
        <v>74506</v>
      </c>
      <c r="O406">
        <v>73848</v>
      </c>
      <c r="P406">
        <v>72989</v>
      </c>
      <c r="Q406">
        <v>72189</v>
      </c>
      <c r="R406">
        <v>71969</v>
      </c>
    </row>
    <row r="407" spans="1:18">
      <c r="A407">
        <v>39060</v>
      </c>
      <c r="B407" t="s">
        <v>1098</v>
      </c>
      <c r="C407" t="s">
        <v>1261</v>
      </c>
      <c r="D407" t="s">
        <v>1254</v>
      </c>
      <c r="E407">
        <v>148335</v>
      </c>
      <c r="F407">
        <v>147809</v>
      </c>
      <c r="G407">
        <v>147623</v>
      </c>
      <c r="H407">
        <v>147382</v>
      </c>
      <c r="I407">
        <v>146324</v>
      </c>
      <c r="J407">
        <v>145261</v>
      </c>
      <c r="K407">
        <v>144826</v>
      </c>
      <c r="L407">
        <v>144088</v>
      </c>
      <c r="M407">
        <v>143498</v>
      </c>
      <c r="N407">
        <v>143108</v>
      </c>
      <c r="O407">
        <v>142963</v>
      </c>
      <c r="P407">
        <v>143157</v>
      </c>
      <c r="Q407">
        <v>143188</v>
      </c>
      <c r="R407">
        <v>143786</v>
      </c>
    </row>
    <row r="408" spans="1:18">
      <c r="A408">
        <v>39220</v>
      </c>
      <c r="B408" t="s">
        <v>1099</v>
      </c>
      <c r="C408" t="s">
        <v>1261</v>
      </c>
      <c r="D408" t="s">
        <v>1254</v>
      </c>
      <c r="E408">
        <v>21396</v>
      </c>
      <c r="F408">
        <v>21272</v>
      </c>
      <c r="G408">
        <v>21161</v>
      </c>
      <c r="H408">
        <v>20815</v>
      </c>
      <c r="I408">
        <v>20523</v>
      </c>
      <c r="J408">
        <v>20254</v>
      </c>
      <c r="K408">
        <v>20176</v>
      </c>
      <c r="L408">
        <v>19972</v>
      </c>
      <c r="M408">
        <v>20021</v>
      </c>
      <c r="N408">
        <v>20219</v>
      </c>
      <c r="O408">
        <v>20487</v>
      </c>
      <c r="P408">
        <v>20360</v>
      </c>
      <c r="Q408">
        <v>20540</v>
      </c>
      <c r="R408">
        <v>20609</v>
      </c>
    </row>
    <row r="409" spans="1:18">
      <c r="A409">
        <v>39260</v>
      </c>
      <c r="B409" t="s">
        <v>1100</v>
      </c>
      <c r="C409" t="s">
        <v>1261</v>
      </c>
      <c r="D409" t="s">
        <v>1254</v>
      </c>
      <c r="E409">
        <v>20878</v>
      </c>
      <c r="F409">
        <v>20621</v>
      </c>
      <c r="G409">
        <v>20576</v>
      </c>
      <c r="H409">
        <v>20653</v>
      </c>
      <c r="I409">
        <v>20901</v>
      </c>
      <c r="J409">
        <v>21384</v>
      </c>
      <c r="K409">
        <v>22209</v>
      </c>
      <c r="L409">
        <v>22952</v>
      </c>
      <c r="M409">
        <v>23649</v>
      </c>
      <c r="N409">
        <v>24227</v>
      </c>
      <c r="O409">
        <v>24929</v>
      </c>
      <c r="P409">
        <v>25762</v>
      </c>
      <c r="Q409">
        <v>26377</v>
      </c>
      <c r="R409">
        <v>26952</v>
      </c>
    </row>
    <row r="410" spans="1:18">
      <c r="A410">
        <v>39420</v>
      </c>
      <c r="B410" t="s">
        <v>1101</v>
      </c>
      <c r="C410" t="s">
        <v>1261</v>
      </c>
      <c r="D410" t="s">
        <v>1254</v>
      </c>
      <c r="E410">
        <v>44757</v>
      </c>
      <c r="F410">
        <v>44876</v>
      </c>
      <c r="G410">
        <v>46303</v>
      </c>
      <c r="H410">
        <v>46316</v>
      </c>
      <c r="I410">
        <v>46290</v>
      </c>
      <c r="J410">
        <v>47369</v>
      </c>
      <c r="K410">
        <v>47881</v>
      </c>
      <c r="L410">
        <v>48306</v>
      </c>
      <c r="M410">
        <v>48441</v>
      </c>
      <c r="N410">
        <v>48581</v>
      </c>
      <c r="O410">
        <v>47807</v>
      </c>
      <c r="P410">
        <v>43224</v>
      </c>
      <c r="Q410">
        <v>47579</v>
      </c>
      <c r="R410">
        <v>48012</v>
      </c>
    </row>
    <row r="411" spans="1:18">
      <c r="A411">
        <v>39500</v>
      </c>
      <c r="B411" t="s">
        <v>1102</v>
      </c>
      <c r="C411" t="s">
        <v>1261</v>
      </c>
      <c r="D411" t="s">
        <v>1254</v>
      </c>
      <c r="E411">
        <v>77390</v>
      </c>
      <c r="F411">
        <v>77558</v>
      </c>
      <c r="G411">
        <v>77492</v>
      </c>
      <c r="H411">
        <v>77441</v>
      </c>
      <c r="I411">
        <v>77506</v>
      </c>
      <c r="J411">
        <v>77515</v>
      </c>
      <c r="K411">
        <v>77201</v>
      </c>
      <c r="L411">
        <v>76744</v>
      </c>
      <c r="M411">
        <v>76253</v>
      </c>
      <c r="N411">
        <v>76089</v>
      </c>
      <c r="O411">
        <v>75651</v>
      </c>
      <c r="P411">
        <v>75058</v>
      </c>
      <c r="Q411">
        <v>74442</v>
      </c>
      <c r="R411">
        <v>74259</v>
      </c>
    </row>
    <row r="412" spans="1:18">
      <c r="A412">
        <v>39700</v>
      </c>
      <c r="B412" t="s">
        <v>1103</v>
      </c>
      <c r="C412" t="s">
        <v>1261</v>
      </c>
      <c r="D412" t="s">
        <v>1254</v>
      </c>
      <c r="E412">
        <v>22199</v>
      </c>
      <c r="F412">
        <v>22034</v>
      </c>
      <c r="G412">
        <v>21961</v>
      </c>
      <c r="H412">
        <v>21671</v>
      </c>
      <c r="I412">
        <v>21477</v>
      </c>
      <c r="J412">
        <v>21301</v>
      </c>
      <c r="K412">
        <v>21097</v>
      </c>
      <c r="L412">
        <v>20743</v>
      </c>
      <c r="M412">
        <v>20570</v>
      </c>
      <c r="N412">
        <v>20341</v>
      </c>
      <c r="O412">
        <v>20148</v>
      </c>
      <c r="P412">
        <v>20292</v>
      </c>
      <c r="Q412">
        <v>20254</v>
      </c>
      <c r="R412">
        <v>20037</v>
      </c>
    </row>
    <row r="413" spans="1:18">
      <c r="A413">
        <v>39780</v>
      </c>
      <c r="B413" t="s">
        <v>1104</v>
      </c>
      <c r="C413" t="s">
        <v>1261</v>
      </c>
      <c r="D413" t="s">
        <v>1254</v>
      </c>
      <c r="E413">
        <v>63588</v>
      </c>
      <c r="F413">
        <v>63468</v>
      </c>
      <c r="G413">
        <v>63449</v>
      </c>
      <c r="H413">
        <v>63216</v>
      </c>
      <c r="I413">
        <v>63239</v>
      </c>
      <c r="J413">
        <v>63701</v>
      </c>
      <c r="K413">
        <v>64127</v>
      </c>
      <c r="L413">
        <v>64598</v>
      </c>
      <c r="M413">
        <v>64783</v>
      </c>
      <c r="N413">
        <v>66192</v>
      </c>
      <c r="O413">
        <v>65687</v>
      </c>
      <c r="P413">
        <v>65446</v>
      </c>
      <c r="Q413">
        <v>65299</v>
      </c>
      <c r="R413">
        <v>64896</v>
      </c>
    </row>
    <row r="414" spans="1:18">
      <c r="A414">
        <v>39860</v>
      </c>
      <c r="B414" t="s">
        <v>1105</v>
      </c>
      <c r="C414" t="s">
        <v>1261</v>
      </c>
      <c r="D414" t="s">
        <v>1254</v>
      </c>
      <c r="E414">
        <v>46255</v>
      </c>
      <c r="F414">
        <v>46270</v>
      </c>
      <c r="G414">
        <v>46435</v>
      </c>
      <c r="H414">
        <v>46521</v>
      </c>
      <c r="I414">
        <v>46551</v>
      </c>
      <c r="J414">
        <v>46718</v>
      </c>
      <c r="K414">
        <v>46993</v>
      </c>
      <c r="L414">
        <v>47212</v>
      </c>
      <c r="M414">
        <v>47340</v>
      </c>
      <c r="N414">
        <v>47506</v>
      </c>
      <c r="O414">
        <v>47578</v>
      </c>
      <c r="P414">
        <v>48042</v>
      </c>
      <c r="Q414">
        <v>48041</v>
      </c>
      <c r="R414">
        <v>48035</v>
      </c>
    </row>
    <row r="415" spans="1:18">
      <c r="A415">
        <v>39940</v>
      </c>
      <c r="B415" t="s">
        <v>1106</v>
      </c>
      <c r="C415" t="s">
        <v>1261</v>
      </c>
      <c r="D415" t="s">
        <v>1254</v>
      </c>
      <c r="E415">
        <v>51074</v>
      </c>
      <c r="F415">
        <v>52352</v>
      </c>
      <c r="G415">
        <v>53044</v>
      </c>
      <c r="H415">
        <v>53930</v>
      </c>
      <c r="I415">
        <v>55425</v>
      </c>
      <c r="J415">
        <v>56726</v>
      </c>
      <c r="K415">
        <v>59198</v>
      </c>
      <c r="L415">
        <v>61183</v>
      </c>
      <c r="M415">
        <v>62400</v>
      </c>
      <c r="N415">
        <v>64638</v>
      </c>
      <c r="O415">
        <v>66347</v>
      </c>
      <c r="P415">
        <v>67683</v>
      </c>
      <c r="Q415">
        <v>68975</v>
      </c>
      <c r="R415">
        <v>68743</v>
      </c>
    </row>
    <row r="416" spans="1:18">
      <c r="A416">
        <v>39980</v>
      </c>
      <c r="B416" t="s">
        <v>1107</v>
      </c>
      <c r="C416" t="s">
        <v>1261</v>
      </c>
      <c r="D416" t="s">
        <v>1254</v>
      </c>
      <c r="E416">
        <v>68915</v>
      </c>
      <c r="F416">
        <v>68752</v>
      </c>
      <c r="G416">
        <v>68420</v>
      </c>
      <c r="H416">
        <v>68064</v>
      </c>
      <c r="I416">
        <v>67732</v>
      </c>
      <c r="J416">
        <v>67417</v>
      </c>
      <c r="K416">
        <v>67167</v>
      </c>
      <c r="L416">
        <v>66818</v>
      </c>
      <c r="M416">
        <v>66709</v>
      </c>
      <c r="N416">
        <v>66588</v>
      </c>
      <c r="O416">
        <v>66507</v>
      </c>
      <c r="P416">
        <v>66435</v>
      </c>
      <c r="Q416">
        <v>66216</v>
      </c>
      <c r="R416">
        <v>66127</v>
      </c>
    </row>
    <row r="417" spans="1:18">
      <c r="A417">
        <v>40080</v>
      </c>
      <c r="B417" t="s">
        <v>1108</v>
      </c>
      <c r="C417" t="s">
        <v>1261</v>
      </c>
      <c r="D417" t="s">
        <v>1254</v>
      </c>
      <c r="E417">
        <v>98166</v>
      </c>
      <c r="F417">
        <v>99308</v>
      </c>
      <c r="G417">
        <v>99673</v>
      </c>
      <c r="H417">
        <v>100086</v>
      </c>
      <c r="I417">
        <v>101082</v>
      </c>
      <c r="J417">
        <v>102037</v>
      </c>
      <c r="K417">
        <v>103239</v>
      </c>
      <c r="L417">
        <v>104568</v>
      </c>
      <c r="M417">
        <v>105330</v>
      </c>
      <c r="N417">
        <v>106106</v>
      </c>
      <c r="O417">
        <v>107154</v>
      </c>
      <c r="P417">
        <v>107560</v>
      </c>
      <c r="Q417">
        <v>109175</v>
      </c>
      <c r="R417">
        <v>110671</v>
      </c>
    </row>
    <row r="418" spans="1:18">
      <c r="A418">
        <v>40100</v>
      </c>
      <c r="B418" t="s">
        <v>1109</v>
      </c>
      <c r="C418" t="s">
        <v>1261</v>
      </c>
      <c r="D418" t="s">
        <v>1254</v>
      </c>
      <c r="E418">
        <v>61177</v>
      </c>
      <c r="F418">
        <v>61823</v>
      </c>
      <c r="G418">
        <v>62283</v>
      </c>
      <c r="H418">
        <v>62830</v>
      </c>
      <c r="I418">
        <v>63537</v>
      </c>
      <c r="J418">
        <v>64198</v>
      </c>
      <c r="K418">
        <v>64644</v>
      </c>
      <c r="L418">
        <v>64988</v>
      </c>
      <c r="M418">
        <v>65274</v>
      </c>
      <c r="N418">
        <v>65708</v>
      </c>
      <c r="O418">
        <v>65867</v>
      </c>
      <c r="P418">
        <v>65858</v>
      </c>
      <c r="Q418">
        <v>65653</v>
      </c>
      <c r="R418">
        <v>65934</v>
      </c>
    </row>
    <row r="419" spans="1:18">
      <c r="A419">
        <v>40180</v>
      </c>
      <c r="B419" t="s">
        <v>1110</v>
      </c>
      <c r="C419" t="s">
        <v>1261</v>
      </c>
      <c r="D419" t="s">
        <v>1254</v>
      </c>
      <c r="E419">
        <v>40196</v>
      </c>
      <c r="F419">
        <v>40506</v>
      </c>
      <c r="G419">
        <v>40995</v>
      </c>
      <c r="H419">
        <v>40886</v>
      </c>
      <c r="I419">
        <v>40529</v>
      </c>
      <c r="J419">
        <v>40179</v>
      </c>
      <c r="K419">
        <v>40151</v>
      </c>
      <c r="L419">
        <v>39753</v>
      </c>
      <c r="M419">
        <v>39530</v>
      </c>
      <c r="N419">
        <v>39326</v>
      </c>
      <c r="O419">
        <v>39202</v>
      </c>
      <c r="P419">
        <v>39416</v>
      </c>
      <c r="Q419">
        <v>39566</v>
      </c>
      <c r="R419">
        <v>39815</v>
      </c>
    </row>
    <row r="420" spans="1:18">
      <c r="A420">
        <v>40260</v>
      </c>
      <c r="B420" t="s">
        <v>1111</v>
      </c>
      <c r="C420" t="s">
        <v>1261</v>
      </c>
      <c r="D420" t="s">
        <v>1254</v>
      </c>
      <c r="E420">
        <v>76440</v>
      </c>
      <c r="F420">
        <v>75676</v>
      </c>
      <c r="G420">
        <v>74384</v>
      </c>
      <c r="H420">
        <v>73141</v>
      </c>
      <c r="I420">
        <v>72315</v>
      </c>
      <c r="J420">
        <v>71280</v>
      </c>
      <c r="K420">
        <v>70248</v>
      </c>
      <c r="L420">
        <v>69274</v>
      </c>
      <c r="M420">
        <v>68238</v>
      </c>
      <c r="N420">
        <v>67136</v>
      </c>
      <c r="O420">
        <v>65961</v>
      </c>
      <c r="P420">
        <v>65469</v>
      </c>
      <c r="Q420">
        <v>64538</v>
      </c>
      <c r="R420">
        <v>64013</v>
      </c>
    </row>
    <row r="421" spans="1:18">
      <c r="A421">
        <v>40300</v>
      </c>
      <c r="B421" t="s">
        <v>1112</v>
      </c>
      <c r="C421" t="s">
        <v>1261</v>
      </c>
      <c r="D421" t="s">
        <v>1254</v>
      </c>
      <c r="E421">
        <v>53456</v>
      </c>
      <c r="F421">
        <v>53250</v>
      </c>
      <c r="G421">
        <v>53106</v>
      </c>
      <c r="H421">
        <v>52733</v>
      </c>
      <c r="I421">
        <v>52535</v>
      </c>
      <c r="J421">
        <v>52297</v>
      </c>
      <c r="K421">
        <v>52032</v>
      </c>
      <c r="L421">
        <v>52014</v>
      </c>
      <c r="M421">
        <v>51929</v>
      </c>
      <c r="N421">
        <v>51921</v>
      </c>
      <c r="O421">
        <v>51692</v>
      </c>
      <c r="P421">
        <v>51464</v>
      </c>
      <c r="Q421">
        <v>51345</v>
      </c>
      <c r="R421">
        <v>51265</v>
      </c>
    </row>
    <row r="422" spans="1:18">
      <c r="A422">
        <v>40460</v>
      </c>
      <c r="B422" t="s">
        <v>1113</v>
      </c>
      <c r="C422" t="s">
        <v>1261</v>
      </c>
      <c r="D422" t="s">
        <v>1254</v>
      </c>
      <c r="E422">
        <v>46599</v>
      </c>
      <c r="F422">
        <v>46470</v>
      </c>
      <c r="G422">
        <v>46034</v>
      </c>
      <c r="H422">
        <v>45658</v>
      </c>
      <c r="I422">
        <v>45152</v>
      </c>
      <c r="J422">
        <v>44667</v>
      </c>
      <c r="K422">
        <v>44134</v>
      </c>
      <c r="L422">
        <v>43746</v>
      </c>
      <c r="M422">
        <v>43692</v>
      </c>
      <c r="N422">
        <v>43432</v>
      </c>
      <c r="O422">
        <v>42914</v>
      </c>
      <c r="P422">
        <v>42805</v>
      </c>
      <c r="Q422">
        <v>42573</v>
      </c>
      <c r="R422">
        <v>42324</v>
      </c>
    </row>
    <row r="423" spans="1:18">
      <c r="A423">
        <v>40530</v>
      </c>
      <c r="B423" t="s">
        <v>1114</v>
      </c>
      <c r="C423" t="s">
        <v>1261</v>
      </c>
      <c r="D423" t="s">
        <v>1254</v>
      </c>
      <c r="E423">
        <v>23191</v>
      </c>
      <c r="F423">
        <v>23235</v>
      </c>
      <c r="G423">
        <v>23489</v>
      </c>
      <c r="H423">
        <v>23926</v>
      </c>
      <c r="I423">
        <v>24619</v>
      </c>
      <c r="J423">
        <v>24868</v>
      </c>
      <c r="K423">
        <v>25283</v>
      </c>
      <c r="L423">
        <v>25499</v>
      </c>
      <c r="M423">
        <v>23364</v>
      </c>
      <c r="N423">
        <v>23454</v>
      </c>
      <c r="O423">
        <v>23932</v>
      </c>
      <c r="P423">
        <v>24510</v>
      </c>
      <c r="Q423">
        <v>24963</v>
      </c>
      <c r="R423">
        <v>25374</v>
      </c>
    </row>
    <row r="424" spans="1:18">
      <c r="A424">
        <v>40540</v>
      </c>
      <c r="B424" t="s">
        <v>1115</v>
      </c>
      <c r="C424" t="s">
        <v>1261</v>
      </c>
      <c r="D424" t="s">
        <v>1254</v>
      </c>
      <c r="E424">
        <v>43567</v>
      </c>
      <c r="F424">
        <v>43934</v>
      </c>
      <c r="G424">
        <v>44909</v>
      </c>
      <c r="H424">
        <v>45010</v>
      </c>
      <c r="I424">
        <v>44763</v>
      </c>
      <c r="J424">
        <v>44492</v>
      </c>
      <c r="K424">
        <v>43979</v>
      </c>
      <c r="L424">
        <v>43277</v>
      </c>
      <c r="M424">
        <v>42755</v>
      </c>
      <c r="N424">
        <v>42434</v>
      </c>
      <c r="O424">
        <v>42197</v>
      </c>
      <c r="P424">
        <v>41626</v>
      </c>
      <c r="Q424">
        <v>41374</v>
      </c>
      <c r="R424">
        <v>41249</v>
      </c>
    </row>
    <row r="425" spans="1:18">
      <c r="A425">
        <v>40620</v>
      </c>
      <c r="B425" t="s">
        <v>1116</v>
      </c>
      <c r="C425" t="s">
        <v>1261</v>
      </c>
      <c r="D425" t="s">
        <v>1254</v>
      </c>
      <c r="E425">
        <v>45302</v>
      </c>
      <c r="F425">
        <v>45276</v>
      </c>
      <c r="G425">
        <v>45276</v>
      </c>
      <c r="H425">
        <v>45069</v>
      </c>
      <c r="I425">
        <v>45006</v>
      </c>
      <c r="J425">
        <v>44860</v>
      </c>
      <c r="K425">
        <v>44841</v>
      </c>
      <c r="L425">
        <v>44685</v>
      </c>
      <c r="M425">
        <v>44637</v>
      </c>
      <c r="N425">
        <v>44690</v>
      </c>
      <c r="O425">
        <v>44559</v>
      </c>
      <c r="P425">
        <v>44899</v>
      </c>
      <c r="Q425">
        <v>45273</v>
      </c>
      <c r="R425">
        <v>45284</v>
      </c>
    </row>
    <row r="426" spans="1:18">
      <c r="A426">
        <v>40700</v>
      </c>
      <c r="B426" t="s">
        <v>1117</v>
      </c>
      <c r="C426" t="s">
        <v>1261</v>
      </c>
      <c r="D426" t="s">
        <v>1254</v>
      </c>
      <c r="E426">
        <v>107633</v>
      </c>
      <c r="F426">
        <v>107239</v>
      </c>
      <c r="G426">
        <v>106923</v>
      </c>
      <c r="H426">
        <v>106600</v>
      </c>
      <c r="I426">
        <v>106711</v>
      </c>
      <c r="J426">
        <v>107188</v>
      </c>
      <c r="K426">
        <v>108161</v>
      </c>
      <c r="L426">
        <v>109281</v>
      </c>
      <c r="M426">
        <v>110055</v>
      </c>
      <c r="N426">
        <v>110804</v>
      </c>
      <c r="O426">
        <v>111295</v>
      </c>
      <c r="P426">
        <v>112149</v>
      </c>
      <c r="Q426">
        <v>112290</v>
      </c>
      <c r="R426">
        <v>112435</v>
      </c>
    </row>
    <row r="427" spans="1:18">
      <c r="A427">
        <v>40740</v>
      </c>
      <c r="B427" t="s">
        <v>1118</v>
      </c>
      <c r="C427" t="s">
        <v>1261</v>
      </c>
      <c r="D427" t="s">
        <v>1254</v>
      </c>
      <c r="E427">
        <v>65733</v>
      </c>
      <c r="F427">
        <v>65780</v>
      </c>
      <c r="G427">
        <v>65887</v>
      </c>
      <c r="H427">
        <v>66186</v>
      </c>
      <c r="I427">
        <v>66038</v>
      </c>
      <c r="J427">
        <v>66101</v>
      </c>
      <c r="K427">
        <v>65975</v>
      </c>
      <c r="L427">
        <v>65428</v>
      </c>
      <c r="M427">
        <v>64867</v>
      </c>
      <c r="N427">
        <v>65009</v>
      </c>
      <c r="O427">
        <v>65149</v>
      </c>
      <c r="P427">
        <v>64650</v>
      </c>
      <c r="Q427">
        <v>63892</v>
      </c>
      <c r="R427">
        <v>63561</v>
      </c>
    </row>
    <row r="428" spans="1:18">
      <c r="A428">
        <v>40760</v>
      </c>
      <c r="B428" t="s">
        <v>1119</v>
      </c>
      <c r="C428" t="s">
        <v>1261</v>
      </c>
      <c r="D428" t="s">
        <v>1254</v>
      </c>
      <c r="E428">
        <v>20460</v>
      </c>
      <c r="F428">
        <v>20456</v>
      </c>
      <c r="G428">
        <v>20283</v>
      </c>
      <c r="H428">
        <v>20102</v>
      </c>
      <c r="I428">
        <v>19757</v>
      </c>
      <c r="J428">
        <v>19544</v>
      </c>
      <c r="K428">
        <v>19637</v>
      </c>
      <c r="L428">
        <v>19752</v>
      </c>
      <c r="M428">
        <v>19894</v>
      </c>
      <c r="N428">
        <v>20052</v>
      </c>
      <c r="O428">
        <v>20307</v>
      </c>
      <c r="P428">
        <v>20400</v>
      </c>
      <c r="Q428">
        <v>20343</v>
      </c>
      <c r="R428">
        <v>20029</v>
      </c>
    </row>
    <row r="429" spans="1:18">
      <c r="A429">
        <v>40780</v>
      </c>
      <c r="B429" t="s">
        <v>1120</v>
      </c>
      <c r="C429" t="s">
        <v>1261</v>
      </c>
      <c r="D429" t="s">
        <v>1254</v>
      </c>
      <c r="E429">
        <v>84211</v>
      </c>
      <c r="F429">
        <v>84421</v>
      </c>
      <c r="G429">
        <v>84050</v>
      </c>
      <c r="H429">
        <v>83814</v>
      </c>
      <c r="I429">
        <v>84100</v>
      </c>
      <c r="J429">
        <v>84141</v>
      </c>
      <c r="K429">
        <v>84235</v>
      </c>
      <c r="L429">
        <v>83810</v>
      </c>
      <c r="M429">
        <v>83502</v>
      </c>
      <c r="N429">
        <v>83747</v>
      </c>
      <c r="O429">
        <v>83622</v>
      </c>
      <c r="P429">
        <v>83913</v>
      </c>
      <c r="Q429">
        <v>84144</v>
      </c>
      <c r="R429">
        <v>84637</v>
      </c>
    </row>
    <row r="430" spans="1:18">
      <c r="A430">
        <v>40820</v>
      </c>
      <c r="B430" t="s">
        <v>1121</v>
      </c>
      <c r="C430" t="s">
        <v>1261</v>
      </c>
      <c r="D430" t="s">
        <v>1254</v>
      </c>
      <c r="E430">
        <v>46895</v>
      </c>
      <c r="F430">
        <v>47277</v>
      </c>
      <c r="G430">
        <v>47416</v>
      </c>
      <c r="H430">
        <v>47806</v>
      </c>
      <c r="I430">
        <v>47945</v>
      </c>
      <c r="J430">
        <v>48361</v>
      </c>
      <c r="K430">
        <v>48584</v>
      </c>
      <c r="L430">
        <v>48728</v>
      </c>
      <c r="M430">
        <v>48571</v>
      </c>
      <c r="N430">
        <v>48408</v>
      </c>
      <c r="O430">
        <v>48309</v>
      </c>
      <c r="P430">
        <v>48110</v>
      </c>
      <c r="Q430">
        <v>47980</v>
      </c>
      <c r="R430">
        <v>47962</v>
      </c>
    </row>
    <row r="431" spans="1:18">
      <c r="A431">
        <v>40860</v>
      </c>
      <c r="B431" t="s">
        <v>1122</v>
      </c>
      <c r="C431" t="s">
        <v>1261</v>
      </c>
      <c r="D431" t="s">
        <v>1254</v>
      </c>
      <c r="E431">
        <v>61654</v>
      </c>
      <c r="F431">
        <v>61586</v>
      </c>
      <c r="G431">
        <v>61436</v>
      </c>
      <c r="H431">
        <v>61405</v>
      </c>
      <c r="I431">
        <v>61235</v>
      </c>
      <c r="J431">
        <v>61011</v>
      </c>
      <c r="K431">
        <v>60839</v>
      </c>
      <c r="L431">
        <v>60978</v>
      </c>
      <c r="M431">
        <v>60818</v>
      </c>
      <c r="N431">
        <v>60611</v>
      </c>
      <c r="O431">
        <v>60484</v>
      </c>
      <c r="P431">
        <v>60728</v>
      </c>
      <c r="Q431">
        <v>60353</v>
      </c>
      <c r="R431">
        <v>60271</v>
      </c>
    </row>
    <row r="432" spans="1:18">
      <c r="A432">
        <v>40940</v>
      </c>
      <c r="B432" t="s">
        <v>1123</v>
      </c>
      <c r="C432" t="s">
        <v>1261</v>
      </c>
      <c r="D432" t="s">
        <v>1254</v>
      </c>
      <c r="E432">
        <v>37139</v>
      </c>
      <c r="F432">
        <v>37055</v>
      </c>
      <c r="G432">
        <v>36892</v>
      </c>
      <c r="H432">
        <v>37259</v>
      </c>
      <c r="I432">
        <v>37862</v>
      </c>
      <c r="J432">
        <v>37569</v>
      </c>
      <c r="K432">
        <v>37480</v>
      </c>
      <c r="L432">
        <v>37097</v>
      </c>
      <c r="M432">
        <v>37535</v>
      </c>
      <c r="N432">
        <v>38323</v>
      </c>
      <c r="O432">
        <v>38646</v>
      </c>
      <c r="P432">
        <v>38921</v>
      </c>
      <c r="Q432">
        <v>38822</v>
      </c>
      <c r="R432">
        <v>39525</v>
      </c>
    </row>
    <row r="433" spans="1:18">
      <c r="A433">
        <v>41220</v>
      </c>
      <c r="B433" t="s">
        <v>1124</v>
      </c>
      <c r="C433" t="s">
        <v>1261</v>
      </c>
      <c r="D433" t="s">
        <v>1254</v>
      </c>
      <c r="E433">
        <v>50670</v>
      </c>
      <c r="F433">
        <v>50294</v>
      </c>
      <c r="G433">
        <v>51308</v>
      </c>
      <c r="H433">
        <v>51342</v>
      </c>
      <c r="I433">
        <v>51819</v>
      </c>
      <c r="J433">
        <v>52323</v>
      </c>
      <c r="K433">
        <v>52330</v>
      </c>
      <c r="L433">
        <v>52892</v>
      </c>
      <c r="M433">
        <v>53449</v>
      </c>
      <c r="N433">
        <v>54363</v>
      </c>
      <c r="O433">
        <v>54931</v>
      </c>
      <c r="P433">
        <v>55786</v>
      </c>
      <c r="Q433">
        <v>56971</v>
      </c>
      <c r="R433">
        <v>58118</v>
      </c>
    </row>
    <row r="434" spans="1:18">
      <c r="A434">
        <v>41260</v>
      </c>
      <c r="B434" t="s">
        <v>1125</v>
      </c>
      <c r="C434" t="s">
        <v>1261</v>
      </c>
      <c r="D434" t="s">
        <v>1254</v>
      </c>
      <c r="E434">
        <v>31896</v>
      </c>
      <c r="F434">
        <v>31970</v>
      </c>
      <c r="G434">
        <v>31927</v>
      </c>
      <c r="H434">
        <v>31906</v>
      </c>
      <c r="I434">
        <v>31764</v>
      </c>
      <c r="J434">
        <v>31606</v>
      </c>
      <c r="K434">
        <v>31350</v>
      </c>
      <c r="L434">
        <v>31236</v>
      </c>
      <c r="M434">
        <v>31185</v>
      </c>
      <c r="N434">
        <v>31110</v>
      </c>
      <c r="O434">
        <v>30946</v>
      </c>
      <c r="P434">
        <v>30796</v>
      </c>
      <c r="Q434">
        <v>30467</v>
      </c>
      <c r="R434">
        <v>30198</v>
      </c>
    </row>
    <row r="435" spans="1:18">
      <c r="A435">
        <v>41400</v>
      </c>
      <c r="B435" t="s">
        <v>1126</v>
      </c>
      <c r="C435" t="s">
        <v>1261</v>
      </c>
      <c r="D435" t="s">
        <v>1254</v>
      </c>
      <c r="E435">
        <v>107903</v>
      </c>
      <c r="F435">
        <v>107504</v>
      </c>
      <c r="G435">
        <v>106773</v>
      </c>
      <c r="H435">
        <v>106180</v>
      </c>
      <c r="I435">
        <v>105908</v>
      </c>
      <c r="J435">
        <v>105066</v>
      </c>
      <c r="K435">
        <v>104255</v>
      </c>
      <c r="L435">
        <v>103579</v>
      </c>
      <c r="M435">
        <v>102965</v>
      </c>
      <c r="N435">
        <v>102274</v>
      </c>
      <c r="O435">
        <v>101642</v>
      </c>
      <c r="P435">
        <v>101352</v>
      </c>
      <c r="Q435">
        <v>100569</v>
      </c>
      <c r="R435">
        <v>100182</v>
      </c>
    </row>
    <row r="436" spans="1:18">
      <c r="A436">
        <v>41460</v>
      </c>
      <c r="B436" t="s">
        <v>1127</v>
      </c>
      <c r="C436" t="s">
        <v>1261</v>
      </c>
      <c r="D436" t="s">
        <v>1254</v>
      </c>
      <c r="E436">
        <v>61888</v>
      </c>
      <c r="F436">
        <v>61891</v>
      </c>
      <c r="G436">
        <v>61945</v>
      </c>
      <c r="H436">
        <v>61918</v>
      </c>
      <c r="I436">
        <v>61713</v>
      </c>
      <c r="J436">
        <v>61576</v>
      </c>
      <c r="K436">
        <v>61088</v>
      </c>
      <c r="L436">
        <v>60593</v>
      </c>
      <c r="M436">
        <v>60381</v>
      </c>
      <c r="N436">
        <v>60174</v>
      </c>
      <c r="O436">
        <v>59983</v>
      </c>
      <c r="P436">
        <v>59657</v>
      </c>
      <c r="Q436">
        <v>59195</v>
      </c>
      <c r="R436">
        <v>58916</v>
      </c>
    </row>
    <row r="437" spans="1:18">
      <c r="A437">
        <v>41760</v>
      </c>
      <c r="B437" t="s">
        <v>1128</v>
      </c>
      <c r="C437" t="s">
        <v>1261</v>
      </c>
      <c r="D437" t="s">
        <v>1254</v>
      </c>
      <c r="E437">
        <v>40917</v>
      </c>
      <c r="F437">
        <v>40858</v>
      </c>
      <c r="G437">
        <v>40480</v>
      </c>
      <c r="H437">
        <v>40717</v>
      </c>
      <c r="I437">
        <v>41547</v>
      </c>
      <c r="J437">
        <v>41926</v>
      </c>
      <c r="K437">
        <v>42747</v>
      </c>
      <c r="L437">
        <v>44102</v>
      </c>
      <c r="M437">
        <v>45162</v>
      </c>
      <c r="N437">
        <v>46292</v>
      </c>
      <c r="O437">
        <v>47403</v>
      </c>
      <c r="P437">
        <v>49633</v>
      </c>
      <c r="Q437">
        <v>51407</v>
      </c>
      <c r="R437">
        <v>52547</v>
      </c>
    </row>
    <row r="438" spans="1:18">
      <c r="A438">
        <v>41780</v>
      </c>
      <c r="B438" t="s">
        <v>1129</v>
      </c>
      <c r="C438" t="s">
        <v>1261</v>
      </c>
      <c r="D438" t="s">
        <v>1254</v>
      </c>
      <c r="E438">
        <v>77021</v>
      </c>
      <c r="F438">
        <v>76908</v>
      </c>
      <c r="G438">
        <v>76832</v>
      </c>
      <c r="H438">
        <v>76634</v>
      </c>
      <c r="I438">
        <v>76568</v>
      </c>
      <c r="J438">
        <v>76292</v>
      </c>
      <c r="K438">
        <v>76077</v>
      </c>
      <c r="L438">
        <v>76022</v>
      </c>
      <c r="M438">
        <v>75823</v>
      </c>
      <c r="N438">
        <v>75757</v>
      </c>
      <c r="O438">
        <v>75481</v>
      </c>
      <c r="P438">
        <v>74886</v>
      </c>
      <c r="Q438">
        <v>74514</v>
      </c>
      <c r="R438">
        <v>74035</v>
      </c>
    </row>
    <row r="439" spans="1:18">
      <c r="A439">
        <v>41820</v>
      </c>
      <c r="B439" t="s">
        <v>1130</v>
      </c>
      <c r="C439" t="s">
        <v>1261</v>
      </c>
      <c r="D439" t="s">
        <v>1254</v>
      </c>
      <c r="E439">
        <v>57903</v>
      </c>
      <c r="F439">
        <v>58660</v>
      </c>
      <c r="G439">
        <v>59481</v>
      </c>
      <c r="H439">
        <v>60108</v>
      </c>
      <c r="I439">
        <v>59845</v>
      </c>
      <c r="J439">
        <v>59915</v>
      </c>
      <c r="K439">
        <v>60262</v>
      </c>
      <c r="L439">
        <v>61129</v>
      </c>
      <c r="M439">
        <v>62034</v>
      </c>
      <c r="N439">
        <v>62686</v>
      </c>
      <c r="O439">
        <v>63434</v>
      </c>
      <c r="P439">
        <v>64052</v>
      </c>
      <c r="Q439">
        <v>65543</v>
      </c>
      <c r="R439">
        <v>67059</v>
      </c>
    </row>
    <row r="440" spans="1:18">
      <c r="A440">
        <v>42300</v>
      </c>
      <c r="B440" t="s">
        <v>1131</v>
      </c>
      <c r="C440" t="s">
        <v>1261</v>
      </c>
      <c r="D440" t="s">
        <v>1254</v>
      </c>
      <c r="E440">
        <v>38618</v>
      </c>
      <c r="F440">
        <v>38877</v>
      </c>
      <c r="G440">
        <v>38958</v>
      </c>
      <c r="H440">
        <v>38518</v>
      </c>
      <c r="I440">
        <v>38186</v>
      </c>
      <c r="J440">
        <v>37889</v>
      </c>
      <c r="K440">
        <v>37596</v>
      </c>
      <c r="L440">
        <v>37550</v>
      </c>
      <c r="M440">
        <v>37255</v>
      </c>
      <c r="N440">
        <v>37099</v>
      </c>
      <c r="O440">
        <v>36787</v>
      </c>
      <c r="P440">
        <v>35849</v>
      </c>
      <c r="Q440">
        <v>36207</v>
      </c>
      <c r="R440">
        <v>36264</v>
      </c>
    </row>
    <row r="441" spans="1:18">
      <c r="A441">
        <v>42380</v>
      </c>
      <c r="B441" t="s">
        <v>1132</v>
      </c>
      <c r="C441" t="s">
        <v>1261</v>
      </c>
      <c r="D441" t="s">
        <v>1254</v>
      </c>
      <c r="E441">
        <v>62723</v>
      </c>
      <c r="F441">
        <v>63070</v>
      </c>
      <c r="G441">
        <v>62930</v>
      </c>
      <c r="H441">
        <v>62411</v>
      </c>
      <c r="I441">
        <v>61817</v>
      </c>
      <c r="J441">
        <v>61484</v>
      </c>
      <c r="K441">
        <v>60900</v>
      </c>
      <c r="L441">
        <v>60761</v>
      </c>
      <c r="M441">
        <v>60591</v>
      </c>
      <c r="N441">
        <v>60130</v>
      </c>
      <c r="O441">
        <v>59968</v>
      </c>
      <c r="P441">
        <v>60137</v>
      </c>
      <c r="Q441">
        <v>59854</v>
      </c>
      <c r="R441">
        <v>59695</v>
      </c>
    </row>
    <row r="442" spans="1:18">
      <c r="A442">
        <v>42420</v>
      </c>
      <c r="B442" t="s">
        <v>1133</v>
      </c>
      <c r="C442" t="s">
        <v>1261</v>
      </c>
      <c r="D442" t="s">
        <v>1254</v>
      </c>
      <c r="E442">
        <v>39075</v>
      </c>
      <c r="F442">
        <v>39011</v>
      </c>
      <c r="G442">
        <v>39061</v>
      </c>
      <c r="H442">
        <v>39075</v>
      </c>
      <c r="I442">
        <v>38701</v>
      </c>
      <c r="J442">
        <v>38558</v>
      </c>
      <c r="K442">
        <v>38776</v>
      </c>
      <c r="L442">
        <v>38516</v>
      </c>
      <c r="M442">
        <v>38301</v>
      </c>
      <c r="N442">
        <v>38015</v>
      </c>
      <c r="O442">
        <v>37870</v>
      </c>
      <c r="P442">
        <v>37740</v>
      </c>
      <c r="Q442">
        <v>37553</v>
      </c>
      <c r="R442">
        <v>37527</v>
      </c>
    </row>
    <row r="443" spans="1:18">
      <c r="A443">
        <v>42460</v>
      </c>
      <c r="B443" t="s">
        <v>1134</v>
      </c>
      <c r="C443" t="s">
        <v>1261</v>
      </c>
      <c r="D443" t="s">
        <v>1254</v>
      </c>
      <c r="E443">
        <v>53231</v>
      </c>
      <c r="F443">
        <v>53364</v>
      </c>
      <c r="G443">
        <v>53328</v>
      </c>
      <c r="H443">
        <v>53304</v>
      </c>
      <c r="I443">
        <v>53005</v>
      </c>
      <c r="J443">
        <v>52735</v>
      </c>
      <c r="K443">
        <v>52657</v>
      </c>
      <c r="L443">
        <v>52556</v>
      </c>
      <c r="M443">
        <v>52431</v>
      </c>
      <c r="N443">
        <v>52547</v>
      </c>
      <c r="O443">
        <v>52545</v>
      </c>
      <c r="P443">
        <v>52719</v>
      </c>
      <c r="Q443">
        <v>52923</v>
      </c>
      <c r="R443">
        <v>53467</v>
      </c>
    </row>
    <row r="444" spans="1:18">
      <c r="A444">
        <v>42500</v>
      </c>
      <c r="B444" t="s">
        <v>1135</v>
      </c>
      <c r="C444" t="s">
        <v>1261</v>
      </c>
      <c r="D444" t="s">
        <v>1254</v>
      </c>
      <c r="E444">
        <v>24185</v>
      </c>
      <c r="F444">
        <v>23977</v>
      </c>
      <c r="G444">
        <v>23846</v>
      </c>
      <c r="H444">
        <v>23938</v>
      </c>
      <c r="I444">
        <v>23875</v>
      </c>
      <c r="J444">
        <v>23956</v>
      </c>
      <c r="K444">
        <v>24040</v>
      </c>
      <c r="L444">
        <v>24207</v>
      </c>
      <c r="M444">
        <v>24224</v>
      </c>
      <c r="N444">
        <v>24362</v>
      </c>
      <c r="O444">
        <v>24377</v>
      </c>
      <c r="P444">
        <v>24422</v>
      </c>
      <c r="Q444">
        <v>24500</v>
      </c>
      <c r="R444">
        <v>24657</v>
      </c>
    </row>
    <row r="445" spans="1:18">
      <c r="A445">
        <v>42620</v>
      </c>
      <c r="B445" t="s">
        <v>1136</v>
      </c>
      <c r="C445" t="s">
        <v>1261</v>
      </c>
      <c r="D445" t="s">
        <v>1254</v>
      </c>
      <c r="E445">
        <v>77304</v>
      </c>
      <c r="F445">
        <v>77856</v>
      </c>
      <c r="G445">
        <v>78239</v>
      </c>
      <c r="H445">
        <v>77983</v>
      </c>
      <c r="I445">
        <v>77706</v>
      </c>
      <c r="J445">
        <v>77966</v>
      </c>
      <c r="K445">
        <v>77763</v>
      </c>
      <c r="L445">
        <v>77579</v>
      </c>
      <c r="M445">
        <v>76847</v>
      </c>
      <c r="N445">
        <v>76886</v>
      </c>
      <c r="O445">
        <v>76860</v>
      </c>
      <c r="P445">
        <v>77109</v>
      </c>
      <c r="Q445">
        <v>77616</v>
      </c>
      <c r="R445">
        <v>78452</v>
      </c>
    </row>
    <row r="446" spans="1:18">
      <c r="A446">
        <v>42740</v>
      </c>
      <c r="B446" t="s">
        <v>1137</v>
      </c>
      <c r="C446" t="s">
        <v>1261</v>
      </c>
      <c r="D446" t="s">
        <v>1254</v>
      </c>
      <c r="E446">
        <v>42275</v>
      </c>
      <c r="F446">
        <v>42205</v>
      </c>
      <c r="G446">
        <v>42403</v>
      </c>
      <c r="H446">
        <v>42347</v>
      </c>
      <c r="I446">
        <v>42396</v>
      </c>
      <c r="J446">
        <v>42543</v>
      </c>
      <c r="K446">
        <v>42559</v>
      </c>
      <c r="L446">
        <v>42807</v>
      </c>
      <c r="M446">
        <v>42824</v>
      </c>
      <c r="N446">
        <v>42835</v>
      </c>
      <c r="O446">
        <v>43006</v>
      </c>
      <c r="P446">
        <v>43213</v>
      </c>
      <c r="Q446">
        <v>43397</v>
      </c>
      <c r="R446">
        <v>43530</v>
      </c>
    </row>
    <row r="447" spans="1:18">
      <c r="A447">
        <v>42780</v>
      </c>
      <c r="B447" t="s">
        <v>1138</v>
      </c>
      <c r="C447" t="s">
        <v>1261</v>
      </c>
      <c r="D447" t="s">
        <v>1254</v>
      </c>
      <c r="E447">
        <v>39696</v>
      </c>
      <c r="F447">
        <v>39715</v>
      </c>
      <c r="G447">
        <v>39760</v>
      </c>
      <c r="H447">
        <v>39951</v>
      </c>
      <c r="I447">
        <v>40007</v>
      </c>
      <c r="J447">
        <v>40232</v>
      </c>
      <c r="K447">
        <v>40103</v>
      </c>
      <c r="L447">
        <v>40210</v>
      </c>
      <c r="M447">
        <v>40007</v>
      </c>
      <c r="N447">
        <v>39870</v>
      </c>
      <c r="O447">
        <v>39733</v>
      </c>
      <c r="P447">
        <v>39734</v>
      </c>
      <c r="Q447">
        <v>39506</v>
      </c>
      <c r="R447">
        <v>39717</v>
      </c>
    </row>
    <row r="448" spans="1:18">
      <c r="A448">
        <v>42820</v>
      </c>
      <c r="B448" t="s">
        <v>1139</v>
      </c>
      <c r="C448" t="s">
        <v>1261</v>
      </c>
      <c r="D448" t="s">
        <v>1254</v>
      </c>
      <c r="E448">
        <v>43916</v>
      </c>
      <c r="F448">
        <v>43557</v>
      </c>
      <c r="G448">
        <v>43336</v>
      </c>
      <c r="H448">
        <v>42750</v>
      </c>
      <c r="I448">
        <v>42557</v>
      </c>
      <c r="J448">
        <v>42162</v>
      </c>
      <c r="K448">
        <v>41526</v>
      </c>
      <c r="L448">
        <v>40879</v>
      </c>
      <c r="M448">
        <v>40066</v>
      </c>
      <c r="N448">
        <v>39143</v>
      </c>
      <c r="O448">
        <v>38171</v>
      </c>
      <c r="P448">
        <v>37515</v>
      </c>
      <c r="Q448">
        <v>36729</v>
      </c>
      <c r="R448">
        <v>36165</v>
      </c>
    </row>
    <row r="449" spans="1:18">
      <c r="A449">
        <v>42860</v>
      </c>
      <c r="B449" t="s">
        <v>1140</v>
      </c>
      <c r="C449" t="s">
        <v>1261</v>
      </c>
      <c r="D449" t="s">
        <v>1254</v>
      </c>
      <c r="E449">
        <v>74317</v>
      </c>
      <c r="F449">
        <v>74101</v>
      </c>
      <c r="G449">
        <v>74278</v>
      </c>
      <c r="H449">
        <v>74535</v>
      </c>
      <c r="I449">
        <v>74693</v>
      </c>
      <c r="J449">
        <v>75212</v>
      </c>
      <c r="K449">
        <v>75676</v>
      </c>
      <c r="L449">
        <v>76409</v>
      </c>
      <c r="M449">
        <v>77096</v>
      </c>
      <c r="N449">
        <v>78178</v>
      </c>
      <c r="O449">
        <v>78784</v>
      </c>
      <c r="P449">
        <v>79318</v>
      </c>
      <c r="Q449">
        <v>80160</v>
      </c>
      <c r="R449">
        <v>81221</v>
      </c>
    </row>
    <row r="450" spans="1:18">
      <c r="A450">
        <v>42900</v>
      </c>
      <c r="B450" t="s">
        <v>1141</v>
      </c>
      <c r="C450" t="s">
        <v>1261</v>
      </c>
      <c r="D450" t="s">
        <v>1254</v>
      </c>
      <c r="E450">
        <v>35265</v>
      </c>
      <c r="F450">
        <v>35296</v>
      </c>
      <c r="G450">
        <v>35301</v>
      </c>
      <c r="H450">
        <v>35166</v>
      </c>
      <c r="I450">
        <v>34788</v>
      </c>
      <c r="J450">
        <v>34686</v>
      </c>
      <c r="K450">
        <v>34572</v>
      </c>
      <c r="L450">
        <v>34118</v>
      </c>
      <c r="M450">
        <v>34078</v>
      </c>
      <c r="N450">
        <v>33967</v>
      </c>
      <c r="O450">
        <v>33516</v>
      </c>
      <c r="P450">
        <v>33414</v>
      </c>
      <c r="Q450">
        <v>32586</v>
      </c>
      <c r="R450">
        <v>32349</v>
      </c>
    </row>
    <row r="451" spans="1:18">
      <c r="A451">
        <v>42940</v>
      </c>
      <c r="B451" t="s">
        <v>1142</v>
      </c>
      <c r="C451" t="s">
        <v>1261</v>
      </c>
      <c r="D451" t="s">
        <v>1254</v>
      </c>
      <c r="E451">
        <v>89906</v>
      </c>
      <c r="F451">
        <v>91127</v>
      </c>
      <c r="G451">
        <v>92249</v>
      </c>
      <c r="H451">
        <v>93314</v>
      </c>
      <c r="I451">
        <v>94447</v>
      </c>
      <c r="J451">
        <v>95152</v>
      </c>
      <c r="K451">
        <v>96200</v>
      </c>
      <c r="L451">
        <v>97057</v>
      </c>
      <c r="M451">
        <v>97670</v>
      </c>
      <c r="N451">
        <v>97768</v>
      </c>
      <c r="O451">
        <v>98562</v>
      </c>
      <c r="P451">
        <v>99435</v>
      </c>
      <c r="Q451">
        <v>98806</v>
      </c>
      <c r="R451">
        <v>99415</v>
      </c>
    </row>
    <row r="452" spans="1:18">
      <c r="A452">
        <v>42980</v>
      </c>
      <c r="B452" t="s">
        <v>1143</v>
      </c>
      <c r="C452" t="s">
        <v>1261</v>
      </c>
      <c r="D452" t="s">
        <v>1254</v>
      </c>
      <c r="E452">
        <v>42634</v>
      </c>
      <c r="F452">
        <v>43174</v>
      </c>
      <c r="G452">
        <v>43453</v>
      </c>
      <c r="H452">
        <v>44118</v>
      </c>
      <c r="I452">
        <v>44600</v>
      </c>
      <c r="J452">
        <v>44986</v>
      </c>
      <c r="K452">
        <v>45301</v>
      </c>
      <c r="L452">
        <v>45462</v>
      </c>
      <c r="M452">
        <v>45786</v>
      </c>
      <c r="N452">
        <v>46136</v>
      </c>
      <c r="O452">
        <v>46479</v>
      </c>
      <c r="P452">
        <v>46224</v>
      </c>
      <c r="Q452">
        <v>46230</v>
      </c>
      <c r="R452">
        <v>46460</v>
      </c>
    </row>
    <row r="453" spans="1:18">
      <c r="A453">
        <v>43020</v>
      </c>
      <c r="B453" t="s">
        <v>1144</v>
      </c>
      <c r="C453" t="s">
        <v>1261</v>
      </c>
      <c r="D453" t="s">
        <v>1254</v>
      </c>
      <c r="E453">
        <v>46203</v>
      </c>
      <c r="F453">
        <v>46015</v>
      </c>
      <c r="G453">
        <v>45830</v>
      </c>
      <c r="H453">
        <v>45726</v>
      </c>
      <c r="I453">
        <v>45767</v>
      </c>
      <c r="J453">
        <v>45456</v>
      </c>
      <c r="K453">
        <v>45324</v>
      </c>
      <c r="L453">
        <v>45275</v>
      </c>
      <c r="M453">
        <v>45139</v>
      </c>
      <c r="N453">
        <v>45145</v>
      </c>
      <c r="O453">
        <v>45112</v>
      </c>
      <c r="P453">
        <v>45126</v>
      </c>
      <c r="Q453">
        <v>45193</v>
      </c>
      <c r="R453">
        <v>45335</v>
      </c>
    </row>
    <row r="454" spans="1:18">
      <c r="A454">
        <v>43060</v>
      </c>
      <c r="B454" t="s">
        <v>1145</v>
      </c>
      <c r="C454" t="s">
        <v>1261</v>
      </c>
      <c r="D454" t="s">
        <v>1254</v>
      </c>
      <c r="E454">
        <v>69642</v>
      </c>
      <c r="F454">
        <v>70015</v>
      </c>
      <c r="G454">
        <v>70420</v>
      </c>
      <c r="H454">
        <v>70765</v>
      </c>
      <c r="I454">
        <v>71352</v>
      </c>
      <c r="J454">
        <v>71246</v>
      </c>
      <c r="K454">
        <v>71731</v>
      </c>
      <c r="L454">
        <v>71857</v>
      </c>
      <c r="M454">
        <v>72134</v>
      </c>
      <c r="N454">
        <v>72209</v>
      </c>
      <c r="O454">
        <v>72559</v>
      </c>
      <c r="P454">
        <v>73045</v>
      </c>
      <c r="Q454">
        <v>73351</v>
      </c>
      <c r="R454">
        <v>73791</v>
      </c>
    </row>
    <row r="455" spans="1:18">
      <c r="A455">
        <v>43140</v>
      </c>
      <c r="B455" t="s">
        <v>1146</v>
      </c>
      <c r="C455" t="s">
        <v>1261</v>
      </c>
      <c r="D455" t="s">
        <v>1254</v>
      </c>
      <c r="E455">
        <v>97941</v>
      </c>
      <c r="F455">
        <v>97544</v>
      </c>
      <c r="G455">
        <v>97496</v>
      </c>
      <c r="H455">
        <v>97126</v>
      </c>
      <c r="I455">
        <v>97331</v>
      </c>
      <c r="J455">
        <v>97245</v>
      </c>
      <c r="K455">
        <v>97462</v>
      </c>
      <c r="L455">
        <v>97682</v>
      </c>
      <c r="M455">
        <v>98138</v>
      </c>
      <c r="N455">
        <v>98566</v>
      </c>
      <c r="O455">
        <v>99817</v>
      </c>
      <c r="P455">
        <v>100341</v>
      </c>
      <c r="Q455">
        <v>100653</v>
      </c>
      <c r="R455">
        <v>101378</v>
      </c>
    </row>
    <row r="456" spans="1:18">
      <c r="A456">
        <v>43180</v>
      </c>
      <c r="B456" t="s">
        <v>1147</v>
      </c>
      <c r="C456" t="s">
        <v>1261</v>
      </c>
      <c r="D456" t="s">
        <v>1254</v>
      </c>
      <c r="E456">
        <v>45086</v>
      </c>
      <c r="F456">
        <v>45267</v>
      </c>
      <c r="G456">
        <v>45286</v>
      </c>
      <c r="H456">
        <v>45613</v>
      </c>
      <c r="I456">
        <v>46317</v>
      </c>
      <c r="J456">
        <v>47027</v>
      </c>
      <c r="K456">
        <v>47540</v>
      </c>
      <c r="L456">
        <v>48315</v>
      </c>
      <c r="M456">
        <v>49267</v>
      </c>
      <c r="N456">
        <v>49812</v>
      </c>
      <c r="O456">
        <v>50385</v>
      </c>
      <c r="P456">
        <v>51184</v>
      </c>
      <c r="Q456">
        <v>51964</v>
      </c>
      <c r="R456">
        <v>53055</v>
      </c>
    </row>
    <row r="457" spans="1:18">
      <c r="A457">
        <v>43220</v>
      </c>
      <c r="B457" t="s">
        <v>1148</v>
      </c>
      <c r="C457" t="s">
        <v>1261</v>
      </c>
      <c r="D457" t="s">
        <v>1254</v>
      </c>
      <c r="E457">
        <v>60685</v>
      </c>
      <c r="F457">
        <v>60642</v>
      </c>
      <c r="G457">
        <v>60259</v>
      </c>
      <c r="H457">
        <v>59862</v>
      </c>
      <c r="I457">
        <v>59804</v>
      </c>
      <c r="J457">
        <v>59995</v>
      </c>
      <c r="K457">
        <v>60950</v>
      </c>
      <c r="L457">
        <v>62324</v>
      </c>
      <c r="M457">
        <v>63847</v>
      </c>
      <c r="N457">
        <v>65011</v>
      </c>
      <c r="O457">
        <v>66034</v>
      </c>
      <c r="P457">
        <v>67246</v>
      </c>
      <c r="Q457">
        <v>68171</v>
      </c>
      <c r="R457">
        <v>68389</v>
      </c>
    </row>
    <row r="458" spans="1:18">
      <c r="A458">
        <v>43260</v>
      </c>
      <c r="B458" t="s">
        <v>1149</v>
      </c>
      <c r="C458" t="s">
        <v>1261</v>
      </c>
      <c r="D458" t="s">
        <v>1254</v>
      </c>
      <c r="E458">
        <v>29151</v>
      </c>
      <c r="F458">
        <v>29271</v>
      </c>
      <c r="G458">
        <v>29564</v>
      </c>
      <c r="H458">
        <v>29791</v>
      </c>
      <c r="I458">
        <v>29932</v>
      </c>
      <c r="J458">
        <v>29985</v>
      </c>
      <c r="K458">
        <v>30097</v>
      </c>
      <c r="L458">
        <v>30305</v>
      </c>
      <c r="M458">
        <v>30373</v>
      </c>
      <c r="N458">
        <v>30705</v>
      </c>
      <c r="O458">
        <v>31000</v>
      </c>
      <c r="P458">
        <v>31653</v>
      </c>
      <c r="Q458">
        <v>32035</v>
      </c>
      <c r="R458">
        <v>32519</v>
      </c>
    </row>
    <row r="459" spans="1:18">
      <c r="A459">
        <v>43320</v>
      </c>
      <c r="B459" t="s">
        <v>1150</v>
      </c>
      <c r="C459" t="s">
        <v>1261</v>
      </c>
      <c r="D459" t="s">
        <v>1254</v>
      </c>
      <c r="E459">
        <v>107563</v>
      </c>
      <c r="F459">
        <v>106911</v>
      </c>
      <c r="G459">
        <v>106169</v>
      </c>
      <c r="H459">
        <v>105487</v>
      </c>
      <c r="I459">
        <v>105543</v>
      </c>
      <c r="J459">
        <v>104989</v>
      </c>
      <c r="K459">
        <v>105331</v>
      </c>
      <c r="L459">
        <v>105384</v>
      </c>
      <c r="M459">
        <v>106174</v>
      </c>
      <c r="N459">
        <v>106191</v>
      </c>
      <c r="O459">
        <v>106763</v>
      </c>
      <c r="P459">
        <v>107726</v>
      </c>
      <c r="Q459">
        <v>108800</v>
      </c>
      <c r="R459">
        <v>109175</v>
      </c>
    </row>
    <row r="460" spans="1:18">
      <c r="A460">
        <v>43380</v>
      </c>
      <c r="B460" t="s">
        <v>1151</v>
      </c>
      <c r="C460" t="s">
        <v>1261</v>
      </c>
      <c r="D460" t="s">
        <v>1254</v>
      </c>
      <c r="E460">
        <v>49343</v>
      </c>
      <c r="F460">
        <v>49231</v>
      </c>
      <c r="G460">
        <v>49113</v>
      </c>
      <c r="H460">
        <v>49137</v>
      </c>
      <c r="I460">
        <v>48916</v>
      </c>
      <c r="J460">
        <v>48932</v>
      </c>
      <c r="K460">
        <v>48637</v>
      </c>
      <c r="L460">
        <v>48588</v>
      </c>
      <c r="M460">
        <v>48470</v>
      </c>
      <c r="N460">
        <v>48411</v>
      </c>
      <c r="O460">
        <v>48146</v>
      </c>
      <c r="P460">
        <v>48023</v>
      </c>
      <c r="Q460">
        <v>47684</v>
      </c>
      <c r="R460">
        <v>47765</v>
      </c>
    </row>
    <row r="461" spans="1:18">
      <c r="A461">
        <v>43460</v>
      </c>
      <c r="B461" t="s">
        <v>1152</v>
      </c>
      <c r="C461" t="s">
        <v>1261</v>
      </c>
      <c r="D461" t="s">
        <v>1254</v>
      </c>
      <c r="E461">
        <v>39262</v>
      </c>
      <c r="F461">
        <v>39127</v>
      </c>
      <c r="G461">
        <v>39118</v>
      </c>
      <c r="H461">
        <v>39142</v>
      </c>
      <c r="I461">
        <v>38784</v>
      </c>
      <c r="J461">
        <v>38899</v>
      </c>
      <c r="K461">
        <v>38613</v>
      </c>
      <c r="L461">
        <v>38417</v>
      </c>
      <c r="M461">
        <v>38374</v>
      </c>
      <c r="N461">
        <v>38166</v>
      </c>
      <c r="O461">
        <v>38020</v>
      </c>
      <c r="P461">
        <v>37886</v>
      </c>
      <c r="Q461">
        <v>37868</v>
      </c>
      <c r="R461">
        <v>37889</v>
      </c>
    </row>
    <row r="462" spans="1:18">
      <c r="A462">
        <v>43500</v>
      </c>
      <c r="B462" t="s">
        <v>1153</v>
      </c>
      <c r="C462" t="s">
        <v>1261</v>
      </c>
      <c r="D462" t="s">
        <v>1254</v>
      </c>
      <c r="E462">
        <v>29417</v>
      </c>
      <c r="F462">
        <v>29507</v>
      </c>
      <c r="G462">
        <v>29543</v>
      </c>
      <c r="H462">
        <v>29517</v>
      </c>
      <c r="I462">
        <v>29405</v>
      </c>
      <c r="J462">
        <v>29012</v>
      </c>
      <c r="K462">
        <v>28820</v>
      </c>
      <c r="L462">
        <v>28541</v>
      </c>
      <c r="M462">
        <v>28253</v>
      </c>
      <c r="N462">
        <v>28026</v>
      </c>
      <c r="O462">
        <v>28205</v>
      </c>
      <c r="P462">
        <v>27893</v>
      </c>
      <c r="Q462">
        <v>27693</v>
      </c>
      <c r="R462">
        <v>27472</v>
      </c>
    </row>
    <row r="463" spans="1:18">
      <c r="A463">
        <v>43660</v>
      </c>
      <c r="B463" t="s">
        <v>1154</v>
      </c>
      <c r="C463" t="s">
        <v>1261</v>
      </c>
      <c r="D463" t="s">
        <v>1254</v>
      </c>
      <c r="E463">
        <v>16936</v>
      </c>
      <c r="F463">
        <v>16895</v>
      </c>
      <c r="G463">
        <v>17181</v>
      </c>
      <c r="H463">
        <v>17347</v>
      </c>
      <c r="I463">
        <v>17484</v>
      </c>
      <c r="J463">
        <v>17711</v>
      </c>
      <c r="K463">
        <v>17589</v>
      </c>
      <c r="L463">
        <v>17215</v>
      </c>
      <c r="M463">
        <v>17057</v>
      </c>
      <c r="N463">
        <v>16897</v>
      </c>
      <c r="O463">
        <v>16942</v>
      </c>
      <c r="P463">
        <v>16837</v>
      </c>
      <c r="Q463">
        <v>16269</v>
      </c>
      <c r="R463">
        <v>16212</v>
      </c>
    </row>
    <row r="464" spans="1:18">
      <c r="A464">
        <v>43700</v>
      </c>
      <c r="B464" t="s">
        <v>1155</v>
      </c>
      <c r="C464" t="s">
        <v>1261</v>
      </c>
      <c r="D464" t="s">
        <v>1254</v>
      </c>
      <c r="E464">
        <v>63184</v>
      </c>
      <c r="F464">
        <v>63460</v>
      </c>
      <c r="G464">
        <v>63422</v>
      </c>
      <c r="H464">
        <v>63661</v>
      </c>
      <c r="I464">
        <v>63694</v>
      </c>
      <c r="J464">
        <v>63651</v>
      </c>
      <c r="K464">
        <v>63767</v>
      </c>
      <c r="L464">
        <v>64036</v>
      </c>
      <c r="M464">
        <v>64346</v>
      </c>
      <c r="N464">
        <v>64806</v>
      </c>
      <c r="O464">
        <v>65116</v>
      </c>
      <c r="P464">
        <v>65571</v>
      </c>
      <c r="Q464">
        <v>65767</v>
      </c>
      <c r="R464">
        <v>66191</v>
      </c>
    </row>
    <row r="465" spans="1:18">
      <c r="A465">
        <v>43740</v>
      </c>
      <c r="B465" t="s">
        <v>1156</v>
      </c>
      <c r="C465" t="s">
        <v>1261</v>
      </c>
      <c r="D465" t="s">
        <v>1254</v>
      </c>
      <c r="E465">
        <v>77790</v>
      </c>
      <c r="F465">
        <v>77421</v>
      </c>
      <c r="G465">
        <v>77270</v>
      </c>
      <c r="H465">
        <v>76954</v>
      </c>
      <c r="I465">
        <v>76618</v>
      </c>
      <c r="J465">
        <v>75955</v>
      </c>
      <c r="K465">
        <v>75542</v>
      </c>
      <c r="L465">
        <v>75024</v>
      </c>
      <c r="M465">
        <v>74802</v>
      </c>
      <c r="N465">
        <v>74388</v>
      </c>
      <c r="O465">
        <v>74019</v>
      </c>
      <c r="P465">
        <v>72989</v>
      </c>
      <c r="Q465">
        <v>72629</v>
      </c>
      <c r="R465">
        <v>72197</v>
      </c>
    </row>
    <row r="466" spans="1:18">
      <c r="A466">
        <v>43760</v>
      </c>
      <c r="B466" t="s">
        <v>1157</v>
      </c>
      <c r="C466" t="s">
        <v>1261</v>
      </c>
      <c r="D466" t="s">
        <v>1254</v>
      </c>
      <c r="E466">
        <v>55188</v>
      </c>
      <c r="F466">
        <v>54928</v>
      </c>
      <c r="G466">
        <v>54414</v>
      </c>
      <c r="H466">
        <v>54282</v>
      </c>
      <c r="I466">
        <v>54232</v>
      </c>
      <c r="J466">
        <v>54093</v>
      </c>
      <c r="K466">
        <v>54319</v>
      </c>
      <c r="L466">
        <v>54642</v>
      </c>
      <c r="M466">
        <v>55039</v>
      </c>
      <c r="N466">
        <v>55176</v>
      </c>
      <c r="O466">
        <v>55379</v>
      </c>
      <c r="P466">
        <v>55131</v>
      </c>
      <c r="Q466">
        <v>54587</v>
      </c>
      <c r="R466">
        <v>54204</v>
      </c>
    </row>
    <row r="467" spans="1:18">
      <c r="A467">
        <v>43940</v>
      </c>
      <c r="B467" t="s">
        <v>1158</v>
      </c>
      <c r="C467" t="s">
        <v>1261</v>
      </c>
      <c r="D467" t="s">
        <v>1254</v>
      </c>
      <c r="E467">
        <v>24196</v>
      </c>
      <c r="F467">
        <v>24292</v>
      </c>
      <c r="G467">
        <v>24341</v>
      </c>
      <c r="H467">
        <v>24849</v>
      </c>
      <c r="I467">
        <v>24611</v>
      </c>
      <c r="J467">
        <v>24678</v>
      </c>
      <c r="K467">
        <v>25164</v>
      </c>
      <c r="L467">
        <v>25468</v>
      </c>
      <c r="M467">
        <v>25470</v>
      </c>
      <c r="N467">
        <v>25559</v>
      </c>
      <c r="O467">
        <v>25844</v>
      </c>
      <c r="P467">
        <v>26162</v>
      </c>
      <c r="Q467">
        <v>27240</v>
      </c>
      <c r="R467">
        <v>28053</v>
      </c>
    </row>
    <row r="468" spans="1:18">
      <c r="A468">
        <v>43980</v>
      </c>
      <c r="B468" t="s">
        <v>1159</v>
      </c>
      <c r="C468" t="s">
        <v>1261</v>
      </c>
      <c r="D468" t="s">
        <v>1254</v>
      </c>
      <c r="E468">
        <v>16642</v>
      </c>
      <c r="F468">
        <v>16644</v>
      </c>
      <c r="G468">
        <v>16622</v>
      </c>
      <c r="H468">
        <v>16559</v>
      </c>
      <c r="I468">
        <v>16639</v>
      </c>
      <c r="J468">
        <v>16691</v>
      </c>
      <c r="K468">
        <v>16528</v>
      </c>
      <c r="L468">
        <v>16412</v>
      </c>
      <c r="M468">
        <v>16465</v>
      </c>
      <c r="N468">
        <v>16427</v>
      </c>
      <c r="O468">
        <v>16336</v>
      </c>
      <c r="P468">
        <v>16454</v>
      </c>
      <c r="Q468">
        <v>16507</v>
      </c>
      <c r="R468">
        <v>16511</v>
      </c>
    </row>
    <row r="469" spans="1:18">
      <c r="A469">
        <v>44020</v>
      </c>
      <c r="B469" t="s">
        <v>1160</v>
      </c>
      <c r="C469" t="s">
        <v>1261</v>
      </c>
      <c r="D469" t="s">
        <v>1254</v>
      </c>
      <c r="E469">
        <v>16674</v>
      </c>
      <c r="F469">
        <v>16885</v>
      </c>
      <c r="G469">
        <v>16973</v>
      </c>
      <c r="H469">
        <v>16946</v>
      </c>
      <c r="I469">
        <v>16928</v>
      </c>
      <c r="J469">
        <v>17112</v>
      </c>
      <c r="K469">
        <v>17259</v>
      </c>
      <c r="L469">
        <v>17311</v>
      </c>
      <c r="M469">
        <v>17323</v>
      </c>
      <c r="N469">
        <v>17475</v>
      </c>
      <c r="O469">
        <v>17767</v>
      </c>
      <c r="P469">
        <v>17868</v>
      </c>
      <c r="Q469">
        <v>18048</v>
      </c>
      <c r="R469">
        <v>18056</v>
      </c>
    </row>
    <row r="470" spans="1:18">
      <c r="A470">
        <v>44260</v>
      </c>
      <c r="B470" t="s">
        <v>1161</v>
      </c>
      <c r="C470" t="s">
        <v>1261</v>
      </c>
      <c r="D470" t="s">
        <v>1254</v>
      </c>
      <c r="E470">
        <v>58043</v>
      </c>
      <c r="F470">
        <v>58223</v>
      </c>
      <c r="G470">
        <v>59408</v>
      </c>
      <c r="H470">
        <v>59776</v>
      </c>
      <c r="I470">
        <v>60006</v>
      </c>
      <c r="J470">
        <v>60567</v>
      </c>
      <c r="K470">
        <v>60687</v>
      </c>
      <c r="L470">
        <v>61040</v>
      </c>
      <c r="M470">
        <v>60712</v>
      </c>
      <c r="N470">
        <v>61183</v>
      </c>
      <c r="O470">
        <v>61611</v>
      </c>
      <c r="P470">
        <v>61782</v>
      </c>
      <c r="Q470">
        <v>61328</v>
      </c>
      <c r="R470">
        <v>61191</v>
      </c>
    </row>
    <row r="471" spans="1:18">
      <c r="A471">
        <v>44340</v>
      </c>
      <c r="B471" t="s">
        <v>1162</v>
      </c>
      <c r="C471" t="s">
        <v>1261</v>
      </c>
      <c r="D471" t="s">
        <v>1254</v>
      </c>
      <c r="E471">
        <v>70572</v>
      </c>
      <c r="F471">
        <v>72705</v>
      </c>
      <c r="G471">
        <v>73227</v>
      </c>
      <c r="H471">
        <v>71988</v>
      </c>
      <c r="I471">
        <v>72874</v>
      </c>
      <c r="J471">
        <v>73394</v>
      </c>
      <c r="K471">
        <v>74970</v>
      </c>
      <c r="L471">
        <v>76412</v>
      </c>
      <c r="M471">
        <v>77755</v>
      </c>
      <c r="N471">
        <v>80204</v>
      </c>
      <c r="O471">
        <v>79922</v>
      </c>
      <c r="P471">
        <v>80671</v>
      </c>
      <c r="Q471">
        <v>83038</v>
      </c>
      <c r="R471">
        <v>84327</v>
      </c>
    </row>
    <row r="472" spans="1:18">
      <c r="A472">
        <v>44460</v>
      </c>
      <c r="B472" t="s">
        <v>1163</v>
      </c>
      <c r="C472" t="s">
        <v>1261</v>
      </c>
      <c r="D472" t="s">
        <v>1254</v>
      </c>
      <c r="E472">
        <v>23418</v>
      </c>
      <c r="F472">
        <v>23174</v>
      </c>
      <c r="G472">
        <v>23135</v>
      </c>
      <c r="H472">
        <v>23394</v>
      </c>
      <c r="I472">
        <v>23797</v>
      </c>
      <c r="J472">
        <v>24028</v>
      </c>
      <c r="K472">
        <v>24303</v>
      </c>
      <c r="L472">
        <v>24709</v>
      </c>
      <c r="M472">
        <v>24902</v>
      </c>
      <c r="N472">
        <v>24920</v>
      </c>
      <c r="O472">
        <v>24832</v>
      </c>
      <c r="P472">
        <v>25058</v>
      </c>
      <c r="Q472">
        <v>25072</v>
      </c>
      <c r="R472">
        <v>25064</v>
      </c>
    </row>
    <row r="473" spans="1:18">
      <c r="A473">
        <v>44500</v>
      </c>
      <c r="B473" t="s">
        <v>1164</v>
      </c>
      <c r="C473" t="s">
        <v>1261</v>
      </c>
      <c r="D473" t="s">
        <v>1254</v>
      </c>
      <c r="E473">
        <v>37902</v>
      </c>
      <c r="F473">
        <v>38870</v>
      </c>
      <c r="G473">
        <v>39308</v>
      </c>
      <c r="H473">
        <v>39745</v>
      </c>
      <c r="I473">
        <v>40328</v>
      </c>
      <c r="J473">
        <v>40953</v>
      </c>
      <c r="K473">
        <v>41079</v>
      </c>
      <c r="L473">
        <v>41397</v>
      </c>
      <c r="M473">
        <v>41851</v>
      </c>
      <c r="N473">
        <v>42084</v>
      </c>
      <c r="O473">
        <v>42719</v>
      </c>
      <c r="P473">
        <v>43381</v>
      </c>
      <c r="Q473">
        <v>43837</v>
      </c>
      <c r="R473">
        <v>44195</v>
      </c>
    </row>
    <row r="474" spans="1:18">
      <c r="A474">
        <v>44540</v>
      </c>
      <c r="B474" t="s">
        <v>1165</v>
      </c>
      <c r="C474" t="s">
        <v>1261</v>
      </c>
      <c r="D474" t="s">
        <v>1254</v>
      </c>
      <c r="E474">
        <v>22737</v>
      </c>
      <c r="F474">
        <v>22515</v>
      </c>
      <c r="G474">
        <v>22250</v>
      </c>
      <c r="H474">
        <v>22025</v>
      </c>
      <c r="I474">
        <v>22238</v>
      </c>
      <c r="J474">
        <v>22228</v>
      </c>
      <c r="K474">
        <v>22123</v>
      </c>
      <c r="L474">
        <v>21963</v>
      </c>
      <c r="M474">
        <v>21888</v>
      </c>
      <c r="N474">
        <v>21961</v>
      </c>
      <c r="O474">
        <v>21210</v>
      </c>
      <c r="P474">
        <v>21006</v>
      </c>
      <c r="Q474">
        <v>20792</v>
      </c>
      <c r="R474">
        <v>20619</v>
      </c>
    </row>
    <row r="475" spans="1:18">
      <c r="A475">
        <v>44580</v>
      </c>
      <c r="B475" t="s">
        <v>1166</v>
      </c>
      <c r="C475" t="s">
        <v>1261</v>
      </c>
      <c r="D475" t="s">
        <v>1254</v>
      </c>
      <c r="E475">
        <v>58512</v>
      </c>
      <c r="F475">
        <v>58402</v>
      </c>
      <c r="G475">
        <v>57975</v>
      </c>
      <c r="H475">
        <v>57767</v>
      </c>
      <c r="I475">
        <v>57413</v>
      </c>
      <c r="J475">
        <v>57407</v>
      </c>
      <c r="K475">
        <v>57053</v>
      </c>
      <c r="L475">
        <v>56640</v>
      </c>
      <c r="M475">
        <v>56244</v>
      </c>
      <c r="N475">
        <v>56009</v>
      </c>
      <c r="O475">
        <v>55565</v>
      </c>
      <c r="P475">
        <v>55302</v>
      </c>
      <c r="Q475">
        <v>54555</v>
      </c>
      <c r="R475">
        <v>54498</v>
      </c>
    </row>
    <row r="476" spans="1:18">
      <c r="A476">
        <v>44620</v>
      </c>
      <c r="B476" t="s">
        <v>1167</v>
      </c>
      <c r="C476" t="s">
        <v>1261</v>
      </c>
      <c r="D476" t="s">
        <v>1254</v>
      </c>
      <c r="E476">
        <v>70010</v>
      </c>
      <c r="F476">
        <v>70018</v>
      </c>
      <c r="G476">
        <v>70301</v>
      </c>
      <c r="H476">
        <v>70339</v>
      </c>
      <c r="I476">
        <v>70290</v>
      </c>
      <c r="J476">
        <v>70229</v>
      </c>
      <c r="K476">
        <v>70107</v>
      </c>
      <c r="L476">
        <v>70235</v>
      </c>
      <c r="M476">
        <v>70476</v>
      </c>
      <c r="N476">
        <v>70377</v>
      </c>
      <c r="O476">
        <v>70405</v>
      </c>
      <c r="P476">
        <v>69433</v>
      </c>
      <c r="Q476">
        <v>70634</v>
      </c>
      <c r="R476">
        <v>71024</v>
      </c>
    </row>
    <row r="477" spans="1:18">
      <c r="A477">
        <v>44660</v>
      </c>
      <c r="B477" t="s">
        <v>1168</v>
      </c>
      <c r="C477" t="s">
        <v>1261</v>
      </c>
      <c r="D477" t="s">
        <v>1254</v>
      </c>
      <c r="E477">
        <v>77418</v>
      </c>
      <c r="F477">
        <v>78244</v>
      </c>
      <c r="G477">
        <v>78734</v>
      </c>
      <c r="H477">
        <v>79712</v>
      </c>
      <c r="I477">
        <v>80536</v>
      </c>
      <c r="J477">
        <v>81379</v>
      </c>
      <c r="K477">
        <v>81842</v>
      </c>
      <c r="L477">
        <v>81899</v>
      </c>
      <c r="M477">
        <v>82080</v>
      </c>
      <c r="N477">
        <v>81543</v>
      </c>
      <c r="O477">
        <v>81648</v>
      </c>
      <c r="P477">
        <v>82163</v>
      </c>
      <c r="Q477">
        <v>82701</v>
      </c>
      <c r="R477">
        <v>83352</v>
      </c>
    </row>
    <row r="478" spans="1:18">
      <c r="A478">
        <v>44740</v>
      </c>
      <c r="B478" t="s">
        <v>1169</v>
      </c>
      <c r="C478" t="s">
        <v>1261</v>
      </c>
      <c r="D478" t="s">
        <v>1254</v>
      </c>
      <c r="E478">
        <v>20381</v>
      </c>
      <c r="F478">
        <v>20434</v>
      </c>
      <c r="G478">
        <v>20786</v>
      </c>
      <c r="H478">
        <v>20980</v>
      </c>
      <c r="I478">
        <v>21041</v>
      </c>
      <c r="J478">
        <v>20903</v>
      </c>
      <c r="K478">
        <v>20958</v>
      </c>
      <c r="L478">
        <v>20882</v>
      </c>
      <c r="M478">
        <v>20622</v>
      </c>
      <c r="N478">
        <v>20601</v>
      </c>
      <c r="O478">
        <v>20806</v>
      </c>
      <c r="P478">
        <v>20790</v>
      </c>
      <c r="Q478">
        <v>20644</v>
      </c>
      <c r="R478">
        <v>20567</v>
      </c>
    </row>
    <row r="479" spans="1:18">
      <c r="A479">
        <v>44780</v>
      </c>
      <c r="B479" t="s">
        <v>1170</v>
      </c>
      <c r="C479" t="s">
        <v>1261</v>
      </c>
      <c r="D479" t="s">
        <v>1254</v>
      </c>
      <c r="E479">
        <v>61289</v>
      </c>
      <c r="F479">
        <v>61076</v>
      </c>
      <c r="G479">
        <v>61001</v>
      </c>
      <c r="H479">
        <v>61008</v>
      </c>
      <c r="I479">
        <v>61041</v>
      </c>
      <c r="J479">
        <v>60843</v>
      </c>
      <c r="K479">
        <v>60802</v>
      </c>
      <c r="L479">
        <v>60750</v>
      </c>
      <c r="M479">
        <v>60862</v>
      </c>
      <c r="N479">
        <v>60887</v>
      </c>
      <c r="O479">
        <v>60941</v>
      </c>
      <c r="P479">
        <v>60844</v>
      </c>
      <c r="Q479">
        <v>60778</v>
      </c>
      <c r="R479">
        <v>60878</v>
      </c>
    </row>
    <row r="480" spans="1:18">
      <c r="A480">
        <v>44860</v>
      </c>
      <c r="B480" t="s">
        <v>1171</v>
      </c>
      <c r="C480" t="s">
        <v>1261</v>
      </c>
      <c r="D480" t="s">
        <v>1254</v>
      </c>
      <c r="E480">
        <v>35202</v>
      </c>
      <c r="F480">
        <v>35218</v>
      </c>
      <c r="G480">
        <v>35232</v>
      </c>
      <c r="H480">
        <v>35186</v>
      </c>
      <c r="I480">
        <v>35538</v>
      </c>
      <c r="J480">
        <v>35786</v>
      </c>
      <c r="K480">
        <v>35942</v>
      </c>
      <c r="L480">
        <v>36196</v>
      </c>
      <c r="M480">
        <v>36393</v>
      </c>
      <c r="N480">
        <v>36725</v>
      </c>
      <c r="O480">
        <v>36827</v>
      </c>
      <c r="P480">
        <v>37210</v>
      </c>
      <c r="Q480">
        <v>37793</v>
      </c>
      <c r="R480">
        <v>38172</v>
      </c>
    </row>
    <row r="481" spans="1:18">
      <c r="A481">
        <v>44900</v>
      </c>
      <c r="B481" t="s">
        <v>1172</v>
      </c>
      <c r="C481" t="s">
        <v>1261</v>
      </c>
      <c r="D481" t="s">
        <v>1254</v>
      </c>
      <c r="E481">
        <v>25960</v>
      </c>
      <c r="F481">
        <v>25700</v>
      </c>
      <c r="G481">
        <v>25655</v>
      </c>
      <c r="H481">
        <v>25089</v>
      </c>
      <c r="I481">
        <v>24905</v>
      </c>
      <c r="J481">
        <v>24961</v>
      </c>
      <c r="K481">
        <v>24897</v>
      </c>
      <c r="L481">
        <v>24815</v>
      </c>
      <c r="M481">
        <v>24902</v>
      </c>
      <c r="N481">
        <v>24918</v>
      </c>
      <c r="O481">
        <v>24925</v>
      </c>
      <c r="P481">
        <v>24844</v>
      </c>
      <c r="Q481">
        <v>24962</v>
      </c>
      <c r="R481">
        <v>25222</v>
      </c>
    </row>
    <row r="482" spans="1:18">
      <c r="A482">
        <v>44980</v>
      </c>
      <c r="B482" t="s">
        <v>1173</v>
      </c>
      <c r="C482" t="s">
        <v>1261</v>
      </c>
      <c r="D482" t="s">
        <v>1254</v>
      </c>
      <c r="E482">
        <v>94319</v>
      </c>
      <c r="F482">
        <v>94553</v>
      </c>
      <c r="G482">
        <v>94703</v>
      </c>
      <c r="H482">
        <v>94300</v>
      </c>
      <c r="I482">
        <v>94146</v>
      </c>
      <c r="J482">
        <v>93561</v>
      </c>
      <c r="K482">
        <v>93124</v>
      </c>
      <c r="L482">
        <v>92675</v>
      </c>
      <c r="M482">
        <v>92151</v>
      </c>
      <c r="N482">
        <v>91829</v>
      </c>
      <c r="O482">
        <v>91545</v>
      </c>
      <c r="P482">
        <v>90989</v>
      </c>
      <c r="Q482">
        <v>90123</v>
      </c>
      <c r="R482">
        <v>90120</v>
      </c>
    </row>
    <row r="483" spans="1:18">
      <c r="A483">
        <v>45000</v>
      </c>
      <c r="B483" t="s">
        <v>1174</v>
      </c>
      <c r="C483" t="s">
        <v>1261</v>
      </c>
      <c r="D483" t="s">
        <v>1254</v>
      </c>
      <c r="E483">
        <v>34901</v>
      </c>
      <c r="F483">
        <v>34595</v>
      </c>
      <c r="G483">
        <v>34263</v>
      </c>
      <c r="H483">
        <v>33015</v>
      </c>
      <c r="I483">
        <v>32812</v>
      </c>
      <c r="J483">
        <v>32662</v>
      </c>
      <c r="K483">
        <v>32368</v>
      </c>
      <c r="L483">
        <v>32857</v>
      </c>
      <c r="M483">
        <v>32854</v>
      </c>
      <c r="N483">
        <v>33169</v>
      </c>
      <c r="O483">
        <v>32315</v>
      </c>
      <c r="P483">
        <v>31885</v>
      </c>
      <c r="Q483">
        <v>30020</v>
      </c>
      <c r="R483">
        <v>28861</v>
      </c>
    </row>
    <row r="484" spans="1:18">
      <c r="A484">
        <v>45020</v>
      </c>
      <c r="B484" t="s">
        <v>1175</v>
      </c>
      <c r="C484" t="s">
        <v>1261</v>
      </c>
      <c r="D484" t="s">
        <v>1254</v>
      </c>
      <c r="E484">
        <v>15244</v>
      </c>
      <c r="F484">
        <v>15134</v>
      </c>
      <c r="G484">
        <v>14915</v>
      </c>
      <c r="H484">
        <v>15040</v>
      </c>
      <c r="I484">
        <v>15092</v>
      </c>
      <c r="J484">
        <v>15069</v>
      </c>
      <c r="K484">
        <v>15012</v>
      </c>
      <c r="L484">
        <v>14832</v>
      </c>
      <c r="M484">
        <v>14753</v>
      </c>
      <c r="N484">
        <v>14730</v>
      </c>
      <c r="O484">
        <v>14721</v>
      </c>
      <c r="P484">
        <v>14605</v>
      </c>
      <c r="Q484">
        <v>14460</v>
      </c>
      <c r="R484">
        <v>14306</v>
      </c>
    </row>
    <row r="485" spans="1:18">
      <c r="A485">
        <v>45140</v>
      </c>
      <c r="B485" t="s">
        <v>1176</v>
      </c>
      <c r="C485" t="s">
        <v>1261</v>
      </c>
      <c r="D485" t="s">
        <v>1254</v>
      </c>
      <c r="E485">
        <v>47081</v>
      </c>
      <c r="F485">
        <v>47479</v>
      </c>
      <c r="G485">
        <v>47583</v>
      </c>
      <c r="H485">
        <v>47283</v>
      </c>
      <c r="I485">
        <v>47465</v>
      </c>
      <c r="J485">
        <v>47414</v>
      </c>
      <c r="K485">
        <v>47691</v>
      </c>
      <c r="L485">
        <v>47589</v>
      </c>
      <c r="M485">
        <v>47145</v>
      </c>
      <c r="N485">
        <v>47078</v>
      </c>
      <c r="O485">
        <v>47096</v>
      </c>
      <c r="P485">
        <v>47659</v>
      </c>
      <c r="Q485">
        <v>48074</v>
      </c>
      <c r="R485">
        <v>48185</v>
      </c>
    </row>
    <row r="486" spans="1:18">
      <c r="A486">
        <v>45180</v>
      </c>
      <c r="B486" t="s">
        <v>1177</v>
      </c>
      <c r="C486" t="s">
        <v>1261</v>
      </c>
      <c r="D486" t="s">
        <v>1254</v>
      </c>
      <c r="E486">
        <v>82228</v>
      </c>
      <c r="F486">
        <v>82142</v>
      </c>
      <c r="G486">
        <v>82653</v>
      </c>
      <c r="H486">
        <v>82296</v>
      </c>
      <c r="I486">
        <v>82453</v>
      </c>
      <c r="J486">
        <v>82278</v>
      </c>
      <c r="K486">
        <v>81909</v>
      </c>
      <c r="L486">
        <v>81704</v>
      </c>
      <c r="M486">
        <v>81940</v>
      </c>
      <c r="N486">
        <v>82156</v>
      </c>
      <c r="O486">
        <v>81575</v>
      </c>
      <c r="P486">
        <v>80734</v>
      </c>
      <c r="Q486">
        <v>80748</v>
      </c>
      <c r="R486">
        <v>81132</v>
      </c>
    </row>
    <row r="487" spans="1:18">
      <c r="A487">
        <v>45340</v>
      </c>
      <c r="B487" t="s">
        <v>1178</v>
      </c>
      <c r="C487" t="s">
        <v>1261</v>
      </c>
      <c r="D487" t="s">
        <v>1254</v>
      </c>
      <c r="E487">
        <v>32940</v>
      </c>
      <c r="F487">
        <v>33114</v>
      </c>
      <c r="G487">
        <v>33159</v>
      </c>
      <c r="H487">
        <v>33530</v>
      </c>
      <c r="I487">
        <v>33713</v>
      </c>
      <c r="J487">
        <v>33724</v>
      </c>
      <c r="K487">
        <v>34026</v>
      </c>
      <c r="L487">
        <v>34088</v>
      </c>
      <c r="M487">
        <v>34160</v>
      </c>
      <c r="N487">
        <v>34385</v>
      </c>
      <c r="O487">
        <v>34463</v>
      </c>
      <c r="P487">
        <v>34685</v>
      </c>
      <c r="Q487">
        <v>34590</v>
      </c>
      <c r="R487">
        <v>34405</v>
      </c>
    </row>
    <row r="488" spans="1:18">
      <c r="A488">
        <v>45380</v>
      </c>
      <c r="B488" t="s">
        <v>1179</v>
      </c>
      <c r="C488" t="s">
        <v>1261</v>
      </c>
      <c r="D488" t="s">
        <v>1254</v>
      </c>
      <c r="E488">
        <v>34815</v>
      </c>
      <c r="F488">
        <v>34942</v>
      </c>
      <c r="G488">
        <v>34947</v>
      </c>
      <c r="H488">
        <v>34764</v>
      </c>
      <c r="I488">
        <v>34614</v>
      </c>
      <c r="J488">
        <v>34449</v>
      </c>
      <c r="K488">
        <v>34418</v>
      </c>
      <c r="L488">
        <v>34373</v>
      </c>
      <c r="M488">
        <v>34209</v>
      </c>
      <c r="N488">
        <v>34097</v>
      </c>
      <c r="O488">
        <v>33960</v>
      </c>
      <c r="P488">
        <v>33703</v>
      </c>
      <c r="Q488">
        <v>33390</v>
      </c>
      <c r="R488">
        <v>33228</v>
      </c>
    </row>
    <row r="489" spans="1:18">
      <c r="A489">
        <v>45520</v>
      </c>
      <c r="B489" t="s">
        <v>1180</v>
      </c>
      <c r="C489" t="s">
        <v>1261</v>
      </c>
      <c r="D489" t="s">
        <v>1254</v>
      </c>
      <c r="E489">
        <v>25287</v>
      </c>
      <c r="F489">
        <v>25240</v>
      </c>
      <c r="G489">
        <v>25418</v>
      </c>
      <c r="H489">
        <v>25390</v>
      </c>
      <c r="I489">
        <v>25356</v>
      </c>
      <c r="J489">
        <v>25570</v>
      </c>
      <c r="K489">
        <v>25913</v>
      </c>
      <c r="L489">
        <v>26440</v>
      </c>
      <c r="M489">
        <v>26511</v>
      </c>
      <c r="N489">
        <v>26720</v>
      </c>
      <c r="O489">
        <v>26640</v>
      </c>
      <c r="P489">
        <v>26739</v>
      </c>
      <c r="Q489">
        <v>26555</v>
      </c>
      <c r="R489">
        <v>26333</v>
      </c>
    </row>
    <row r="490" spans="1:18">
      <c r="A490">
        <v>45580</v>
      </c>
      <c r="B490" t="s">
        <v>1181</v>
      </c>
      <c r="C490" t="s">
        <v>1261</v>
      </c>
      <c r="D490" t="s">
        <v>1254</v>
      </c>
      <c r="E490">
        <v>27081</v>
      </c>
      <c r="F490">
        <v>27064</v>
      </c>
      <c r="G490">
        <v>26819</v>
      </c>
      <c r="H490">
        <v>26796</v>
      </c>
      <c r="I490">
        <v>26647</v>
      </c>
      <c r="J490">
        <v>26834</v>
      </c>
      <c r="K490">
        <v>26955</v>
      </c>
      <c r="L490">
        <v>27049</v>
      </c>
      <c r="M490">
        <v>27192</v>
      </c>
      <c r="N490">
        <v>27466</v>
      </c>
      <c r="O490">
        <v>27745</v>
      </c>
      <c r="P490">
        <v>27689</v>
      </c>
      <c r="Q490">
        <v>28093</v>
      </c>
      <c r="R490">
        <v>28263</v>
      </c>
    </row>
    <row r="491" spans="1:18">
      <c r="A491">
        <v>45620</v>
      </c>
      <c r="B491" t="s">
        <v>1182</v>
      </c>
      <c r="C491" t="s">
        <v>1261</v>
      </c>
      <c r="D491" t="s">
        <v>1254</v>
      </c>
      <c r="E491">
        <v>44779</v>
      </c>
      <c r="F491">
        <v>44761</v>
      </c>
      <c r="G491">
        <v>44842</v>
      </c>
      <c r="H491">
        <v>45228</v>
      </c>
      <c r="I491">
        <v>45367</v>
      </c>
      <c r="J491">
        <v>45540</v>
      </c>
      <c r="K491">
        <v>45827</v>
      </c>
      <c r="L491">
        <v>45615</v>
      </c>
      <c r="M491">
        <v>45459</v>
      </c>
      <c r="N491">
        <v>45688</v>
      </c>
      <c r="O491">
        <v>45775</v>
      </c>
      <c r="P491">
        <v>45818</v>
      </c>
      <c r="Q491">
        <v>45551</v>
      </c>
      <c r="R491">
        <v>45649</v>
      </c>
    </row>
    <row r="492" spans="1:18">
      <c r="A492">
        <v>45660</v>
      </c>
      <c r="B492" t="s">
        <v>1183</v>
      </c>
      <c r="C492" t="s">
        <v>1261</v>
      </c>
      <c r="D492" t="s">
        <v>1254</v>
      </c>
      <c r="E492">
        <v>56621</v>
      </c>
      <c r="F492">
        <v>56535</v>
      </c>
      <c r="G492">
        <v>56133</v>
      </c>
      <c r="H492">
        <v>55883</v>
      </c>
      <c r="I492">
        <v>55849</v>
      </c>
      <c r="J492">
        <v>55709</v>
      </c>
      <c r="K492">
        <v>55561</v>
      </c>
      <c r="L492">
        <v>55374</v>
      </c>
      <c r="M492">
        <v>55315</v>
      </c>
      <c r="N492">
        <v>55286</v>
      </c>
      <c r="O492">
        <v>55054</v>
      </c>
      <c r="P492">
        <v>54864</v>
      </c>
      <c r="Q492">
        <v>54534</v>
      </c>
      <c r="R492">
        <v>54527</v>
      </c>
    </row>
    <row r="493" spans="1:18">
      <c r="A493">
        <v>45700</v>
      </c>
      <c r="B493" t="s">
        <v>1184</v>
      </c>
      <c r="C493" t="s">
        <v>1261</v>
      </c>
      <c r="D493" t="s">
        <v>1254</v>
      </c>
      <c r="E493">
        <v>40266</v>
      </c>
      <c r="F493">
        <v>41239</v>
      </c>
      <c r="G493">
        <v>41088</v>
      </c>
      <c r="H493">
        <v>40380</v>
      </c>
      <c r="I493">
        <v>40718</v>
      </c>
      <c r="J493">
        <v>40861</v>
      </c>
      <c r="K493">
        <v>40947</v>
      </c>
      <c r="L493">
        <v>40900</v>
      </c>
      <c r="M493">
        <v>41069</v>
      </c>
      <c r="N493">
        <v>41223</v>
      </c>
      <c r="O493">
        <v>41387</v>
      </c>
      <c r="P493">
        <v>41082</v>
      </c>
      <c r="Q493">
        <v>41335</v>
      </c>
      <c r="R493">
        <v>41554</v>
      </c>
    </row>
    <row r="494" spans="1:18">
      <c r="A494">
        <v>45740</v>
      </c>
      <c r="B494" t="s">
        <v>1185</v>
      </c>
      <c r="C494" t="s">
        <v>1261</v>
      </c>
      <c r="D494" t="s">
        <v>1254</v>
      </c>
      <c r="E494">
        <v>26141</v>
      </c>
      <c r="F494">
        <v>25846</v>
      </c>
      <c r="G494">
        <v>25871</v>
      </c>
      <c r="H494">
        <v>25786</v>
      </c>
      <c r="I494">
        <v>25710</v>
      </c>
      <c r="J494">
        <v>25822</v>
      </c>
      <c r="K494">
        <v>26097</v>
      </c>
      <c r="L494">
        <v>26270</v>
      </c>
      <c r="M494">
        <v>26642</v>
      </c>
      <c r="N494">
        <v>26641</v>
      </c>
      <c r="O494">
        <v>26818</v>
      </c>
      <c r="P494">
        <v>26765</v>
      </c>
      <c r="Q494">
        <v>26746</v>
      </c>
      <c r="R494">
        <v>27228</v>
      </c>
    </row>
    <row r="495" spans="1:18">
      <c r="A495">
        <v>45860</v>
      </c>
      <c r="B495" t="s">
        <v>1186</v>
      </c>
      <c r="C495" t="s">
        <v>1261</v>
      </c>
      <c r="D495" t="s">
        <v>1254</v>
      </c>
      <c r="E495">
        <v>189898</v>
      </c>
      <c r="F495">
        <v>189659</v>
      </c>
      <c r="G495">
        <v>188811</v>
      </c>
      <c r="H495">
        <v>188622</v>
      </c>
      <c r="I495">
        <v>187661</v>
      </c>
      <c r="J495">
        <v>186974</v>
      </c>
      <c r="K495">
        <v>186156</v>
      </c>
      <c r="L495">
        <v>185552</v>
      </c>
      <c r="M495">
        <v>185504</v>
      </c>
      <c r="N495">
        <v>185264</v>
      </c>
      <c r="O495">
        <v>184702</v>
      </c>
      <c r="P495">
        <v>185731</v>
      </c>
      <c r="Q495">
        <v>186115</v>
      </c>
      <c r="R495">
        <v>186551</v>
      </c>
    </row>
    <row r="496" spans="1:18">
      <c r="A496">
        <v>45900</v>
      </c>
      <c r="B496" t="s">
        <v>1187</v>
      </c>
      <c r="C496" t="s">
        <v>1261</v>
      </c>
      <c r="D496" t="s">
        <v>1254</v>
      </c>
      <c r="E496">
        <v>143387</v>
      </c>
      <c r="F496">
        <v>144615</v>
      </c>
      <c r="G496">
        <v>145534</v>
      </c>
      <c r="H496">
        <v>146978</v>
      </c>
      <c r="I496">
        <v>148291</v>
      </c>
      <c r="J496">
        <v>149065</v>
      </c>
      <c r="K496">
        <v>149802</v>
      </c>
      <c r="L496">
        <v>150400</v>
      </c>
      <c r="M496">
        <v>151649</v>
      </c>
      <c r="N496">
        <v>152593</v>
      </c>
      <c r="O496">
        <v>153654</v>
      </c>
      <c r="P496">
        <v>154827</v>
      </c>
      <c r="Q496">
        <v>155752</v>
      </c>
      <c r="R496">
        <v>156371</v>
      </c>
    </row>
    <row r="497" spans="1:18">
      <c r="A497">
        <v>45980</v>
      </c>
      <c r="B497" t="s">
        <v>1188</v>
      </c>
      <c r="C497" t="s">
        <v>1261</v>
      </c>
      <c r="D497" t="s">
        <v>1254</v>
      </c>
      <c r="E497">
        <v>32973</v>
      </c>
      <c r="F497">
        <v>33037</v>
      </c>
      <c r="G497">
        <v>33235</v>
      </c>
      <c r="H497">
        <v>33743</v>
      </c>
      <c r="I497">
        <v>33235</v>
      </c>
      <c r="J497">
        <v>33540</v>
      </c>
      <c r="K497">
        <v>33564</v>
      </c>
      <c r="L497">
        <v>33469</v>
      </c>
      <c r="M497">
        <v>33420</v>
      </c>
      <c r="N497">
        <v>33066</v>
      </c>
      <c r="O497">
        <v>32900</v>
      </c>
      <c r="P497">
        <v>32746</v>
      </c>
      <c r="Q497">
        <v>33008</v>
      </c>
      <c r="R497">
        <v>33137</v>
      </c>
    </row>
    <row r="498" spans="1:18">
      <c r="A498">
        <v>46020</v>
      </c>
      <c r="B498" t="s">
        <v>1189</v>
      </c>
      <c r="C498" t="s">
        <v>1261</v>
      </c>
      <c r="D498" t="s">
        <v>1254</v>
      </c>
      <c r="E498">
        <v>98856</v>
      </c>
      <c r="F498">
        <v>99021</v>
      </c>
      <c r="G498">
        <v>98714</v>
      </c>
      <c r="H498">
        <v>98761</v>
      </c>
      <c r="I498">
        <v>99649</v>
      </c>
      <c r="J498">
        <v>100009</v>
      </c>
      <c r="K498">
        <v>100485</v>
      </c>
      <c r="L498">
        <v>101226</v>
      </c>
      <c r="M498">
        <v>101530</v>
      </c>
      <c r="N498">
        <v>101962</v>
      </c>
      <c r="O498">
        <v>102265</v>
      </c>
      <c r="P498">
        <v>103517</v>
      </c>
      <c r="Q498">
        <v>102401</v>
      </c>
      <c r="R498">
        <v>102037</v>
      </c>
    </row>
    <row r="499" spans="1:18">
      <c r="A499">
        <v>46100</v>
      </c>
      <c r="B499" t="s">
        <v>1190</v>
      </c>
      <c r="C499" t="s">
        <v>1261</v>
      </c>
      <c r="D499" t="s">
        <v>1254</v>
      </c>
      <c r="E499">
        <v>100082</v>
      </c>
      <c r="F499">
        <v>100264</v>
      </c>
      <c r="G499">
        <v>100341</v>
      </c>
      <c r="H499">
        <v>101101</v>
      </c>
      <c r="I499">
        <v>101498</v>
      </c>
      <c r="J499">
        <v>102189</v>
      </c>
      <c r="K499">
        <v>102950</v>
      </c>
      <c r="L499">
        <v>103748</v>
      </c>
      <c r="M499">
        <v>105151</v>
      </c>
      <c r="N499">
        <v>106149</v>
      </c>
      <c r="O499">
        <v>107454</v>
      </c>
      <c r="P499">
        <v>108830</v>
      </c>
      <c r="Q499">
        <v>110614</v>
      </c>
      <c r="R499">
        <v>112035</v>
      </c>
    </row>
    <row r="500" spans="1:18">
      <c r="A500">
        <v>46180</v>
      </c>
      <c r="B500" t="s">
        <v>1191</v>
      </c>
      <c r="C500" t="s">
        <v>1261</v>
      </c>
      <c r="D500" t="s">
        <v>1254</v>
      </c>
      <c r="E500">
        <v>161513</v>
      </c>
      <c r="F500">
        <v>162102</v>
      </c>
      <c r="G500">
        <v>163132</v>
      </c>
      <c r="H500">
        <v>163584</v>
      </c>
      <c r="I500">
        <v>163180</v>
      </c>
      <c r="J500">
        <v>163135</v>
      </c>
      <c r="K500">
        <v>163384</v>
      </c>
      <c r="L500">
        <v>163514</v>
      </c>
      <c r="M500">
        <v>163417</v>
      </c>
      <c r="N500">
        <v>163650</v>
      </c>
      <c r="O500">
        <v>163351</v>
      </c>
      <c r="P500">
        <v>163180</v>
      </c>
      <c r="Q500">
        <v>163053</v>
      </c>
      <c r="R500">
        <v>163562</v>
      </c>
    </row>
    <row r="501" spans="1:18">
      <c r="A501">
        <v>46380</v>
      </c>
      <c r="B501" t="s">
        <v>1192</v>
      </c>
      <c r="C501" t="s">
        <v>1261</v>
      </c>
      <c r="D501" t="s">
        <v>1254</v>
      </c>
      <c r="E501">
        <v>87922</v>
      </c>
      <c r="F501">
        <v>87969</v>
      </c>
      <c r="G501">
        <v>88438</v>
      </c>
      <c r="H501">
        <v>88725</v>
      </c>
      <c r="I501">
        <v>89422</v>
      </c>
      <c r="J501">
        <v>89822</v>
      </c>
      <c r="K501">
        <v>90541</v>
      </c>
      <c r="L501">
        <v>91454</v>
      </c>
      <c r="M501">
        <v>91838</v>
      </c>
      <c r="N501">
        <v>91721</v>
      </c>
      <c r="O501">
        <v>91367</v>
      </c>
      <c r="P501">
        <v>91321</v>
      </c>
      <c r="Q501">
        <v>90007</v>
      </c>
      <c r="R501">
        <v>89108</v>
      </c>
    </row>
    <row r="502" spans="1:18">
      <c r="A502">
        <v>46420</v>
      </c>
      <c r="B502" t="s">
        <v>1193</v>
      </c>
      <c r="C502" t="s">
        <v>1261</v>
      </c>
      <c r="D502" t="s">
        <v>1254</v>
      </c>
      <c r="E502">
        <v>28917</v>
      </c>
      <c r="F502">
        <v>28671</v>
      </c>
      <c r="G502">
        <v>28224</v>
      </c>
      <c r="H502">
        <v>28037</v>
      </c>
      <c r="I502">
        <v>27971</v>
      </c>
      <c r="J502">
        <v>27804</v>
      </c>
      <c r="K502">
        <v>27739</v>
      </c>
      <c r="L502">
        <v>27535</v>
      </c>
      <c r="M502">
        <v>27443</v>
      </c>
      <c r="N502">
        <v>27351</v>
      </c>
      <c r="O502">
        <v>27181</v>
      </c>
      <c r="P502">
        <v>27010</v>
      </c>
      <c r="Q502">
        <v>26739</v>
      </c>
      <c r="R502">
        <v>26629</v>
      </c>
    </row>
    <row r="503" spans="1:18">
      <c r="A503">
        <v>46460</v>
      </c>
      <c r="B503" t="s">
        <v>1194</v>
      </c>
      <c r="C503" t="s">
        <v>1261</v>
      </c>
      <c r="D503" t="s">
        <v>1254</v>
      </c>
      <c r="E503">
        <v>31838</v>
      </c>
      <c r="F503">
        <v>31757</v>
      </c>
      <c r="G503">
        <v>31459</v>
      </c>
      <c r="H503">
        <v>31230</v>
      </c>
      <c r="I503">
        <v>31101</v>
      </c>
      <c r="J503">
        <v>30892</v>
      </c>
      <c r="K503">
        <v>30943</v>
      </c>
      <c r="L503">
        <v>30836</v>
      </c>
      <c r="M503">
        <v>30837</v>
      </c>
      <c r="N503">
        <v>30789</v>
      </c>
      <c r="O503">
        <v>30775</v>
      </c>
      <c r="P503">
        <v>30459</v>
      </c>
      <c r="Q503">
        <v>30374</v>
      </c>
      <c r="R503">
        <v>30411</v>
      </c>
    </row>
    <row r="504" spans="1:18">
      <c r="A504">
        <v>46500</v>
      </c>
      <c r="B504" t="s">
        <v>1195</v>
      </c>
      <c r="C504" t="s">
        <v>1261</v>
      </c>
      <c r="D504" t="s">
        <v>1254</v>
      </c>
      <c r="E504">
        <v>40072</v>
      </c>
      <c r="F504">
        <v>39798</v>
      </c>
      <c r="G504">
        <v>39525</v>
      </c>
      <c r="H504">
        <v>39390</v>
      </c>
      <c r="I504">
        <v>38989</v>
      </c>
      <c r="J504">
        <v>38852</v>
      </c>
      <c r="K504">
        <v>38614</v>
      </c>
      <c r="L504">
        <v>38688</v>
      </c>
      <c r="M504">
        <v>38607</v>
      </c>
      <c r="N504">
        <v>38714</v>
      </c>
      <c r="O504">
        <v>38743</v>
      </c>
      <c r="P504">
        <v>38794</v>
      </c>
      <c r="Q504">
        <v>38743</v>
      </c>
      <c r="R504">
        <v>38845</v>
      </c>
    </row>
    <row r="505" spans="1:18">
      <c r="A505">
        <v>46620</v>
      </c>
      <c r="B505" t="s">
        <v>1196</v>
      </c>
      <c r="C505" t="s">
        <v>1261</v>
      </c>
      <c r="D505" t="s">
        <v>1254</v>
      </c>
      <c r="E505">
        <v>26386</v>
      </c>
      <c r="F505">
        <v>26311</v>
      </c>
      <c r="G505">
        <v>26245</v>
      </c>
      <c r="H505">
        <v>26184</v>
      </c>
      <c r="I505">
        <v>26074</v>
      </c>
      <c r="J505">
        <v>25790</v>
      </c>
      <c r="K505">
        <v>25700</v>
      </c>
      <c r="L505">
        <v>25478</v>
      </c>
      <c r="M505">
        <v>25015</v>
      </c>
      <c r="N505">
        <v>24795</v>
      </c>
      <c r="O505">
        <v>24571</v>
      </c>
      <c r="P505">
        <v>24803</v>
      </c>
      <c r="Q505">
        <v>24890</v>
      </c>
      <c r="R505">
        <v>24960</v>
      </c>
    </row>
    <row r="506" spans="1:18">
      <c r="A506">
        <v>46780</v>
      </c>
      <c r="B506" t="s">
        <v>1197</v>
      </c>
      <c r="C506" t="s">
        <v>1261</v>
      </c>
      <c r="D506" t="s">
        <v>1254</v>
      </c>
      <c r="E506">
        <v>28697</v>
      </c>
      <c r="F506">
        <v>28717</v>
      </c>
      <c r="G506">
        <v>28803</v>
      </c>
      <c r="H506">
        <v>28588</v>
      </c>
      <c r="I506">
        <v>28645</v>
      </c>
      <c r="J506">
        <v>28703</v>
      </c>
      <c r="K506">
        <v>28653</v>
      </c>
      <c r="L506">
        <v>28807</v>
      </c>
      <c r="M506">
        <v>28763</v>
      </c>
      <c r="N506">
        <v>28891</v>
      </c>
      <c r="O506">
        <v>28916</v>
      </c>
      <c r="P506">
        <v>28784</v>
      </c>
      <c r="Q506">
        <v>28804</v>
      </c>
      <c r="R506">
        <v>28704</v>
      </c>
    </row>
    <row r="507" spans="1:18">
      <c r="A507">
        <v>46820</v>
      </c>
      <c r="B507" t="s">
        <v>1198</v>
      </c>
      <c r="C507" t="s">
        <v>1261</v>
      </c>
      <c r="D507" t="s">
        <v>1254</v>
      </c>
      <c r="E507">
        <v>13848</v>
      </c>
      <c r="F507">
        <v>14084</v>
      </c>
      <c r="G507">
        <v>14241</v>
      </c>
      <c r="H507">
        <v>14149</v>
      </c>
      <c r="I507">
        <v>14214</v>
      </c>
      <c r="J507">
        <v>14175</v>
      </c>
      <c r="K507">
        <v>14435</v>
      </c>
      <c r="L507">
        <v>14607</v>
      </c>
      <c r="M507">
        <v>14586</v>
      </c>
      <c r="N507">
        <v>14776</v>
      </c>
      <c r="O507">
        <v>15000</v>
      </c>
      <c r="P507">
        <v>15165</v>
      </c>
      <c r="Q507">
        <v>15301</v>
      </c>
      <c r="R507">
        <v>15431</v>
      </c>
    </row>
    <row r="508" spans="1:18">
      <c r="A508">
        <v>46860</v>
      </c>
      <c r="B508" t="s">
        <v>1199</v>
      </c>
      <c r="C508" t="s">
        <v>1261</v>
      </c>
      <c r="D508" t="s">
        <v>1254</v>
      </c>
      <c r="E508">
        <v>32457</v>
      </c>
      <c r="F508">
        <v>33208</v>
      </c>
      <c r="G508">
        <v>34576</v>
      </c>
      <c r="H508">
        <v>35589</v>
      </c>
      <c r="I508">
        <v>36789</v>
      </c>
      <c r="J508">
        <v>37631</v>
      </c>
      <c r="K508">
        <v>36050</v>
      </c>
      <c r="L508">
        <v>34998</v>
      </c>
      <c r="M508">
        <v>35137</v>
      </c>
      <c r="N508">
        <v>35501</v>
      </c>
      <c r="O508">
        <v>35672</v>
      </c>
      <c r="P508">
        <v>36229</v>
      </c>
      <c r="Q508">
        <v>37104</v>
      </c>
      <c r="R508">
        <v>37747</v>
      </c>
    </row>
    <row r="509" spans="1:18">
      <c r="A509">
        <v>46900</v>
      </c>
      <c r="B509" t="s">
        <v>1200</v>
      </c>
      <c r="C509" t="s">
        <v>1261</v>
      </c>
      <c r="D509" t="s">
        <v>1254</v>
      </c>
      <c r="E509">
        <v>13517</v>
      </c>
      <c r="F509">
        <v>13493</v>
      </c>
      <c r="G509">
        <v>13363</v>
      </c>
      <c r="H509">
        <v>13306</v>
      </c>
      <c r="I509">
        <v>13117</v>
      </c>
      <c r="J509">
        <v>13216</v>
      </c>
      <c r="K509">
        <v>13077</v>
      </c>
      <c r="L509">
        <v>12903</v>
      </c>
      <c r="M509">
        <v>12993</v>
      </c>
      <c r="N509">
        <v>12963</v>
      </c>
      <c r="O509">
        <v>12842</v>
      </c>
      <c r="P509">
        <v>12703</v>
      </c>
      <c r="Q509">
        <v>12535</v>
      </c>
      <c r="R509">
        <v>12522</v>
      </c>
    </row>
    <row r="510" spans="1:18">
      <c r="A510">
        <v>46980</v>
      </c>
      <c r="B510" t="s">
        <v>1201</v>
      </c>
      <c r="C510" t="s">
        <v>1261</v>
      </c>
      <c r="D510" t="s">
        <v>1254</v>
      </c>
      <c r="E510">
        <v>48826</v>
      </c>
      <c r="F510">
        <v>48287</v>
      </c>
      <c r="G510">
        <v>48158</v>
      </c>
      <c r="H510">
        <v>48202</v>
      </c>
      <c r="I510">
        <v>47822</v>
      </c>
      <c r="J510">
        <v>47336</v>
      </c>
      <c r="K510">
        <v>46827</v>
      </c>
      <c r="L510">
        <v>46499</v>
      </c>
      <c r="M510">
        <v>45850</v>
      </c>
      <c r="N510">
        <v>45206</v>
      </c>
      <c r="O510">
        <v>44544</v>
      </c>
      <c r="P510">
        <v>43430</v>
      </c>
      <c r="Q510">
        <v>42635</v>
      </c>
      <c r="R510">
        <v>42298</v>
      </c>
    </row>
    <row r="511" spans="1:18">
      <c r="A511">
        <v>47080</v>
      </c>
      <c r="B511" t="s">
        <v>1202</v>
      </c>
      <c r="C511" t="s">
        <v>1261</v>
      </c>
      <c r="D511" t="s">
        <v>1254</v>
      </c>
      <c r="E511">
        <v>36379</v>
      </c>
      <c r="F511">
        <v>36182</v>
      </c>
      <c r="G511">
        <v>35977</v>
      </c>
      <c r="H511">
        <v>36027</v>
      </c>
      <c r="I511">
        <v>35964</v>
      </c>
      <c r="J511">
        <v>35911</v>
      </c>
      <c r="K511">
        <v>35922</v>
      </c>
      <c r="L511">
        <v>35649</v>
      </c>
      <c r="M511">
        <v>35777</v>
      </c>
      <c r="N511">
        <v>35667</v>
      </c>
      <c r="O511">
        <v>35654</v>
      </c>
      <c r="P511">
        <v>35493</v>
      </c>
      <c r="Q511">
        <v>35456</v>
      </c>
      <c r="R511">
        <v>35801</v>
      </c>
    </row>
    <row r="512" spans="1:18">
      <c r="A512">
        <v>47180</v>
      </c>
      <c r="B512" t="s">
        <v>1203</v>
      </c>
      <c r="C512" t="s">
        <v>1261</v>
      </c>
      <c r="D512" t="s">
        <v>1254</v>
      </c>
      <c r="E512">
        <v>38388</v>
      </c>
      <c r="F512">
        <v>38446</v>
      </c>
      <c r="G512">
        <v>37927</v>
      </c>
      <c r="H512">
        <v>37986</v>
      </c>
      <c r="I512">
        <v>37869</v>
      </c>
      <c r="J512">
        <v>37648</v>
      </c>
      <c r="K512">
        <v>37207</v>
      </c>
      <c r="L512">
        <v>36886</v>
      </c>
      <c r="M512">
        <v>36395</v>
      </c>
      <c r="N512">
        <v>36370</v>
      </c>
      <c r="O512">
        <v>36256</v>
      </c>
      <c r="P512">
        <v>35976</v>
      </c>
      <c r="Q512">
        <v>35876</v>
      </c>
      <c r="R512">
        <v>36070</v>
      </c>
    </row>
    <row r="513" spans="1:18">
      <c r="A513">
        <v>47240</v>
      </c>
      <c r="B513" t="s">
        <v>1204</v>
      </c>
      <c r="C513" t="s">
        <v>1261</v>
      </c>
      <c r="D513" t="s">
        <v>1254</v>
      </c>
      <c r="E513">
        <v>16639</v>
      </c>
      <c r="F513">
        <v>17046</v>
      </c>
      <c r="G513">
        <v>17461</v>
      </c>
      <c r="H513">
        <v>18097</v>
      </c>
      <c r="I513">
        <v>18540</v>
      </c>
      <c r="J513">
        <v>18817</v>
      </c>
      <c r="K513">
        <v>19189</v>
      </c>
      <c r="L513">
        <v>19584</v>
      </c>
      <c r="M513">
        <v>19945</v>
      </c>
      <c r="N513">
        <v>20270</v>
      </c>
      <c r="O513">
        <v>20593</v>
      </c>
      <c r="P513">
        <v>21127</v>
      </c>
      <c r="Q513">
        <v>20962</v>
      </c>
      <c r="R513">
        <v>20819</v>
      </c>
    </row>
    <row r="514" spans="1:18">
      <c r="A514">
        <v>47340</v>
      </c>
      <c r="B514" t="s">
        <v>1205</v>
      </c>
      <c r="C514" t="s">
        <v>1261</v>
      </c>
      <c r="D514" t="s">
        <v>1254</v>
      </c>
      <c r="E514">
        <v>32854</v>
      </c>
      <c r="F514">
        <v>32590</v>
      </c>
      <c r="G514">
        <v>32425</v>
      </c>
      <c r="H514">
        <v>32322</v>
      </c>
      <c r="I514">
        <v>32170</v>
      </c>
      <c r="J514">
        <v>31948</v>
      </c>
      <c r="K514">
        <v>31646</v>
      </c>
      <c r="L514">
        <v>31489</v>
      </c>
      <c r="M514">
        <v>31309</v>
      </c>
      <c r="N514">
        <v>31138</v>
      </c>
      <c r="O514">
        <v>30934</v>
      </c>
      <c r="P514">
        <v>30893</v>
      </c>
      <c r="Q514">
        <v>30842</v>
      </c>
      <c r="R514">
        <v>30670</v>
      </c>
    </row>
    <row r="515" spans="1:18">
      <c r="A515">
        <v>47420</v>
      </c>
      <c r="B515" t="s">
        <v>1206</v>
      </c>
      <c r="C515" t="s">
        <v>1261</v>
      </c>
      <c r="D515" t="s">
        <v>1254</v>
      </c>
      <c r="E515">
        <v>22938</v>
      </c>
      <c r="F515">
        <v>22935</v>
      </c>
      <c r="G515">
        <v>22985</v>
      </c>
      <c r="H515">
        <v>23030</v>
      </c>
      <c r="I515">
        <v>23132</v>
      </c>
      <c r="J515">
        <v>23041</v>
      </c>
      <c r="K515">
        <v>23090</v>
      </c>
      <c r="L515">
        <v>23173</v>
      </c>
      <c r="M515">
        <v>23071</v>
      </c>
      <c r="N515">
        <v>23048</v>
      </c>
      <c r="O515">
        <v>23013</v>
      </c>
      <c r="P515">
        <v>22968</v>
      </c>
      <c r="Q515">
        <v>22932</v>
      </c>
      <c r="R515">
        <v>22864</v>
      </c>
    </row>
    <row r="516" spans="1:18">
      <c r="A516">
        <v>47540</v>
      </c>
      <c r="B516" t="s">
        <v>1207</v>
      </c>
      <c r="C516" t="s">
        <v>1261</v>
      </c>
      <c r="D516" t="s">
        <v>1254</v>
      </c>
      <c r="E516">
        <v>45932</v>
      </c>
      <c r="F516">
        <v>45849</v>
      </c>
      <c r="G516">
        <v>45950</v>
      </c>
      <c r="H516">
        <v>46056</v>
      </c>
      <c r="I516">
        <v>46065</v>
      </c>
      <c r="J516">
        <v>46135</v>
      </c>
      <c r="K516">
        <v>46227</v>
      </c>
      <c r="L516">
        <v>46286</v>
      </c>
      <c r="M516">
        <v>46330</v>
      </c>
      <c r="N516">
        <v>46284</v>
      </c>
      <c r="O516">
        <v>46472</v>
      </c>
      <c r="P516">
        <v>46255</v>
      </c>
      <c r="Q516">
        <v>45946</v>
      </c>
      <c r="R516">
        <v>46050</v>
      </c>
    </row>
    <row r="517" spans="1:18">
      <c r="A517">
        <v>47620</v>
      </c>
      <c r="B517" t="s">
        <v>1208</v>
      </c>
      <c r="C517" t="s">
        <v>1261</v>
      </c>
      <c r="D517" t="s">
        <v>1254</v>
      </c>
      <c r="E517">
        <v>41760</v>
      </c>
      <c r="F517">
        <v>41459</v>
      </c>
      <c r="G517">
        <v>41173</v>
      </c>
      <c r="H517">
        <v>40827</v>
      </c>
      <c r="I517">
        <v>40490</v>
      </c>
      <c r="J517">
        <v>40129</v>
      </c>
      <c r="K517">
        <v>39782</v>
      </c>
      <c r="L517">
        <v>39387</v>
      </c>
      <c r="M517">
        <v>39193</v>
      </c>
      <c r="N517">
        <v>38798</v>
      </c>
      <c r="O517">
        <v>38511</v>
      </c>
      <c r="P517">
        <v>38161</v>
      </c>
      <c r="Q517">
        <v>37818</v>
      </c>
      <c r="R517">
        <v>37572</v>
      </c>
    </row>
    <row r="518" spans="1:18">
      <c r="A518">
        <v>47660</v>
      </c>
      <c r="B518" t="s">
        <v>1209</v>
      </c>
      <c r="C518" t="s">
        <v>1261</v>
      </c>
      <c r="D518" t="s">
        <v>1254</v>
      </c>
      <c r="E518">
        <v>52685</v>
      </c>
      <c r="F518">
        <v>53394</v>
      </c>
      <c r="G518">
        <v>54292</v>
      </c>
      <c r="H518">
        <v>54269</v>
      </c>
      <c r="I518">
        <v>54139</v>
      </c>
      <c r="J518">
        <v>53614</v>
      </c>
      <c r="K518">
        <v>53598</v>
      </c>
      <c r="L518">
        <v>53747</v>
      </c>
      <c r="M518">
        <v>53551</v>
      </c>
      <c r="N518">
        <v>53995</v>
      </c>
      <c r="O518">
        <v>54031</v>
      </c>
      <c r="P518">
        <v>54194</v>
      </c>
      <c r="Q518">
        <v>54449</v>
      </c>
      <c r="R518">
        <v>54962</v>
      </c>
    </row>
    <row r="519" spans="1:18">
      <c r="A519">
        <v>47700</v>
      </c>
      <c r="B519" t="s">
        <v>1210</v>
      </c>
      <c r="C519" t="s">
        <v>1261</v>
      </c>
      <c r="D519" t="s">
        <v>1254</v>
      </c>
      <c r="E519">
        <v>77364</v>
      </c>
      <c r="F519">
        <v>77481</v>
      </c>
      <c r="G519">
        <v>77844</v>
      </c>
      <c r="H519">
        <v>78219</v>
      </c>
      <c r="I519">
        <v>78839</v>
      </c>
      <c r="J519">
        <v>79126</v>
      </c>
      <c r="K519">
        <v>79438</v>
      </c>
      <c r="L519">
        <v>79906</v>
      </c>
      <c r="M519">
        <v>80363</v>
      </c>
      <c r="N519">
        <v>80441</v>
      </c>
      <c r="O519">
        <v>80141</v>
      </c>
      <c r="P519">
        <v>80237</v>
      </c>
      <c r="Q519">
        <v>80564</v>
      </c>
      <c r="R519">
        <v>80364</v>
      </c>
    </row>
    <row r="520" spans="1:18">
      <c r="A520">
        <v>47780</v>
      </c>
      <c r="B520" t="s">
        <v>1211</v>
      </c>
      <c r="C520" t="s">
        <v>1261</v>
      </c>
      <c r="D520" t="s">
        <v>1254</v>
      </c>
      <c r="E520">
        <v>31719</v>
      </c>
      <c r="F520">
        <v>31941</v>
      </c>
      <c r="G520">
        <v>32094</v>
      </c>
      <c r="H520">
        <v>32245</v>
      </c>
      <c r="I520">
        <v>32633</v>
      </c>
      <c r="J520">
        <v>32772</v>
      </c>
      <c r="K520">
        <v>32944</v>
      </c>
      <c r="L520">
        <v>33061</v>
      </c>
      <c r="M520">
        <v>33238</v>
      </c>
      <c r="N520">
        <v>33352</v>
      </c>
      <c r="O520">
        <v>33357</v>
      </c>
      <c r="P520">
        <v>33396</v>
      </c>
      <c r="Q520">
        <v>33496</v>
      </c>
      <c r="R520">
        <v>33656</v>
      </c>
    </row>
    <row r="521" spans="1:18">
      <c r="A521">
        <v>47820</v>
      </c>
      <c r="B521" t="s">
        <v>1212</v>
      </c>
      <c r="C521" t="s">
        <v>1261</v>
      </c>
      <c r="D521" t="s">
        <v>1254</v>
      </c>
      <c r="E521">
        <v>47765</v>
      </c>
      <c r="F521">
        <v>47380</v>
      </c>
      <c r="G521">
        <v>46895</v>
      </c>
      <c r="H521">
        <v>46605</v>
      </c>
      <c r="I521">
        <v>46319</v>
      </c>
      <c r="J521">
        <v>46130</v>
      </c>
      <c r="K521">
        <v>45890</v>
      </c>
      <c r="L521">
        <v>45349</v>
      </c>
      <c r="M521">
        <v>45138</v>
      </c>
      <c r="N521">
        <v>44867</v>
      </c>
      <c r="O521">
        <v>44694</v>
      </c>
      <c r="P521">
        <v>44462</v>
      </c>
      <c r="Q521">
        <v>44400</v>
      </c>
      <c r="R521">
        <v>44481</v>
      </c>
    </row>
    <row r="522" spans="1:18">
      <c r="A522">
        <v>47920</v>
      </c>
      <c r="B522" t="s">
        <v>1213</v>
      </c>
      <c r="C522" t="s">
        <v>1261</v>
      </c>
      <c r="D522" t="s">
        <v>1254</v>
      </c>
      <c r="E522">
        <v>29025</v>
      </c>
      <c r="F522">
        <v>28915</v>
      </c>
      <c r="G522">
        <v>28851</v>
      </c>
      <c r="H522">
        <v>28807</v>
      </c>
      <c r="I522">
        <v>28805</v>
      </c>
      <c r="J522">
        <v>28806</v>
      </c>
      <c r="K522">
        <v>28922</v>
      </c>
      <c r="L522">
        <v>28932</v>
      </c>
      <c r="M522">
        <v>28913</v>
      </c>
      <c r="N522">
        <v>28820</v>
      </c>
      <c r="O522">
        <v>28975</v>
      </c>
      <c r="P522">
        <v>28934</v>
      </c>
      <c r="Q522">
        <v>28832</v>
      </c>
      <c r="R522">
        <v>28817</v>
      </c>
    </row>
    <row r="523" spans="1:18">
      <c r="A523">
        <v>47980</v>
      </c>
      <c r="B523" t="s">
        <v>1214</v>
      </c>
      <c r="C523" t="s">
        <v>1261</v>
      </c>
      <c r="D523" t="s">
        <v>1254</v>
      </c>
      <c r="E523">
        <v>33129</v>
      </c>
      <c r="F523">
        <v>33408</v>
      </c>
      <c r="G523">
        <v>33597</v>
      </c>
      <c r="H523">
        <v>33824</v>
      </c>
      <c r="I523">
        <v>33952</v>
      </c>
      <c r="J523">
        <v>33934</v>
      </c>
      <c r="K523">
        <v>34044</v>
      </c>
      <c r="L523">
        <v>34315</v>
      </c>
      <c r="M523">
        <v>34281</v>
      </c>
      <c r="N523">
        <v>34389</v>
      </c>
      <c r="O523">
        <v>34517</v>
      </c>
      <c r="P523">
        <v>34748</v>
      </c>
      <c r="Q523">
        <v>35130</v>
      </c>
      <c r="R523">
        <v>35422</v>
      </c>
    </row>
    <row r="524" spans="1:18">
      <c r="A524">
        <v>48020</v>
      </c>
      <c r="B524" t="s">
        <v>1215</v>
      </c>
      <c r="C524" t="s">
        <v>1261</v>
      </c>
      <c r="D524" t="s">
        <v>1254</v>
      </c>
      <c r="E524">
        <v>83724</v>
      </c>
      <c r="F524">
        <v>83837</v>
      </c>
      <c r="G524">
        <v>84337</v>
      </c>
      <c r="H524">
        <v>84570</v>
      </c>
      <c r="I524">
        <v>84313</v>
      </c>
      <c r="J524">
        <v>84430</v>
      </c>
      <c r="K524">
        <v>84409</v>
      </c>
      <c r="L524">
        <v>84632</v>
      </c>
      <c r="M524">
        <v>84974</v>
      </c>
      <c r="N524">
        <v>84696</v>
      </c>
      <c r="O524">
        <v>86208</v>
      </c>
      <c r="P524">
        <v>85782</v>
      </c>
      <c r="Q524">
        <v>85725</v>
      </c>
      <c r="R524">
        <v>85743</v>
      </c>
    </row>
    <row r="525" spans="1:18">
      <c r="A525">
        <v>48100</v>
      </c>
      <c r="B525" t="s">
        <v>1216</v>
      </c>
      <c r="C525" t="s">
        <v>1261</v>
      </c>
      <c r="D525" t="s">
        <v>1254</v>
      </c>
      <c r="E525">
        <v>27692</v>
      </c>
      <c r="F525">
        <v>27487</v>
      </c>
      <c r="G525">
        <v>27088</v>
      </c>
      <c r="H525">
        <v>26813</v>
      </c>
      <c r="I525">
        <v>26616</v>
      </c>
      <c r="J525">
        <v>26378</v>
      </c>
      <c r="K525">
        <v>26289</v>
      </c>
      <c r="L525">
        <v>26088</v>
      </c>
      <c r="M525">
        <v>25879</v>
      </c>
      <c r="N525">
        <v>25451</v>
      </c>
      <c r="O525">
        <v>25339</v>
      </c>
      <c r="P525">
        <v>25322</v>
      </c>
      <c r="Q525">
        <v>25651</v>
      </c>
      <c r="R525">
        <v>25760</v>
      </c>
    </row>
    <row r="526" spans="1:18">
      <c r="A526">
        <v>48180</v>
      </c>
      <c r="B526" t="s">
        <v>1217</v>
      </c>
      <c r="C526" t="s">
        <v>1261</v>
      </c>
      <c r="D526" t="s">
        <v>1254</v>
      </c>
      <c r="E526">
        <v>55137</v>
      </c>
      <c r="F526">
        <v>55122</v>
      </c>
      <c r="G526">
        <v>54931</v>
      </c>
      <c r="H526">
        <v>54951</v>
      </c>
      <c r="I526">
        <v>54771</v>
      </c>
      <c r="J526">
        <v>54729</v>
      </c>
      <c r="K526">
        <v>55153</v>
      </c>
      <c r="L526">
        <v>55326</v>
      </c>
      <c r="M526">
        <v>55581</v>
      </c>
      <c r="N526">
        <v>55797</v>
      </c>
      <c r="O526">
        <v>55976</v>
      </c>
      <c r="P526">
        <v>55520</v>
      </c>
      <c r="Q526">
        <v>55787</v>
      </c>
      <c r="R526">
        <v>56668</v>
      </c>
    </row>
    <row r="527" spans="1:18">
      <c r="A527">
        <v>48220</v>
      </c>
      <c r="B527" t="s">
        <v>1218</v>
      </c>
      <c r="C527" t="s">
        <v>1261</v>
      </c>
      <c r="D527" t="s">
        <v>1254</v>
      </c>
      <c r="E527">
        <v>27579</v>
      </c>
      <c r="F527">
        <v>27777</v>
      </c>
      <c r="G527">
        <v>28550</v>
      </c>
      <c r="H527">
        <v>29252</v>
      </c>
      <c r="I527">
        <v>29428</v>
      </c>
      <c r="J527">
        <v>29456</v>
      </c>
      <c r="K527">
        <v>29090</v>
      </c>
      <c r="L527">
        <v>28773</v>
      </c>
      <c r="M527">
        <v>28752</v>
      </c>
      <c r="N527">
        <v>28711</v>
      </c>
      <c r="O527">
        <v>28449</v>
      </c>
      <c r="P527">
        <v>28175</v>
      </c>
      <c r="Q527">
        <v>28039</v>
      </c>
      <c r="R527">
        <v>28266</v>
      </c>
    </row>
    <row r="528" spans="1:18">
      <c r="A528">
        <v>48460</v>
      </c>
      <c r="B528" t="s">
        <v>1219</v>
      </c>
      <c r="C528" t="s">
        <v>1261</v>
      </c>
      <c r="D528" t="s">
        <v>1254</v>
      </c>
      <c r="E528">
        <v>40532</v>
      </c>
      <c r="F528">
        <v>40518</v>
      </c>
      <c r="G528">
        <v>40423</v>
      </c>
      <c r="H528">
        <v>40076</v>
      </c>
      <c r="I528">
        <v>39916</v>
      </c>
      <c r="J528">
        <v>39815</v>
      </c>
      <c r="K528">
        <v>39824</v>
      </c>
      <c r="L528">
        <v>39713</v>
      </c>
      <c r="M528">
        <v>39696</v>
      </c>
      <c r="N528">
        <v>39627</v>
      </c>
      <c r="O528">
        <v>39799</v>
      </c>
      <c r="P528">
        <v>40016</v>
      </c>
      <c r="Q528">
        <v>40623</v>
      </c>
      <c r="R528">
        <v>40735</v>
      </c>
    </row>
    <row r="529" spans="1:18">
      <c r="A529">
        <v>48500</v>
      </c>
      <c r="B529" t="s">
        <v>1220</v>
      </c>
      <c r="C529" t="s">
        <v>1261</v>
      </c>
      <c r="D529" t="s">
        <v>1254</v>
      </c>
      <c r="E529">
        <v>20550</v>
      </c>
      <c r="F529">
        <v>20412</v>
      </c>
      <c r="G529">
        <v>20241</v>
      </c>
      <c r="H529">
        <v>20126</v>
      </c>
      <c r="I529">
        <v>19847</v>
      </c>
      <c r="J529">
        <v>19641</v>
      </c>
      <c r="K529">
        <v>19407</v>
      </c>
      <c r="L529">
        <v>19122</v>
      </c>
      <c r="M529">
        <v>18814</v>
      </c>
      <c r="N529">
        <v>18709</v>
      </c>
      <c r="O529">
        <v>18622</v>
      </c>
      <c r="P529">
        <v>18481</v>
      </c>
      <c r="Q529">
        <v>18311</v>
      </c>
      <c r="R529">
        <v>18206</v>
      </c>
    </row>
    <row r="530" spans="1:18">
      <c r="A530">
        <v>48580</v>
      </c>
      <c r="B530" t="s">
        <v>1221</v>
      </c>
      <c r="C530" t="s">
        <v>1261</v>
      </c>
      <c r="D530" t="s">
        <v>1254</v>
      </c>
      <c r="E530">
        <v>102256</v>
      </c>
      <c r="F530">
        <v>102950</v>
      </c>
      <c r="G530">
        <v>103440</v>
      </c>
      <c r="H530">
        <v>103614</v>
      </c>
      <c r="I530">
        <v>104251</v>
      </c>
      <c r="J530">
        <v>103812</v>
      </c>
      <c r="K530">
        <v>104223</v>
      </c>
      <c r="L530">
        <v>104698</v>
      </c>
      <c r="M530">
        <v>105618</v>
      </c>
      <c r="N530">
        <v>106228</v>
      </c>
      <c r="O530">
        <v>105323</v>
      </c>
      <c r="P530">
        <v>105296</v>
      </c>
      <c r="Q530">
        <v>105664</v>
      </c>
      <c r="R530">
        <v>105822</v>
      </c>
    </row>
    <row r="531" spans="1:18">
      <c r="A531">
        <v>48780</v>
      </c>
      <c r="B531" t="s">
        <v>1222</v>
      </c>
      <c r="C531" t="s">
        <v>1261</v>
      </c>
      <c r="D531" t="s">
        <v>1254</v>
      </c>
      <c r="E531">
        <v>22626</v>
      </c>
      <c r="F531">
        <v>24604</v>
      </c>
      <c r="G531">
        <v>27126</v>
      </c>
      <c r="H531">
        <v>30217</v>
      </c>
      <c r="I531">
        <v>33011</v>
      </c>
      <c r="J531">
        <v>36527</v>
      </c>
      <c r="K531">
        <v>35616</v>
      </c>
      <c r="L531">
        <v>35158</v>
      </c>
      <c r="M531">
        <v>37533</v>
      </c>
      <c r="N531">
        <v>40085</v>
      </c>
      <c r="O531">
        <v>41182</v>
      </c>
      <c r="P531">
        <v>38499</v>
      </c>
      <c r="Q531">
        <v>37966</v>
      </c>
      <c r="R531">
        <v>39113</v>
      </c>
    </row>
    <row r="532" spans="1:18">
      <c r="A532">
        <v>48820</v>
      </c>
      <c r="B532" t="s">
        <v>1223</v>
      </c>
      <c r="C532" t="s">
        <v>1261</v>
      </c>
      <c r="D532" t="s">
        <v>1254</v>
      </c>
      <c r="E532">
        <v>42245</v>
      </c>
      <c r="F532">
        <v>42273</v>
      </c>
      <c r="G532">
        <v>42502</v>
      </c>
      <c r="H532">
        <v>42640</v>
      </c>
      <c r="I532">
        <v>42734</v>
      </c>
      <c r="J532">
        <v>42926</v>
      </c>
      <c r="K532">
        <v>43015</v>
      </c>
      <c r="L532">
        <v>43146</v>
      </c>
      <c r="M532">
        <v>43306</v>
      </c>
      <c r="N532">
        <v>43652</v>
      </c>
      <c r="O532">
        <v>43722</v>
      </c>
      <c r="P532">
        <v>43809</v>
      </c>
      <c r="Q532">
        <v>43771</v>
      </c>
      <c r="R532">
        <v>43813</v>
      </c>
    </row>
    <row r="533" spans="1:18">
      <c r="A533">
        <v>48940</v>
      </c>
      <c r="B533" t="s">
        <v>1224</v>
      </c>
      <c r="C533" t="s">
        <v>1261</v>
      </c>
      <c r="D533" t="s">
        <v>1254</v>
      </c>
      <c r="E533">
        <v>41923</v>
      </c>
      <c r="F533">
        <v>41926</v>
      </c>
      <c r="G533">
        <v>41841</v>
      </c>
      <c r="H533">
        <v>41896</v>
      </c>
      <c r="I533">
        <v>41847</v>
      </c>
      <c r="J533">
        <v>41893</v>
      </c>
      <c r="K533">
        <v>41957</v>
      </c>
      <c r="L533">
        <v>42075</v>
      </c>
      <c r="M533">
        <v>42165</v>
      </c>
      <c r="N533">
        <v>42054</v>
      </c>
      <c r="O533">
        <v>42028</v>
      </c>
      <c r="P533">
        <v>42115</v>
      </c>
      <c r="Q533">
        <v>41890</v>
      </c>
      <c r="R533">
        <v>41938</v>
      </c>
    </row>
    <row r="534" spans="1:18">
      <c r="A534">
        <v>48980</v>
      </c>
      <c r="B534" t="s">
        <v>1225</v>
      </c>
      <c r="C534" t="s">
        <v>1261</v>
      </c>
      <c r="D534" t="s">
        <v>1254</v>
      </c>
      <c r="E534">
        <v>81218</v>
      </c>
      <c r="F534">
        <v>80773</v>
      </c>
      <c r="G534">
        <v>80705</v>
      </c>
      <c r="H534">
        <v>80194</v>
      </c>
      <c r="I534">
        <v>79701</v>
      </c>
      <c r="J534">
        <v>79620</v>
      </c>
      <c r="K534">
        <v>79379</v>
      </c>
      <c r="L534">
        <v>79212</v>
      </c>
      <c r="M534">
        <v>78854</v>
      </c>
      <c r="N534">
        <v>78907</v>
      </c>
      <c r="O534">
        <v>78804</v>
      </c>
      <c r="P534">
        <v>78241</v>
      </c>
      <c r="Q534">
        <v>78306</v>
      </c>
      <c r="R534">
        <v>78970</v>
      </c>
    </row>
    <row r="535" spans="1:18">
      <c r="A535">
        <v>49060</v>
      </c>
      <c r="B535" t="s">
        <v>1226</v>
      </c>
      <c r="C535" t="s">
        <v>1261</v>
      </c>
      <c r="D535" t="s">
        <v>1254</v>
      </c>
      <c r="E535">
        <v>36312</v>
      </c>
      <c r="F535">
        <v>36244</v>
      </c>
      <c r="G535">
        <v>36253</v>
      </c>
      <c r="H535">
        <v>36146</v>
      </c>
      <c r="I535">
        <v>35866</v>
      </c>
      <c r="J535">
        <v>35710</v>
      </c>
      <c r="K535">
        <v>35587</v>
      </c>
      <c r="L535">
        <v>35226</v>
      </c>
      <c r="M535">
        <v>34973</v>
      </c>
      <c r="N535">
        <v>34681</v>
      </c>
      <c r="O535">
        <v>34534</v>
      </c>
      <c r="P535">
        <v>34624</v>
      </c>
      <c r="Q535">
        <v>34423</v>
      </c>
      <c r="R535">
        <v>34157</v>
      </c>
    </row>
    <row r="536" spans="1:18">
      <c r="A536">
        <v>49080</v>
      </c>
      <c r="B536" t="s">
        <v>1227</v>
      </c>
      <c r="C536" t="s">
        <v>1261</v>
      </c>
      <c r="D536" t="s">
        <v>1254</v>
      </c>
      <c r="E536">
        <v>16588</v>
      </c>
      <c r="F536">
        <v>16677</v>
      </c>
      <c r="G536">
        <v>17146</v>
      </c>
      <c r="H536">
        <v>17467</v>
      </c>
      <c r="I536">
        <v>17362</v>
      </c>
      <c r="J536">
        <v>17195</v>
      </c>
      <c r="K536">
        <v>17005</v>
      </c>
      <c r="L536">
        <v>16955</v>
      </c>
      <c r="M536">
        <v>17031</v>
      </c>
      <c r="N536">
        <v>17170</v>
      </c>
      <c r="O536">
        <v>17271</v>
      </c>
      <c r="P536">
        <v>17632</v>
      </c>
      <c r="Q536">
        <v>17296</v>
      </c>
      <c r="R536">
        <v>17136</v>
      </c>
    </row>
    <row r="537" spans="1:18">
      <c r="A537">
        <v>49100</v>
      </c>
      <c r="B537" t="s">
        <v>1228</v>
      </c>
      <c r="C537" t="s">
        <v>1261</v>
      </c>
      <c r="D537" t="s">
        <v>1254</v>
      </c>
      <c r="E537">
        <v>51411</v>
      </c>
      <c r="F537">
        <v>51251</v>
      </c>
      <c r="G537">
        <v>51159</v>
      </c>
      <c r="H537">
        <v>51070</v>
      </c>
      <c r="I537">
        <v>50722</v>
      </c>
      <c r="J537">
        <v>50413</v>
      </c>
      <c r="K537">
        <v>50381</v>
      </c>
      <c r="L537">
        <v>50173</v>
      </c>
      <c r="M537">
        <v>50178</v>
      </c>
      <c r="N537">
        <v>49879</v>
      </c>
      <c r="O537">
        <v>49647</v>
      </c>
      <c r="P537">
        <v>49788</v>
      </c>
      <c r="Q537">
        <v>49469</v>
      </c>
      <c r="R537">
        <v>49721</v>
      </c>
    </row>
    <row r="538" spans="1:18">
      <c r="A538">
        <v>49220</v>
      </c>
      <c r="B538" t="s">
        <v>1229</v>
      </c>
      <c r="C538" t="s">
        <v>1261</v>
      </c>
      <c r="D538" t="s">
        <v>1254</v>
      </c>
      <c r="E538">
        <v>74851</v>
      </c>
      <c r="F538">
        <v>74848</v>
      </c>
      <c r="G538">
        <v>74676</v>
      </c>
      <c r="H538">
        <v>74433</v>
      </c>
      <c r="I538">
        <v>74250</v>
      </c>
      <c r="J538">
        <v>74168</v>
      </c>
      <c r="K538">
        <v>74183</v>
      </c>
      <c r="L538">
        <v>74163</v>
      </c>
      <c r="M538">
        <v>74085</v>
      </c>
      <c r="N538">
        <v>74205</v>
      </c>
      <c r="O538">
        <v>74199</v>
      </c>
      <c r="P538">
        <v>74005</v>
      </c>
      <c r="Q538">
        <v>73778</v>
      </c>
      <c r="R538">
        <v>73939</v>
      </c>
    </row>
    <row r="539" spans="1:18">
      <c r="A539">
        <v>49260</v>
      </c>
      <c r="B539" t="s">
        <v>1230</v>
      </c>
      <c r="C539" t="s">
        <v>1261</v>
      </c>
      <c r="D539" t="s">
        <v>1254</v>
      </c>
      <c r="E539">
        <v>24167</v>
      </c>
      <c r="F539">
        <v>24215</v>
      </c>
      <c r="G539">
        <v>24872</v>
      </c>
      <c r="H539">
        <v>25551</v>
      </c>
      <c r="I539">
        <v>25886</v>
      </c>
      <c r="J539">
        <v>26113</v>
      </c>
      <c r="K539">
        <v>25393</v>
      </c>
      <c r="L539">
        <v>24862</v>
      </c>
      <c r="M539">
        <v>24624</v>
      </c>
      <c r="N539">
        <v>24453</v>
      </c>
      <c r="O539">
        <v>24151</v>
      </c>
      <c r="P539">
        <v>23974</v>
      </c>
      <c r="Q539">
        <v>23698</v>
      </c>
      <c r="R539">
        <v>23595</v>
      </c>
    </row>
    <row r="540" spans="1:18">
      <c r="A540">
        <v>49300</v>
      </c>
      <c r="B540" t="s">
        <v>1231</v>
      </c>
      <c r="C540" t="s">
        <v>1261</v>
      </c>
      <c r="D540" t="s">
        <v>1254</v>
      </c>
      <c r="E540">
        <v>114437</v>
      </c>
      <c r="F540">
        <v>114812</v>
      </c>
      <c r="G540">
        <v>115315</v>
      </c>
      <c r="H540">
        <v>115811</v>
      </c>
      <c r="I540">
        <v>116449</v>
      </c>
      <c r="J540">
        <v>116871</v>
      </c>
      <c r="K540">
        <v>117386</v>
      </c>
      <c r="L540">
        <v>117072</v>
      </c>
      <c r="M540">
        <v>116870</v>
      </c>
      <c r="N540">
        <v>116900</v>
      </c>
      <c r="O540">
        <v>116923</v>
      </c>
      <c r="P540">
        <v>116175</v>
      </c>
      <c r="Q540">
        <v>116552</v>
      </c>
      <c r="R540">
        <v>116510</v>
      </c>
    </row>
    <row r="541" spans="1:18">
      <c r="A541">
        <v>49380</v>
      </c>
      <c r="B541" t="s">
        <v>1232</v>
      </c>
      <c r="C541" t="s">
        <v>1261</v>
      </c>
      <c r="D541" t="s">
        <v>1254</v>
      </c>
      <c r="E541">
        <v>21443</v>
      </c>
      <c r="F541">
        <v>21713</v>
      </c>
      <c r="G541">
        <v>21910</v>
      </c>
      <c r="H541">
        <v>22052</v>
      </c>
      <c r="I541">
        <v>22030</v>
      </c>
      <c r="J541">
        <v>22162</v>
      </c>
      <c r="K541">
        <v>22385</v>
      </c>
      <c r="L541">
        <v>22223</v>
      </c>
      <c r="M541">
        <v>22382</v>
      </c>
      <c r="N541">
        <v>22365</v>
      </c>
      <c r="O541">
        <v>22205</v>
      </c>
      <c r="P541">
        <v>22070</v>
      </c>
      <c r="Q541">
        <v>21958</v>
      </c>
      <c r="R541">
        <v>21727</v>
      </c>
    </row>
    <row r="542" spans="1:18">
      <c r="A542">
        <v>49460</v>
      </c>
      <c r="B542" t="s">
        <v>1233</v>
      </c>
      <c r="C542" t="s">
        <v>1261</v>
      </c>
      <c r="D542" t="s">
        <v>1254</v>
      </c>
      <c r="E542">
        <v>22449</v>
      </c>
      <c r="F542">
        <v>22570</v>
      </c>
      <c r="G542">
        <v>22708</v>
      </c>
      <c r="H542">
        <v>22819</v>
      </c>
      <c r="I542">
        <v>22911</v>
      </c>
      <c r="J542">
        <v>22968</v>
      </c>
      <c r="K542">
        <v>22968</v>
      </c>
      <c r="L542">
        <v>23056</v>
      </c>
      <c r="M542">
        <v>23222</v>
      </c>
      <c r="N542">
        <v>23301</v>
      </c>
      <c r="O542">
        <v>23286</v>
      </c>
      <c r="P542">
        <v>23353</v>
      </c>
      <c r="Q542">
        <v>23412</v>
      </c>
      <c r="R542">
        <v>23517</v>
      </c>
    </row>
    <row r="543" spans="1:18">
      <c r="A543">
        <v>49780</v>
      </c>
      <c r="B543" t="s">
        <v>1234</v>
      </c>
      <c r="C543" t="s">
        <v>1261</v>
      </c>
      <c r="D543" t="s">
        <v>1254</v>
      </c>
      <c r="E543">
        <v>86222</v>
      </c>
      <c r="F543">
        <v>86294</v>
      </c>
      <c r="G543">
        <v>85879</v>
      </c>
      <c r="H543">
        <v>85771</v>
      </c>
      <c r="I543">
        <v>86063</v>
      </c>
      <c r="J543">
        <v>86394</v>
      </c>
      <c r="K543">
        <v>86173</v>
      </c>
      <c r="L543">
        <v>86350</v>
      </c>
      <c r="M543">
        <v>86334</v>
      </c>
      <c r="N543">
        <v>86363</v>
      </c>
      <c r="O543">
        <v>86468</v>
      </c>
      <c r="P543">
        <v>86577</v>
      </c>
      <c r="Q543">
        <v>86114</v>
      </c>
      <c r="R543">
        <v>86305</v>
      </c>
    </row>
    <row r="544" spans="1:18">
      <c r="A544">
        <v>49820</v>
      </c>
      <c r="B544" t="s">
        <v>1235</v>
      </c>
      <c r="C544" t="s">
        <v>1261</v>
      </c>
      <c r="D544" t="s">
        <v>1254</v>
      </c>
      <c r="E544">
        <v>14079</v>
      </c>
      <c r="F544">
        <v>14187</v>
      </c>
      <c r="G544">
        <v>14204</v>
      </c>
      <c r="H544">
        <v>14283</v>
      </c>
      <c r="I544">
        <v>14238</v>
      </c>
      <c r="J544">
        <v>14324</v>
      </c>
      <c r="K544">
        <v>14242</v>
      </c>
      <c r="L544">
        <v>14047</v>
      </c>
      <c r="M544">
        <v>13919</v>
      </c>
      <c r="N544">
        <v>13960</v>
      </c>
      <c r="O544">
        <v>13875</v>
      </c>
      <c r="P544">
        <v>13875</v>
      </c>
      <c r="Q544">
        <v>13838</v>
      </c>
      <c r="R544">
        <v>13736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064A-D878-4BE5-9D80-40D29DA38A48}">
  <dimension ref="A1:R386"/>
  <sheetViews>
    <sheetView workbookViewId="0"/>
  </sheetViews>
  <sheetFormatPr baseColWidth="10" defaultColWidth="8.83203125" defaultRowHeight="15"/>
  <sheetData>
    <row r="1" spans="1:18">
      <c r="A1" s="2" t="s">
        <v>2</v>
      </c>
      <c r="B1" s="2" t="s">
        <v>297</v>
      </c>
      <c r="C1" s="2" t="s">
        <v>1262</v>
      </c>
      <c r="D1" s="2" t="s">
        <v>1251</v>
      </c>
      <c r="E1" s="2" t="s">
        <v>1263</v>
      </c>
      <c r="F1" s="2" t="s">
        <v>1252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  <c r="L1" s="2" t="s">
        <v>303</v>
      </c>
      <c r="M1" s="2" t="s">
        <v>304</v>
      </c>
      <c r="N1" s="2" t="s">
        <v>305</v>
      </c>
      <c r="O1" s="2" t="s">
        <v>306</v>
      </c>
      <c r="P1" s="2" t="s">
        <v>307</v>
      </c>
      <c r="Q1" s="2" t="s">
        <v>1253</v>
      </c>
      <c r="R1" s="2" t="s">
        <v>1264</v>
      </c>
    </row>
    <row r="2" spans="1:18">
      <c r="A2">
        <v>998</v>
      </c>
      <c r="B2" t="s">
        <v>308</v>
      </c>
      <c r="C2" t="s">
        <v>1448</v>
      </c>
      <c r="D2" t="s">
        <v>1449</v>
      </c>
      <c r="E2">
        <v>41994</v>
      </c>
      <c r="F2">
        <v>44112</v>
      </c>
      <c r="G2">
        <v>45779</v>
      </c>
      <c r="H2">
        <v>45845</v>
      </c>
      <c r="I2">
        <v>47836</v>
      </c>
      <c r="J2">
        <v>49741</v>
      </c>
      <c r="K2">
        <v>50756</v>
      </c>
      <c r="L2">
        <v>52884</v>
      </c>
      <c r="M2">
        <v>55293</v>
      </c>
      <c r="N2">
        <v>57621</v>
      </c>
      <c r="O2">
        <v>61179</v>
      </c>
      <c r="P2">
        <v>66663</v>
      </c>
      <c r="Q2">
        <v>68517</v>
      </c>
      <c r="R2">
        <v>72275</v>
      </c>
    </row>
    <row r="3" spans="1:18">
      <c r="A3">
        <v>10180</v>
      </c>
      <c r="B3" t="s">
        <v>309</v>
      </c>
      <c r="C3" t="s">
        <v>1448</v>
      </c>
      <c r="D3" t="s">
        <v>1449</v>
      </c>
      <c r="E3">
        <v>34935</v>
      </c>
      <c r="F3">
        <v>36812</v>
      </c>
      <c r="G3">
        <v>38138</v>
      </c>
      <c r="H3">
        <v>39123</v>
      </c>
      <c r="I3">
        <v>41461</v>
      </c>
      <c r="J3">
        <v>39866</v>
      </c>
      <c r="K3">
        <v>39163</v>
      </c>
      <c r="L3">
        <v>40384</v>
      </c>
      <c r="M3">
        <v>42781</v>
      </c>
      <c r="N3">
        <v>45075</v>
      </c>
      <c r="O3">
        <v>47854</v>
      </c>
      <c r="P3">
        <v>51995</v>
      </c>
      <c r="Q3">
        <v>53514</v>
      </c>
      <c r="R3">
        <v>56034</v>
      </c>
    </row>
    <row r="4" spans="1:18">
      <c r="A4">
        <v>10420</v>
      </c>
      <c r="B4" t="s">
        <v>310</v>
      </c>
      <c r="C4" t="s">
        <v>1448</v>
      </c>
      <c r="D4" t="s">
        <v>1449</v>
      </c>
      <c r="E4">
        <v>38080</v>
      </c>
      <c r="F4">
        <v>39794</v>
      </c>
      <c r="G4">
        <v>41099</v>
      </c>
      <c r="H4">
        <v>41643</v>
      </c>
      <c r="I4">
        <v>43331</v>
      </c>
      <c r="J4">
        <v>44674</v>
      </c>
      <c r="K4">
        <v>45463</v>
      </c>
      <c r="L4">
        <v>47163</v>
      </c>
      <c r="M4">
        <v>49091</v>
      </c>
      <c r="N4">
        <v>50905</v>
      </c>
      <c r="O4">
        <v>54376</v>
      </c>
      <c r="P4">
        <v>59583</v>
      </c>
      <c r="Q4">
        <v>59609</v>
      </c>
      <c r="R4">
        <v>62904</v>
      </c>
    </row>
    <row r="5" spans="1:18">
      <c r="A5">
        <v>10500</v>
      </c>
      <c r="B5" t="s">
        <v>311</v>
      </c>
      <c r="C5" t="s">
        <v>1448</v>
      </c>
      <c r="D5" t="s">
        <v>1449</v>
      </c>
      <c r="E5">
        <v>30317</v>
      </c>
      <c r="F5">
        <v>32256</v>
      </c>
      <c r="G5">
        <v>32379</v>
      </c>
      <c r="H5">
        <v>32211</v>
      </c>
      <c r="I5">
        <v>33110</v>
      </c>
      <c r="J5">
        <v>33868</v>
      </c>
      <c r="K5">
        <v>34476</v>
      </c>
      <c r="L5">
        <v>35338</v>
      </c>
      <c r="M5">
        <v>36158</v>
      </c>
      <c r="N5">
        <v>37940</v>
      </c>
      <c r="O5">
        <v>42071</v>
      </c>
      <c r="P5">
        <v>46969</v>
      </c>
      <c r="Q5">
        <v>46754</v>
      </c>
      <c r="R5">
        <v>48546</v>
      </c>
    </row>
    <row r="6" spans="1:18">
      <c r="A6">
        <v>10540</v>
      </c>
      <c r="B6" t="s">
        <v>312</v>
      </c>
      <c r="C6" t="s">
        <v>1448</v>
      </c>
      <c r="D6" t="s">
        <v>1449</v>
      </c>
      <c r="E6">
        <v>31609</v>
      </c>
      <c r="F6">
        <v>32316</v>
      </c>
      <c r="G6">
        <v>33264</v>
      </c>
      <c r="H6">
        <v>33705</v>
      </c>
      <c r="I6">
        <v>35888</v>
      </c>
      <c r="J6">
        <v>37940</v>
      </c>
      <c r="K6">
        <v>38991</v>
      </c>
      <c r="L6">
        <v>40571</v>
      </c>
      <c r="M6">
        <v>43056</v>
      </c>
      <c r="N6">
        <v>44286</v>
      </c>
      <c r="O6">
        <v>48033</v>
      </c>
      <c r="P6">
        <v>52230</v>
      </c>
      <c r="Q6">
        <v>54123</v>
      </c>
      <c r="R6">
        <v>57016</v>
      </c>
    </row>
    <row r="7" spans="1:18">
      <c r="A7">
        <v>10580</v>
      </c>
      <c r="B7" t="s">
        <v>313</v>
      </c>
      <c r="C7" t="s">
        <v>1448</v>
      </c>
      <c r="D7" t="s">
        <v>1449</v>
      </c>
      <c r="E7">
        <v>44146</v>
      </c>
      <c r="F7">
        <v>45558</v>
      </c>
      <c r="G7">
        <v>46708</v>
      </c>
      <c r="H7">
        <v>47434</v>
      </c>
      <c r="I7">
        <v>48762</v>
      </c>
      <c r="J7">
        <v>51103</v>
      </c>
      <c r="K7">
        <v>51996</v>
      </c>
      <c r="L7">
        <v>54685</v>
      </c>
      <c r="M7">
        <v>56159</v>
      </c>
      <c r="N7">
        <v>58330</v>
      </c>
      <c r="O7">
        <v>62728</v>
      </c>
      <c r="P7">
        <v>66929</v>
      </c>
      <c r="Q7">
        <v>67884</v>
      </c>
      <c r="R7">
        <v>71972</v>
      </c>
    </row>
    <row r="8" spans="1:18">
      <c r="A8">
        <v>10740</v>
      </c>
      <c r="B8" t="s">
        <v>314</v>
      </c>
      <c r="C8" t="s">
        <v>1448</v>
      </c>
      <c r="D8" t="s">
        <v>1449</v>
      </c>
      <c r="E8">
        <v>34521</v>
      </c>
      <c r="F8">
        <v>35720</v>
      </c>
      <c r="G8">
        <v>35918</v>
      </c>
      <c r="H8">
        <v>35330</v>
      </c>
      <c r="I8">
        <v>37284</v>
      </c>
      <c r="J8">
        <v>38644</v>
      </c>
      <c r="K8">
        <v>40050</v>
      </c>
      <c r="L8">
        <v>40802</v>
      </c>
      <c r="M8">
        <v>42178</v>
      </c>
      <c r="N8">
        <v>44597</v>
      </c>
      <c r="O8">
        <v>48463</v>
      </c>
      <c r="P8">
        <v>52372</v>
      </c>
      <c r="Q8">
        <v>54687</v>
      </c>
      <c r="R8">
        <v>57278</v>
      </c>
    </row>
    <row r="9" spans="1:18">
      <c r="A9">
        <v>10780</v>
      </c>
      <c r="B9" t="s">
        <v>315</v>
      </c>
      <c r="C9" t="s">
        <v>1448</v>
      </c>
      <c r="D9" t="s">
        <v>1449</v>
      </c>
      <c r="E9">
        <v>34936</v>
      </c>
      <c r="F9">
        <v>36684</v>
      </c>
      <c r="G9">
        <v>38264</v>
      </c>
      <c r="H9">
        <v>38257</v>
      </c>
      <c r="I9">
        <v>38665</v>
      </c>
      <c r="J9">
        <v>39271</v>
      </c>
      <c r="K9">
        <v>39871</v>
      </c>
      <c r="L9">
        <v>40302</v>
      </c>
      <c r="M9">
        <v>41876</v>
      </c>
      <c r="N9">
        <v>43558</v>
      </c>
      <c r="O9">
        <v>47669</v>
      </c>
      <c r="P9">
        <v>51240</v>
      </c>
      <c r="Q9">
        <v>51601</v>
      </c>
      <c r="R9">
        <v>53765</v>
      </c>
    </row>
    <row r="10" spans="1:18">
      <c r="A10">
        <v>10900</v>
      </c>
      <c r="B10" t="s">
        <v>316</v>
      </c>
      <c r="C10" t="s">
        <v>1448</v>
      </c>
      <c r="D10" t="s">
        <v>1449</v>
      </c>
      <c r="E10">
        <v>42274</v>
      </c>
      <c r="F10">
        <v>43509</v>
      </c>
      <c r="G10">
        <v>43937</v>
      </c>
      <c r="H10">
        <v>44324</v>
      </c>
      <c r="I10">
        <v>45795</v>
      </c>
      <c r="J10">
        <v>47682</v>
      </c>
      <c r="K10">
        <v>48896</v>
      </c>
      <c r="L10">
        <v>50135</v>
      </c>
      <c r="M10">
        <v>52126</v>
      </c>
      <c r="N10">
        <v>54962</v>
      </c>
      <c r="O10">
        <v>58589</v>
      </c>
      <c r="P10">
        <v>61836</v>
      </c>
      <c r="Q10">
        <v>62900</v>
      </c>
      <c r="R10">
        <v>66493</v>
      </c>
    </row>
    <row r="11" spans="1:18">
      <c r="A11">
        <v>11020</v>
      </c>
      <c r="B11" t="s">
        <v>317</v>
      </c>
      <c r="C11" t="s">
        <v>1448</v>
      </c>
      <c r="D11" t="s">
        <v>1449</v>
      </c>
      <c r="E11">
        <v>35024</v>
      </c>
      <c r="F11">
        <v>36961</v>
      </c>
      <c r="G11">
        <v>37573</v>
      </c>
      <c r="H11">
        <v>37498</v>
      </c>
      <c r="I11">
        <v>38992</v>
      </c>
      <c r="J11">
        <v>40944</v>
      </c>
      <c r="K11">
        <v>41604</v>
      </c>
      <c r="L11">
        <v>42754</v>
      </c>
      <c r="M11">
        <v>44979</v>
      </c>
      <c r="N11">
        <v>46381</v>
      </c>
      <c r="O11">
        <v>50793</v>
      </c>
      <c r="P11">
        <v>54826</v>
      </c>
      <c r="Q11">
        <v>55071</v>
      </c>
      <c r="R11">
        <v>57782</v>
      </c>
    </row>
    <row r="12" spans="1:18">
      <c r="A12">
        <v>11100</v>
      </c>
      <c r="B12" t="s">
        <v>318</v>
      </c>
      <c r="C12" t="s">
        <v>1448</v>
      </c>
      <c r="D12" t="s">
        <v>1449</v>
      </c>
      <c r="E12">
        <v>38036</v>
      </c>
      <c r="F12">
        <v>40070</v>
      </c>
      <c r="G12">
        <v>40669</v>
      </c>
      <c r="H12">
        <v>41108</v>
      </c>
      <c r="I12">
        <v>42723</v>
      </c>
      <c r="J12">
        <v>42750</v>
      </c>
      <c r="K12">
        <v>42505</v>
      </c>
      <c r="L12">
        <v>44042</v>
      </c>
      <c r="M12">
        <v>45765</v>
      </c>
      <c r="N12">
        <v>48397</v>
      </c>
      <c r="O12">
        <v>51696</v>
      </c>
      <c r="P12">
        <v>55923</v>
      </c>
      <c r="Q12">
        <v>56643</v>
      </c>
      <c r="R12">
        <v>60182</v>
      </c>
    </row>
    <row r="13" spans="1:18">
      <c r="A13">
        <v>11180</v>
      </c>
      <c r="B13" t="s">
        <v>319</v>
      </c>
      <c r="C13" t="s">
        <v>1448</v>
      </c>
      <c r="D13" t="s">
        <v>1449</v>
      </c>
      <c r="E13">
        <v>34741</v>
      </c>
      <c r="F13">
        <v>36877</v>
      </c>
      <c r="G13">
        <v>39708</v>
      </c>
      <c r="H13">
        <v>38100</v>
      </c>
      <c r="I13">
        <v>39053</v>
      </c>
      <c r="J13">
        <v>39817</v>
      </c>
      <c r="K13">
        <v>39977</v>
      </c>
      <c r="L13">
        <v>40705</v>
      </c>
      <c r="M13">
        <v>42839</v>
      </c>
      <c r="N13">
        <v>44054</v>
      </c>
      <c r="O13">
        <v>45990</v>
      </c>
      <c r="P13">
        <v>49396</v>
      </c>
      <c r="Q13">
        <v>54141</v>
      </c>
      <c r="R13">
        <v>55770</v>
      </c>
    </row>
    <row r="14" spans="1:18">
      <c r="A14">
        <v>11260</v>
      </c>
      <c r="B14" t="s">
        <v>320</v>
      </c>
      <c r="C14" t="s">
        <v>1448</v>
      </c>
      <c r="D14" t="s">
        <v>1449</v>
      </c>
      <c r="E14">
        <v>52737</v>
      </c>
      <c r="F14">
        <v>55052</v>
      </c>
      <c r="G14">
        <v>55727</v>
      </c>
      <c r="H14">
        <v>54223</v>
      </c>
      <c r="I14">
        <v>56787</v>
      </c>
      <c r="J14">
        <v>58808</v>
      </c>
      <c r="K14">
        <v>57337</v>
      </c>
      <c r="L14">
        <v>58110</v>
      </c>
      <c r="M14">
        <v>60691</v>
      </c>
      <c r="N14">
        <v>62029</v>
      </c>
      <c r="O14">
        <v>63690</v>
      </c>
      <c r="P14">
        <v>67198</v>
      </c>
      <c r="Q14">
        <v>71166</v>
      </c>
      <c r="R14">
        <v>73829</v>
      </c>
    </row>
    <row r="15" spans="1:18">
      <c r="A15">
        <v>11460</v>
      </c>
      <c r="B15" t="s">
        <v>321</v>
      </c>
      <c r="C15" t="s">
        <v>1448</v>
      </c>
      <c r="D15" t="s">
        <v>1449</v>
      </c>
      <c r="E15">
        <v>45727</v>
      </c>
      <c r="F15">
        <v>45086</v>
      </c>
      <c r="G15">
        <v>47603</v>
      </c>
      <c r="H15">
        <v>47353</v>
      </c>
      <c r="I15">
        <v>49129</v>
      </c>
      <c r="J15">
        <v>51527</v>
      </c>
      <c r="K15">
        <v>53259</v>
      </c>
      <c r="L15">
        <v>55489</v>
      </c>
      <c r="M15">
        <v>57761</v>
      </c>
      <c r="N15">
        <v>60743</v>
      </c>
      <c r="O15">
        <v>63356</v>
      </c>
      <c r="P15">
        <v>70844</v>
      </c>
      <c r="Q15">
        <v>72867</v>
      </c>
      <c r="R15">
        <v>77537</v>
      </c>
    </row>
    <row r="16" spans="1:18">
      <c r="A16">
        <v>11500</v>
      </c>
      <c r="B16" t="s">
        <v>322</v>
      </c>
      <c r="C16" t="s">
        <v>1448</v>
      </c>
      <c r="D16" t="s">
        <v>1449</v>
      </c>
      <c r="E16">
        <v>30949</v>
      </c>
      <c r="F16">
        <v>31645</v>
      </c>
      <c r="G16">
        <v>31948</v>
      </c>
      <c r="H16">
        <v>31607</v>
      </c>
      <c r="I16">
        <v>32424</v>
      </c>
      <c r="J16">
        <v>33633</v>
      </c>
      <c r="K16">
        <v>33994</v>
      </c>
      <c r="L16">
        <v>34675</v>
      </c>
      <c r="M16">
        <v>35622</v>
      </c>
      <c r="N16">
        <v>36740</v>
      </c>
      <c r="O16">
        <v>39562</v>
      </c>
      <c r="P16">
        <v>43215</v>
      </c>
      <c r="Q16">
        <v>42668</v>
      </c>
      <c r="R16">
        <v>44737</v>
      </c>
    </row>
    <row r="17" spans="1:18">
      <c r="A17">
        <v>11540</v>
      </c>
      <c r="B17" t="s">
        <v>323</v>
      </c>
      <c r="C17" t="s">
        <v>1448</v>
      </c>
      <c r="D17" t="s">
        <v>1449</v>
      </c>
      <c r="E17">
        <v>38429</v>
      </c>
      <c r="F17">
        <v>40596</v>
      </c>
      <c r="G17">
        <v>41943</v>
      </c>
      <c r="H17">
        <v>42278</v>
      </c>
      <c r="I17">
        <v>43963</v>
      </c>
      <c r="J17">
        <v>45450</v>
      </c>
      <c r="K17">
        <v>46662</v>
      </c>
      <c r="L17">
        <v>48157</v>
      </c>
      <c r="M17">
        <v>49967</v>
      </c>
      <c r="N17">
        <v>51937</v>
      </c>
      <c r="O17">
        <v>54662</v>
      </c>
      <c r="P17">
        <v>59152</v>
      </c>
      <c r="Q17">
        <v>61306</v>
      </c>
      <c r="R17">
        <v>64216</v>
      </c>
    </row>
    <row r="18" spans="1:18">
      <c r="A18">
        <v>11700</v>
      </c>
      <c r="B18" t="s">
        <v>324</v>
      </c>
      <c r="C18" t="s">
        <v>1448</v>
      </c>
      <c r="D18" t="s">
        <v>1449</v>
      </c>
      <c r="E18">
        <v>33642</v>
      </c>
      <c r="F18">
        <v>34769</v>
      </c>
      <c r="G18">
        <v>36436</v>
      </c>
      <c r="H18">
        <v>36050</v>
      </c>
      <c r="I18">
        <v>38099</v>
      </c>
      <c r="J18">
        <v>39947</v>
      </c>
      <c r="K18">
        <v>41312</v>
      </c>
      <c r="L18">
        <v>42870</v>
      </c>
      <c r="M18">
        <v>44990</v>
      </c>
      <c r="N18">
        <v>47768</v>
      </c>
      <c r="O18">
        <v>50202</v>
      </c>
      <c r="P18">
        <v>55707</v>
      </c>
      <c r="Q18">
        <v>58103</v>
      </c>
      <c r="R18">
        <v>62050</v>
      </c>
    </row>
    <row r="19" spans="1:18">
      <c r="A19">
        <v>12020</v>
      </c>
      <c r="B19" t="s">
        <v>325</v>
      </c>
      <c r="C19" t="s">
        <v>1448</v>
      </c>
      <c r="D19" t="s">
        <v>1449</v>
      </c>
      <c r="E19">
        <v>29506</v>
      </c>
      <c r="F19">
        <v>30723</v>
      </c>
      <c r="G19">
        <v>31773</v>
      </c>
      <c r="H19">
        <v>32048</v>
      </c>
      <c r="I19">
        <v>34235</v>
      </c>
      <c r="J19">
        <v>36004</v>
      </c>
      <c r="K19">
        <v>36824</v>
      </c>
      <c r="L19">
        <v>38520</v>
      </c>
      <c r="M19">
        <v>39882</v>
      </c>
      <c r="N19">
        <v>41608</v>
      </c>
      <c r="O19">
        <v>44480</v>
      </c>
      <c r="P19">
        <v>48257</v>
      </c>
      <c r="Q19">
        <v>51357</v>
      </c>
      <c r="R19">
        <v>53221</v>
      </c>
    </row>
    <row r="20" spans="1:18">
      <c r="A20">
        <v>12060</v>
      </c>
      <c r="B20" t="s">
        <v>326</v>
      </c>
      <c r="C20" t="s">
        <v>1448</v>
      </c>
      <c r="D20" t="s">
        <v>1449</v>
      </c>
      <c r="E20">
        <v>38666</v>
      </c>
      <c r="F20">
        <v>41092</v>
      </c>
      <c r="G20">
        <v>41698</v>
      </c>
      <c r="H20">
        <v>41847</v>
      </c>
      <c r="I20">
        <v>44517</v>
      </c>
      <c r="J20">
        <v>46735</v>
      </c>
      <c r="K20">
        <v>48350</v>
      </c>
      <c r="L20">
        <v>50920</v>
      </c>
      <c r="M20">
        <v>53081</v>
      </c>
      <c r="N20">
        <v>55470</v>
      </c>
      <c r="O20">
        <v>58176</v>
      </c>
      <c r="P20">
        <v>63281</v>
      </c>
      <c r="Q20">
        <v>64840</v>
      </c>
      <c r="R20">
        <v>68027</v>
      </c>
    </row>
    <row r="21" spans="1:18">
      <c r="A21">
        <v>12100</v>
      </c>
      <c r="B21" t="s">
        <v>327</v>
      </c>
      <c r="C21" t="s">
        <v>1448</v>
      </c>
      <c r="D21" t="s">
        <v>1449</v>
      </c>
      <c r="E21">
        <v>38606</v>
      </c>
      <c r="F21">
        <v>40085</v>
      </c>
      <c r="G21">
        <v>40605</v>
      </c>
      <c r="H21">
        <v>41037</v>
      </c>
      <c r="I21">
        <v>41890</v>
      </c>
      <c r="J21">
        <v>42510</v>
      </c>
      <c r="K21">
        <v>43120</v>
      </c>
      <c r="L21">
        <v>44374</v>
      </c>
      <c r="M21">
        <v>46175</v>
      </c>
      <c r="N21">
        <v>49141</v>
      </c>
      <c r="O21">
        <v>54547</v>
      </c>
      <c r="P21">
        <v>57601</v>
      </c>
      <c r="Q21">
        <v>57267</v>
      </c>
      <c r="R21">
        <v>60493</v>
      </c>
    </row>
    <row r="22" spans="1:18">
      <c r="A22">
        <v>12220</v>
      </c>
      <c r="B22" t="s">
        <v>328</v>
      </c>
      <c r="C22" t="s">
        <v>1448</v>
      </c>
      <c r="D22" t="s">
        <v>1449</v>
      </c>
      <c r="E22">
        <v>29958</v>
      </c>
      <c r="F22">
        <v>30913</v>
      </c>
      <c r="G22">
        <v>31888</v>
      </c>
      <c r="H22">
        <v>31501</v>
      </c>
      <c r="I22">
        <v>32684</v>
      </c>
      <c r="J22">
        <v>33834</v>
      </c>
      <c r="K22">
        <v>34783</v>
      </c>
      <c r="L22">
        <v>35707</v>
      </c>
      <c r="M22">
        <v>36560</v>
      </c>
      <c r="N22">
        <v>39031</v>
      </c>
      <c r="O22">
        <v>41046</v>
      </c>
      <c r="P22">
        <v>45218</v>
      </c>
      <c r="Q22">
        <v>46140</v>
      </c>
      <c r="R22">
        <v>48511</v>
      </c>
    </row>
    <row r="23" spans="1:18">
      <c r="A23">
        <v>12260</v>
      </c>
      <c r="B23" t="s">
        <v>329</v>
      </c>
      <c r="C23" t="s">
        <v>1448</v>
      </c>
      <c r="D23" t="s">
        <v>1449</v>
      </c>
      <c r="E23">
        <v>33253</v>
      </c>
      <c r="F23">
        <v>34971</v>
      </c>
      <c r="G23">
        <v>34926</v>
      </c>
      <c r="H23">
        <v>34897</v>
      </c>
      <c r="I23">
        <v>36334</v>
      </c>
      <c r="J23">
        <v>38120</v>
      </c>
      <c r="K23">
        <v>38817</v>
      </c>
      <c r="L23">
        <v>40352</v>
      </c>
      <c r="M23">
        <v>41565</v>
      </c>
      <c r="N23">
        <v>43453</v>
      </c>
      <c r="O23">
        <v>46863</v>
      </c>
      <c r="P23">
        <v>49994</v>
      </c>
      <c r="Q23">
        <v>50248</v>
      </c>
      <c r="R23">
        <v>52069</v>
      </c>
    </row>
    <row r="24" spans="1:18">
      <c r="A24">
        <v>12420</v>
      </c>
      <c r="B24" t="s">
        <v>330</v>
      </c>
      <c r="C24" t="s">
        <v>1448</v>
      </c>
      <c r="D24" t="s">
        <v>1449</v>
      </c>
      <c r="E24">
        <v>41402</v>
      </c>
      <c r="F24">
        <v>44576</v>
      </c>
      <c r="G24">
        <v>47223</v>
      </c>
      <c r="H24">
        <v>48072</v>
      </c>
      <c r="I24">
        <v>50631</v>
      </c>
      <c r="J24">
        <v>51884</v>
      </c>
      <c r="K24">
        <v>52471</v>
      </c>
      <c r="L24">
        <v>56253</v>
      </c>
      <c r="M24">
        <v>59839</v>
      </c>
      <c r="N24">
        <v>62443</v>
      </c>
      <c r="O24">
        <v>63982</v>
      </c>
      <c r="P24">
        <v>70971</v>
      </c>
      <c r="Q24">
        <v>75999</v>
      </c>
      <c r="R24">
        <v>80471</v>
      </c>
    </row>
    <row r="25" spans="1:18">
      <c r="A25">
        <v>12540</v>
      </c>
      <c r="B25" t="s">
        <v>331</v>
      </c>
      <c r="C25" t="s">
        <v>1448</v>
      </c>
      <c r="D25" t="s">
        <v>1449</v>
      </c>
      <c r="E25">
        <v>30669</v>
      </c>
      <c r="F25">
        <v>32141</v>
      </c>
      <c r="G25">
        <v>33731</v>
      </c>
      <c r="H25">
        <v>34301</v>
      </c>
      <c r="I25">
        <v>36164</v>
      </c>
      <c r="J25">
        <v>36532</v>
      </c>
      <c r="K25">
        <v>36168</v>
      </c>
      <c r="L25">
        <v>36574</v>
      </c>
      <c r="M25">
        <v>37557</v>
      </c>
      <c r="N25">
        <v>39288</v>
      </c>
      <c r="O25">
        <v>44528</v>
      </c>
      <c r="P25">
        <v>46934</v>
      </c>
      <c r="Q25">
        <v>44595</v>
      </c>
      <c r="R25">
        <v>47350</v>
      </c>
    </row>
    <row r="26" spans="1:18">
      <c r="A26">
        <v>12580</v>
      </c>
      <c r="B26" t="s">
        <v>332</v>
      </c>
      <c r="C26" t="s">
        <v>1448</v>
      </c>
      <c r="D26" t="s">
        <v>1449</v>
      </c>
      <c r="E26">
        <v>48203</v>
      </c>
      <c r="F26">
        <v>50218</v>
      </c>
      <c r="G26">
        <v>51100</v>
      </c>
      <c r="H26">
        <v>51048</v>
      </c>
      <c r="I26">
        <v>52631</v>
      </c>
      <c r="J26">
        <v>54356</v>
      </c>
      <c r="K26">
        <v>55720</v>
      </c>
      <c r="L26">
        <v>57539</v>
      </c>
      <c r="M26">
        <v>59432</v>
      </c>
      <c r="N26">
        <v>61787</v>
      </c>
      <c r="O26">
        <v>65607</v>
      </c>
      <c r="P26">
        <v>70211</v>
      </c>
      <c r="Q26">
        <v>72580</v>
      </c>
      <c r="R26">
        <v>76923</v>
      </c>
    </row>
    <row r="27" spans="1:18">
      <c r="A27">
        <v>12620</v>
      </c>
      <c r="B27" t="s">
        <v>333</v>
      </c>
      <c r="C27" t="s">
        <v>1448</v>
      </c>
      <c r="D27" t="s">
        <v>1449</v>
      </c>
      <c r="E27">
        <v>33454</v>
      </c>
      <c r="F27">
        <v>34632</v>
      </c>
      <c r="G27">
        <v>34860</v>
      </c>
      <c r="H27">
        <v>35152</v>
      </c>
      <c r="I27">
        <v>35927</v>
      </c>
      <c r="J27">
        <v>37305</v>
      </c>
      <c r="K27">
        <v>38378</v>
      </c>
      <c r="L27">
        <v>39497</v>
      </c>
      <c r="M27">
        <v>41176</v>
      </c>
      <c r="N27">
        <v>42740</v>
      </c>
      <c r="O27">
        <v>47299</v>
      </c>
      <c r="P27">
        <v>50983</v>
      </c>
      <c r="Q27">
        <v>52179</v>
      </c>
      <c r="R27">
        <v>53978</v>
      </c>
    </row>
    <row r="28" spans="1:18">
      <c r="A28">
        <v>12700</v>
      </c>
      <c r="B28" t="s">
        <v>334</v>
      </c>
      <c r="C28" t="s">
        <v>1448</v>
      </c>
      <c r="D28" t="s">
        <v>1449</v>
      </c>
      <c r="E28">
        <v>51523</v>
      </c>
      <c r="F28">
        <v>53334</v>
      </c>
      <c r="G28">
        <v>55263</v>
      </c>
      <c r="H28">
        <v>55482</v>
      </c>
      <c r="I28">
        <v>57961</v>
      </c>
      <c r="J28">
        <v>60404</v>
      </c>
      <c r="K28">
        <v>62393</v>
      </c>
      <c r="L28">
        <v>64192</v>
      </c>
      <c r="M28">
        <v>67070</v>
      </c>
      <c r="N28">
        <v>72827</v>
      </c>
      <c r="O28">
        <v>78437</v>
      </c>
      <c r="P28">
        <v>84248</v>
      </c>
      <c r="Q28">
        <v>86325</v>
      </c>
      <c r="R28">
        <v>92417</v>
      </c>
    </row>
    <row r="29" spans="1:18">
      <c r="A29">
        <v>12940</v>
      </c>
      <c r="B29" t="s">
        <v>335</v>
      </c>
      <c r="C29" t="s">
        <v>1448</v>
      </c>
      <c r="D29" t="s">
        <v>1449</v>
      </c>
      <c r="E29">
        <v>38308</v>
      </c>
      <c r="F29">
        <v>40262</v>
      </c>
      <c r="G29">
        <v>41375</v>
      </c>
      <c r="H29">
        <v>41804</v>
      </c>
      <c r="I29">
        <v>42887</v>
      </c>
      <c r="J29">
        <v>43452</v>
      </c>
      <c r="K29">
        <v>44066</v>
      </c>
      <c r="L29">
        <v>45363</v>
      </c>
      <c r="M29">
        <v>47449</v>
      </c>
      <c r="N29">
        <v>49101</v>
      </c>
      <c r="O29">
        <v>52237</v>
      </c>
      <c r="P29">
        <v>56987</v>
      </c>
      <c r="Q29">
        <v>58423</v>
      </c>
      <c r="R29">
        <v>61972</v>
      </c>
    </row>
    <row r="30" spans="1:18">
      <c r="A30">
        <v>12980</v>
      </c>
      <c r="B30" t="s">
        <v>336</v>
      </c>
      <c r="C30" t="s">
        <v>1448</v>
      </c>
      <c r="D30" t="s">
        <v>1449</v>
      </c>
      <c r="E30">
        <v>32068</v>
      </c>
      <c r="F30">
        <v>32987</v>
      </c>
      <c r="G30">
        <v>33998</v>
      </c>
      <c r="H30">
        <v>34219</v>
      </c>
      <c r="I30">
        <v>34987</v>
      </c>
      <c r="J30">
        <v>36873</v>
      </c>
      <c r="K30">
        <v>37374</v>
      </c>
      <c r="L30">
        <v>37994</v>
      </c>
      <c r="M30">
        <v>38854</v>
      </c>
      <c r="N30">
        <v>40018</v>
      </c>
      <c r="O30">
        <v>43929</v>
      </c>
      <c r="P30">
        <v>45745</v>
      </c>
      <c r="Q30">
        <v>46210</v>
      </c>
      <c r="R30">
        <v>47947</v>
      </c>
    </row>
    <row r="31" spans="1:18">
      <c r="A31">
        <v>13020</v>
      </c>
      <c r="B31" t="s">
        <v>337</v>
      </c>
      <c r="C31" t="s">
        <v>1448</v>
      </c>
      <c r="D31" t="s">
        <v>1449</v>
      </c>
      <c r="E31">
        <v>33587</v>
      </c>
      <c r="F31">
        <v>34793</v>
      </c>
      <c r="G31">
        <v>35304</v>
      </c>
      <c r="H31">
        <v>35453</v>
      </c>
      <c r="I31">
        <v>36362</v>
      </c>
      <c r="J31">
        <v>37971</v>
      </c>
      <c r="K31">
        <v>39041</v>
      </c>
      <c r="L31">
        <v>39448</v>
      </c>
      <c r="M31">
        <v>41712</v>
      </c>
      <c r="N31">
        <v>42669</v>
      </c>
      <c r="O31">
        <v>46668</v>
      </c>
      <c r="P31">
        <v>50581</v>
      </c>
      <c r="Q31">
        <v>49936</v>
      </c>
      <c r="R31">
        <v>52579</v>
      </c>
    </row>
    <row r="32" spans="1:18">
      <c r="A32">
        <v>13140</v>
      </c>
      <c r="B32" t="s">
        <v>338</v>
      </c>
      <c r="C32" t="s">
        <v>1448</v>
      </c>
      <c r="D32" t="s">
        <v>1449</v>
      </c>
      <c r="E32">
        <v>35542</v>
      </c>
      <c r="F32">
        <v>36933</v>
      </c>
      <c r="G32">
        <v>38695</v>
      </c>
      <c r="H32">
        <v>37653</v>
      </c>
      <c r="I32">
        <v>40524</v>
      </c>
      <c r="J32">
        <v>41328</v>
      </c>
      <c r="K32">
        <v>41042</v>
      </c>
      <c r="L32">
        <v>42019</v>
      </c>
      <c r="M32">
        <v>43334</v>
      </c>
      <c r="N32">
        <v>44411</v>
      </c>
      <c r="O32">
        <v>46405</v>
      </c>
      <c r="P32">
        <v>48592</v>
      </c>
      <c r="Q32">
        <v>48741</v>
      </c>
      <c r="R32">
        <v>51459</v>
      </c>
    </row>
    <row r="33" spans="1:18">
      <c r="A33">
        <v>13220</v>
      </c>
      <c r="B33" t="s">
        <v>339</v>
      </c>
      <c r="C33" t="s">
        <v>1448</v>
      </c>
      <c r="D33" t="s">
        <v>1449</v>
      </c>
      <c r="E33">
        <v>30949</v>
      </c>
      <c r="F33">
        <v>33904</v>
      </c>
      <c r="G33">
        <v>34255</v>
      </c>
      <c r="H33">
        <v>33540</v>
      </c>
      <c r="I33">
        <v>34492</v>
      </c>
      <c r="J33">
        <v>35151</v>
      </c>
      <c r="K33">
        <v>34392</v>
      </c>
      <c r="L33">
        <v>36708</v>
      </c>
      <c r="M33">
        <v>38771</v>
      </c>
      <c r="N33">
        <v>40822</v>
      </c>
      <c r="O33">
        <v>42454</v>
      </c>
      <c r="P33">
        <v>46184</v>
      </c>
      <c r="Q33">
        <v>47591</v>
      </c>
      <c r="R33">
        <v>50178</v>
      </c>
    </row>
    <row r="34" spans="1:18">
      <c r="A34">
        <v>13380</v>
      </c>
      <c r="B34" t="s">
        <v>340</v>
      </c>
      <c r="C34" t="s">
        <v>1448</v>
      </c>
      <c r="D34" t="s">
        <v>1449</v>
      </c>
      <c r="E34">
        <v>36468</v>
      </c>
      <c r="F34">
        <v>38232</v>
      </c>
      <c r="G34">
        <v>40273</v>
      </c>
      <c r="H34">
        <v>39842</v>
      </c>
      <c r="I34">
        <v>41623</v>
      </c>
      <c r="J34">
        <v>43243</v>
      </c>
      <c r="K34">
        <v>43970</v>
      </c>
      <c r="L34">
        <v>45427</v>
      </c>
      <c r="M34">
        <v>48140</v>
      </c>
      <c r="N34">
        <v>51162</v>
      </c>
      <c r="O34">
        <v>53903</v>
      </c>
      <c r="P34">
        <v>58107</v>
      </c>
      <c r="Q34">
        <v>59169</v>
      </c>
      <c r="R34">
        <v>62095</v>
      </c>
    </row>
    <row r="35" spans="1:18">
      <c r="A35">
        <v>13460</v>
      </c>
      <c r="B35" t="s">
        <v>341</v>
      </c>
      <c r="C35" t="s">
        <v>1448</v>
      </c>
      <c r="D35" t="s">
        <v>1449</v>
      </c>
      <c r="E35">
        <v>34829</v>
      </c>
      <c r="F35">
        <v>36986</v>
      </c>
      <c r="G35">
        <v>39237</v>
      </c>
      <c r="H35">
        <v>41126</v>
      </c>
      <c r="I35">
        <v>43223</v>
      </c>
      <c r="J35">
        <v>47253</v>
      </c>
      <c r="K35">
        <v>49709</v>
      </c>
      <c r="L35">
        <v>52566</v>
      </c>
      <c r="M35">
        <v>55443</v>
      </c>
      <c r="N35">
        <v>57708</v>
      </c>
      <c r="O35">
        <v>63905</v>
      </c>
      <c r="P35">
        <v>70556</v>
      </c>
      <c r="Q35">
        <v>75972</v>
      </c>
      <c r="R35">
        <v>81025</v>
      </c>
    </row>
    <row r="36" spans="1:18">
      <c r="A36">
        <v>13740</v>
      </c>
      <c r="B36" t="s">
        <v>342</v>
      </c>
      <c r="C36" t="s">
        <v>1448</v>
      </c>
      <c r="D36" t="s">
        <v>1449</v>
      </c>
      <c r="E36">
        <v>39006</v>
      </c>
      <c r="F36">
        <v>41360</v>
      </c>
      <c r="G36">
        <v>44439</v>
      </c>
      <c r="H36">
        <v>44147</v>
      </c>
      <c r="I36">
        <v>46632</v>
      </c>
      <c r="J36">
        <v>47480</v>
      </c>
      <c r="K36">
        <v>47248</v>
      </c>
      <c r="L36">
        <v>49499</v>
      </c>
      <c r="M36">
        <v>51599</v>
      </c>
      <c r="N36">
        <v>52864</v>
      </c>
      <c r="O36">
        <v>56111</v>
      </c>
      <c r="P36">
        <v>62153</v>
      </c>
      <c r="Q36">
        <v>65328</v>
      </c>
      <c r="R36">
        <v>68898</v>
      </c>
    </row>
    <row r="37" spans="1:18">
      <c r="A37">
        <v>13780</v>
      </c>
      <c r="B37" t="s">
        <v>343</v>
      </c>
      <c r="C37" t="s">
        <v>1448</v>
      </c>
      <c r="D37" t="s">
        <v>1449</v>
      </c>
      <c r="E37">
        <v>35492</v>
      </c>
      <c r="F37">
        <v>36359</v>
      </c>
      <c r="G37">
        <v>37097</v>
      </c>
      <c r="H37">
        <v>37060</v>
      </c>
      <c r="I37">
        <v>37385</v>
      </c>
      <c r="J37">
        <v>38483</v>
      </c>
      <c r="K37">
        <v>38905</v>
      </c>
      <c r="L37">
        <v>41121</v>
      </c>
      <c r="M37">
        <v>42083</v>
      </c>
      <c r="N37">
        <v>43917</v>
      </c>
      <c r="O37">
        <v>47946</v>
      </c>
      <c r="P37">
        <v>50473</v>
      </c>
      <c r="Q37">
        <v>49745</v>
      </c>
      <c r="R37">
        <v>52659</v>
      </c>
    </row>
    <row r="38" spans="1:18">
      <c r="A38">
        <v>13820</v>
      </c>
      <c r="B38" t="s">
        <v>344</v>
      </c>
      <c r="C38" t="s">
        <v>1448</v>
      </c>
      <c r="D38" t="s">
        <v>1449</v>
      </c>
      <c r="E38">
        <v>39422</v>
      </c>
      <c r="F38">
        <v>40756</v>
      </c>
      <c r="G38">
        <v>42389</v>
      </c>
      <c r="H38">
        <v>42032</v>
      </c>
      <c r="I38">
        <v>43457</v>
      </c>
      <c r="J38">
        <v>45440</v>
      </c>
      <c r="K38">
        <v>46011</v>
      </c>
      <c r="L38">
        <v>48120</v>
      </c>
      <c r="M38">
        <v>50091</v>
      </c>
      <c r="N38">
        <v>51906</v>
      </c>
      <c r="O38">
        <v>54798</v>
      </c>
      <c r="P38">
        <v>60940</v>
      </c>
      <c r="Q38">
        <v>62993</v>
      </c>
      <c r="R38">
        <v>66502</v>
      </c>
    </row>
    <row r="39" spans="1:18">
      <c r="A39">
        <v>13900</v>
      </c>
      <c r="B39" t="s">
        <v>345</v>
      </c>
      <c r="C39" t="s">
        <v>1448</v>
      </c>
      <c r="D39" t="s">
        <v>1449</v>
      </c>
      <c r="E39">
        <v>43345</v>
      </c>
      <c r="F39">
        <v>47632</v>
      </c>
      <c r="G39">
        <v>52516</v>
      </c>
      <c r="H39">
        <v>53030</v>
      </c>
      <c r="I39">
        <v>56424</v>
      </c>
      <c r="J39">
        <v>54827</v>
      </c>
      <c r="K39">
        <v>54116</v>
      </c>
      <c r="L39">
        <v>53664</v>
      </c>
      <c r="M39">
        <v>55936</v>
      </c>
      <c r="N39">
        <v>57632</v>
      </c>
      <c r="O39">
        <v>60508</v>
      </c>
      <c r="P39">
        <v>67193</v>
      </c>
      <c r="Q39">
        <v>69701</v>
      </c>
      <c r="R39">
        <v>72043</v>
      </c>
    </row>
    <row r="40" spans="1:18">
      <c r="A40">
        <v>13980</v>
      </c>
      <c r="B40" t="s">
        <v>346</v>
      </c>
      <c r="C40" t="s">
        <v>1448</v>
      </c>
      <c r="D40" t="s">
        <v>1449</v>
      </c>
      <c r="E40">
        <v>28681</v>
      </c>
      <c r="F40">
        <v>29775</v>
      </c>
      <c r="G40">
        <v>30818</v>
      </c>
      <c r="H40">
        <v>31018</v>
      </c>
      <c r="I40">
        <v>32533</v>
      </c>
      <c r="J40">
        <v>33884</v>
      </c>
      <c r="K40">
        <v>34437</v>
      </c>
      <c r="L40">
        <v>35798</v>
      </c>
      <c r="M40">
        <v>37403</v>
      </c>
      <c r="N40">
        <v>38409</v>
      </c>
      <c r="O40">
        <v>40969</v>
      </c>
      <c r="P40">
        <v>44712</v>
      </c>
      <c r="Q40">
        <v>47014</v>
      </c>
      <c r="R40">
        <v>50496</v>
      </c>
    </row>
    <row r="41" spans="1:18">
      <c r="A41">
        <v>14010</v>
      </c>
      <c r="B41" t="s">
        <v>347</v>
      </c>
      <c r="C41" t="s">
        <v>1448</v>
      </c>
      <c r="D41" t="s">
        <v>1449</v>
      </c>
      <c r="E41">
        <v>40268</v>
      </c>
      <c r="F41">
        <v>42288</v>
      </c>
      <c r="G41">
        <v>42710</v>
      </c>
      <c r="H41">
        <v>43271</v>
      </c>
      <c r="I41">
        <v>43226</v>
      </c>
      <c r="J41">
        <v>45478</v>
      </c>
      <c r="K41">
        <v>46278</v>
      </c>
      <c r="L41">
        <v>46955</v>
      </c>
      <c r="M41">
        <v>48958</v>
      </c>
      <c r="N41">
        <v>49813</v>
      </c>
      <c r="O41">
        <v>54811</v>
      </c>
      <c r="P41">
        <v>58808</v>
      </c>
      <c r="Q41">
        <v>59028</v>
      </c>
      <c r="R41">
        <v>61174</v>
      </c>
    </row>
    <row r="42" spans="1:18">
      <c r="A42">
        <v>14020</v>
      </c>
      <c r="B42" t="s">
        <v>348</v>
      </c>
      <c r="C42" t="s">
        <v>1448</v>
      </c>
      <c r="D42" t="s">
        <v>1449</v>
      </c>
      <c r="E42">
        <v>30935</v>
      </c>
      <c r="F42">
        <v>32564</v>
      </c>
      <c r="G42">
        <v>33820</v>
      </c>
      <c r="H42">
        <v>33928</v>
      </c>
      <c r="I42">
        <v>35458</v>
      </c>
      <c r="J42">
        <v>37307</v>
      </c>
      <c r="K42">
        <v>39045</v>
      </c>
      <c r="L42">
        <v>41187</v>
      </c>
      <c r="M42">
        <v>43141</v>
      </c>
      <c r="N42">
        <v>44898</v>
      </c>
      <c r="O42">
        <v>47834</v>
      </c>
      <c r="P42">
        <v>52318</v>
      </c>
      <c r="Q42">
        <v>54178</v>
      </c>
      <c r="R42">
        <v>56651</v>
      </c>
    </row>
    <row r="43" spans="1:18">
      <c r="A43">
        <v>14100</v>
      </c>
      <c r="B43" t="s">
        <v>349</v>
      </c>
      <c r="C43" t="s">
        <v>1448</v>
      </c>
      <c r="D43" t="s">
        <v>1449</v>
      </c>
      <c r="E43">
        <v>34766</v>
      </c>
      <c r="F43">
        <v>36558</v>
      </c>
      <c r="G43">
        <v>37291</v>
      </c>
      <c r="H43">
        <v>38113</v>
      </c>
      <c r="I43">
        <v>38806</v>
      </c>
      <c r="J43">
        <v>40289</v>
      </c>
      <c r="K43">
        <v>41749</v>
      </c>
      <c r="L43">
        <v>43194</v>
      </c>
      <c r="M43">
        <v>44885</v>
      </c>
      <c r="N43">
        <v>46186</v>
      </c>
      <c r="O43">
        <v>50257</v>
      </c>
      <c r="P43">
        <v>53257</v>
      </c>
      <c r="Q43">
        <v>53706</v>
      </c>
      <c r="R43">
        <v>56534</v>
      </c>
    </row>
    <row r="44" spans="1:18">
      <c r="A44">
        <v>14260</v>
      </c>
      <c r="B44" t="s">
        <v>350</v>
      </c>
      <c r="C44" t="s">
        <v>1448</v>
      </c>
      <c r="D44" t="s">
        <v>1449</v>
      </c>
      <c r="E44">
        <v>33621</v>
      </c>
      <c r="F44">
        <v>34889</v>
      </c>
      <c r="G44">
        <v>36264</v>
      </c>
      <c r="H44">
        <v>37326</v>
      </c>
      <c r="I44">
        <v>38969</v>
      </c>
      <c r="J44">
        <v>40694</v>
      </c>
      <c r="K44">
        <v>41559</v>
      </c>
      <c r="L44">
        <v>43335</v>
      </c>
      <c r="M44">
        <v>45595</v>
      </c>
      <c r="N44">
        <v>47955</v>
      </c>
      <c r="O44">
        <v>51657</v>
      </c>
      <c r="P44">
        <v>58086</v>
      </c>
      <c r="Q44">
        <v>61112</v>
      </c>
      <c r="R44">
        <v>63689</v>
      </c>
    </row>
    <row r="45" spans="1:18">
      <c r="A45">
        <v>14460</v>
      </c>
      <c r="B45" t="s">
        <v>351</v>
      </c>
      <c r="C45" t="s">
        <v>1448</v>
      </c>
      <c r="D45" t="s">
        <v>1449</v>
      </c>
      <c r="E45">
        <v>57744</v>
      </c>
      <c r="F45">
        <v>60005</v>
      </c>
      <c r="G45">
        <v>61505</v>
      </c>
      <c r="H45">
        <v>61256</v>
      </c>
      <c r="I45">
        <v>63585</v>
      </c>
      <c r="J45">
        <v>67506</v>
      </c>
      <c r="K45">
        <v>69736</v>
      </c>
      <c r="L45">
        <v>72924</v>
      </c>
      <c r="M45">
        <v>76594</v>
      </c>
      <c r="N45">
        <v>80092</v>
      </c>
      <c r="O45">
        <v>84686</v>
      </c>
      <c r="P45">
        <v>92742</v>
      </c>
      <c r="Q45">
        <v>95926</v>
      </c>
      <c r="R45">
        <v>100880</v>
      </c>
    </row>
    <row r="46" spans="1:18">
      <c r="A46">
        <v>14500</v>
      </c>
      <c r="B46" t="s">
        <v>352</v>
      </c>
      <c r="C46" t="s">
        <v>1448</v>
      </c>
      <c r="D46" t="s">
        <v>1449</v>
      </c>
      <c r="E46">
        <v>50356</v>
      </c>
      <c r="F46">
        <v>52388</v>
      </c>
      <c r="G46">
        <v>54447</v>
      </c>
      <c r="H46">
        <v>55964</v>
      </c>
      <c r="I46">
        <v>59514</v>
      </c>
      <c r="J46">
        <v>63274</v>
      </c>
      <c r="K46">
        <v>64195</v>
      </c>
      <c r="L46">
        <v>68415</v>
      </c>
      <c r="M46">
        <v>71604</v>
      </c>
      <c r="N46">
        <v>78641</v>
      </c>
      <c r="O46">
        <v>81963</v>
      </c>
      <c r="P46">
        <v>92317</v>
      </c>
      <c r="Q46">
        <v>95454</v>
      </c>
      <c r="R46">
        <v>100242</v>
      </c>
    </row>
    <row r="47" spans="1:18">
      <c r="A47">
        <v>14540</v>
      </c>
      <c r="B47" t="s">
        <v>353</v>
      </c>
      <c r="C47" t="s">
        <v>1448</v>
      </c>
      <c r="D47" t="s">
        <v>1449</v>
      </c>
      <c r="E47">
        <v>29886</v>
      </c>
      <c r="F47">
        <v>31058</v>
      </c>
      <c r="G47">
        <v>31814</v>
      </c>
      <c r="H47">
        <v>32088</v>
      </c>
      <c r="I47">
        <v>33260</v>
      </c>
      <c r="J47">
        <v>34408</v>
      </c>
      <c r="K47">
        <v>34748</v>
      </c>
      <c r="L47">
        <v>35532</v>
      </c>
      <c r="M47">
        <v>35988</v>
      </c>
      <c r="N47">
        <v>37480</v>
      </c>
      <c r="O47">
        <v>40383</v>
      </c>
      <c r="P47">
        <v>44199</v>
      </c>
      <c r="Q47">
        <v>44878</v>
      </c>
      <c r="R47">
        <v>47028</v>
      </c>
    </row>
    <row r="48" spans="1:18">
      <c r="A48">
        <v>14740</v>
      </c>
      <c r="B48" t="s">
        <v>354</v>
      </c>
      <c r="C48" t="s">
        <v>1448</v>
      </c>
      <c r="D48" t="s">
        <v>1449</v>
      </c>
      <c r="E48">
        <v>42193</v>
      </c>
      <c r="F48">
        <v>42965</v>
      </c>
      <c r="G48">
        <v>44402</v>
      </c>
      <c r="H48">
        <v>44531</v>
      </c>
      <c r="I48">
        <v>46756</v>
      </c>
      <c r="J48">
        <v>47776</v>
      </c>
      <c r="K48">
        <v>49373</v>
      </c>
      <c r="L48">
        <v>51361</v>
      </c>
      <c r="M48">
        <v>53952</v>
      </c>
      <c r="N48">
        <v>57680</v>
      </c>
      <c r="O48">
        <v>62337</v>
      </c>
      <c r="P48">
        <v>66369</v>
      </c>
      <c r="Q48">
        <v>68389</v>
      </c>
      <c r="R48">
        <v>73841</v>
      </c>
    </row>
    <row r="49" spans="1:18">
      <c r="A49">
        <v>14860</v>
      </c>
      <c r="B49" t="s">
        <v>355</v>
      </c>
      <c r="C49" t="s">
        <v>1448</v>
      </c>
      <c r="D49" t="s">
        <v>1449</v>
      </c>
      <c r="E49">
        <v>102572</v>
      </c>
      <c r="F49">
        <v>102997</v>
      </c>
      <c r="G49">
        <v>101729</v>
      </c>
      <c r="H49">
        <v>95083</v>
      </c>
      <c r="I49">
        <v>99718</v>
      </c>
      <c r="J49">
        <v>101239</v>
      </c>
      <c r="K49">
        <v>103708</v>
      </c>
      <c r="L49">
        <v>106972</v>
      </c>
      <c r="M49">
        <v>112898</v>
      </c>
      <c r="N49">
        <v>113672</v>
      </c>
      <c r="O49">
        <v>113480</v>
      </c>
      <c r="P49">
        <v>121905</v>
      </c>
      <c r="Q49">
        <v>130214</v>
      </c>
      <c r="R49">
        <v>139006</v>
      </c>
    </row>
    <row r="50" spans="1:18">
      <c r="A50">
        <v>15180</v>
      </c>
      <c r="B50" t="s">
        <v>356</v>
      </c>
      <c r="C50" t="s">
        <v>1448</v>
      </c>
      <c r="D50" t="s">
        <v>1449</v>
      </c>
      <c r="E50">
        <v>23612</v>
      </c>
      <c r="F50">
        <v>24470</v>
      </c>
      <c r="G50">
        <v>24801</v>
      </c>
      <c r="H50">
        <v>25297</v>
      </c>
      <c r="I50">
        <v>26125</v>
      </c>
      <c r="J50">
        <v>26734</v>
      </c>
      <c r="K50">
        <v>27362</v>
      </c>
      <c r="L50">
        <v>27726</v>
      </c>
      <c r="M50">
        <v>28916</v>
      </c>
      <c r="N50">
        <v>30188</v>
      </c>
      <c r="O50">
        <v>33559</v>
      </c>
      <c r="P50">
        <v>38105</v>
      </c>
      <c r="Q50">
        <v>36934</v>
      </c>
      <c r="R50">
        <v>38523</v>
      </c>
    </row>
    <row r="51" spans="1:18">
      <c r="A51">
        <v>15260</v>
      </c>
      <c r="B51" t="s">
        <v>357</v>
      </c>
      <c r="C51" t="s">
        <v>1448</v>
      </c>
      <c r="D51" t="s">
        <v>1449</v>
      </c>
      <c r="E51">
        <v>32030</v>
      </c>
      <c r="F51">
        <v>33492</v>
      </c>
      <c r="G51">
        <v>33947</v>
      </c>
      <c r="H51">
        <v>34400</v>
      </c>
      <c r="I51">
        <v>35870</v>
      </c>
      <c r="J51">
        <v>37894</v>
      </c>
      <c r="K51">
        <v>38638</v>
      </c>
      <c r="L51">
        <v>40526</v>
      </c>
      <c r="M51">
        <v>43016</v>
      </c>
      <c r="N51">
        <v>44103</v>
      </c>
      <c r="O51">
        <v>48674</v>
      </c>
      <c r="P51">
        <v>53262</v>
      </c>
      <c r="Q51">
        <v>54933</v>
      </c>
      <c r="R51">
        <v>57595</v>
      </c>
    </row>
    <row r="52" spans="1:18">
      <c r="A52">
        <v>15380</v>
      </c>
      <c r="B52" t="s">
        <v>358</v>
      </c>
      <c r="C52" t="s">
        <v>1448</v>
      </c>
      <c r="D52" t="s">
        <v>1449</v>
      </c>
      <c r="E52">
        <v>38394</v>
      </c>
      <c r="F52">
        <v>39807</v>
      </c>
      <c r="G52">
        <v>40874</v>
      </c>
      <c r="H52">
        <v>41094</v>
      </c>
      <c r="I52">
        <v>41928</v>
      </c>
      <c r="J52">
        <v>43594</v>
      </c>
      <c r="K52">
        <v>44390</v>
      </c>
      <c r="L52">
        <v>46468</v>
      </c>
      <c r="M52">
        <v>47516</v>
      </c>
      <c r="N52">
        <v>49459</v>
      </c>
      <c r="O52">
        <v>54269</v>
      </c>
      <c r="P52">
        <v>56855</v>
      </c>
      <c r="Q52">
        <v>57503</v>
      </c>
      <c r="R52">
        <v>61106</v>
      </c>
    </row>
    <row r="53" spans="1:18">
      <c r="A53">
        <v>15500</v>
      </c>
      <c r="B53" t="s">
        <v>359</v>
      </c>
      <c r="C53" t="s">
        <v>1448</v>
      </c>
      <c r="D53" t="s">
        <v>1449</v>
      </c>
      <c r="E53">
        <v>31996</v>
      </c>
      <c r="F53">
        <v>33109</v>
      </c>
      <c r="G53">
        <v>34019</v>
      </c>
      <c r="H53">
        <v>34245</v>
      </c>
      <c r="I53">
        <v>35424</v>
      </c>
      <c r="J53">
        <v>36228</v>
      </c>
      <c r="K53">
        <v>36896</v>
      </c>
      <c r="L53">
        <v>37907</v>
      </c>
      <c r="M53">
        <v>39318</v>
      </c>
      <c r="N53">
        <v>41191</v>
      </c>
      <c r="O53">
        <v>44125</v>
      </c>
      <c r="P53">
        <v>48449</v>
      </c>
      <c r="Q53">
        <v>49338</v>
      </c>
      <c r="R53">
        <v>51405</v>
      </c>
    </row>
    <row r="54" spans="1:18">
      <c r="A54">
        <v>15540</v>
      </c>
      <c r="B54" t="s">
        <v>360</v>
      </c>
      <c r="C54" t="s">
        <v>1448</v>
      </c>
      <c r="D54" t="s">
        <v>1449</v>
      </c>
      <c r="E54">
        <v>43924</v>
      </c>
      <c r="F54">
        <v>46815</v>
      </c>
      <c r="G54">
        <v>48036</v>
      </c>
      <c r="H54">
        <v>48769</v>
      </c>
      <c r="I54">
        <v>50481</v>
      </c>
      <c r="J54">
        <v>51600</v>
      </c>
      <c r="K54">
        <v>52640</v>
      </c>
      <c r="L54">
        <v>53857</v>
      </c>
      <c r="M54">
        <v>55447</v>
      </c>
      <c r="N54">
        <v>58187</v>
      </c>
      <c r="O54">
        <v>61330</v>
      </c>
      <c r="P54">
        <v>64575</v>
      </c>
      <c r="Q54">
        <v>68465</v>
      </c>
      <c r="R54">
        <v>71933</v>
      </c>
    </row>
    <row r="55" spans="1:18">
      <c r="A55">
        <v>15680</v>
      </c>
      <c r="B55" t="s">
        <v>361</v>
      </c>
      <c r="C55" t="s">
        <v>1448</v>
      </c>
      <c r="D55" t="s">
        <v>1449</v>
      </c>
      <c r="E55">
        <v>46967</v>
      </c>
      <c r="F55">
        <v>49043</v>
      </c>
      <c r="G55">
        <v>49270</v>
      </c>
      <c r="H55">
        <v>49188</v>
      </c>
      <c r="I55">
        <v>50355</v>
      </c>
      <c r="J55">
        <v>52185</v>
      </c>
      <c r="K55">
        <v>53238</v>
      </c>
      <c r="L55">
        <v>54151</v>
      </c>
      <c r="M55">
        <v>56222</v>
      </c>
      <c r="N55">
        <v>58400</v>
      </c>
      <c r="O55">
        <v>61911</v>
      </c>
      <c r="P55">
        <v>64999</v>
      </c>
      <c r="Q55">
        <v>66497</v>
      </c>
      <c r="R55">
        <v>70353</v>
      </c>
    </row>
    <row r="56" spans="1:18">
      <c r="A56">
        <v>15940</v>
      </c>
      <c r="B56" t="s">
        <v>362</v>
      </c>
      <c r="C56" t="s">
        <v>1448</v>
      </c>
      <c r="D56" t="s">
        <v>1449</v>
      </c>
      <c r="E56">
        <v>34114</v>
      </c>
      <c r="F56">
        <v>36377</v>
      </c>
      <c r="G56">
        <v>37661</v>
      </c>
      <c r="H56">
        <v>38064</v>
      </c>
      <c r="I56">
        <v>39360</v>
      </c>
      <c r="J56">
        <v>40714</v>
      </c>
      <c r="K56">
        <v>40672</v>
      </c>
      <c r="L56">
        <v>42244</v>
      </c>
      <c r="M56">
        <v>43624</v>
      </c>
      <c r="N56">
        <v>45062</v>
      </c>
      <c r="O56">
        <v>48465</v>
      </c>
      <c r="P56">
        <v>52884</v>
      </c>
      <c r="Q56">
        <v>53757</v>
      </c>
      <c r="R56">
        <v>56549</v>
      </c>
    </row>
    <row r="57" spans="1:18">
      <c r="A57">
        <v>15980</v>
      </c>
      <c r="B57" t="s">
        <v>363</v>
      </c>
      <c r="C57" t="s">
        <v>1448</v>
      </c>
      <c r="D57" t="s">
        <v>1449</v>
      </c>
      <c r="E57">
        <v>39510</v>
      </c>
      <c r="F57">
        <v>41922</v>
      </c>
      <c r="G57">
        <v>42105</v>
      </c>
      <c r="H57">
        <v>41883</v>
      </c>
      <c r="I57">
        <v>44693</v>
      </c>
      <c r="J57">
        <v>46576</v>
      </c>
      <c r="K57">
        <v>48594</v>
      </c>
      <c r="L57">
        <v>50716</v>
      </c>
      <c r="M57">
        <v>52981</v>
      </c>
      <c r="N57">
        <v>55301</v>
      </c>
      <c r="O57">
        <v>58641</v>
      </c>
      <c r="P57">
        <v>61275</v>
      </c>
      <c r="Q57">
        <v>61510</v>
      </c>
      <c r="R57">
        <v>65878</v>
      </c>
    </row>
    <row r="58" spans="1:18">
      <c r="A58">
        <v>16020</v>
      </c>
      <c r="B58" t="s">
        <v>364</v>
      </c>
      <c r="C58" t="s">
        <v>1448</v>
      </c>
      <c r="D58" t="s">
        <v>1449</v>
      </c>
      <c r="E58">
        <v>33198</v>
      </c>
      <c r="F58">
        <v>34450</v>
      </c>
      <c r="G58">
        <v>36447</v>
      </c>
      <c r="H58">
        <v>36817</v>
      </c>
      <c r="I58">
        <v>37173</v>
      </c>
      <c r="J58">
        <v>38641</v>
      </c>
      <c r="K58">
        <v>39543</v>
      </c>
      <c r="L58">
        <v>40532</v>
      </c>
      <c r="M58">
        <v>42108</v>
      </c>
      <c r="N58">
        <v>42533</v>
      </c>
      <c r="O58">
        <v>45800</v>
      </c>
      <c r="P58">
        <v>48290</v>
      </c>
      <c r="Q58">
        <v>50322</v>
      </c>
      <c r="R58">
        <v>53822</v>
      </c>
    </row>
    <row r="59" spans="1:18">
      <c r="A59">
        <v>16060</v>
      </c>
      <c r="B59" t="s">
        <v>365</v>
      </c>
      <c r="C59" t="s">
        <v>1448</v>
      </c>
      <c r="D59" t="s">
        <v>1449</v>
      </c>
      <c r="E59">
        <v>33347</v>
      </c>
      <c r="F59">
        <v>34311</v>
      </c>
      <c r="G59">
        <v>35112</v>
      </c>
      <c r="H59">
        <v>35132</v>
      </c>
      <c r="I59">
        <v>35770</v>
      </c>
      <c r="J59">
        <v>37273</v>
      </c>
      <c r="K59">
        <v>37723</v>
      </c>
      <c r="L59">
        <v>39006</v>
      </c>
      <c r="M59">
        <v>40456</v>
      </c>
      <c r="N59">
        <v>41871</v>
      </c>
      <c r="O59">
        <v>45277</v>
      </c>
      <c r="P59">
        <v>48705</v>
      </c>
      <c r="Q59">
        <v>49337</v>
      </c>
      <c r="R59">
        <v>51949</v>
      </c>
    </row>
    <row r="60" spans="1:18">
      <c r="A60">
        <v>16180</v>
      </c>
      <c r="B60" t="s">
        <v>366</v>
      </c>
      <c r="C60" t="s">
        <v>1448</v>
      </c>
      <c r="D60" t="s">
        <v>1449</v>
      </c>
      <c r="E60">
        <v>44494</v>
      </c>
      <c r="F60">
        <v>42738</v>
      </c>
      <c r="G60">
        <v>41997</v>
      </c>
      <c r="H60">
        <v>40844</v>
      </c>
      <c r="I60">
        <v>41117</v>
      </c>
      <c r="J60">
        <v>43244</v>
      </c>
      <c r="K60">
        <v>43038</v>
      </c>
      <c r="L60">
        <v>45801</v>
      </c>
      <c r="M60">
        <v>48072</v>
      </c>
      <c r="N60">
        <v>50035</v>
      </c>
      <c r="O60">
        <v>55770</v>
      </c>
      <c r="P60">
        <v>59320</v>
      </c>
      <c r="Q60">
        <v>59966</v>
      </c>
      <c r="R60">
        <v>63498</v>
      </c>
    </row>
    <row r="61" spans="1:18">
      <c r="A61">
        <v>16220</v>
      </c>
      <c r="B61" t="s">
        <v>367</v>
      </c>
      <c r="C61" t="s">
        <v>1448</v>
      </c>
      <c r="D61" t="s">
        <v>1449</v>
      </c>
      <c r="E61">
        <v>50124</v>
      </c>
      <c r="F61">
        <v>54087</v>
      </c>
      <c r="G61">
        <v>60159</v>
      </c>
      <c r="H61">
        <v>61453</v>
      </c>
      <c r="I61">
        <v>68305</v>
      </c>
      <c r="J61">
        <v>69893</v>
      </c>
      <c r="K61">
        <v>61137</v>
      </c>
      <c r="L61">
        <v>62866</v>
      </c>
      <c r="M61">
        <v>67452</v>
      </c>
      <c r="N61">
        <v>64523</v>
      </c>
      <c r="O61">
        <v>63092</v>
      </c>
      <c r="P61">
        <v>67034</v>
      </c>
      <c r="Q61">
        <v>75040</v>
      </c>
      <c r="R61">
        <v>79846</v>
      </c>
    </row>
    <row r="62" spans="1:18">
      <c r="A62">
        <v>16300</v>
      </c>
      <c r="B62" t="s">
        <v>368</v>
      </c>
      <c r="C62" t="s">
        <v>1448</v>
      </c>
      <c r="D62" t="s">
        <v>1449</v>
      </c>
      <c r="E62">
        <v>41062</v>
      </c>
      <c r="F62">
        <v>42735</v>
      </c>
      <c r="G62">
        <v>44619</v>
      </c>
      <c r="H62">
        <v>44551</v>
      </c>
      <c r="I62">
        <v>46225</v>
      </c>
      <c r="J62">
        <v>47754</v>
      </c>
      <c r="K62">
        <v>48539</v>
      </c>
      <c r="L62">
        <v>49399</v>
      </c>
      <c r="M62">
        <v>51131</v>
      </c>
      <c r="N62">
        <v>52099</v>
      </c>
      <c r="O62">
        <v>54965</v>
      </c>
      <c r="P62">
        <v>59415</v>
      </c>
      <c r="Q62">
        <v>61485</v>
      </c>
      <c r="R62">
        <v>63448</v>
      </c>
    </row>
    <row r="63" spans="1:18">
      <c r="A63">
        <v>16540</v>
      </c>
      <c r="B63" t="s">
        <v>369</v>
      </c>
      <c r="C63" t="s">
        <v>1448</v>
      </c>
      <c r="D63" t="s">
        <v>1449</v>
      </c>
      <c r="E63">
        <v>36301</v>
      </c>
      <c r="F63">
        <v>38047</v>
      </c>
      <c r="G63">
        <v>38471</v>
      </c>
      <c r="H63">
        <v>39055</v>
      </c>
      <c r="I63">
        <v>40596</v>
      </c>
      <c r="J63">
        <v>41616</v>
      </c>
      <c r="K63">
        <v>42092</v>
      </c>
      <c r="L63">
        <v>43644</v>
      </c>
      <c r="M63">
        <v>45841</v>
      </c>
      <c r="N63">
        <v>47415</v>
      </c>
      <c r="O63">
        <v>51092</v>
      </c>
      <c r="P63">
        <v>54799</v>
      </c>
      <c r="Q63">
        <v>56112</v>
      </c>
      <c r="R63">
        <v>58380</v>
      </c>
    </row>
    <row r="64" spans="1:18">
      <c r="A64">
        <v>16580</v>
      </c>
      <c r="B64" t="s">
        <v>370</v>
      </c>
      <c r="C64" t="s">
        <v>1448</v>
      </c>
      <c r="D64" t="s">
        <v>1449</v>
      </c>
      <c r="E64">
        <v>38261</v>
      </c>
      <c r="F64">
        <v>39672</v>
      </c>
      <c r="G64">
        <v>40138</v>
      </c>
      <c r="H64">
        <v>41767</v>
      </c>
      <c r="I64">
        <v>42755</v>
      </c>
      <c r="J64">
        <v>43869</v>
      </c>
      <c r="K64">
        <v>43371</v>
      </c>
      <c r="L64">
        <v>43973</v>
      </c>
      <c r="M64">
        <v>45083</v>
      </c>
      <c r="N64">
        <v>46756</v>
      </c>
      <c r="O64">
        <v>50788</v>
      </c>
      <c r="P64">
        <v>55044</v>
      </c>
      <c r="Q64">
        <v>56627</v>
      </c>
      <c r="R64">
        <v>59680</v>
      </c>
    </row>
    <row r="65" spans="1:18">
      <c r="A65">
        <v>16620</v>
      </c>
      <c r="B65" t="s">
        <v>371</v>
      </c>
      <c r="C65" t="s">
        <v>1448</v>
      </c>
      <c r="D65" t="s">
        <v>1449</v>
      </c>
      <c r="E65">
        <v>36130</v>
      </c>
      <c r="F65">
        <v>38080</v>
      </c>
      <c r="G65">
        <v>38693</v>
      </c>
      <c r="H65">
        <v>38110</v>
      </c>
      <c r="I65">
        <v>39199</v>
      </c>
      <c r="J65">
        <v>39855</v>
      </c>
      <c r="K65">
        <v>39705</v>
      </c>
      <c r="L65">
        <v>40975</v>
      </c>
      <c r="M65">
        <v>43425</v>
      </c>
      <c r="N65">
        <v>44788</v>
      </c>
      <c r="O65">
        <v>47451</v>
      </c>
      <c r="P65">
        <v>51076</v>
      </c>
      <c r="Q65">
        <v>53023</v>
      </c>
      <c r="R65">
        <v>56140</v>
      </c>
    </row>
    <row r="66" spans="1:18">
      <c r="A66">
        <v>16700</v>
      </c>
      <c r="B66" t="s">
        <v>372</v>
      </c>
      <c r="C66" t="s">
        <v>1448</v>
      </c>
      <c r="D66" t="s">
        <v>1449</v>
      </c>
      <c r="E66">
        <v>36922</v>
      </c>
      <c r="F66">
        <v>39472</v>
      </c>
      <c r="G66">
        <v>42223</v>
      </c>
      <c r="H66">
        <v>41047</v>
      </c>
      <c r="I66">
        <v>43458</v>
      </c>
      <c r="J66">
        <v>45617</v>
      </c>
      <c r="K66">
        <v>47186</v>
      </c>
      <c r="L66">
        <v>49138</v>
      </c>
      <c r="M66">
        <v>50996</v>
      </c>
      <c r="N66">
        <v>54516</v>
      </c>
      <c r="O66">
        <v>56685</v>
      </c>
      <c r="P66">
        <v>61901</v>
      </c>
      <c r="Q66">
        <v>64567</v>
      </c>
      <c r="R66">
        <v>68486</v>
      </c>
    </row>
    <row r="67" spans="1:18">
      <c r="A67">
        <v>16740</v>
      </c>
      <c r="B67" t="s">
        <v>373</v>
      </c>
      <c r="C67" t="s">
        <v>1448</v>
      </c>
      <c r="D67" t="s">
        <v>1449</v>
      </c>
      <c r="E67">
        <v>38793</v>
      </c>
      <c r="F67">
        <v>40387</v>
      </c>
      <c r="G67">
        <v>44685</v>
      </c>
      <c r="H67">
        <v>42046</v>
      </c>
      <c r="I67">
        <v>43999</v>
      </c>
      <c r="J67">
        <v>46408</v>
      </c>
      <c r="K67">
        <v>47733</v>
      </c>
      <c r="L67">
        <v>50016</v>
      </c>
      <c r="M67">
        <v>52070</v>
      </c>
      <c r="N67">
        <v>54539</v>
      </c>
      <c r="O67">
        <v>58135</v>
      </c>
      <c r="P67">
        <v>63408</v>
      </c>
      <c r="Q67">
        <v>66223</v>
      </c>
      <c r="R67">
        <v>69588</v>
      </c>
    </row>
    <row r="68" spans="1:18">
      <c r="A68">
        <v>16820</v>
      </c>
      <c r="B68" t="s">
        <v>374</v>
      </c>
      <c r="C68" t="s">
        <v>1448</v>
      </c>
      <c r="D68" t="s">
        <v>1449</v>
      </c>
      <c r="E68">
        <v>45988</v>
      </c>
      <c r="F68">
        <v>47958</v>
      </c>
      <c r="G68">
        <v>51329</v>
      </c>
      <c r="H68">
        <v>50460</v>
      </c>
      <c r="I68">
        <v>52516</v>
      </c>
      <c r="J68">
        <v>55164</v>
      </c>
      <c r="K68">
        <v>57658</v>
      </c>
      <c r="L68">
        <v>61779</v>
      </c>
      <c r="M68">
        <v>64878</v>
      </c>
      <c r="N68">
        <v>67639</v>
      </c>
      <c r="O68">
        <v>68587</v>
      </c>
      <c r="P68">
        <v>78496</v>
      </c>
      <c r="Q68">
        <v>84021</v>
      </c>
      <c r="R68">
        <v>90472</v>
      </c>
    </row>
    <row r="69" spans="1:18">
      <c r="A69">
        <v>16860</v>
      </c>
      <c r="B69" t="s">
        <v>375</v>
      </c>
      <c r="C69" t="s">
        <v>1448</v>
      </c>
      <c r="D69" t="s">
        <v>1449</v>
      </c>
      <c r="E69">
        <v>35722</v>
      </c>
      <c r="F69">
        <v>37411</v>
      </c>
      <c r="G69">
        <v>39151</v>
      </c>
      <c r="H69">
        <v>38755</v>
      </c>
      <c r="I69">
        <v>39720</v>
      </c>
      <c r="J69">
        <v>41668</v>
      </c>
      <c r="K69">
        <v>42406</v>
      </c>
      <c r="L69">
        <v>44142</v>
      </c>
      <c r="M69">
        <v>45809</v>
      </c>
      <c r="N69">
        <v>47632</v>
      </c>
      <c r="O69">
        <v>50292</v>
      </c>
      <c r="P69">
        <v>53797</v>
      </c>
      <c r="Q69">
        <v>56016</v>
      </c>
      <c r="R69">
        <v>58813</v>
      </c>
    </row>
    <row r="70" spans="1:18">
      <c r="A70">
        <v>16940</v>
      </c>
      <c r="B70" t="s">
        <v>376</v>
      </c>
      <c r="C70" t="s">
        <v>1448</v>
      </c>
      <c r="D70" t="s">
        <v>1449</v>
      </c>
      <c r="E70">
        <v>43320</v>
      </c>
      <c r="F70">
        <v>48141</v>
      </c>
      <c r="G70">
        <v>48325</v>
      </c>
      <c r="H70">
        <v>48065</v>
      </c>
      <c r="I70">
        <v>49334</v>
      </c>
      <c r="J70">
        <v>49560</v>
      </c>
      <c r="K70">
        <v>48055</v>
      </c>
      <c r="L70">
        <v>49347</v>
      </c>
      <c r="M70">
        <v>51948</v>
      </c>
      <c r="N70">
        <v>52553</v>
      </c>
      <c r="O70">
        <v>55487</v>
      </c>
      <c r="P70">
        <v>60073</v>
      </c>
      <c r="Q70">
        <v>60874</v>
      </c>
      <c r="R70">
        <v>65150</v>
      </c>
    </row>
    <row r="71" spans="1:18">
      <c r="A71">
        <v>16980</v>
      </c>
      <c r="B71" t="s">
        <v>377</v>
      </c>
      <c r="C71" t="s">
        <v>1448</v>
      </c>
      <c r="D71" t="s">
        <v>1449</v>
      </c>
      <c r="E71">
        <v>44319</v>
      </c>
      <c r="F71">
        <v>46280</v>
      </c>
      <c r="G71">
        <v>48768</v>
      </c>
      <c r="H71">
        <v>49353</v>
      </c>
      <c r="I71">
        <v>51751</v>
      </c>
      <c r="J71">
        <v>54358</v>
      </c>
      <c r="K71">
        <v>55027</v>
      </c>
      <c r="L71">
        <v>56964</v>
      </c>
      <c r="M71">
        <v>60416</v>
      </c>
      <c r="N71">
        <v>62228</v>
      </c>
      <c r="O71">
        <v>65871</v>
      </c>
      <c r="P71">
        <v>71206</v>
      </c>
      <c r="Q71">
        <v>73317</v>
      </c>
      <c r="R71">
        <v>77429</v>
      </c>
    </row>
    <row r="72" spans="1:18">
      <c r="A72">
        <v>17020</v>
      </c>
      <c r="B72" t="s">
        <v>378</v>
      </c>
      <c r="C72" t="s">
        <v>1448</v>
      </c>
      <c r="D72" t="s">
        <v>1449</v>
      </c>
      <c r="E72">
        <v>32994</v>
      </c>
      <c r="F72">
        <v>33669</v>
      </c>
      <c r="G72">
        <v>34536</v>
      </c>
      <c r="H72">
        <v>35368</v>
      </c>
      <c r="I72">
        <v>36603</v>
      </c>
      <c r="J72">
        <v>39352</v>
      </c>
      <c r="K72">
        <v>40662</v>
      </c>
      <c r="L72">
        <v>41581</v>
      </c>
      <c r="M72">
        <v>42630</v>
      </c>
      <c r="N72">
        <v>45907</v>
      </c>
      <c r="O72">
        <v>51323</v>
      </c>
      <c r="P72">
        <v>55937</v>
      </c>
      <c r="Q72">
        <v>53962</v>
      </c>
      <c r="R72">
        <v>56847</v>
      </c>
    </row>
    <row r="73" spans="1:18">
      <c r="A73">
        <v>17140</v>
      </c>
      <c r="B73" t="s">
        <v>379</v>
      </c>
      <c r="C73" t="s">
        <v>1448</v>
      </c>
      <c r="D73" t="s">
        <v>1449</v>
      </c>
      <c r="E73">
        <v>39883</v>
      </c>
      <c r="F73">
        <v>42417</v>
      </c>
      <c r="G73">
        <v>43888</v>
      </c>
      <c r="H73">
        <v>44271</v>
      </c>
      <c r="I73">
        <v>46017</v>
      </c>
      <c r="J73">
        <v>47906</v>
      </c>
      <c r="K73">
        <v>49237</v>
      </c>
      <c r="L73">
        <v>51044</v>
      </c>
      <c r="M73">
        <v>52888</v>
      </c>
      <c r="N73">
        <v>55276</v>
      </c>
      <c r="O73">
        <v>58736</v>
      </c>
      <c r="P73">
        <v>63980</v>
      </c>
      <c r="Q73">
        <v>65267</v>
      </c>
      <c r="R73">
        <v>68560</v>
      </c>
    </row>
    <row r="74" spans="1:18">
      <c r="A74">
        <v>17300</v>
      </c>
      <c r="B74" t="s">
        <v>380</v>
      </c>
      <c r="C74" t="s">
        <v>1448</v>
      </c>
      <c r="D74" t="s">
        <v>1449</v>
      </c>
      <c r="E74">
        <v>36671</v>
      </c>
      <c r="F74">
        <v>39425</v>
      </c>
      <c r="G74">
        <v>38389</v>
      </c>
      <c r="H74">
        <v>37742</v>
      </c>
      <c r="I74">
        <v>37408</v>
      </c>
      <c r="J74">
        <v>38138</v>
      </c>
      <c r="K74">
        <v>38445</v>
      </c>
      <c r="L74">
        <v>39106</v>
      </c>
      <c r="M74">
        <v>39741</v>
      </c>
      <c r="N74">
        <v>41119</v>
      </c>
      <c r="O74">
        <v>44568</v>
      </c>
      <c r="P74">
        <v>48414</v>
      </c>
      <c r="Q74">
        <v>48814</v>
      </c>
      <c r="R74">
        <v>51007</v>
      </c>
    </row>
    <row r="75" spans="1:18">
      <c r="A75">
        <v>17420</v>
      </c>
      <c r="B75" t="s">
        <v>381</v>
      </c>
      <c r="C75" t="s">
        <v>1448</v>
      </c>
      <c r="D75" t="s">
        <v>1449</v>
      </c>
      <c r="E75">
        <v>30894</v>
      </c>
      <c r="F75">
        <v>32530</v>
      </c>
      <c r="G75">
        <v>34013</v>
      </c>
      <c r="H75">
        <v>33998</v>
      </c>
      <c r="I75">
        <v>34594</v>
      </c>
      <c r="J75">
        <v>35614</v>
      </c>
      <c r="K75">
        <v>36020</v>
      </c>
      <c r="L75">
        <v>36680</v>
      </c>
      <c r="M75">
        <v>38031</v>
      </c>
      <c r="N75">
        <v>39129</v>
      </c>
      <c r="O75">
        <v>42060</v>
      </c>
      <c r="P75">
        <v>45751</v>
      </c>
      <c r="Q75">
        <v>47189</v>
      </c>
      <c r="R75">
        <v>48971</v>
      </c>
    </row>
    <row r="76" spans="1:18">
      <c r="A76">
        <v>17460</v>
      </c>
      <c r="B76" t="s">
        <v>382</v>
      </c>
      <c r="C76" t="s">
        <v>1448</v>
      </c>
      <c r="D76" t="s">
        <v>1449</v>
      </c>
      <c r="E76">
        <v>39702</v>
      </c>
      <c r="F76">
        <v>42231</v>
      </c>
      <c r="G76">
        <v>44034</v>
      </c>
      <c r="H76">
        <v>44341</v>
      </c>
      <c r="I76">
        <v>46177</v>
      </c>
      <c r="J76">
        <v>47631</v>
      </c>
      <c r="K76">
        <v>48746</v>
      </c>
      <c r="L76">
        <v>50412</v>
      </c>
      <c r="M76">
        <v>52261</v>
      </c>
      <c r="N76">
        <v>54078</v>
      </c>
      <c r="O76">
        <v>56929</v>
      </c>
      <c r="P76">
        <v>62011</v>
      </c>
      <c r="Q76">
        <v>63830</v>
      </c>
      <c r="R76">
        <v>67451</v>
      </c>
    </row>
    <row r="77" spans="1:18">
      <c r="A77">
        <v>17660</v>
      </c>
      <c r="B77" t="s">
        <v>383</v>
      </c>
      <c r="C77" t="s">
        <v>1448</v>
      </c>
      <c r="D77" t="s">
        <v>1449</v>
      </c>
      <c r="E77">
        <v>32294</v>
      </c>
      <c r="F77">
        <v>33784</v>
      </c>
      <c r="G77">
        <v>35391</v>
      </c>
      <c r="H77">
        <v>36519</v>
      </c>
      <c r="I77">
        <v>38185</v>
      </c>
      <c r="J77">
        <v>39997</v>
      </c>
      <c r="K77">
        <v>40880</v>
      </c>
      <c r="L77">
        <v>42553</v>
      </c>
      <c r="M77">
        <v>44794</v>
      </c>
      <c r="N77">
        <v>47788</v>
      </c>
      <c r="O77">
        <v>51552</v>
      </c>
      <c r="P77">
        <v>58725</v>
      </c>
      <c r="Q77">
        <v>59973</v>
      </c>
      <c r="R77">
        <v>63893</v>
      </c>
    </row>
    <row r="78" spans="1:18">
      <c r="A78">
        <v>17780</v>
      </c>
      <c r="B78" t="s">
        <v>384</v>
      </c>
      <c r="C78" t="s">
        <v>1448</v>
      </c>
      <c r="D78" t="s">
        <v>1449</v>
      </c>
      <c r="E78">
        <v>31040</v>
      </c>
      <c r="F78">
        <v>32106</v>
      </c>
      <c r="G78">
        <v>33652</v>
      </c>
      <c r="H78">
        <v>34581</v>
      </c>
      <c r="I78">
        <v>36314</v>
      </c>
      <c r="J78">
        <v>36341</v>
      </c>
      <c r="K78">
        <v>36145</v>
      </c>
      <c r="L78">
        <v>37868</v>
      </c>
      <c r="M78">
        <v>40529</v>
      </c>
      <c r="N78">
        <v>41701</v>
      </c>
      <c r="O78">
        <v>44068</v>
      </c>
      <c r="P78">
        <v>48850</v>
      </c>
      <c r="Q78">
        <v>48638</v>
      </c>
      <c r="R78">
        <v>51507</v>
      </c>
    </row>
    <row r="79" spans="1:18">
      <c r="A79">
        <v>17820</v>
      </c>
      <c r="B79" t="s">
        <v>385</v>
      </c>
      <c r="C79" t="s">
        <v>1448</v>
      </c>
      <c r="D79" t="s">
        <v>1449</v>
      </c>
      <c r="E79">
        <v>38325</v>
      </c>
      <c r="F79">
        <v>40291</v>
      </c>
      <c r="G79">
        <v>41144</v>
      </c>
      <c r="H79">
        <v>40968</v>
      </c>
      <c r="I79">
        <v>42836</v>
      </c>
      <c r="J79">
        <v>44235</v>
      </c>
      <c r="K79">
        <v>44612</v>
      </c>
      <c r="L79">
        <v>46258</v>
      </c>
      <c r="M79">
        <v>48086</v>
      </c>
      <c r="N79">
        <v>50617</v>
      </c>
      <c r="O79">
        <v>54476</v>
      </c>
      <c r="P79">
        <v>59608</v>
      </c>
      <c r="Q79">
        <v>62021</v>
      </c>
      <c r="R79">
        <v>65775</v>
      </c>
    </row>
    <row r="80" spans="1:18">
      <c r="A80">
        <v>17860</v>
      </c>
      <c r="B80" t="s">
        <v>386</v>
      </c>
      <c r="C80" t="s">
        <v>1448</v>
      </c>
      <c r="D80" t="s">
        <v>1449</v>
      </c>
      <c r="E80">
        <v>36582</v>
      </c>
      <c r="F80">
        <v>37817</v>
      </c>
      <c r="G80">
        <v>39298</v>
      </c>
      <c r="H80">
        <v>40055</v>
      </c>
      <c r="I80">
        <v>40862</v>
      </c>
      <c r="J80">
        <v>42237</v>
      </c>
      <c r="K80">
        <v>42812</v>
      </c>
      <c r="L80">
        <v>44117</v>
      </c>
      <c r="M80">
        <v>44852</v>
      </c>
      <c r="N80">
        <v>47494</v>
      </c>
      <c r="O80">
        <v>50036</v>
      </c>
      <c r="P80">
        <v>53874</v>
      </c>
      <c r="Q80">
        <v>55928</v>
      </c>
      <c r="R80">
        <v>59338</v>
      </c>
    </row>
    <row r="81" spans="1:18">
      <c r="A81">
        <v>17900</v>
      </c>
      <c r="B81" t="s">
        <v>387</v>
      </c>
      <c r="C81" t="s">
        <v>1448</v>
      </c>
      <c r="D81" t="s">
        <v>1449</v>
      </c>
      <c r="E81">
        <v>34746</v>
      </c>
      <c r="F81">
        <v>36050</v>
      </c>
      <c r="G81">
        <v>37167</v>
      </c>
      <c r="H81">
        <v>37691</v>
      </c>
      <c r="I81">
        <v>39254</v>
      </c>
      <c r="J81">
        <v>41217</v>
      </c>
      <c r="K81">
        <v>42039</v>
      </c>
      <c r="L81">
        <v>43733</v>
      </c>
      <c r="M81">
        <v>44691</v>
      </c>
      <c r="N81">
        <v>46716</v>
      </c>
      <c r="O81">
        <v>49506</v>
      </c>
      <c r="P81">
        <v>54066</v>
      </c>
      <c r="Q81">
        <v>54683</v>
      </c>
      <c r="R81">
        <v>57976</v>
      </c>
    </row>
    <row r="82" spans="1:18">
      <c r="A82">
        <v>17980</v>
      </c>
      <c r="B82" t="s">
        <v>388</v>
      </c>
      <c r="C82" t="s">
        <v>1448</v>
      </c>
      <c r="D82" t="s">
        <v>1449</v>
      </c>
      <c r="E82">
        <v>32920</v>
      </c>
      <c r="F82">
        <v>34688</v>
      </c>
      <c r="G82">
        <v>34509</v>
      </c>
      <c r="H82">
        <v>33564</v>
      </c>
      <c r="I82">
        <v>34492</v>
      </c>
      <c r="J82">
        <v>36228</v>
      </c>
      <c r="K82">
        <v>37127</v>
      </c>
      <c r="L82">
        <v>38455</v>
      </c>
      <c r="M82">
        <v>39315</v>
      </c>
      <c r="N82">
        <v>39999</v>
      </c>
      <c r="O82">
        <v>42868</v>
      </c>
      <c r="P82">
        <v>46669</v>
      </c>
      <c r="Q82">
        <v>47512</v>
      </c>
      <c r="R82">
        <v>49717</v>
      </c>
    </row>
    <row r="83" spans="1:18">
      <c r="A83">
        <v>18020</v>
      </c>
      <c r="B83" t="s">
        <v>389</v>
      </c>
      <c r="C83" t="s">
        <v>1448</v>
      </c>
      <c r="D83" t="s">
        <v>1449</v>
      </c>
      <c r="E83">
        <v>37922</v>
      </c>
      <c r="F83">
        <v>40951</v>
      </c>
      <c r="G83">
        <v>43742</v>
      </c>
      <c r="H83">
        <v>43186</v>
      </c>
      <c r="I83">
        <v>45127</v>
      </c>
      <c r="J83">
        <v>46916</v>
      </c>
      <c r="K83">
        <v>47448</v>
      </c>
      <c r="L83">
        <v>49589</v>
      </c>
      <c r="M83">
        <v>53188</v>
      </c>
      <c r="N83">
        <v>54301</v>
      </c>
      <c r="O83">
        <v>57424</v>
      </c>
      <c r="P83">
        <v>60392</v>
      </c>
      <c r="Q83">
        <v>62848</v>
      </c>
      <c r="R83">
        <v>65564</v>
      </c>
    </row>
    <row r="84" spans="1:18">
      <c r="A84">
        <v>18140</v>
      </c>
      <c r="B84" t="s">
        <v>390</v>
      </c>
      <c r="C84" t="s">
        <v>1448</v>
      </c>
      <c r="D84" t="s">
        <v>1449</v>
      </c>
      <c r="E84">
        <v>38682</v>
      </c>
      <c r="F84">
        <v>41318</v>
      </c>
      <c r="G84">
        <v>43528</v>
      </c>
      <c r="H84">
        <v>43807</v>
      </c>
      <c r="I84">
        <v>45181</v>
      </c>
      <c r="J84">
        <v>46931</v>
      </c>
      <c r="K84">
        <v>47740</v>
      </c>
      <c r="L84">
        <v>49080</v>
      </c>
      <c r="M84">
        <v>50564</v>
      </c>
      <c r="N84">
        <v>52014</v>
      </c>
      <c r="O84">
        <v>55801</v>
      </c>
      <c r="P84">
        <v>60921</v>
      </c>
      <c r="Q84">
        <v>62311</v>
      </c>
      <c r="R84">
        <v>65277</v>
      </c>
    </row>
    <row r="85" spans="1:18">
      <c r="A85">
        <v>18580</v>
      </c>
      <c r="B85" t="s">
        <v>391</v>
      </c>
      <c r="C85" t="s">
        <v>1448</v>
      </c>
      <c r="D85" t="s">
        <v>1449</v>
      </c>
      <c r="E85">
        <v>36849</v>
      </c>
      <c r="F85">
        <v>39702</v>
      </c>
      <c r="G85">
        <v>41034</v>
      </c>
      <c r="H85">
        <v>42335</v>
      </c>
      <c r="I85">
        <v>43847</v>
      </c>
      <c r="J85">
        <v>42801</v>
      </c>
      <c r="K85">
        <v>40817</v>
      </c>
      <c r="L85">
        <v>42859</v>
      </c>
      <c r="M85">
        <v>43950</v>
      </c>
      <c r="N85">
        <v>46618</v>
      </c>
      <c r="O85">
        <v>48154</v>
      </c>
      <c r="P85">
        <v>53136</v>
      </c>
      <c r="Q85">
        <v>53182</v>
      </c>
      <c r="R85">
        <v>56264</v>
      </c>
    </row>
    <row r="86" spans="1:18">
      <c r="A86">
        <v>18700</v>
      </c>
      <c r="B86" t="s">
        <v>392</v>
      </c>
      <c r="C86" t="s">
        <v>1448</v>
      </c>
      <c r="D86" t="s">
        <v>1449</v>
      </c>
      <c r="E86">
        <v>35733</v>
      </c>
      <c r="F86">
        <v>37395</v>
      </c>
      <c r="G86">
        <v>37341</v>
      </c>
      <c r="H86">
        <v>37266</v>
      </c>
      <c r="I86">
        <v>38951</v>
      </c>
      <c r="J86">
        <v>40085</v>
      </c>
      <c r="K86">
        <v>41509</v>
      </c>
      <c r="L86">
        <v>42283</v>
      </c>
      <c r="M86">
        <v>44723</v>
      </c>
      <c r="N86">
        <v>46743</v>
      </c>
      <c r="O86">
        <v>49888</v>
      </c>
      <c r="P86">
        <v>55284</v>
      </c>
      <c r="Q86">
        <v>56253</v>
      </c>
      <c r="R86">
        <v>60307</v>
      </c>
    </row>
    <row r="87" spans="1:18">
      <c r="A87">
        <v>18880</v>
      </c>
      <c r="B87" t="s">
        <v>393</v>
      </c>
      <c r="C87" t="s">
        <v>1448</v>
      </c>
      <c r="D87" t="s">
        <v>1449</v>
      </c>
      <c r="E87">
        <v>40876</v>
      </c>
      <c r="F87">
        <v>41952</v>
      </c>
      <c r="G87">
        <v>43591</v>
      </c>
      <c r="H87">
        <v>42976</v>
      </c>
      <c r="I87">
        <v>44597</v>
      </c>
      <c r="J87">
        <v>46156</v>
      </c>
      <c r="K87">
        <v>47663</v>
      </c>
      <c r="L87">
        <v>49951</v>
      </c>
      <c r="M87">
        <v>52588</v>
      </c>
      <c r="N87">
        <v>55960</v>
      </c>
      <c r="O87">
        <v>58886</v>
      </c>
      <c r="P87">
        <v>65538</v>
      </c>
      <c r="Q87">
        <v>66399</v>
      </c>
      <c r="R87">
        <v>69941</v>
      </c>
    </row>
    <row r="88" spans="1:18">
      <c r="A88">
        <v>19060</v>
      </c>
      <c r="B88" t="s">
        <v>394</v>
      </c>
      <c r="C88" t="s">
        <v>1448</v>
      </c>
      <c r="D88" t="s">
        <v>1449</v>
      </c>
      <c r="E88">
        <v>31291</v>
      </c>
      <c r="F88">
        <v>32368</v>
      </c>
      <c r="G88">
        <v>33029</v>
      </c>
      <c r="H88">
        <v>33318</v>
      </c>
      <c r="I88">
        <v>34731</v>
      </c>
      <c r="J88">
        <v>35889</v>
      </c>
      <c r="K88">
        <v>37500</v>
      </c>
      <c r="L88">
        <v>38660</v>
      </c>
      <c r="M88">
        <v>40277</v>
      </c>
      <c r="N88">
        <v>41889</v>
      </c>
      <c r="O88">
        <v>45548</v>
      </c>
      <c r="P88">
        <v>48276</v>
      </c>
      <c r="Q88">
        <v>47150</v>
      </c>
      <c r="R88">
        <v>49268</v>
      </c>
    </row>
    <row r="89" spans="1:18">
      <c r="A89">
        <v>19100</v>
      </c>
      <c r="B89" t="s">
        <v>395</v>
      </c>
      <c r="C89" t="s">
        <v>1448</v>
      </c>
      <c r="D89" t="s">
        <v>1449</v>
      </c>
      <c r="E89">
        <v>41657</v>
      </c>
      <c r="F89">
        <v>45624</v>
      </c>
      <c r="G89">
        <v>47013</v>
      </c>
      <c r="H89">
        <v>47597</v>
      </c>
      <c r="I89">
        <v>50147</v>
      </c>
      <c r="J89">
        <v>50821</v>
      </c>
      <c r="K89">
        <v>51451</v>
      </c>
      <c r="L89">
        <v>53996</v>
      </c>
      <c r="M89">
        <v>57137</v>
      </c>
      <c r="N89">
        <v>59428</v>
      </c>
      <c r="O89">
        <v>61409</v>
      </c>
      <c r="P89">
        <v>67666</v>
      </c>
      <c r="Q89">
        <v>70887</v>
      </c>
      <c r="R89">
        <v>74165</v>
      </c>
    </row>
    <row r="90" spans="1:18">
      <c r="A90">
        <v>19140</v>
      </c>
      <c r="B90" t="s">
        <v>396</v>
      </c>
      <c r="C90" t="s">
        <v>1448</v>
      </c>
      <c r="D90" t="s">
        <v>1449</v>
      </c>
      <c r="E90">
        <v>25837</v>
      </c>
      <c r="F90">
        <v>26752</v>
      </c>
      <c r="G90">
        <v>27684</v>
      </c>
      <c r="H90">
        <v>28992</v>
      </c>
      <c r="I90">
        <v>30991</v>
      </c>
      <c r="J90">
        <v>33026</v>
      </c>
      <c r="K90">
        <v>33688</v>
      </c>
      <c r="L90">
        <v>34358</v>
      </c>
      <c r="M90">
        <v>36252</v>
      </c>
      <c r="N90">
        <v>37694</v>
      </c>
      <c r="O90">
        <v>40361</v>
      </c>
      <c r="P90">
        <v>44259</v>
      </c>
      <c r="Q90">
        <v>44001</v>
      </c>
      <c r="R90">
        <v>45373</v>
      </c>
    </row>
    <row r="91" spans="1:18">
      <c r="A91">
        <v>19180</v>
      </c>
      <c r="B91" t="s">
        <v>397</v>
      </c>
      <c r="C91" t="s">
        <v>1448</v>
      </c>
      <c r="D91" t="s">
        <v>1449</v>
      </c>
      <c r="E91">
        <v>32118</v>
      </c>
      <c r="F91">
        <v>33881</v>
      </c>
      <c r="G91">
        <v>33928</v>
      </c>
      <c r="H91">
        <v>35161</v>
      </c>
      <c r="I91">
        <v>35095</v>
      </c>
      <c r="J91">
        <v>35718</v>
      </c>
      <c r="K91">
        <v>36119</v>
      </c>
      <c r="L91">
        <v>37373</v>
      </c>
      <c r="M91">
        <v>38624</v>
      </c>
      <c r="N91">
        <v>39811</v>
      </c>
      <c r="O91">
        <v>44319</v>
      </c>
      <c r="P91">
        <v>49237</v>
      </c>
      <c r="Q91">
        <v>49732</v>
      </c>
      <c r="R91">
        <v>51471</v>
      </c>
    </row>
    <row r="92" spans="1:18">
      <c r="A92">
        <v>19300</v>
      </c>
      <c r="B92" t="s">
        <v>398</v>
      </c>
      <c r="C92" t="s">
        <v>1448</v>
      </c>
      <c r="D92" t="s">
        <v>1449</v>
      </c>
      <c r="E92">
        <v>36797</v>
      </c>
      <c r="F92">
        <v>38046</v>
      </c>
      <c r="G92">
        <v>38307</v>
      </c>
      <c r="H92">
        <v>38428</v>
      </c>
      <c r="I92">
        <v>39598</v>
      </c>
      <c r="J92">
        <v>41502</v>
      </c>
      <c r="K92">
        <v>43012</v>
      </c>
      <c r="L92">
        <v>44498</v>
      </c>
      <c r="M92">
        <v>45852</v>
      </c>
      <c r="N92">
        <v>47917</v>
      </c>
      <c r="O92">
        <v>50895</v>
      </c>
      <c r="P92">
        <v>56285</v>
      </c>
      <c r="Q92">
        <v>57621</v>
      </c>
      <c r="R92">
        <v>60969</v>
      </c>
    </row>
    <row r="93" spans="1:18">
      <c r="A93">
        <v>19340</v>
      </c>
      <c r="B93" t="s">
        <v>399</v>
      </c>
      <c r="C93" t="s">
        <v>1448</v>
      </c>
      <c r="D93" t="s">
        <v>1449</v>
      </c>
      <c r="E93">
        <v>40023</v>
      </c>
      <c r="F93">
        <v>42287</v>
      </c>
      <c r="G93">
        <v>42878</v>
      </c>
      <c r="H93">
        <v>43109</v>
      </c>
      <c r="I93">
        <v>43271</v>
      </c>
      <c r="J93">
        <v>44025</v>
      </c>
      <c r="K93">
        <v>44868</v>
      </c>
      <c r="L93">
        <v>46512</v>
      </c>
      <c r="M93">
        <v>47768</v>
      </c>
      <c r="N93">
        <v>48443</v>
      </c>
      <c r="O93">
        <v>51856</v>
      </c>
      <c r="P93">
        <v>55923</v>
      </c>
      <c r="Q93">
        <v>57360</v>
      </c>
      <c r="R93">
        <v>60134</v>
      </c>
    </row>
    <row r="94" spans="1:18">
      <c r="A94">
        <v>19430</v>
      </c>
      <c r="B94" t="s">
        <v>400</v>
      </c>
      <c r="C94" t="s">
        <v>1448</v>
      </c>
      <c r="D94" t="s">
        <v>1449</v>
      </c>
      <c r="E94">
        <v>36339</v>
      </c>
      <c r="F94">
        <v>38382</v>
      </c>
      <c r="G94">
        <v>39187</v>
      </c>
      <c r="H94">
        <v>39534</v>
      </c>
      <c r="I94">
        <v>41090</v>
      </c>
      <c r="J94">
        <v>42619</v>
      </c>
      <c r="K94">
        <v>43451</v>
      </c>
      <c r="L94">
        <v>45295</v>
      </c>
      <c r="M94">
        <v>46867</v>
      </c>
      <c r="N94">
        <v>48396</v>
      </c>
      <c r="O94">
        <v>52169</v>
      </c>
      <c r="P94">
        <v>56013</v>
      </c>
      <c r="Q94">
        <v>56612</v>
      </c>
      <c r="R94">
        <v>59915</v>
      </c>
    </row>
    <row r="95" spans="1:18">
      <c r="A95">
        <v>19460</v>
      </c>
      <c r="B95" t="s">
        <v>401</v>
      </c>
      <c r="C95" t="s">
        <v>1448</v>
      </c>
      <c r="D95" t="s">
        <v>1449</v>
      </c>
      <c r="E95">
        <v>31318</v>
      </c>
      <c r="F95">
        <v>31804</v>
      </c>
      <c r="G95">
        <v>32470</v>
      </c>
      <c r="H95">
        <v>33189</v>
      </c>
      <c r="I95">
        <v>34473</v>
      </c>
      <c r="J95">
        <v>35008</v>
      </c>
      <c r="K95">
        <v>35040</v>
      </c>
      <c r="L95">
        <v>36198</v>
      </c>
      <c r="M95">
        <v>37659</v>
      </c>
      <c r="N95">
        <v>39442</v>
      </c>
      <c r="O95">
        <v>42038</v>
      </c>
      <c r="P95">
        <v>45604</v>
      </c>
      <c r="Q95">
        <v>46778</v>
      </c>
      <c r="R95">
        <v>48528</v>
      </c>
    </row>
    <row r="96" spans="1:18">
      <c r="A96">
        <v>19500</v>
      </c>
      <c r="B96" t="s">
        <v>402</v>
      </c>
      <c r="C96" t="s">
        <v>1448</v>
      </c>
      <c r="D96" t="s">
        <v>1449</v>
      </c>
      <c r="E96">
        <v>39050</v>
      </c>
      <c r="F96">
        <v>41235</v>
      </c>
      <c r="G96">
        <v>41267</v>
      </c>
      <c r="H96">
        <v>42306</v>
      </c>
      <c r="I96">
        <v>43642</v>
      </c>
      <c r="J96">
        <v>43480</v>
      </c>
      <c r="K96">
        <v>43804</v>
      </c>
      <c r="L96">
        <v>44742</v>
      </c>
      <c r="M96">
        <v>47192</v>
      </c>
      <c r="N96">
        <v>47298</v>
      </c>
      <c r="O96">
        <v>51640</v>
      </c>
      <c r="P96">
        <v>56052</v>
      </c>
      <c r="Q96">
        <v>57486</v>
      </c>
      <c r="R96">
        <v>60030</v>
      </c>
    </row>
    <row r="97" spans="1:18">
      <c r="A97">
        <v>19660</v>
      </c>
      <c r="B97" t="s">
        <v>403</v>
      </c>
      <c r="C97" t="s">
        <v>1448</v>
      </c>
      <c r="D97" t="s">
        <v>1449</v>
      </c>
      <c r="E97">
        <v>33646</v>
      </c>
      <c r="F97">
        <v>34640</v>
      </c>
      <c r="G97">
        <v>35714</v>
      </c>
      <c r="H97">
        <v>35734</v>
      </c>
      <c r="I97">
        <v>37206</v>
      </c>
      <c r="J97">
        <v>38482</v>
      </c>
      <c r="K97">
        <v>39817</v>
      </c>
      <c r="L97">
        <v>41733</v>
      </c>
      <c r="M97">
        <v>43571</v>
      </c>
      <c r="N97">
        <v>46613</v>
      </c>
      <c r="O97">
        <v>48282</v>
      </c>
      <c r="P97">
        <v>52896</v>
      </c>
      <c r="Q97">
        <v>53695</v>
      </c>
      <c r="R97">
        <v>57280</v>
      </c>
    </row>
    <row r="98" spans="1:18">
      <c r="A98">
        <v>19740</v>
      </c>
      <c r="B98" t="s">
        <v>404</v>
      </c>
      <c r="C98" t="s">
        <v>1448</v>
      </c>
      <c r="D98" t="s">
        <v>1449</v>
      </c>
      <c r="E98">
        <v>43948</v>
      </c>
      <c r="F98">
        <v>47633</v>
      </c>
      <c r="G98">
        <v>49749</v>
      </c>
      <c r="H98">
        <v>51706</v>
      </c>
      <c r="I98">
        <v>55328</v>
      </c>
      <c r="J98">
        <v>55702</v>
      </c>
      <c r="K98">
        <v>55105</v>
      </c>
      <c r="L98">
        <v>58947</v>
      </c>
      <c r="M98">
        <v>63534</v>
      </c>
      <c r="N98">
        <v>67585</v>
      </c>
      <c r="O98">
        <v>71292</v>
      </c>
      <c r="P98">
        <v>79446</v>
      </c>
      <c r="Q98">
        <v>86141</v>
      </c>
      <c r="R98">
        <v>89297</v>
      </c>
    </row>
    <row r="99" spans="1:18">
      <c r="A99">
        <v>19780</v>
      </c>
      <c r="B99" t="s">
        <v>405</v>
      </c>
      <c r="C99" t="s">
        <v>1448</v>
      </c>
      <c r="D99" t="s">
        <v>1449</v>
      </c>
      <c r="E99">
        <v>42207</v>
      </c>
      <c r="F99">
        <v>43493</v>
      </c>
      <c r="G99">
        <v>45700</v>
      </c>
      <c r="H99">
        <v>45546</v>
      </c>
      <c r="I99">
        <v>47688</v>
      </c>
      <c r="J99">
        <v>49546</v>
      </c>
      <c r="K99">
        <v>50612</v>
      </c>
      <c r="L99">
        <v>51754</v>
      </c>
      <c r="M99">
        <v>53230</v>
      </c>
      <c r="N99">
        <v>54721</v>
      </c>
      <c r="O99">
        <v>58245</v>
      </c>
      <c r="P99">
        <v>63195</v>
      </c>
      <c r="Q99">
        <v>65423</v>
      </c>
      <c r="R99">
        <v>68420</v>
      </c>
    </row>
    <row r="100" spans="1:18">
      <c r="A100">
        <v>19820</v>
      </c>
      <c r="B100" t="s">
        <v>406</v>
      </c>
      <c r="C100" t="s">
        <v>1448</v>
      </c>
      <c r="D100" t="s">
        <v>1449</v>
      </c>
      <c r="E100">
        <v>38240</v>
      </c>
      <c r="F100">
        <v>40827</v>
      </c>
      <c r="G100">
        <v>42420</v>
      </c>
      <c r="H100">
        <v>42558</v>
      </c>
      <c r="I100">
        <v>44398</v>
      </c>
      <c r="J100">
        <v>47063</v>
      </c>
      <c r="K100">
        <v>48092</v>
      </c>
      <c r="L100">
        <v>49309</v>
      </c>
      <c r="M100">
        <v>51429</v>
      </c>
      <c r="N100">
        <v>52868</v>
      </c>
      <c r="O100">
        <v>57017</v>
      </c>
      <c r="P100">
        <v>60724</v>
      </c>
      <c r="Q100">
        <v>62545</v>
      </c>
      <c r="R100">
        <v>66098</v>
      </c>
    </row>
    <row r="101" spans="1:18">
      <c r="A101">
        <v>20020</v>
      </c>
      <c r="B101" t="s">
        <v>407</v>
      </c>
      <c r="C101" t="s">
        <v>1448</v>
      </c>
      <c r="D101" t="s">
        <v>1449</v>
      </c>
      <c r="E101">
        <v>33680</v>
      </c>
      <c r="F101">
        <v>34706</v>
      </c>
      <c r="G101">
        <v>34821</v>
      </c>
      <c r="H101">
        <v>35105</v>
      </c>
      <c r="I101">
        <v>36143</v>
      </c>
      <c r="J101">
        <v>37418</v>
      </c>
      <c r="K101">
        <v>38218</v>
      </c>
      <c r="L101">
        <v>39117</v>
      </c>
      <c r="M101">
        <v>40656</v>
      </c>
      <c r="N101">
        <v>42543</v>
      </c>
      <c r="O101">
        <v>45733</v>
      </c>
      <c r="P101">
        <v>50131</v>
      </c>
      <c r="Q101">
        <v>50430</v>
      </c>
      <c r="R101">
        <v>52512</v>
      </c>
    </row>
    <row r="102" spans="1:18">
      <c r="A102">
        <v>20100</v>
      </c>
      <c r="B102" t="s">
        <v>408</v>
      </c>
      <c r="C102" t="s">
        <v>1448</v>
      </c>
      <c r="D102" t="s">
        <v>1449</v>
      </c>
      <c r="E102">
        <v>34224</v>
      </c>
      <c r="F102">
        <v>35557</v>
      </c>
      <c r="G102">
        <v>35582</v>
      </c>
      <c r="H102">
        <v>36460</v>
      </c>
      <c r="I102">
        <v>37280</v>
      </c>
      <c r="J102">
        <v>37770</v>
      </c>
      <c r="K102">
        <v>39358</v>
      </c>
      <c r="L102">
        <v>40860</v>
      </c>
      <c r="M102">
        <v>42413</v>
      </c>
      <c r="N102">
        <v>44259</v>
      </c>
      <c r="O102">
        <v>45372</v>
      </c>
      <c r="P102">
        <v>49496</v>
      </c>
      <c r="Q102">
        <v>50931</v>
      </c>
      <c r="R102">
        <v>52494</v>
      </c>
    </row>
    <row r="103" spans="1:18">
      <c r="A103">
        <v>20220</v>
      </c>
      <c r="B103" t="s">
        <v>409</v>
      </c>
      <c r="C103" t="s">
        <v>1448</v>
      </c>
      <c r="D103" t="s">
        <v>1449</v>
      </c>
      <c r="E103">
        <v>36918</v>
      </c>
      <c r="F103">
        <v>39085</v>
      </c>
      <c r="G103">
        <v>40732</v>
      </c>
      <c r="H103">
        <v>40830</v>
      </c>
      <c r="I103">
        <v>42250</v>
      </c>
      <c r="J103">
        <v>43741</v>
      </c>
      <c r="K103">
        <v>44561</v>
      </c>
      <c r="L103">
        <v>45674</v>
      </c>
      <c r="M103">
        <v>48446</v>
      </c>
      <c r="N103">
        <v>49529</v>
      </c>
      <c r="O103">
        <v>52928</v>
      </c>
      <c r="P103">
        <v>57897</v>
      </c>
      <c r="Q103">
        <v>61190</v>
      </c>
      <c r="R103">
        <v>63435</v>
      </c>
    </row>
    <row r="104" spans="1:18">
      <c r="A104">
        <v>20260</v>
      </c>
      <c r="B104" t="s">
        <v>410</v>
      </c>
      <c r="C104" t="s">
        <v>1448</v>
      </c>
      <c r="D104" t="s">
        <v>1449</v>
      </c>
      <c r="E104">
        <v>36296</v>
      </c>
      <c r="F104">
        <v>38298</v>
      </c>
      <c r="G104">
        <v>38902</v>
      </c>
      <c r="H104">
        <v>38776</v>
      </c>
      <c r="I104">
        <v>40196</v>
      </c>
      <c r="J104">
        <v>41436</v>
      </c>
      <c r="K104">
        <v>41266</v>
      </c>
      <c r="L104">
        <v>42738</v>
      </c>
      <c r="M104">
        <v>45242</v>
      </c>
      <c r="N104">
        <v>46586</v>
      </c>
      <c r="O104">
        <v>49308</v>
      </c>
      <c r="P104">
        <v>54093</v>
      </c>
      <c r="Q104">
        <v>54990</v>
      </c>
      <c r="R104">
        <v>57316</v>
      </c>
    </row>
    <row r="105" spans="1:18">
      <c r="A105">
        <v>20500</v>
      </c>
      <c r="B105" t="s">
        <v>411</v>
      </c>
      <c r="C105" t="s">
        <v>1448</v>
      </c>
      <c r="D105" t="s">
        <v>1449</v>
      </c>
      <c r="E105">
        <v>41008</v>
      </c>
      <c r="F105">
        <v>42349</v>
      </c>
      <c r="G105">
        <v>43712</v>
      </c>
      <c r="H105">
        <v>43082</v>
      </c>
      <c r="I105">
        <v>45200</v>
      </c>
      <c r="J105">
        <v>46887</v>
      </c>
      <c r="K105">
        <v>48324</v>
      </c>
      <c r="L105">
        <v>50340</v>
      </c>
      <c r="M105">
        <v>51957</v>
      </c>
      <c r="N105">
        <v>54951</v>
      </c>
      <c r="O105">
        <v>58068</v>
      </c>
      <c r="P105">
        <v>62626</v>
      </c>
      <c r="Q105">
        <v>65122</v>
      </c>
      <c r="R105">
        <v>68654</v>
      </c>
    </row>
    <row r="106" spans="1:18">
      <c r="A106">
        <v>20700</v>
      </c>
      <c r="B106" t="s">
        <v>412</v>
      </c>
      <c r="C106" t="s">
        <v>1448</v>
      </c>
      <c r="D106" t="s">
        <v>1449</v>
      </c>
      <c r="E106">
        <v>32436</v>
      </c>
      <c r="F106">
        <v>34021</v>
      </c>
      <c r="G106">
        <v>33785</v>
      </c>
      <c r="H106">
        <v>35773</v>
      </c>
      <c r="I106">
        <v>37308</v>
      </c>
      <c r="J106">
        <v>38716</v>
      </c>
      <c r="K106">
        <v>39811</v>
      </c>
      <c r="L106">
        <v>40939</v>
      </c>
      <c r="M106">
        <v>42541</v>
      </c>
      <c r="N106">
        <v>44943</v>
      </c>
      <c r="O106">
        <v>48503</v>
      </c>
      <c r="P106">
        <v>51663</v>
      </c>
      <c r="Q106">
        <v>51977</v>
      </c>
      <c r="R106">
        <v>54716</v>
      </c>
    </row>
    <row r="107" spans="1:18">
      <c r="A107">
        <v>20740</v>
      </c>
      <c r="B107" t="s">
        <v>413</v>
      </c>
      <c r="C107" t="s">
        <v>1448</v>
      </c>
      <c r="D107" t="s">
        <v>1449</v>
      </c>
      <c r="E107">
        <v>36860</v>
      </c>
      <c r="F107">
        <v>38684</v>
      </c>
      <c r="G107">
        <v>39997</v>
      </c>
      <c r="H107">
        <v>39896</v>
      </c>
      <c r="I107">
        <v>41596</v>
      </c>
      <c r="J107">
        <v>42268</v>
      </c>
      <c r="K107">
        <v>42137</v>
      </c>
      <c r="L107">
        <v>44188</v>
      </c>
      <c r="M107">
        <v>46522</v>
      </c>
      <c r="N107">
        <v>48118</v>
      </c>
      <c r="O107">
        <v>51084</v>
      </c>
      <c r="P107">
        <v>55502</v>
      </c>
      <c r="Q107">
        <v>57015</v>
      </c>
      <c r="R107">
        <v>59135</v>
      </c>
    </row>
    <row r="108" spans="1:18">
      <c r="A108">
        <v>20940</v>
      </c>
      <c r="B108" t="s">
        <v>414</v>
      </c>
      <c r="C108" t="s">
        <v>1448</v>
      </c>
      <c r="D108" t="s">
        <v>1449</v>
      </c>
      <c r="E108">
        <v>29124</v>
      </c>
      <c r="F108">
        <v>31225</v>
      </c>
      <c r="G108">
        <v>31428</v>
      </c>
      <c r="H108">
        <v>32627</v>
      </c>
      <c r="I108">
        <v>33758</v>
      </c>
      <c r="J108">
        <v>36121</v>
      </c>
      <c r="K108">
        <v>35252</v>
      </c>
      <c r="L108">
        <v>35585</v>
      </c>
      <c r="M108">
        <v>35217</v>
      </c>
      <c r="N108">
        <v>37669</v>
      </c>
      <c r="O108">
        <v>45909</v>
      </c>
      <c r="P108">
        <v>48487</v>
      </c>
      <c r="Q108">
        <v>45622</v>
      </c>
      <c r="R108">
        <v>47991</v>
      </c>
    </row>
    <row r="109" spans="1:18">
      <c r="A109">
        <v>21060</v>
      </c>
      <c r="B109" t="s">
        <v>415</v>
      </c>
      <c r="C109" t="s">
        <v>1448</v>
      </c>
      <c r="D109" t="s">
        <v>1449</v>
      </c>
      <c r="E109">
        <v>33723</v>
      </c>
      <c r="F109">
        <v>35087</v>
      </c>
      <c r="G109">
        <v>35784</v>
      </c>
      <c r="H109">
        <v>35341</v>
      </c>
      <c r="I109">
        <v>36502</v>
      </c>
      <c r="J109">
        <v>38360</v>
      </c>
      <c r="K109">
        <v>39547</v>
      </c>
      <c r="L109">
        <v>40392</v>
      </c>
      <c r="M109">
        <v>40953</v>
      </c>
      <c r="N109">
        <v>42831</v>
      </c>
      <c r="O109">
        <v>46183</v>
      </c>
      <c r="P109">
        <v>50683</v>
      </c>
      <c r="Q109">
        <v>51431</v>
      </c>
      <c r="R109">
        <v>53708</v>
      </c>
    </row>
    <row r="110" spans="1:18">
      <c r="A110">
        <v>21140</v>
      </c>
      <c r="B110" t="s">
        <v>416</v>
      </c>
      <c r="C110" t="s">
        <v>1448</v>
      </c>
      <c r="D110" t="s">
        <v>1449</v>
      </c>
      <c r="E110">
        <v>30581</v>
      </c>
      <c r="F110">
        <v>32386</v>
      </c>
      <c r="G110">
        <v>34752</v>
      </c>
      <c r="H110">
        <v>35789</v>
      </c>
      <c r="I110">
        <v>38304</v>
      </c>
      <c r="J110">
        <v>39802</v>
      </c>
      <c r="K110">
        <v>41332</v>
      </c>
      <c r="L110">
        <v>44496</v>
      </c>
      <c r="M110">
        <v>45820</v>
      </c>
      <c r="N110">
        <v>45614</v>
      </c>
      <c r="O110">
        <v>48687</v>
      </c>
      <c r="P110">
        <v>56966</v>
      </c>
      <c r="Q110">
        <v>58844</v>
      </c>
      <c r="R110">
        <v>58662</v>
      </c>
    </row>
    <row r="111" spans="1:18">
      <c r="A111">
        <v>21300</v>
      </c>
      <c r="B111" t="s">
        <v>417</v>
      </c>
      <c r="C111" t="s">
        <v>1448</v>
      </c>
      <c r="D111" t="s">
        <v>1449</v>
      </c>
      <c r="E111">
        <v>35109</v>
      </c>
      <c r="F111">
        <v>36735</v>
      </c>
      <c r="G111">
        <v>37028</v>
      </c>
      <c r="H111">
        <v>37722</v>
      </c>
      <c r="I111">
        <v>38810</v>
      </c>
      <c r="J111">
        <v>39254</v>
      </c>
      <c r="K111">
        <v>39538</v>
      </c>
      <c r="L111">
        <v>41611</v>
      </c>
      <c r="M111">
        <v>43119</v>
      </c>
      <c r="N111">
        <v>45175</v>
      </c>
      <c r="O111">
        <v>49265</v>
      </c>
      <c r="P111">
        <v>51914</v>
      </c>
      <c r="Q111">
        <v>52228</v>
      </c>
      <c r="R111">
        <v>53850</v>
      </c>
    </row>
    <row r="112" spans="1:18">
      <c r="A112">
        <v>21340</v>
      </c>
      <c r="B112" t="s">
        <v>418</v>
      </c>
      <c r="C112" t="s">
        <v>1448</v>
      </c>
      <c r="D112" t="s">
        <v>1449</v>
      </c>
      <c r="E112">
        <v>28769</v>
      </c>
      <c r="F112">
        <v>30017</v>
      </c>
      <c r="G112">
        <v>30817</v>
      </c>
      <c r="H112">
        <v>30281</v>
      </c>
      <c r="I112">
        <v>31551</v>
      </c>
      <c r="J112">
        <v>32484</v>
      </c>
      <c r="K112">
        <v>32889</v>
      </c>
      <c r="L112">
        <v>33899</v>
      </c>
      <c r="M112">
        <v>35333</v>
      </c>
      <c r="N112">
        <v>36915</v>
      </c>
      <c r="O112">
        <v>39993</v>
      </c>
      <c r="P112">
        <v>44213</v>
      </c>
      <c r="Q112">
        <v>44062</v>
      </c>
      <c r="R112">
        <v>46732</v>
      </c>
    </row>
    <row r="113" spans="1:18">
      <c r="A113">
        <v>21420</v>
      </c>
      <c r="B113" t="s">
        <v>419</v>
      </c>
      <c r="C113" t="s">
        <v>1448</v>
      </c>
      <c r="D113" t="s">
        <v>1449</v>
      </c>
      <c r="E113">
        <v>39516</v>
      </c>
      <c r="F113">
        <v>41842</v>
      </c>
      <c r="G113">
        <v>44592</v>
      </c>
      <c r="H113">
        <v>42967</v>
      </c>
      <c r="I113">
        <v>45554</v>
      </c>
      <c r="J113">
        <v>43509</v>
      </c>
      <c r="K113">
        <v>43133</v>
      </c>
      <c r="L113">
        <v>42104</v>
      </c>
      <c r="M113">
        <v>42941</v>
      </c>
      <c r="N113">
        <v>43397</v>
      </c>
      <c r="O113">
        <v>44273</v>
      </c>
      <c r="P113">
        <v>48039</v>
      </c>
      <c r="Q113">
        <v>49362</v>
      </c>
      <c r="R113">
        <v>51152</v>
      </c>
    </row>
    <row r="114" spans="1:18">
      <c r="A114">
        <v>21500</v>
      </c>
      <c r="B114" t="s">
        <v>420</v>
      </c>
      <c r="C114" t="s">
        <v>1448</v>
      </c>
      <c r="D114" t="s">
        <v>1449</v>
      </c>
      <c r="E114">
        <v>34626</v>
      </c>
      <c r="F114">
        <v>36797</v>
      </c>
      <c r="G114">
        <v>37774</v>
      </c>
      <c r="H114">
        <v>37682</v>
      </c>
      <c r="I114">
        <v>38603</v>
      </c>
      <c r="J114">
        <v>39758</v>
      </c>
      <c r="K114">
        <v>40425</v>
      </c>
      <c r="L114">
        <v>41376</v>
      </c>
      <c r="M114">
        <v>43836</v>
      </c>
      <c r="N114">
        <v>45257</v>
      </c>
      <c r="O114">
        <v>50048</v>
      </c>
      <c r="P114">
        <v>52723</v>
      </c>
      <c r="Q114">
        <v>51554</v>
      </c>
      <c r="R114">
        <v>54694</v>
      </c>
    </row>
    <row r="115" spans="1:18">
      <c r="A115">
        <v>21660</v>
      </c>
      <c r="B115" t="s">
        <v>421</v>
      </c>
      <c r="C115" t="s">
        <v>1448</v>
      </c>
      <c r="D115" t="s">
        <v>1449</v>
      </c>
      <c r="E115">
        <v>33555</v>
      </c>
      <c r="F115">
        <v>34457</v>
      </c>
      <c r="G115">
        <v>35763</v>
      </c>
      <c r="H115">
        <v>35834</v>
      </c>
      <c r="I115">
        <v>37784</v>
      </c>
      <c r="J115">
        <v>39992</v>
      </c>
      <c r="K115">
        <v>41101</v>
      </c>
      <c r="L115">
        <v>42923</v>
      </c>
      <c r="M115">
        <v>44684</v>
      </c>
      <c r="N115">
        <v>46313</v>
      </c>
      <c r="O115">
        <v>50662</v>
      </c>
      <c r="P115">
        <v>56148</v>
      </c>
      <c r="Q115">
        <v>57885</v>
      </c>
      <c r="R115">
        <v>61634</v>
      </c>
    </row>
    <row r="116" spans="1:18">
      <c r="A116">
        <v>21780</v>
      </c>
      <c r="B116" t="s">
        <v>422</v>
      </c>
      <c r="C116" t="s">
        <v>1448</v>
      </c>
      <c r="D116" t="s">
        <v>1449</v>
      </c>
      <c r="E116">
        <v>38039</v>
      </c>
      <c r="F116">
        <v>40514</v>
      </c>
      <c r="G116">
        <v>41721</v>
      </c>
      <c r="H116">
        <v>40091</v>
      </c>
      <c r="I116">
        <v>41710</v>
      </c>
      <c r="J116">
        <v>42984</v>
      </c>
      <c r="K116">
        <v>43387</v>
      </c>
      <c r="L116">
        <v>45115</v>
      </c>
      <c r="M116">
        <v>46553</v>
      </c>
      <c r="N116">
        <v>48997</v>
      </c>
      <c r="O116">
        <v>52505</v>
      </c>
      <c r="P116">
        <v>57317</v>
      </c>
      <c r="Q116">
        <v>58863</v>
      </c>
      <c r="R116">
        <v>61605</v>
      </c>
    </row>
    <row r="117" spans="1:18">
      <c r="A117">
        <v>21820</v>
      </c>
      <c r="B117" t="s">
        <v>423</v>
      </c>
      <c r="C117" t="s">
        <v>1448</v>
      </c>
      <c r="D117" t="s">
        <v>1449</v>
      </c>
      <c r="E117">
        <v>46814</v>
      </c>
      <c r="F117">
        <v>51461</v>
      </c>
      <c r="G117">
        <v>50889</v>
      </c>
      <c r="H117">
        <v>48789</v>
      </c>
      <c r="I117">
        <v>51669</v>
      </c>
      <c r="J117">
        <v>53019</v>
      </c>
      <c r="K117">
        <v>52139</v>
      </c>
      <c r="L117">
        <v>53421</v>
      </c>
      <c r="M117">
        <v>56321</v>
      </c>
      <c r="N117">
        <v>58328</v>
      </c>
      <c r="O117">
        <v>60352</v>
      </c>
      <c r="P117">
        <v>65085</v>
      </c>
      <c r="Q117">
        <v>67899</v>
      </c>
      <c r="R117">
        <v>69775</v>
      </c>
    </row>
    <row r="118" spans="1:18">
      <c r="A118">
        <v>22020</v>
      </c>
      <c r="B118" t="s">
        <v>424</v>
      </c>
      <c r="C118" t="s">
        <v>1448</v>
      </c>
      <c r="D118" t="s">
        <v>1449</v>
      </c>
      <c r="E118">
        <v>40577</v>
      </c>
      <c r="F118">
        <v>43550</v>
      </c>
      <c r="G118">
        <v>47253</v>
      </c>
      <c r="H118">
        <v>46902</v>
      </c>
      <c r="I118">
        <v>49066</v>
      </c>
      <c r="J118">
        <v>49723</v>
      </c>
      <c r="K118">
        <v>49325</v>
      </c>
      <c r="L118">
        <v>50126</v>
      </c>
      <c r="M118">
        <v>52949</v>
      </c>
      <c r="N118">
        <v>53837</v>
      </c>
      <c r="O118">
        <v>57555</v>
      </c>
      <c r="P118">
        <v>63126</v>
      </c>
      <c r="Q118">
        <v>65666</v>
      </c>
      <c r="R118">
        <v>68326</v>
      </c>
    </row>
    <row r="119" spans="1:18">
      <c r="A119">
        <v>22140</v>
      </c>
      <c r="B119" t="s">
        <v>425</v>
      </c>
      <c r="C119" t="s">
        <v>1448</v>
      </c>
      <c r="D119" t="s">
        <v>1449</v>
      </c>
      <c r="E119">
        <v>30682</v>
      </c>
      <c r="F119">
        <v>32691</v>
      </c>
      <c r="G119">
        <v>33275</v>
      </c>
      <c r="H119">
        <v>32318</v>
      </c>
      <c r="I119">
        <v>34099</v>
      </c>
      <c r="J119">
        <v>34494</v>
      </c>
      <c r="K119">
        <v>33471</v>
      </c>
      <c r="L119">
        <v>34288</v>
      </c>
      <c r="M119">
        <v>35791</v>
      </c>
      <c r="N119">
        <v>36605</v>
      </c>
      <c r="O119">
        <v>38933</v>
      </c>
      <c r="P119">
        <v>42947</v>
      </c>
      <c r="Q119">
        <v>44161</v>
      </c>
      <c r="R119">
        <v>46055</v>
      </c>
    </row>
    <row r="120" spans="1:18">
      <c r="A120">
        <v>22180</v>
      </c>
      <c r="B120" t="s">
        <v>426</v>
      </c>
      <c r="C120" t="s">
        <v>1448</v>
      </c>
      <c r="D120" t="s">
        <v>1449</v>
      </c>
      <c r="E120">
        <v>31835</v>
      </c>
      <c r="F120">
        <v>32418</v>
      </c>
      <c r="G120">
        <v>32982</v>
      </c>
      <c r="H120">
        <v>32573</v>
      </c>
      <c r="I120">
        <v>33421</v>
      </c>
      <c r="J120">
        <v>34277</v>
      </c>
      <c r="K120">
        <v>34253</v>
      </c>
      <c r="L120">
        <v>35242</v>
      </c>
      <c r="M120">
        <v>36507</v>
      </c>
      <c r="N120">
        <v>38022</v>
      </c>
      <c r="O120">
        <v>41245</v>
      </c>
      <c r="P120">
        <v>45121</v>
      </c>
      <c r="Q120">
        <v>45803</v>
      </c>
      <c r="R120">
        <v>47602</v>
      </c>
    </row>
    <row r="121" spans="1:18">
      <c r="A121">
        <v>22220</v>
      </c>
      <c r="B121" t="s">
        <v>427</v>
      </c>
      <c r="C121" t="s">
        <v>1448</v>
      </c>
      <c r="D121" t="s">
        <v>1449</v>
      </c>
      <c r="E121">
        <v>39003</v>
      </c>
      <c r="F121">
        <v>43674</v>
      </c>
      <c r="G121">
        <v>49682</v>
      </c>
      <c r="H121">
        <v>48544</v>
      </c>
      <c r="I121">
        <v>54080</v>
      </c>
      <c r="J121">
        <v>57357</v>
      </c>
      <c r="K121">
        <v>59389</v>
      </c>
      <c r="L121">
        <v>61204</v>
      </c>
      <c r="M121">
        <v>65248</v>
      </c>
      <c r="N121">
        <v>62254</v>
      </c>
      <c r="O121">
        <v>64497</v>
      </c>
      <c r="P121">
        <v>77159</v>
      </c>
      <c r="Q121">
        <v>85237</v>
      </c>
      <c r="R121">
        <v>89095</v>
      </c>
    </row>
    <row r="122" spans="1:18">
      <c r="A122">
        <v>22380</v>
      </c>
      <c r="B122" t="s">
        <v>428</v>
      </c>
      <c r="C122" t="s">
        <v>1448</v>
      </c>
      <c r="D122" t="s">
        <v>1449</v>
      </c>
      <c r="E122">
        <v>34531</v>
      </c>
      <c r="F122">
        <v>36414</v>
      </c>
      <c r="G122">
        <v>36893</v>
      </c>
      <c r="H122">
        <v>38325</v>
      </c>
      <c r="I122">
        <v>40000</v>
      </c>
      <c r="J122">
        <v>42186</v>
      </c>
      <c r="K122">
        <v>43197</v>
      </c>
      <c r="L122">
        <v>46032</v>
      </c>
      <c r="M122">
        <v>47749</v>
      </c>
      <c r="N122">
        <v>48886</v>
      </c>
      <c r="O122">
        <v>52855</v>
      </c>
      <c r="P122">
        <v>58092</v>
      </c>
      <c r="Q122">
        <v>58396</v>
      </c>
      <c r="R122">
        <v>62002</v>
      </c>
    </row>
    <row r="123" spans="1:18">
      <c r="A123">
        <v>22420</v>
      </c>
      <c r="B123" t="s">
        <v>429</v>
      </c>
      <c r="C123" t="s">
        <v>1448</v>
      </c>
      <c r="D123" t="s">
        <v>1449</v>
      </c>
      <c r="E123">
        <v>30592</v>
      </c>
      <c r="F123">
        <v>32099</v>
      </c>
      <c r="G123">
        <v>33206</v>
      </c>
      <c r="H123">
        <v>33836</v>
      </c>
      <c r="I123">
        <v>34940</v>
      </c>
      <c r="J123">
        <v>36766</v>
      </c>
      <c r="K123">
        <v>37706</v>
      </c>
      <c r="L123">
        <v>38729</v>
      </c>
      <c r="M123">
        <v>40158</v>
      </c>
      <c r="N123">
        <v>41656</v>
      </c>
      <c r="O123">
        <v>45413</v>
      </c>
      <c r="P123">
        <v>48331</v>
      </c>
      <c r="Q123">
        <v>48700</v>
      </c>
      <c r="R123">
        <v>52520</v>
      </c>
    </row>
    <row r="124" spans="1:18">
      <c r="A124">
        <v>22500</v>
      </c>
      <c r="B124" t="s">
        <v>430</v>
      </c>
      <c r="C124" t="s">
        <v>1448</v>
      </c>
      <c r="D124" t="s">
        <v>1449</v>
      </c>
      <c r="E124">
        <v>31280</v>
      </c>
      <c r="F124">
        <v>32708</v>
      </c>
      <c r="G124">
        <v>33266</v>
      </c>
      <c r="H124">
        <v>33954</v>
      </c>
      <c r="I124">
        <v>35130</v>
      </c>
      <c r="J124">
        <v>36425</v>
      </c>
      <c r="K124">
        <v>37547</v>
      </c>
      <c r="L124">
        <v>38849</v>
      </c>
      <c r="M124">
        <v>40629</v>
      </c>
      <c r="N124">
        <v>43130</v>
      </c>
      <c r="O124">
        <v>45737</v>
      </c>
      <c r="P124">
        <v>50193</v>
      </c>
      <c r="Q124">
        <v>50975</v>
      </c>
      <c r="R124">
        <v>53326</v>
      </c>
    </row>
    <row r="125" spans="1:18">
      <c r="A125">
        <v>22520</v>
      </c>
      <c r="B125" t="s">
        <v>431</v>
      </c>
      <c r="C125" t="s">
        <v>1448</v>
      </c>
      <c r="D125" t="s">
        <v>1449</v>
      </c>
      <c r="E125">
        <v>31234</v>
      </c>
      <c r="F125">
        <v>32044</v>
      </c>
      <c r="G125">
        <v>32311</v>
      </c>
      <c r="H125">
        <v>32437</v>
      </c>
      <c r="I125">
        <v>33678</v>
      </c>
      <c r="J125">
        <v>34544</v>
      </c>
      <c r="K125">
        <v>34944</v>
      </c>
      <c r="L125">
        <v>35399</v>
      </c>
      <c r="M125">
        <v>36373</v>
      </c>
      <c r="N125">
        <v>38040</v>
      </c>
      <c r="O125">
        <v>41409</v>
      </c>
      <c r="P125">
        <v>44559</v>
      </c>
      <c r="Q125">
        <v>44899</v>
      </c>
      <c r="R125">
        <v>47156</v>
      </c>
    </row>
    <row r="126" spans="1:18">
      <c r="A126">
        <v>22540</v>
      </c>
      <c r="B126" t="s">
        <v>432</v>
      </c>
      <c r="C126" t="s">
        <v>1448</v>
      </c>
      <c r="D126" t="s">
        <v>1449</v>
      </c>
      <c r="E126">
        <v>36789</v>
      </c>
      <c r="F126">
        <v>38107</v>
      </c>
      <c r="G126">
        <v>39657</v>
      </c>
      <c r="H126">
        <v>39811</v>
      </c>
      <c r="I126">
        <v>41584</v>
      </c>
      <c r="J126">
        <v>43123</v>
      </c>
      <c r="K126">
        <v>43493</v>
      </c>
      <c r="L126">
        <v>45196</v>
      </c>
      <c r="M126">
        <v>47523</v>
      </c>
      <c r="N126">
        <v>49506</v>
      </c>
      <c r="O126">
        <v>52435</v>
      </c>
      <c r="P126">
        <v>56767</v>
      </c>
      <c r="Q126">
        <v>58178</v>
      </c>
      <c r="R126">
        <v>60018</v>
      </c>
    </row>
    <row r="127" spans="1:18">
      <c r="A127">
        <v>22660</v>
      </c>
      <c r="B127" t="s">
        <v>433</v>
      </c>
      <c r="C127" t="s">
        <v>1448</v>
      </c>
      <c r="D127" t="s">
        <v>1449</v>
      </c>
      <c r="E127">
        <v>37474</v>
      </c>
      <c r="F127">
        <v>39109</v>
      </c>
      <c r="G127">
        <v>40768</v>
      </c>
      <c r="H127">
        <v>42294</v>
      </c>
      <c r="I127">
        <v>44658</v>
      </c>
      <c r="J127">
        <v>46451</v>
      </c>
      <c r="K127">
        <v>48079</v>
      </c>
      <c r="L127">
        <v>51432</v>
      </c>
      <c r="M127">
        <v>53689</v>
      </c>
      <c r="N127">
        <v>56240</v>
      </c>
      <c r="O127">
        <v>59520</v>
      </c>
      <c r="P127">
        <v>64885</v>
      </c>
      <c r="Q127">
        <v>67788</v>
      </c>
      <c r="R127">
        <v>71359</v>
      </c>
    </row>
    <row r="128" spans="1:18">
      <c r="A128">
        <v>22900</v>
      </c>
      <c r="B128" t="s">
        <v>434</v>
      </c>
      <c r="C128" t="s">
        <v>1448</v>
      </c>
      <c r="D128" t="s">
        <v>1449</v>
      </c>
      <c r="E128">
        <v>30084</v>
      </c>
      <c r="F128">
        <v>32058</v>
      </c>
      <c r="G128">
        <v>33140</v>
      </c>
      <c r="H128">
        <v>33265</v>
      </c>
      <c r="I128">
        <v>34754</v>
      </c>
      <c r="J128">
        <v>35581</v>
      </c>
      <c r="K128">
        <v>35914</v>
      </c>
      <c r="L128">
        <v>36673</v>
      </c>
      <c r="M128">
        <v>37544</v>
      </c>
      <c r="N128">
        <v>39189</v>
      </c>
      <c r="O128">
        <v>41781</v>
      </c>
      <c r="P128">
        <v>45348</v>
      </c>
      <c r="Q128">
        <v>45780</v>
      </c>
      <c r="R128">
        <v>47206</v>
      </c>
    </row>
    <row r="129" spans="1:18">
      <c r="A129">
        <v>23060</v>
      </c>
      <c r="B129" t="s">
        <v>435</v>
      </c>
      <c r="C129" t="s">
        <v>1448</v>
      </c>
      <c r="D129" t="s">
        <v>1449</v>
      </c>
      <c r="E129">
        <v>34559</v>
      </c>
      <c r="F129">
        <v>36621</v>
      </c>
      <c r="G129">
        <v>38173</v>
      </c>
      <c r="H129">
        <v>38051</v>
      </c>
      <c r="I129">
        <v>39885</v>
      </c>
      <c r="J129">
        <v>41656</v>
      </c>
      <c r="K129">
        <v>42437</v>
      </c>
      <c r="L129">
        <v>43440</v>
      </c>
      <c r="M129">
        <v>45605</v>
      </c>
      <c r="N129">
        <v>46877</v>
      </c>
      <c r="O129">
        <v>50134</v>
      </c>
      <c r="P129">
        <v>56034</v>
      </c>
      <c r="Q129">
        <v>58206</v>
      </c>
      <c r="R129">
        <v>60361</v>
      </c>
    </row>
    <row r="130" spans="1:18">
      <c r="A130">
        <v>23420</v>
      </c>
      <c r="B130" t="s">
        <v>436</v>
      </c>
      <c r="C130" t="s">
        <v>1448</v>
      </c>
      <c r="D130" t="s">
        <v>1449</v>
      </c>
      <c r="E130">
        <v>31181</v>
      </c>
      <c r="F130">
        <v>32669</v>
      </c>
      <c r="G130">
        <v>33288</v>
      </c>
      <c r="H130">
        <v>34426</v>
      </c>
      <c r="I130">
        <v>36385</v>
      </c>
      <c r="J130">
        <v>38296</v>
      </c>
      <c r="K130">
        <v>39072</v>
      </c>
      <c r="L130">
        <v>39600</v>
      </c>
      <c r="M130">
        <v>40606</v>
      </c>
      <c r="N130">
        <v>42639</v>
      </c>
      <c r="O130">
        <v>48200</v>
      </c>
      <c r="P130">
        <v>51977</v>
      </c>
      <c r="Q130">
        <v>50440</v>
      </c>
      <c r="R130">
        <v>52728</v>
      </c>
    </row>
    <row r="131" spans="1:18">
      <c r="A131">
        <v>23460</v>
      </c>
      <c r="B131" t="s">
        <v>437</v>
      </c>
      <c r="C131" t="s">
        <v>1448</v>
      </c>
      <c r="D131" t="s">
        <v>1449</v>
      </c>
      <c r="E131">
        <v>30190</v>
      </c>
      <c r="F131">
        <v>30626</v>
      </c>
      <c r="G131">
        <v>30977</v>
      </c>
      <c r="H131">
        <v>31154</v>
      </c>
      <c r="I131">
        <v>32245</v>
      </c>
      <c r="J131">
        <v>33706</v>
      </c>
      <c r="K131">
        <v>34201</v>
      </c>
      <c r="L131">
        <v>35134</v>
      </c>
      <c r="M131">
        <v>36135</v>
      </c>
      <c r="N131">
        <v>37277</v>
      </c>
      <c r="O131">
        <v>39536</v>
      </c>
      <c r="P131">
        <v>42777</v>
      </c>
      <c r="Q131">
        <v>43196</v>
      </c>
      <c r="R131">
        <v>45062</v>
      </c>
    </row>
    <row r="132" spans="1:18">
      <c r="A132">
        <v>23540</v>
      </c>
      <c r="B132" t="s">
        <v>438</v>
      </c>
      <c r="C132" t="s">
        <v>1448</v>
      </c>
      <c r="D132" t="s">
        <v>1449</v>
      </c>
      <c r="E132">
        <v>33969</v>
      </c>
      <c r="F132">
        <v>34975</v>
      </c>
      <c r="G132">
        <v>34867</v>
      </c>
      <c r="H132">
        <v>34886</v>
      </c>
      <c r="I132">
        <v>36427</v>
      </c>
      <c r="J132">
        <v>37426</v>
      </c>
      <c r="K132">
        <v>38071</v>
      </c>
      <c r="L132">
        <v>40176</v>
      </c>
      <c r="M132">
        <v>41888</v>
      </c>
      <c r="N132">
        <v>43850</v>
      </c>
      <c r="O132">
        <v>46380</v>
      </c>
      <c r="P132">
        <v>50186</v>
      </c>
      <c r="Q132">
        <v>50847</v>
      </c>
      <c r="R132">
        <v>54166</v>
      </c>
    </row>
    <row r="133" spans="1:18">
      <c r="A133">
        <v>23580</v>
      </c>
      <c r="B133" t="s">
        <v>439</v>
      </c>
      <c r="C133" t="s">
        <v>1448</v>
      </c>
      <c r="D133" t="s">
        <v>1449</v>
      </c>
      <c r="E133">
        <v>30906</v>
      </c>
      <c r="F133">
        <v>33095</v>
      </c>
      <c r="G133">
        <v>33873</v>
      </c>
      <c r="H133">
        <v>34552</v>
      </c>
      <c r="I133">
        <v>36548</v>
      </c>
      <c r="J133">
        <v>39185</v>
      </c>
      <c r="K133">
        <v>40379</v>
      </c>
      <c r="L133">
        <v>42741</v>
      </c>
      <c r="M133">
        <v>45109</v>
      </c>
      <c r="N133">
        <v>46326</v>
      </c>
      <c r="O133">
        <v>49283</v>
      </c>
      <c r="P133">
        <v>55114</v>
      </c>
      <c r="Q133">
        <v>57126</v>
      </c>
      <c r="R133">
        <v>60036</v>
      </c>
    </row>
    <row r="134" spans="1:18">
      <c r="A134">
        <v>23900</v>
      </c>
      <c r="B134" t="s">
        <v>440</v>
      </c>
      <c r="C134" t="s">
        <v>1448</v>
      </c>
      <c r="D134" t="s">
        <v>1449</v>
      </c>
      <c r="E134">
        <v>37567</v>
      </c>
      <c r="F134">
        <v>39061</v>
      </c>
      <c r="G134">
        <v>39924</v>
      </c>
      <c r="H134">
        <v>40714</v>
      </c>
      <c r="I134">
        <v>42551</v>
      </c>
      <c r="J134">
        <v>44189</v>
      </c>
      <c r="K134">
        <v>44732</v>
      </c>
      <c r="L134">
        <v>45876</v>
      </c>
      <c r="M134">
        <v>47809</v>
      </c>
      <c r="N134">
        <v>48859</v>
      </c>
      <c r="O134">
        <v>52997</v>
      </c>
      <c r="P134">
        <v>55416</v>
      </c>
      <c r="Q134">
        <v>56506</v>
      </c>
      <c r="R134">
        <v>58880</v>
      </c>
    </row>
    <row r="135" spans="1:18">
      <c r="A135">
        <v>24020</v>
      </c>
      <c r="B135" t="s">
        <v>441</v>
      </c>
      <c r="C135" t="s">
        <v>1448</v>
      </c>
      <c r="D135" t="s">
        <v>1449</v>
      </c>
      <c r="E135">
        <v>36182</v>
      </c>
      <c r="F135">
        <v>37489</v>
      </c>
      <c r="G135">
        <v>38415</v>
      </c>
      <c r="H135">
        <v>39087</v>
      </c>
      <c r="I135">
        <v>39431</v>
      </c>
      <c r="J135">
        <v>40838</v>
      </c>
      <c r="K135">
        <v>41701</v>
      </c>
      <c r="L135">
        <v>44187</v>
      </c>
      <c r="M135">
        <v>45268</v>
      </c>
      <c r="N135">
        <v>47703</v>
      </c>
      <c r="O135">
        <v>53091</v>
      </c>
      <c r="P135">
        <v>55002</v>
      </c>
      <c r="Q135">
        <v>55799</v>
      </c>
      <c r="R135">
        <v>59040</v>
      </c>
    </row>
    <row r="136" spans="1:18">
      <c r="A136">
        <v>24140</v>
      </c>
      <c r="B136" t="s">
        <v>442</v>
      </c>
      <c r="C136" t="s">
        <v>1448</v>
      </c>
      <c r="D136" t="s">
        <v>1449</v>
      </c>
      <c r="E136">
        <v>31762</v>
      </c>
      <c r="F136">
        <v>32651</v>
      </c>
      <c r="G136">
        <v>34138</v>
      </c>
      <c r="H136">
        <v>33732</v>
      </c>
      <c r="I136">
        <v>34962</v>
      </c>
      <c r="J136">
        <v>35706</v>
      </c>
      <c r="K136">
        <v>36182</v>
      </c>
      <c r="L136">
        <v>38143</v>
      </c>
      <c r="M136">
        <v>39381</v>
      </c>
      <c r="N136">
        <v>41247</v>
      </c>
      <c r="O136">
        <v>44201</v>
      </c>
      <c r="P136">
        <v>49199</v>
      </c>
      <c r="Q136">
        <v>49441</v>
      </c>
      <c r="R136">
        <v>50748</v>
      </c>
    </row>
    <row r="137" spans="1:18">
      <c r="A137">
        <v>24220</v>
      </c>
      <c r="B137" t="s">
        <v>443</v>
      </c>
      <c r="C137" t="s">
        <v>1448</v>
      </c>
      <c r="D137" t="s">
        <v>1449</v>
      </c>
      <c r="E137">
        <v>37766</v>
      </c>
      <c r="F137">
        <v>40562</v>
      </c>
      <c r="G137">
        <v>43991</v>
      </c>
      <c r="H137">
        <v>43929</v>
      </c>
      <c r="I137">
        <v>44288</v>
      </c>
      <c r="J137">
        <v>44933</v>
      </c>
      <c r="K137">
        <v>45096</v>
      </c>
      <c r="L137">
        <v>45966</v>
      </c>
      <c r="M137">
        <v>48006</v>
      </c>
      <c r="N137">
        <v>49393</v>
      </c>
      <c r="O137">
        <v>54362</v>
      </c>
      <c r="P137">
        <v>58992</v>
      </c>
      <c r="Q137">
        <v>61337</v>
      </c>
      <c r="R137">
        <v>62364</v>
      </c>
    </row>
    <row r="138" spans="1:18">
      <c r="A138">
        <v>24260</v>
      </c>
      <c r="B138" t="s">
        <v>444</v>
      </c>
      <c r="C138" t="s">
        <v>1448</v>
      </c>
      <c r="D138" t="s">
        <v>1449</v>
      </c>
      <c r="E138">
        <v>34514</v>
      </c>
      <c r="F138">
        <v>37519</v>
      </c>
      <c r="G138">
        <v>37992</v>
      </c>
      <c r="H138">
        <v>38439</v>
      </c>
      <c r="I138">
        <v>39073</v>
      </c>
      <c r="J138">
        <v>41003</v>
      </c>
      <c r="K138">
        <v>40608</v>
      </c>
      <c r="L138">
        <v>41112</v>
      </c>
      <c r="M138">
        <v>41918</v>
      </c>
      <c r="N138">
        <v>43965</v>
      </c>
      <c r="O138">
        <v>47576</v>
      </c>
      <c r="P138">
        <v>54217</v>
      </c>
      <c r="Q138">
        <v>56736</v>
      </c>
      <c r="R138">
        <v>60508</v>
      </c>
    </row>
    <row r="139" spans="1:18">
      <c r="A139">
        <v>24300</v>
      </c>
      <c r="B139" t="s">
        <v>445</v>
      </c>
      <c r="C139" t="s">
        <v>1448</v>
      </c>
      <c r="D139" t="s">
        <v>1449</v>
      </c>
      <c r="E139">
        <v>34343</v>
      </c>
      <c r="F139">
        <v>35645</v>
      </c>
      <c r="G139">
        <v>36961</v>
      </c>
      <c r="H139">
        <v>37443</v>
      </c>
      <c r="I139">
        <v>39589</v>
      </c>
      <c r="J139">
        <v>40302</v>
      </c>
      <c r="K139">
        <v>39847</v>
      </c>
      <c r="L139">
        <v>42125</v>
      </c>
      <c r="M139">
        <v>44413</v>
      </c>
      <c r="N139">
        <v>45990</v>
      </c>
      <c r="O139">
        <v>48393</v>
      </c>
      <c r="P139">
        <v>52891</v>
      </c>
      <c r="Q139">
        <v>55220</v>
      </c>
      <c r="R139">
        <v>57653</v>
      </c>
    </row>
    <row r="140" spans="1:18">
      <c r="A140">
        <v>24340</v>
      </c>
      <c r="B140" t="s">
        <v>446</v>
      </c>
      <c r="C140" t="s">
        <v>1448</v>
      </c>
      <c r="D140" t="s">
        <v>1449</v>
      </c>
      <c r="E140">
        <v>36377</v>
      </c>
      <c r="F140">
        <v>39261</v>
      </c>
      <c r="G140">
        <v>41558</v>
      </c>
      <c r="H140">
        <v>41374</v>
      </c>
      <c r="I140">
        <v>42951</v>
      </c>
      <c r="J140">
        <v>45242</v>
      </c>
      <c r="K140">
        <v>46139</v>
      </c>
      <c r="L140">
        <v>46865</v>
      </c>
      <c r="M140">
        <v>48608</v>
      </c>
      <c r="N140">
        <v>50153</v>
      </c>
      <c r="O140">
        <v>54955</v>
      </c>
      <c r="P140">
        <v>61100</v>
      </c>
      <c r="Q140">
        <v>62288</v>
      </c>
      <c r="R140">
        <v>65239</v>
      </c>
    </row>
    <row r="141" spans="1:18">
      <c r="A141">
        <v>24420</v>
      </c>
      <c r="B141" t="s">
        <v>447</v>
      </c>
      <c r="C141" t="s">
        <v>1448</v>
      </c>
      <c r="D141" t="s">
        <v>1449</v>
      </c>
      <c r="E141">
        <v>29887</v>
      </c>
      <c r="F141">
        <v>30717</v>
      </c>
      <c r="G141">
        <v>31949</v>
      </c>
      <c r="H141">
        <v>32375</v>
      </c>
      <c r="I141">
        <v>34079</v>
      </c>
      <c r="J141">
        <v>35960</v>
      </c>
      <c r="K141">
        <v>36785</v>
      </c>
      <c r="L141">
        <v>38715</v>
      </c>
      <c r="M141">
        <v>40924</v>
      </c>
      <c r="N141">
        <v>43717</v>
      </c>
      <c r="O141">
        <v>48022</v>
      </c>
      <c r="P141">
        <v>52513</v>
      </c>
      <c r="Q141">
        <v>51561</v>
      </c>
      <c r="R141">
        <v>55038</v>
      </c>
    </row>
    <row r="142" spans="1:18">
      <c r="A142">
        <v>24500</v>
      </c>
      <c r="B142" t="s">
        <v>448</v>
      </c>
      <c r="C142" t="s">
        <v>1448</v>
      </c>
      <c r="D142" t="s">
        <v>1449</v>
      </c>
      <c r="E142">
        <v>38445</v>
      </c>
      <c r="F142">
        <v>39311</v>
      </c>
      <c r="G142">
        <v>40057</v>
      </c>
      <c r="H142">
        <v>39201</v>
      </c>
      <c r="I142">
        <v>40685</v>
      </c>
      <c r="J142">
        <v>41814</v>
      </c>
      <c r="K142">
        <v>42472</v>
      </c>
      <c r="L142">
        <v>44005</v>
      </c>
      <c r="M142">
        <v>45776</v>
      </c>
      <c r="N142">
        <v>46890</v>
      </c>
      <c r="O142">
        <v>50352</v>
      </c>
      <c r="P142">
        <v>54912</v>
      </c>
      <c r="Q142">
        <v>57157</v>
      </c>
      <c r="R142">
        <v>60126</v>
      </c>
    </row>
    <row r="143" spans="1:18">
      <c r="A143">
        <v>24540</v>
      </c>
      <c r="B143" t="s">
        <v>449</v>
      </c>
      <c r="C143" t="s">
        <v>1448</v>
      </c>
      <c r="D143" t="s">
        <v>1449</v>
      </c>
      <c r="E143">
        <v>33458</v>
      </c>
      <c r="F143">
        <v>35526</v>
      </c>
      <c r="G143">
        <v>37191</v>
      </c>
      <c r="H143">
        <v>38907</v>
      </c>
      <c r="I143">
        <v>42404</v>
      </c>
      <c r="J143">
        <v>43873</v>
      </c>
      <c r="K143">
        <v>43882</v>
      </c>
      <c r="L143">
        <v>44352</v>
      </c>
      <c r="M143">
        <v>47817</v>
      </c>
      <c r="N143">
        <v>49724</v>
      </c>
      <c r="O143">
        <v>51918</v>
      </c>
      <c r="P143">
        <v>56330</v>
      </c>
      <c r="Q143">
        <v>59270</v>
      </c>
      <c r="R143">
        <v>62532</v>
      </c>
    </row>
    <row r="144" spans="1:18">
      <c r="A144">
        <v>24580</v>
      </c>
      <c r="B144" t="s">
        <v>450</v>
      </c>
      <c r="C144" t="s">
        <v>1448</v>
      </c>
      <c r="D144" t="s">
        <v>1449</v>
      </c>
      <c r="E144">
        <v>39367</v>
      </c>
      <c r="F144">
        <v>41285</v>
      </c>
      <c r="G144">
        <v>43060</v>
      </c>
      <c r="H144">
        <v>43324</v>
      </c>
      <c r="I144">
        <v>44489</v>
      </c>
      <c r="J144">
        <v>45829</v>
      </c>
      <c r="K144">
        <v>46221</v>
      </c>
      <c r="L144">
        <v>47916</v>
      </c>
      <c r="M144">
        <v>50480</v>
      </c>
      <c r="N144">
        <v>51840</v>
      </c>
      <c r="O144">
        <v>55780</v>
      </c>
      <c r="P144">
        <v>59613</v>
      </c>
      <c r="Q144">
        <v>60880</v>
      </c>
      <c r="R144">
        <v>63575</v>
      </c>
    </row>
    <row r="145" spans="1:18">
      <c r="A145">
        <v>24660</v>
      </c>
      <c r="B145" t="s">
        <v>451</v>
      </c>
      <c r="C145" t="s">
        <v>1448</v>
      </c>
      <c r="D145" t="s">
        <v>1449</v>
      </c>
      <c r="E145">
        <v>34271</v>
      </c>
      <c r="F145">
        <v>35122</v>
      </c>
      <c r="G145">
        <v>36615</v>
      </c>
      <c r="H145">
        <v>36184</v>
      </c>
      <c r="I145">
        <v>37877</v>
      </c>
      <c r="J145">
        <v>39613</v>
      </c>
      <c r="K145">
        <v>39704</v>
      </c>
      <c r="L145">
        <v>41021</v>
      </c>
      <c r="M145">
        <v>42461</v>
      </c>
      <c r="N145">
        <v>44560</v>
      </c>
      <c r="O145">
        <v>47437</v>
      </c>
      <c r="P145">
        <v>51874</v>
      </c>
      <c r="Q145">
        <v>53734</v>
      </c>
      <c r="R145">
        <v>56030</v>
      </c>
    </row>
    <row r="146" spans="1:18">
      <c r="A146">
        <v>24780</v>
      </c>
      <c r="B146" t="s">
        <v>452</v>
      </c>
      <c r="C146" t="s">
        <v>1448</v>
      </c>
      <c r="D146" t="s">
        <v>1449</v>
      </c>
      <c r="E146">
        <v>32462</v>
      </c>
      <c r="F146">
        <v>33302</v>
      </c>
      <c r="G146">
        <v>35664</v>
      </c>
      <c r="H146">
        <v>35697</v>
      </c>
      <c r="I146">
        <v>37206</v>
      </c>
      <c r="J146">
        <v>38308</v>
      </c>
      <c r="K146">
        <v>39457</v>
      </c>
      <c r="L146">
        <v>40881</v>
      </c>
      <c r="M146">
        <v>43168</v>
      </c>
      <c r="N146">
        <v>45448</v>
      </c>
      <c r="O146">
        <v>49093</v>
      </c>
      <c r="P146">
        <v>52984</v>
      </c>
      <c r="Q146">
        <v>54090</v>
      </c>
      <c r="R146">
        <v>56956</v>
      </c>
    </row>
    <row r="147" spans="1:18">
      <c r="A147">
        <v>24860</v>
      </c>
      <c r="B147" t="s">
        <v>453</v>
      </c>
      <c r="C147" t="s">
        <v>1448</v>
      </c>
      <c r="D147" t="s">
        <v>1449</v>
      </c>
      <c r="E147">
        <v>33020</v>
      </c>
      <c r="F147">
        <v>34486</v>
      </c>
      <c r="G147">
        <v>36006</v>
      </c>
      <c r="H147">
        <v>36291</v>
      </c>
      <c r="I147">
        <v>38165</v>
      </c>
      <c r="J147">
        <v>39978</v>
      </c>
      <c r="K147">
        <v>40698</v>
      </c>
      <c r="L147">
        <v>42441</v>
      </c>
      <c r="M147">
        <v>43746</v>
      </c>
      <c r="N147">
        <v>45582</v>
      </c>
      <c r="O147">
        <v>47635</v>
      </c>
      <c r="P147">
        <v>51744</v>
      </c>
      <c r="Q147">
        <v>53156</v>
      </c>
      <c r="R147">
        <v>55747</v>
      </c>
    </row>
    <row r="148" spans="1:18">
      <c r="A148">
        <v>25060</v>
      </c>
      <c r="B148" t="s">
        <v>454</v>
      </c>
      <c r="C148" t="s">
        <v>1448</v>
      </c>
      <c r="D148" t="s">
        <v>1449</v>
      </c>
      <c r="E148">
        <v>34352</v>
      </c>
      <c r="F148">
        <v>34178</v>
      </c>
      <c r="G148">
        <v>34167</v>
      </c>
      <c r="H148">
        <v>33908</v>
      </c>
      <c r="I148">
        <v>34437</v>
      </c>
      <c r="J148">
        <v>34598</v>
      </c>
      <c r="K148">
        <v>35288</v>
      </c>
      <c r="L148">
        <v>35852</v>
      </c>
      <c r="M148">
        <v>36569</v>
      </c>
      <c r="N148">
        <v>38053</v>
      </c>
      <c r="O148">
        <v>41309</v>
      </c>
      <c r="P148">
        <v>45852</v>
      </c>
      <c r="Q148">
        <v>45479</v>
      </c>
      <c r="R148">
        <v>48268</v>
      </c>
    </row>
    <row r="149" spans="1:18">
      <c r="A149">
        <v>25180</v>
      </c>
      <c r="B149" t="s">
        <v>455</v>
      </c>
      <c r="C149" t="s">
        <v>1448</v>
      </c>
      <c r="D149" t="s">
        <v>1449</v>
      </c>
      <c r="E149">
        <v>34936</v>
      </c>
      <c r="F149">
        <v>36286</v>
      </c>
      <c r="G149">
        <v>37163</v>
      </c>
      <c r="H149">
        <v>37182</v>
      </c>
      <c r="I149">
        <v>38185</v>
      </c>
      <c r="J149">
        <v>39312</v>
      </c>
      <c r="K149">
        <v>40500</v>
      </c>
      <c r="L149">
        <v>41442</v>
      </c>
      <c r="M149">
        <v>42924</v>
      </c>
      <c r="N149">
        <v>44647</v>
      </c>
      <c r="O149">
        <v>47730</v>
      </c>
      <c r="P149">
        <v>51811</v>
      </c>
      <c r="Q149">
        <v>52195</v>
      </c>
      <c r="R149">
        <v>55041</v>
      </c>
    </row>
    <row r="150" spans="1:18">
      <c r="A150">
        <v>25220</v>
      </c>
      <c r="B150" t="s">
        <v>456</v>
      </c>
      <c r="C150" t="s">
        <v>1448</v>
      </c>
      <c r="D150" t="s">
        <v>1449</v>
      </c>
      <c r="E150">
        <v>33424</v>
      </c>
      <c r="F150">
        <v>34263</v>
      </c>
      <c r="G150">
        <v>34775</v>
      </c>
      <c r="H150">
        <v>34748</v>
      </c>
      <c r="I150">
        <v>35519</v>
      </c>
      <c r="J150">
        <v>35643</v>
      </c>
      <c r="K150">
        <v>36513</v>
      </c>
      <c r="L150">
        <v>37483</v>
      </c>
      <c r="M150">
        <v>38280</v>
      </c>
      <c r="N150">
        <v>40500</v>
      </c>
      <c r="O150">
        <v>43918</v>
      </c>
      <c r="P150">
        <v>47871</v>
      </c>
      <c r="Q150">
        <v>47688</v>
      </c>
      <c r="R150">
        <v>50875</v>
      </c>
    </row>
    <row r="151" spans="1:18">
      <c r="A151">
        <v>25260</v>
      </c>
      <c r="B151" t="s">
        <v>457</v>
      </c>
      <c r="C151" t="s">
        <v>1448</v>
      </c>
      <c r="D151" t="s">
        <v>1449</v>
      </c>
      <c r="E151">
        <v>26345</v>
      </c>
      <c r="F151">
        <v>29308</v>
      </c>
      <c r="G151">
        <v>28626</v>
      </c>
      <c r="H151">
        <v>29642</v>
      </c>
      <c r="I151">
        <v>32810</v>
      </c>
      <c r="J151">
        <v>32733</v>
      </c>
      <c r="K151">
        <v>34161</v>
      </c>
      <c r="L151">
        <v>35395</v>
      </c>
      <c r="M151">
        <v>35042</v>
      </c>
      <c r="N151">
        <v>36388</v>
      </c>
      <c r="O151">
        <v>41319</v>
      </c>
      <c r="P151">
        <v>43867</v>
      </c>
      <c r="Q151">
        <v>42565</v>
      </c>
      <c r="R151">
        <v>43994</v>
      </c>
    </row>
    <row r="152" spans="1:18">
      <c r="A152">
        <v>25420</v>
      </c>
      <c r="B152" t="s">
        <v>458</v>
      </c>
      <c r="C152" t="s">
        <v>1448</v>
      </c>
      <c r="D152" t="s">
        <v>1449</v>
      </c>
      <c r="E152">
        <v>40682</v>
      </c>
      <c r="F152">
        <v>42399</v>
      </c>
      <c r="G152">
        <v>43579</v>
      </c>
      <c r="H152">
        <v>43811</v>
      </c>
      <c r="I152">
        <v>45197</v>
      </c>
      <c r="J152">
        <v>46936</v>
      </c>
      <c r="K152">
        <v>47285</v>
      </c>
      <c r="L152">
        <v>48949</v>
      </c>
      <c r="M152">
        <v>51145</v>
      </c>
      <c r="N152">
        <v>53269</v>
      </c>
      <c r="O152">
        <v>57285</v>
      </c>
      <c r="P152">
        <v>60447</v>
      </c>
      <c r="Q152">
        <v>61224</v>
      </c>
      <c r="R152">
        <v>64066</v>
      </c>
    </row>
    <row r="153" spans="1:18">
      <c r="A153">
        <v>25500</v>
      </c>
      <c r="B153" t="s">
        <v>459</v>
      </c>
      <c r="C153" t="s">
        <v>1448</v>
      </c>
      <c r="D153" t="s">
        <v>1449</v>
      </c>
      <c r="E153">
        <v>30568</v>
      </c>
      <c r="F153">
        <v>31740</v>
      </c>
      <c r="G153">
        <v>32613</v>
      </c>
      <c r="H153">
        <v>33047</v>
      </c>
      <c r="I153">
        <v>34648</v>
      </c>
      <c r="J153">
        <v>36638</v>
      </c>
      <c r="K153">
        <v>35729</v>
      </c>
      <c r="L153">
        <v>37635</v>
      </c>
      <c r="M153">
        <v>39164</v>
      </c>
      <c r="N153">
        <v>40523</v>
      </c>
      <c r="O153">
        <v>42773</v>
      </c>
      <c r="P153">
        <v>48241</v>
      </c>
      <c r="Q153">
        <v>51204</v>
      </c>
      <c r="R153">
        <v>51573</v>
      </c>
    </row>
    <row r="154" spans="1:18">
      <c r="A154">
        <v>25540</v>
      </c>
      <c r="B154" t="s">
        <v>460</v>
      </c>
      <c r="C154" t="s">
        <v>1448</v>
      </c>
      <c r="D154" t="s">
        <v>1449</v>
      </c>
      <c r="E154">
        <v>50090</v>
      </c>
      <c r="F154">
        <v>52008</v>
      </c>
      <c r="G154">
        <v>53321</v>
      </c>
      <c r="H154">
        <v>53554</v>
      </c>
      <c r="I154">
        <v>55543</v>
      </c>
      <c r="J154">
        <v>57378</v>
      </c>
      <c r="K154">
        <v>58296</v>
      </c>
      <c r="L154">
        <v>59368</v>
      </c>
      <c r="M154">
        <v>61429</v>
      </c>
      <c r="N154">
        <v>63319</v>
      </c>
      <c r="O154">
        <v>66941</v>
      </c>
      <c r="P154">
        <v>69688</v>
      </c>
      <c r="Q154">
        <v>71684</v>
      </c>
      <c r="R154">
        <v>75241</v>
      </c>
    </row>
    <row r="155" spans="1:18">
      <c r="A155">
        <v>25620</v>
      </c>
      <c r="B155" t="s">
        <v>461</v>
      </c>
      <c r="C155" t="s">
        <v>1448</v>
      </c>
      <c r="D155" t="s">
        <v>1449</v>
      </c>
      <c r="E155">
        <v>30761</v>
      </c>
      <c r="F155">
        <v>31714</v>
      </c>
      <c r="G155">
        <v>33074</v>
      </c>
      <c r="H155">
        <v>33626</v>
      </c>
      <c r="I155">
        <v>34762</v>
      </c>
      <c r="J155">
        <v>35792</v>
      </c>
      <c r="K155">
        <v>35729</v>
      </c>
      <c r="L155">
        <v>36860</v>
      </c>
      <c r="M155">
        <v>37592</v>
      </c>
      <c r="N155">
        <v>38240</v>
      </c>
      <c r="O155">
        <v>41097</v>
      </c>
      <c r="P155">
        <v>45351</v>
      </c>
      <c r="Q155">
        <v>45690</v>
      </c>
      <c r="R155">
        <v>47876</v>
      </c>
    </row>
    <row r="156" spans="1:18">
      <c r="A156">
        <v>25860</v>
      </c>
      <c r="B156" t="s">
        <v>462</v>
      </c>
      <c r="C156" t="s">
        <v>1448</v>
      </c>
      <c r="D156" t="s">
        <v>1449</v>
      </c>
      <c r="E156">
        <v>30328</v>
      </c>
      <c r="F156">
        <v>31038</v>
      </c>
      <c r="G156">
        <v>32238</v>
      </c>
      <c r="H156">
        <v>31961</v>
      </c>
      <c r="I156">
        <v>33521</v>
      </c>
      <c r="J156">
        <v>35339</v>
      </c>
      <c r="K156">
        <v>36334</v>
      </c>
      <c r="L156">
        <v>38133</v>
      </c>
      <c r="M156">
        <v>39377</v>
      </c>
      <c r="N156">
        <v>41240</v>
      </c>
      <c r="O156">
        <v>44497</v>
      </c>
      <c r="P156">
        <v>48835</v>
      </c>
      <c r="Q156">
        <v>50195</v>
      </c>
      <c r="R156">
        <v>52213</v>
      </c>
    </row>
    <row r="157" spans="1:18">
      <c r="A157">
        <v>25940</v>
      </c>
      <c r="B157" t="s">
        <v>463</v>
      </c>
      <c r="C157" t="s">
        <v>1448</v>
      </c>
      <c r="D157" t="s">
        <v>1449</v>
      </c>
      <c r="E157">
        <v>39180</v>
      </c>
      <c r="F157">
        <v>41567</v>
      </c>
      <c r="G157">
        <v>43091</v>
      </c>
      <c r="H157">
        <v>43519</v>
      </c>
      <c r="I157">
        <v>46355</v>
      </c>
      <c r="J157">
        <v>48722</v>
      </c>
      <c r="K157">
        <v>50697</v>
      </c>
      <c r="L157">
        <v>51979</v>
      </c>
      <c r="M157">
        <v>54471</v>
      </c>
      <c r="N157">
        <v>58501</v>
      </c>
      <c r="O157">
        <v>61486</v>
      </c>
      <c r="P157">
        <v>67583</v>
      </c>
      <c r="Q157">
        <v>71058</v>
      </c>
      <c r="R157">
        <v>75647</v>
      </c>
    </row>
    <row r="158" spans="1:18">
      <c r="A158">
        <v>25980</v>
      </c>
      <c r="B158" t="s">
        <v>464</v>
      </c>
      <c r="C158" t="s">
        <v>1448</v>
      </c>
      <c r="D158" t="s">
        <v>1449</v>
      </c>
      <c r="E158">
        <v>29066</v>
      </c>
      <c r="F158">
        <v>30424</v>
      </c>
      <c r="G158">
        <v>29853</v>
      </c>
      <c r="H158">
        <v>30570</v>
      </c>
      <c r="I158">
        <v>30564</v>
      </c>
      <c r="J158">
        <v>32062</v>
      </c>
      <c r="K158">
        <v>31927</v>
      </c>
      <c r="L158">
        <v>33058</v>
      </c>
      <c r="M158">
        <v>34923</v>
      </c>
      <c r="N158">
        <v>34923</v>
      </c>
      <c r="O158">
        <v>37542</v>
      </c>
      <c r="P158">
        <v>40817</v>
      </c>
      <c r="Q158">
        <v>39944</v>
      </c>
      <c r="R158">
        <v>41210</v>
      </c>
    </row>
    <row r="159" spans="1:18">
      <c r="A159">
        <v>26140</v>
      </c>
      <c r="B159" t="s">
        <v>465</v>
      </c>
      <c r="C159" t="s">
        <v>1448</v>
      </c>
      <c r="D159" t="s">
        <v>1449</v>
      </c>
      <c r="E159">
        <v>31387</v>
      </c>
      <c r="F159">
        <v>32314</v>
      </c>
      <c r="G159">
        <v>32717</v>
      </c>
      <c r="H159">
        <v>33194</v>
      </c>
      <c r="I159">
        <v>34119</v>
      </c>
      <c r="J159">
        <v>35400</v>
      </c>
      <c r="K159">
        <v>35602</v>
      </c>
      <c r="L159">
        <v>36360</v>
      </c>
      <c r="M159">
        <v>37561</v>
      </c>
      <c r="N159">
        <v>39067</v>
      </c>
      <c r="O159">
        <v>41566</v>
      </c>
      <c r="P159">
        <v>45422</v>
      </c>
      <c r="Q159">
        <v>44901</v>
      </c>
      <c r="R159">
        <v>47178</v>
      </c>
    </row>
    <row r="160" spans="1:18">
      <c r="A160">
        <v>26300</v>
      </c>
      <c r="B160" t="s">
        <v>466</v>
      </c>
      <c r="C160" t="s">
        <v>1448</v>
      </c>
      <c r="D160" t="s">
        <v>1449</v>
      </c>
      <c r="E160">
        <v>32227</v>
      </c>
      <c r="F160">
        <v>33583</v>
      </c>
      <c r="G160">
        <v>34754</v>
      </c>
      <c r="H160">
        <v>33889</v>
      </c>
      <c r="I160">
        <v>35581</v>
      </c>
      <c r="J160">
        <v>36480</v>
      </c>
      <c r="K160">
        <v>37412</v>
      </c>
      <c r="L160">
        <v>38353</v>
      </c>
      <c r="M160">
        <v>39362</v>
      </c>
      <c r="N160">
        <v>41386</v>
      </c>
      <c r="O160">
        <v>45046</v>
      </c>
      <c r="P160">
        <v>48218</v>
      </c>
      <c r="Q160">
        <v>49641</v>
      </c>
      <c r="R160">
        <v>52506</v>
      </c>
    </row>
    <row r="161" spans="1:18">
      <c r="A161">
        <v>26380</v>
      </c>
      <c r="B161" t="s">
        <v>467</v>
      </c>
      <c r="C161" t="s">
        <v>1448</v>
      </c>
      <c r="D161" t="s">
        <v>1449</v>
      </c>
      <c r="E161">
        <v>40072</v>
      </c>
      <c r="F161">
        <v>39918</v>
      </c>
      <c r="G161">
        <v>42210</v>
      </c>
      <c r="H161">
        <v>43204</v>
      </c>
      <c r="I161">
        <v>45059</v>
      </c>
      <c r="J161">
        <v>43424</v>
      </c>
      <c r="K161">
        <v>40272</v>
      </c>
      <c r="L161">
        <v>40972</v>
      </c>
      <c r="M161">
        <v>41910</v>
      </c>
      <c r="N161">
        <v>43659</v>
      </c>
      <c r="O161">
        <v>45507</v>
      </c>
      <c r="P161">
        <v>50045</v>
      </c>
      <c r="Q161">
        <v>51635</v>
      </c>
      <c r="R161">
        <v>55657</v>
      </c>
    </row>
    <row r="162" spans="1:18">
      <c r="A162">
        <v>26420</v>
      </c>
      <c r="B162" t="s">
        <v>468</v>
      </c>
      <c r="C162" t="s">
        <v>1448</v>
      </c>
      <c r="D162" t="s">
        <v>1449</v>
      </c>
      <c r="E162">
        <v>45627</v>
      </c>
      <c r="F162">
        <v>48677</v>
      </c>
      <c r="G162">
        <v>52301</v>
      </c>
      <c r="H162">
        <v>52033</v>
      </c>
      <c r="I162">
        <v>54699</v>
      </c>
      <c r="J162">
        <v>54210</v>
      </c>
      <c r="K162">
        <v>50841</v>
      </c>
      <c r="L162">
        <v>54000</v>
      </c>
      <c r="M162">
        <v>57086</v>
      </c>
      <c r="N162">
        <v>58902</v>
      </c>
      <c r="O162">
        <v>59431</v>
      </c>
      <c r="P162">
        <v>65196</v>
      </c>
      <c r="Q162">
        <v>68808</v>
      </c>
      <c r="R162">
        <v>72453</v>
      </c>
    </row>
    <row r="163" spans="1:18">
      <c r="A163">
        <v>26580</v>
      </c>
      <c r="B163" t="s">
        <v>469</v>
      </c>
      <c r="C163" t="s">
        <v>1448</v>
      </c>
      <c r="D163" t="s">
        <v>1449</v>
      </c>
      <c r="E163">
        <v>32356</v>
      </c>
      <c r="F163">
        <v>33667</v>
      </c>
      <c r="G163">
        <v>34149</v>
      </c>
      <c r="H163">
        <v>33898</v>
      </c>
      <c r="I163">
        <v>35053</v>
      </c>
      <c r="J163">
        <v>36160</v>
      </c>
      <c r="K163">
        <v>36124</v>
      </c>
      <c r="L163">
        <v>37440</v>
      </c>
      <c r="M163">
        <v>39514</v>
      </c>
      <c r="N163">
        <v>40967</v>
      </c>
      <c r="O163">
        <v>43832</v>
      </c>
      <c r="P163">
        <v>47477</v>
      </c>
      <c r="Q163">
        <v>48290</v>
      </c>
      <c r="R163">
        <v>51286</v>
      </c>
    </row>
    <row r="164" spans="1:18">
      <c r="A164">
        <v>26620</v>
      </c>
      <c r="B164" t="s">
        <v>470</v>
      </c>
      <c r="C164" t="s">
        <v>1448</v>
      </c>
      <c r="D164" t="s">
        <v>1449</v>
      </c>
      <c r="E164">
        <v>40316</v>
      </c>
      <c r="F164">
        <v>41904</v>
      </c>
      <c r="G164">
        <v>42373</v>
      </c>
      <c r="H164">
        <v>42133</v>
      </c>
      <c r="I164">
        <v>43014</v>
      </c>
      <c r="J164">
        <v>44403</v>
      </c>
      <c r="K164">
        <v>45464</v>
      </c>
      <c r="L164">
        <v>46807</v>
      </c>
      <c r="M164">
        <v>48636</v>
      </c>
      <c r="N164">
        <v>50943</v>
      </c>
      <c r="O164">
        <v>54238</v>
      </c>
      <c r="P164">
        <v>58950</v>
      </c>
      <c r="Q164">
        <v>60687</v>
      </c>
      <c r="R164">
        <v>64089</v>
      </c>
    </row>
    <row r="165" spans="1:18">
      <c r="A165">
        <v>26820</v>
      </c>
      <c r="B165" t="s">
        <v>471</v>
      </c>
      <c r="C165" t="s">
        <v>1448</v>
      </c>
      <c r="D165" t="s">
        <v>1449</v>
      </c>
      <c r="E165">
        <v>32774</v>
      </c>
      <c r="F165">
        <v>33912</v>
      </c>
      <c r="G165">
        <v>35590</v>
      </c>
      <c r="H165">
        <v>35329</v>
      </c>
      <c r="I165">
        <v>36146</v>
      </c>
      <c r="J165">
        <v>39153</v>
      </c>
      <c r="K165">
        <v>42118</v>
      </c>
      <c r="L165">
        <v>45494</v>
      </c>
      <c r="M165">
        <v>49203</v>
      </c>
      <c r="N165">
        <v>52521</v>
      </c>
      <c r="O165">
        <v>56116</v>
      </c>
      <c r="P165">
        <v>59318</v>
      </c>
      <c r="Q165">
        <v>55449</v>
      </c>
      <c r="R165">
        <v>57483</v>
      </c>
    </row>
    <row r="166" spans="1:18">
      <c r="A166">
        <v>26900</v>
      </c>
      <c r="B166" t="s">
        <v>472</v>
      </c>
      <c r="C166" t="s">
        <v>1448</v>
      </c>
      <c r="D166" t="s">
        <v>1449</v>
      </c>
      <c r="E166">
        <v>41593</v>
      </c>
      <c r="F166">
        <v>44112</v>
      </c>
      <c r="G166">
        <v>45526</v>
      </c>
      <c r="H166">
        <v>45542</v>
      </c>
      <c r="I166">
        <v>46732</v>
      </c>
      <c r="J166">
        <v>48593</v>
      </c>
      <c r="K166">
        <v>50039</v>
      </c>
      <c r="L166">
        <v>51188</v>
      </c>
      <c r="M166">
        <v>53582</v>
      </c>
      <c r="N166">
        <v>56416</v>
      </c>
      <c r="O166">
        <v>60299</v>
      </c>
      <c r="P166">
        <v>67119</v>
      </c>
      <c r="Q166">
        <v>69545</v>
      </c>
      <c r="R166">
        <v>72494</v>
      </c>
    </row>
    <row r="167" spans="1:18">
      <c r="A167">
        <v>26980</v>
      </c>
      <c r="B167" t="s">
        <v>473</v>
      </c>
      <c r="C167" t="s">
        <v>1448</v>
      </c>
      <c r="D167" t="s">
        <v>1449</v>
      </c>
      <c r="E167">
        <v>40256</v>
      </c>
      <c r="F167">
        <v>43196</v>
      </c>
      <c r="G167">
        <v>44560</v>
      </c>
      <c r="H167">
        <v>45463</v>
      </c>
      <c r="I167">
        <v>47327</v>
      </c>
      <c r="J167">
        <v>47934</v>
      </c>
      <c r="K167">
        <v>48967</v>
      </c>
      <c r="L167">
        <v>50943</v>
      </c>
      <c r="M167">
        <v>53772</v>
      </c>
      <c r="N167">
        <v>54669</v>
      </c>
      <c r="O167">
        <v>56555</v>
      </c>
      <c r="P167">
        <v>62267</v>
      </c>
      <c r="Q167">
        <v>63673</v>
      </c>
      <c r="R167">
        <v>65563</v>
      </c>
    </row>
    <row r="168" spans="1:18">
      <c r="A168">
        <v>27060</v>
      </c>
      <c r="B168" t="s">
        <v>474</v>
      </c>
      <c r="C168" t="s">
        <v>1448</v>
      </c>
      <c r="D168" t="s">
        <v>1449</v>
      </c>
      <c r="E168">
        <v>34897</v>
      </c>
      <c r="F168">
        <v>36459</v>
      </c>
      <c r="G168">
        <v>37390</v>
      </c>
      <c r="H168">
        <v>36865</v>
      </c>
      <c r="I168">
        <v>37653</v>
      </c>
      <c r="J168">
        <v>39575</v>
      </c>
      <c r="K168">
        <v>39278</v>
      </c>
      <c r="L168">
        <v>41557</v>
      </c>
      <c r="M168">
        <v>42655</v>
      </c>
      <c r="N168">
        <v>44684</v>
      </c>
      <c r="O168">
        <v>50720</v>
      </c>
      <c r="P168">
        <v>50211</v>
      </c>
      <c r="Q168">
        <v>51589</v>
      </c>
      <c r="R168">
        <v>54159</v>
      </c>
    </row>
    <row r="169" spans="1:18">
      <c r="A169">
        <v>27100</v>
      </c>
      <c r="B169" t="s">
        <v>475</v>
      </c>
      <c r="C169" t="s">
        <v>1448</v>
      </c>
      <c r="D169" t="s">
        <v>1449</v>
      </c>
      <c r="E169">
        <v>30470</v>
      </c>
      <c r="F169">
        <v>31550</v>
      </c>
      <c r="G169">
        <v>32167</v>
      </c>
      <c r="H169">
        <v>32492</v>
      </c>
      <c r="I169">
        <v>33589</v>
      </c>
      <c r="J169">
        <v>35041</v>
      </c>
      <c r="K169">
        <v>36495</v>
      </c>
      <c r="L169">
        <v>37110</v>
      </c>
      <c r="M169">
        <v>38538</v>
      </c>
      <c r="N169">
        <v>39418</v>
      </c>
      <c r="O169">
        <v>43450</v>
      </c>
      <c r="P169">
        <v>47084</v>
      </c>
      <c r="Q169">
        <v>46541</v>
      </c>
      <c r="R169">
        <v>48818</v>
      </c>
    </row>
    <row r="170" spans="1:18">
      <c r="A170">
        <v>27140</v>
      </c>
      <c r="B170" t="s">
        <v>476</v>
      </c>
      <c r="C170" t="s">
        <v>1448</v>
      </c>
      <c r="D170" t="s">
        <v>1449</v>
      </c>
      <c r="E170">
        <v>36249</v>
      </c>
      <c r="F170">
        <v>38211</v>
      </c>
      <c r="G170">
        <v>39216</v>
      </c>
      <c r="H170">
        <v>39748</v>
      </c>
      <c r="I170">
        <v>40989</v>
      </c>
      <c r="J170">
        <v>41421</v>
      </c>
      <c r="K170">
        <v>41489</v>
      </c>
      <c r="L170">
        <v>41960</v>
      </c>
      <c r="M170">
        <v>42966</v>
      </c>
      <c r="N170">
        <v>44621</v>
      </c>
      <c r="O170">
        <v>48607</v>
      </c>
      <c r="P170">
        <v>53345</v>
      </c>
      <c r="Q170">
        <v>54710</v>
      </c>
      <c r="R170">
        <v>58104</v>
      </c>
    </row>
    <row r="171" spans="1:18">
      <c r="A171">
        <v>27180</v>
      </c>
      <c r="B171" t="s">
        <v>477</v>
      </c>
      <c r="C171" t="s">
        <v>1448</v>
      </c>
      <c r="D171" t="s">
        <v>1449</v>
      </c>
      <c r="E171">
        <v>32087</v>
      </c>
      <c r="F171">
        <v>34661</v>
      </c>
      <c r="G171">
        <v>34823</v>
      </c>
      <c r="H171">
        <v>35134</v>
      </c>
      <c r="I171">
        <v>35109</v>
      </c>
      <c r="J171">
        <v>36186</v>
      </c>
      <c r="K171">
        <v>36734</v>
      </c>
      <c r="L171">
        <v>38030</v>
      </c>
      <c r="M171">
        <v>39183</v>
      </c>
      <c r="N171">
        <v>41640</v>
      </c>
      <c r="O171">
        <v>44676</v>
      </c>
      <c r="P171">
        <v>49363</v>
      </c>
      <c r="Q171">
        <v>49283</v>
      </c>
      <c r="R171">
        <v>52273</v>
      </c>
    </row>
    <row r="172" spans="1:18">
      <c r="A172">
        <v>27260</v>
      </c>
      <c r="B172" t="s">
        <v>478</v>
      </c>
      <c r="C172" t="s">
        <v>1448</v>
      </c>
      <c r="D172" t="s">
        <v>1449</v>
      </c>
      <c r="E172">
        <v>38986</v>
      </c>
      <c r="F172">
        <v>40517</v>
      </c>
      <c r="G172">
        <v>41509</v>
      </c>
      <c r="H172">
        <v>41404</v>
      </c>
      <c r="I172">
        <v>42610</v>
      </c>
      <c r="J172">
        <v>44266</v>
      </c>
      <c r="K172">
        <v>45174</v>
      </c>
      <c r="L172">
        <v>47725</v>
      </c>
      <c r="M172">
        <v>49361</v>
      </c>
      <c r="N172">
        <v>51536</v>
      </c>
      <c r="O172">
        <v>54831</v>
      </c>
      <c r="P172">
        <v>60264</v>
      </c>
      <c r="Q172">
        <v>62107</v>
      </c>
      <c r="R172">
        <v>65324</v>
      </c>
    </row>
    <row r="173" spans="1:18">
      <c r="A173">
        <v>27340</v>
      </c>
      <c r="B173" t="s">
        <v>479</v>
      </c>
      <c r="C173" t="s">
        <v>1448</v>
      </c>
      <c r="D173" t="s">
        <v>1449</v>
      </c>
      <c r="E173">
        <v>42865</v>
      </c>
      <c r="F173">
        <v>44765</v>
      </c>
      <c r="G173">
        <v>43483</v>
      </c>
      <c r="H173">
        <v>41582</v>
      </c>
      <c r="I173">
        <v>42160</v>
      </c>
      <c r="J173">
        <v>42515</v>
      </c>
      <c r="K173">
        <v>43531</v>
      </c>
      <c r="L173">
        <v>42040</v>
      </c>
      <c r="M173">
        <v>43527</v>
      </c>
      <c r="N173">
        <v>43858</v>
      </c>
      <c r="O173">
        <v>46138</v>
      </c>
      <c r="P173">
        <v>51268</v>
      </c>
      <c r="Q173">
        <v>51772</v>
      </c>
      <c r="R173">
        <v>53594</v>
      </c>
    </row>
    <row r="174" spans="1:18">
      <c r="A174">
        <v>27500</v>
      </c>
      <c r="B174" t="s">
        <v>480</v>
      </c>
      <c r="C174" t="s">
        <v>1448</v>
      </c>
      <c r="D174" t="s">
        <v>1449</v>
      </c>
      <c r="E174">
        <v>33890</v>
      </c>
      <c r="F174">
        <v>35669</v>
      </c>
      <c r="G174">
        <v>37199</v>
      </c>
      <c r="H174">
        <v>37882</v>
      </c>
      <c r="I174">
        <v>38191</v>
      </c>
      <c r="J174">
        <v>39580</v>
      </c>
      <c r="K174">
        <v>40368</v>
      </c>
      <c r="L174">
        <v>41522</v>
      </c>
      <c r="M174">
        <v>43382</v>
      </c>
      <c r="N174">
        <v>45508</v>
      </c>
      <c r="O174">
        <v>48024</v>
      </c>
      <c r="P174">
        <v>52003</v>
      </c>
      <c r="Q174">
        <v>53827</v>
      </c>
      <c r="R174">
        <v>56319</v>
      </c>
    </row>
    <row r="175" spans="1:18">
      <c r="A175">
        <v>27620</v>
      </c>
      <c r="B175" t="s">
        <v>481</v>
      </c>
      <c r="C175" t="s">
        <v>1448</v>
      </c>
      <c r="D175" t="s">
        <v>1449</v>
      </c>
      <c r="E175">
        <v>34977</v>
      </c>
      <c r="F175">
        <v>35734</v>
      </c>
      <c r="G175">
        <v>36997</v>
      </c>
      <c r="H175">
        <v>37487</v>
      </c>
      <c r="I175">
        <v>38474</v>
      </c>
      <c r="J175">
        <v>39315</v>
      </c>
      <c r="K175">
        <v>39680</v>
      </c>
      <c r="L175">
        <v>41090</v>
      </c>
      <c r="M175">
        <v>41762</v>
      </c>
      <c r="N175">
        <v>44468</v>
      </c>
      <c r="O175">
        <v>48436</v>
      </c>
      <c r="P175">
        <v>51013</v>
      </c>
      <c r="Q175">
        <v>53320</v>
      </c>
      <c r="R175">
        <v>56862</v>
      </c>
    </row>
    <row r="176" spans="1:18">
      <c r="A176">
        <v>27740</v>
      </c>
      <c r="B176" t="s">
        <v>482</v>
      </c>
      <c r="C176" t="s">
        <v>1448</v>
      </c>
      <c r="D176" t="s">
        <v>1449</v>
      </c>
      <c r="E176">
        <v>31917</v>
      </c>
      <c r="F176">
        <v>33776</v>
      </c>
      <c r="G176">
        <v>34528</v>
      </c>
      <c r="H176">
        <v>34250</v>
      </c>
      <c r="I176">
        <v>34976</v>
      </c>
      <c r="J176">
        <v>36355</v>
      </c>
      <c r="K176">
        <v>36621</v>
      </c>
      <c r="L176">
        <v>37834</v>
      </c>
      <c r="M176">
        <v>39203</v>
      </c>
      <c r="N176">
        <v>41369</v>
      </c>
      <c r="O176">
        <v>44051</v>
      </c>
      <c r="P176">
        <v>48683</v>
      </c>
      <c r="Q176">
        <v>48918</v>
      </c>
      <c r="R176">
        <v>51590</v>
      </c>
    </row>
    <row r="177" spans="1:18">
      <c r="A177">
        <v>27780</v>
      </c>
      <c r="B177" t="s">
        <v>483</v>
      </c>
      <c r="C177" t="s">
        <v>1448</v>
      </c>
      <c r="D177" t="s">
        <v>1449</v>
      </c>
      <c r="E177">
        <v>32628</v>
      </c>
      <c r="F177">
        <v>34975</v>
      </c>
      <c r="G177">
        <v>35345</v>
      </c>
      <c r="H177">
        <v>35709</v>
      </c>
      <c r="I177">
        <v>36739</v>
      </c>
      <c r="J177">
        <v>37672</v>
      </c>
      <c r="K177">
        <v>38031</v>
      </c>
      <c r="L177">
        <v>38943</v>
      </c>
      <c r="M177">
        <v>41411</v>
      </c>
      <c r="N177">
        <v>42813</v>
      </c>
      <c r="O177">
        <v>46181</v>
      </c>
      <c r="P177">
        <v>48712</v>
      </c>
      <c r="Q177">
        <v>48018</v>
      </c>
      <c r="R177">
        <v>50932</v>
      </c>
    </row>
    <row r="178" spans="1:18">
      <c r="A178">
        <v>27860</v>
      </c>
      <c r="B178" t="s">
        <v>484</v>
      </c>
      <c r="C178" t="s">
        <v>1448</v>
      </c>
      <c r="D178" t="s">
        <v>1449</v>
      </c>
      <c r="E178">
        <v>29865</v>
      </c>
      <c r="F178">
        <v>31623</v>
      </c>
      <c r="G178">
        <v>32700</v>
      </c>
      <c r="H178">
        <v>33217</v>
      </c>
      <c r="I178">
        <v>33740</v>
      </c>
      <c r="J178">
        <v>34055</v>
      </c>
      <c r="K178">
        <v>34645</v>
      </c>
      <c r="L178">
        <v>35425</v>
      </c>
      <c r="M178">
        <v>36158</v>
      </c>
      <c r="N178">
        <v>37878</v>
      </c>
      <c r="O178">
        <v>41640</v>
      </c>
      <c r="P178">
        <v>46337</v>
      </c>
      <c r="Q178">
        <v>47213</v>
      </c>
      <c r="R178">
        <v>49153</v>
      </c>
    </row>
    <row r="179" spans="1:18">
      <c r="A179">
        <v>27900</v>
      </c>
      <c r="B179" t="s">
        <v>485</v>
      </c>
      <c r="C179" t="s">
        <v>1448</v>
      </c>
      <c r="D179" t="s">
        <v>1449</v>
      </c>
      <c r="E179">
        <v>30733</v>
      </c>
      <c r="F179">
        <v>32913</v>
      </c>
      <c r="G179">
        <v>34367</v>
      </c>
      <c r="H179">
        <v>33789</v>
      </c>
      <c r="I179">
        <v>34843</v>
      </c>
      <c r="J179">
        <v>36206</v>
      </c>
      <c r="K179">
        <v>36788</v>
      </c>
      <c r="L179">
        <v>37696</v>
      </c>
      <c r="M179">
        <v>39480</v>
      </c>
      <c r="N179">
        <v>39436</v>
      </c>
      <c r="O179">
        <v>41335</v>
      </c>
      <c r="P179">
        <v>44135</v>
      </c>
      <c r="Q179">
        <v>45881</v>
      </c>
      <c r="R179">
        <v>47609</v>
      </c>
    </row>
    <row r="180" spans="1:18">
      <c r="A180">
        <v>27980</v>
      </c>
      <c r="B180" t="s">
        <v>486</v>
      </c>
      <c r="C180" t="s">
        <v>1448</v>
      </c>
      <c r="D180" t="s">
        <v>1449</v>
      </c>
      <c r="E180">
        <v>35333</v>
      </c>
      <c r="F180">
        <v>36717</v>
      </c>
      <c r="G180">
        <v>38717</v>
      </c>
      <c r="H180">
        <v>38707</v>
      </c>
      <c r="I180">
        <v>40369</v>
      </c>
      <c r="J180">
        <v>42487</v>
      </c>
      <c r="K180">
        <v>43868</v>
      </c>
      <c r="L180">
        <v>46020</v>
      </c>
      <c r="M180">
        <v>47597</v>
      </c>
      <c r="N180">
        <v>51288</v>
      </c>
      <c r="O180">
        <v>52876</v>
      </c>
      <c r="P180">
        <v>59914</v>
      </c>
      <c r="Q180">
        <v>60502</v>
      </c>
      <c r="R180">
        <v>62816</v>
      </c>
    </row>
    <row r="181" spans="1:18">
      <c r="A181">
        <v>28020</v>
      </c>
      <c r="B181" t="s">
        <v>487</v>
      </c>
      <c r="C181" t="s">
        <v>1448</v>
      </c>
      <c r="D181" t="s">
        <v>1449</v>
      </c>
      <c r="E181">
        <v>36588</v>
      </c>
      <c r="F181">
        <v>38756</v>
      </c>
      <c r="G181">
        <v>39900</v>
      </c>
      <c r="H181">
        <v>40605</v>
      </c>
      <c r="I181">
        <v>41559</v>
      </c>
      <c r="J181">
        <v>43971</v>
      </c>
      <c r="K181">
        <v>45469</v>
      </c>
      <c r="L181">
        <v>46430</v>
      </c>
      <c r="M181">
        <v>48346</v>
      </c>
      <c r="N181">
        <v>50136</v>
      </c>
      <c r="O181">
        <v>54892</v>
      </c>
      <c r="P181">
        <v>59196</v>
      </c>
      <c r="Q181">
        <v>60902</v>
      </c>
      <c r="R181">
        <v>63668</v>
      </c>
    </row>
    <row r="182" spans="1:18">
      <c r="A182">
        <v>28100</v>
      </c>
      <c r="B182" t="s">
        <v>488</v>
      </c>
      <c r="C182" t="s">
        <v>1448</v>
      </c>
      <c r="D182" t="s">
        <v>1449</v>
      </c>
      <c r="E182">
        <v>32764</v>
      </c>
      <c r="F182">
        <v>33782</v>
      </c>
      <c r="G182">
        <v>34412</v>
      </c>
      <c r="H182">
        <v>35699</v>
      </c>
      <c r="I182">
        <v>36152</v>
      </c>
      <c r="J182">
        <v>37407</v>
      </c>
      <c r="K182">
        <v>38456</v>
      </c>
      <c r="L182">
        <v>39568</v>
      </c>
      <c r="M182">
        <v>41405</v>
      </c>
      <c r="N182">
        <v>43149</v>
      </c>
      <c r="O182">
        <v>47256</v>
      </c>
      <c r="P182">
        <v>51544</v>
      </c>
      <c r="Q182">
        <v>51228</v>
      </c>
      <c r="R182">
        <v>53698</v>
      </c>
    </row>
    <row r="183" spans="1:18">
      <c r="A183">
        <v>28140</v>
      </c>
      <c r="B183" t="s">
        <v>489</v>
      </c>
      <c r="C183" t="s">
        <v>1448</v>
      </c>
      <c r="D183" t="s">
        <v>1449</v>
      </c>
      <c r="E183">
        <v>41371</v>
      </c>
      <c r="F183">
        <v>43258</v>
      </c>
      <c r="G183">
        <v>45545</v>
      </c>
      <c r="H183">
        <v>45963</v>
      </c>
      <c r="I183">
        <v>47134</v>
      </c>
      <c r="J183">
        <v>49140</v>
      </c>
      <c r="K183">
        <v>49597</v>
      </c>
      <c r="L183">
        <v>51103</v>
      </c>
      <c r="M183">
        <v>52798</v>
      </c>
      <c r="N183">
        <v>54560</v>
      </c>
      <c r="O183">
        <v>57404</v>
      </c>
      <c r="P183">
        <v>61022</v>
      </c>
      <c r="Q183">
        <v>66272</v>
      </c>
      <c r="R183">
        <v>69865</v>
      </c>
    </row>
    <row r="184" spans="1:18">
      <c r="A184">
        <v>28420</v>
      </c>
      <c r="B184" t="s">
        <v>490</v>
      </c>
      <c r="C184" t="s">
        <v>1448</v>
      </c>
      <c r="D184" t="s">
        <v>1449</v>
      </c>
      <c r="E184">
        <v>37558</v>
      </c>
      <c r="F184">
        <v>38984</v>
      </c>
      <c r="G184">
        <v>37891</v>
      </c>
      <c r="H184">
        <v>37372</v>
      </c>
      <c r="I184">
        <v>38289</v>
      </c>
      <c r="J184">
        <v>40600</v>
      </c>
      <c r="K184">
        <v>41251</v>
      </c>
      <c r="L184">
        <v>41806</v>
      </c>
      <c r="M184">
        <v>42637</v>
      </c>
      <c r="N184">
        <v>45187</v>
      </c>
      <c r="O184">
        <v>48165</v>
      </c>
      <c r="P184">
        <v>52209</v>
      </c>
      <c r="Q184">
        <v>51822</v>
      </c>
      <c r="R184">
        <v>54152</v>
      </c>
    </row>
    <row r="185" spans="1:18">
      <c r="A185">
        <v>28660</v>
      </c>
      <c r="B185" t="s">
        <v>491</v>
      </c>
      <c r="C185" t="s">
        <v>1448</v>
      </c>
      <c r="D185" t="s">
        <v>1449</v>
      </c>
      <c r="E185">
        <v>37987</v>
      </c>
      <c r="F185">
        <v>39487</v>
      </c>
      <c r="G185">
        <v>38724</v>
      </c>
      <c r="H185">
        <v>37750</v>
      </c>
      <c r="I185">
        <v>38443</v>
      </c>
      <c r="J185">
        <v>39533</v>
      </c>
      <c r="K185">
        <v>39355</v>
      </c>
      <c r="L185">
        <v>40744</v>
      </c>
      <c r="M185">
        <v>41167</v>
      </c>
      <c r="N185">
        <v>41850</v>
      </c>
      <c r="O185">
        <v>44762</v>
      </c>
      <c r="P185">
        <v>48293</v>
      </c>
      <c r="Q185">
        <v>47597</v>
      </c>
      <c r="R185">
        <v>50292</v>
      </c>
    </row>
    <row r="186" spans="1:18">
      <c r="A186">
        <v>28700</v>
      </c>
      <c r="B186" t="s">
        <v>492</v>
      </c>
      <c r="C186" t="s">
        <v>1448</v>
      </c>
      <c r="D186" t="s">
        <v>1449</v>
      </c>
      <c r="E186">
        <v>32239</v>
      </c>
      <c r="F186">
        <v>34285</v>
      </c>
      <c r="G186">
        <v>35596</v>
      </c>
      <c r="H186">
        <v>34927</v>
      </c>
      <c r="I186">
        <v>35351</v>
      </c>
      <c r="J186">
        <v>36169</v>
      </c>
      <c r="K186">
        <v>36528</v>
      </c>
      <c r="L186">
        <v>37701</v>
      </c>
      <c r="M186">
        <v>39333</v>
      </c>
      <c r="N186">
        <v>40644</v>
      </c>
      <c r="O186">
        <v>43528</v>
      </c>
      <c r="P186">
        <v>47491</v>
      </c>
      <c r="Q186">
        <v>48387</v>
      </c>
      <c r="R186">
        <v>50922</v>
      </c>
    </row>
    <row r="187" spans="1:18">
      <c r="A187">
        <v>28740</v>
      </c>
      <c r="B187" t="s">
        <v>493</v>
      </c>
      <c r="C187" t="s">
        <v>1448</v>
      </c>
      <c r="D187" t="s">
        <v>1449</v>
      </c>
      <c r="E187">
        <v>38429</v>
      </c>
      <c r="F187">
        <v>39701</v>
      </c>
      <c r="G187">
        <v>40857</v>
      </c>
      <c r="H187">
        <v>41035</v>
      </c>
      <c r="I187">
        <v>42309</v>
      </c>
      <c r="J187">
        <v>43779</v>
      </c>
      <c r="K187">
        <v>45084</v>
      </c>
      <c r="L187">
        <v>47263</v>
      </c>
      <c r="M187">
        <v>48927</v>
      </c>
      <c r="N187">
        <v>53076</v>
      </c>
      <c r="O187">
        <v>57202</v>
      </c>
      <c r="P187">
        <v>61076</v>
      </c>
      <c r="Q187">
        <v>62723</v>
      </c>
      <c r="R187">
        <v>66314</v>
      </c>
    </row>
    <row r="188" spans="1:18">
      <c r="A188">
        <v>28940</v>
      </c>
      <c r="B188" t="s">
        <v>494</v>
      </c>
      <c r="C188" t="s">
        <v>1448</v>
      </c>
      <c r="D188" t="s">
        <v>1449</v>
      </c>
      <c r="E188">
        <v>34890</v>
      </c>
      <c r="F188">
        <v>36817</v>
      </c>
      <c r="G188">
        <v>38436</v>
      </c>
      <c r="H188">
        <v>38226</v>
      </c>
      <c r="I188">
        <v>39462</v>
      </c>
      <c r="J188">
        <v>41134</v>
      </c>
      <c r="K188">
        <v>42139</v>
      </c>
      <c r="L188">
        <v>43539</v>
      </c>
      <c r="M188">
        <v>45883</v>
      </c>
      <c r="N188">
        <v>48423</v>
      </c>
      <c r="O188">
        <v>51757</v>
      </c>
      <c r="P188">
        <v>57581</v>
      </c>
      <c r="Q188">
        <v>58941</v>
      </c>
      <c r="R188">
        <v>62167</v>
      </c>
    </row>
    <row r="189" spans="1:18">
      <c r="A189">
        <v>29020</v>
      </c>
      <c r="B189" t="s">
        <v>495</v>
      </c>
      <c r="C189" t="s">
        <v>1448</v>
      </c>
      <c r="D189" t="s">
        <v>1449</v>
      </c>
      <c r="E189">
        <v>31200</v>
      </c>
      <c r="F189">
        <v>32960</v>
      </c>
      <c r="G189">
        <v>34303</v>
      </c>
      <c r="H189">
        <v>34860</v>
      </c>
      <c r="I189">
        <v>36385</v>
      </c>
      <c r="J189">
        <v>37525</v>
      </c>
      <c r="K189">
        <v>38091</v>
      </c>
      <c r="L189">
        <v>39075</v>
      </c>
      <c r="M189">
        <v>40941</v>
      </c>
      <c r="N189">
        <v>41667</v>
      </c>
      <c r="O189">
        <v>43989</v>
      </c>
      <c r="P189">
        <v>47533</v>
      </c>
      <c r="Q189">
        <v>47992</v>
      </c>
      <c r="R189">
        <v>50368</v>
      </c>
    </row>
    <row r="190" spans="1:18">
      <c r="A190">
        <v>29100</v>
      </c>
      <c r="B190" t="s">
        <v>496</v>
      </c>
      <c r="C190" t="s">
        <v>1448</v>
      </c>
      <c r="D190" t="s">
        <v>1449</v>
      </c>
      <c r="E190">
        <v>37964</v>
      </c>
      <c r="F190">
        <v>39971</v>
      </c>
      <c r="G190">
        <v>41639</v>
      </c>
      <c r="H190">
        <v>41097</v>
      </c>
      <c r="I190">
        <v>43281</v>
      </c>
      <c r="J190">
        <v>44535</v>
      </c>
      <c r="K190">
        <v>45299</v>
      </c>
      <c r="L190">
        <v>46745</v>
      </c>
      <c r="M190">
        <v>48739</v>
      </c>
      <c r="N190">
        <v>50732</v>
      </c>
      <c r="O190">
        <v>54020</v>
      </c>
      <c r="P190">
        <v>59539</v>
      </c>
      <c r="Q190">
        <v>59708</v>
      </c>
      <c r="R190">
        <v>62497</v>
      </c>
    </row>
    <row r="191" spans="1:18">
      <c r="A191">
        <v>29180</v>
      </c>
      <c r="B191" t="s">
        <v>497</v>
      </c>
      <c r="C191" t="s">
        <v>1448</v>
      </c>
      <c r="D191" t="s">
        <v>1449</v>
      </c>
      <c r="E191">
        <v>38935</v>
      </c>
      <c r="F191">
        <v>40324</v>
      </c>
      <c r="G191">
        <v>44062</v>
      </c>
      <c r="H191">
        <v>44206</v>
      </c>
      <c r="I191">
        <v>45467</v>
      </c>
      <c r="J191">
        <v>43148</v>
      </c>
      <c r="K191">
        <v>40788</v>
      </c>
      <c r="L191">
        <v>42246</v>
      </c>
      <c r="M191">
        <v>43997</v>
      </c>
      <c r="N191">
        <v>45017</v>
      </c>
      <c r="O191">
        <v>48583</v>
      </c>
      <c r="P191">
        <v>53637</v>
      </c>
      <c r="Q191">
        <v>54890</v>
      </c>
      <c r="R191">
        <v>57906</v>
      </c>
    </row>
    <row r="192" spans="1:18">
      <c r="A192">
        <v>29200</v>
      </c>
      <c r="B192" t="s">
        <v>498</v>
      </c>
      <c r="C192" t="s">
        <v>1448</v>
      </c>
      <c r="D192" t="s">
        <v>1449</v>
      </c>
      <c r="E192">
        <v>31215</v>
      </c>
      <c r="F192">
        <v>33147</v>
      </c>
      <c r="G192">
        <v>34260</v>
      </c>
      <c r="H192">
        <v>34504</v>
      </c>
      <c r="I192">
        <v>35406</v>
      </c>
      <c r="J192">
        <v>35795</v>
      </c>
      <c r="K192">
        <v>36645</v>
      </c>
      <c r="L192">
        <v>38203</v>
      </c>
      <c r="M192">
        <v>40408</v>
      </c>
      <c r="N192">
        <v>41204</v>
      </c>
      <c r="O192">
        <v>43389</v>
      </c>
      <c r="P192">
        <v>47479</v>
      </c>
      <c r="Q192">
        <v>48480</v>
      </c>
      <c r="R192">
        <v>51180</v>
      </c>
    </row>
    <row r="193" spans="1:18">
      <c r="A193">
        <v>29340</v>
      </c>
      <c r="B193" t="s">
        <v>499</v>
      </c>
      <c r="C193" t="s">
        <v>1448</v>
      </c>
      <c r="D193" t="s">
        <v>1449</v>
      </c>
      <c r="E193">
        <v>34877</v>
      </c>
      <c r="F193">
        <v>36013</v>
      </c>
      <c r="G193">
        <v>37773</v>
      </c>
      <c r="H193">
        <v>37889</v>
      </c>
      <c r="I193">
        <v>40084</v>
      </c>
      <c r="J193">
        <v>42081</v>
      </c>
      <c r="K193">
        <v>42537</v>
      </c>
      <c r="L193">
        <v>44261</v>
      </c>
      <c r="M193">
        <v>45998</v>
      </c>
      <c r="N193">
        <v>45656</v>
      </c>
      <c r="O193">
        <v>47130</v>
      </c>
      <c r="P193">
        <v>51761</v>
      </c>
      <c r="Q193">
        <v>52747</v>
      </c>
      <c r="R193">
        <v>54391</v>
      </c>
    </row>
    <row r="194" spans="1:18">
      <c r="A194">
        <v>29420</v>
      </c>
      <c r="B194" t="s">
        <v>500</v>
      </c>
      <c r="C194" t="s">
        <v>1448</v>
      </c>
      <c r="D194" t="s">
        <v>1449</v>
      </c>
      <c r="E194">
        <v>25864</v>
      </c>
      <c r="F194">
        <v>25875</v>
      </c>
      <c r="G194">
        <v>26327</v>
      </c>
      <c r="H194">
        <v>27154</v>
      </c>
      <c r="I194">
        <v>28558</v>
      </c>
      <c r="J194">
        <v>29410</v>
      </c>
      <c r="K194">
        <v>30598</v>
      </c>
      <c r="L194">
        <v>32260</v>
      </c>
      <c r="M194">
        <v>33657</v>
      </c>
      <c r="N194">
        <v>35477</v>
      </c>
      <c r="O194">
        <v>39023</v>
      </c>
      <c r="P194">
        <v>42978</v>
      </c>
      <c r="Q194">
        <v>43657</v>
      </c>
      <c r="R194">
        <v>46777</v>
      </c>
    </row>
    <row r="195" spans="1:18">
      <c r="A195">
        <v>29460</v>
      </c>
      <c r="B195" t="s">
        <v>501</v>
      </c>
      <c r="C195" t="s">
        <v>1448</v>
      </c>
      <c r="D195" t="s">
        <v>1449</v>
      </c>
      <c r="E195">
        <v>30873</v>
      </c>
      <c r="F195">
        <v>32228</v>
      </c>
      <c r="G195">
        <v>32082</v>
      </c>
      <c r="H195">
        <v>31947</v>
      </c>
      <c r="I195">
        <v>32859</v>
      </c>
      <c r="J195">
        <v>33767</v>
      </c>
      <c r="K195">
        <v>33702</v>
      </c>
      <c r="L195">
        <v>35287</v>
      </c>
      <c r="M195">
        <v>36200</v>
      </c>
      <c r="N195">
        <v>37805</v>
      </c>
      <c r="O195">
        <v>40794</v>
      </c>
      <c r="P195">
        <v>43780</v>
      </c>
      <c r="Q195">
        <v>43103</v>
      </c>
      <c r="R195">
        <v>44430</v>
      </c>
    </row>
    <row r="196" spans="1:18">
      <c r="A196">
        <v>29540</v>
      </c>
      <c r="B196" t="s">
        <v>502</v>
      </c>
      <c r="C196" t="s">
        <v>1448</v>
      </c>
      <c r="D196" t="s">
        <v>1449</v>
      </c>
      <c r="E196">
        <v>38120</v>
      </c>
      <c r="F196">
        <v>39736</v>
      </c>
      <c r="G196">
        <v>40747</v>
      </c>
      <c r="H196">
        <v>41650</v>
      </c>
      <c r="I196">
        <v>43418</v>
      </c>
      <c r="J196">
        <v>45501</v>
      </c>
      <c r="K196">
        <v>46505</v>
      </c>
      <c r="L196">
        <v>48614</v>
      </c>
      <c r="M196">
        <v>51114</v>
      </c>
      <c r="N196">
        <v>53281</v>
      </c>
      <c r="O196">
        <v>57805</v>
      </c>
      <c r="P196">
        <v>61287</v>
      </c>
      <c r="Q196">
        <v>64355</v>
      </c>
      <c r="R196">
        <v>66876</v>
      </c>
    </row>
    <row r="197" spans="1:18">
      <c r="A197">
        <v>29620</v>
      </c>
      <c r="B197" t="s">
        <v>503</v>
      </c>
      <c r="C197" t="s">
        <v>1448</v>
      </c>
      <c r="D197" t="s">
        <v>1449</v>
      </c>
      <c r="E197">
        <v>33269</v>
      </c>
      <c r="F197">
        <v>34188</v>
      </c>
      <c r="G197">
        <v>34631</v>
      </c>
      <c r="H197">
        <v>34880</v>
      </c>
      <c r="I197">
        <v>36099</v>
      </c>
      <c r="J197">
        <v>37578</v>
      </c>
      <c r="K197">
        <v>38709</v>
      </c>
      <c r="L197">
        <v>39815</v>
      </c>
      <c r="M197">
        <v>41334</v>
      </c>
      <c r="N197">
        <v>42871</v>
      </c>
      <c r="O197">
        <v>47112</v>
      </c>
      <c r="P197">
        <v>51789</v>
      </c>
      <c r="Q197">
        <v>51152</v>
      </c>
      <c r="R197">
        <v>53806</v>
      </c>
    </row>
    <row r="198" spans="1:18">
      <c r="A198">
        <v>29700</v>
      </c>
      <c r="B198" t="s">
        <v>504</v>
      </c>
      <c r="C198" t="s">
        <v>1448</v>
      </c>
      <c r="D198" t="s">
        <v>1449</v>
      </c>
      <c r="E198">
        <v>26229</v>
      </c>
      <c r="F198">
        <v>28318</v>
      </c>
      <c r="G198">
        <v>28931</v>
      </c>
      <c r="H198">
        <v>29333</v>
      </c>
      <c r="I198">
        <v>30020</v>
      </c>
      <c r="J198">
        <v>30266</v>
      </c>
      <c r="K198">
        <v>30405</v>
      </c>
      <c r="L198">
        <v>31153</v>
      </c>
      <c r="M198">
        <v>32554</v>
      </c>
      <c r="N198">
        <v>34436</v>
      </c>
      <c r="O198">
        <v>36739</v>
      </c>
      <c r="P198">
        <v>41029</v>
      </c>
      <c r="Q198">
        <v>40674</v>
      </c>
      <c r="R198">
        <v>42757</v>
      </c>
    </row>
    <row r="199" spans="1:18">
      <c r="A199">
        <v>29740</v>
      </c>
      <c r="B199" t="s">
        <v>505</v>
      </c>
      <c r="C199" t="s">
        <v>1448</v>
      </c>
      <c r="D199" t="s">
        <v>1449</v>
      </c>
      <c r="E199">
        <v>30525</v>
      </c>
      <c r="F199">
        <v>31012</v>
      </c>
      <c r="G199">
        <v>31228</v>
      </c>
      <c r="H199">
        <v>30462</v>
      </c>
      <c r="I199">
        <v>31715</v>
      </c>
      <c r="J199">
        <v>33202</v>
      </c>
      <c r="K199">
        <v>34235</v>
      </c>
      <c r="L199">
        <v>34906</v>
      </c>
      <c r="M199">
        <v>35764</v>
      </c>
      <c r="N199">
        <v>37863</v>
      </c>
      <c r="O199">
        <v>40824</v>
      </c>
      <c r="P199">
        <v>45696</v>
      </c>
      <c r="Q199">
        <v>46226</v>
      </c>
      <c r="R199">
        <v>47712</v>
      </c>
    </row>
    <row r="200" spans="1:18">
      <c r="A200">
        <v>29820</v>
      </c>
      <c r="B200" t="s">
        <v>506</v>
      </c>
      <c r="C200" t="s">
        <v>1448</v>
      </c>
      <c r="D200" t="s">
        <v>1449</v>
      </c>
      <c r="E200">
        <v>35707</v>
      </c>
      <c r="F200">
        <v>37028</v>
      </c>
      <c r="G200">
        <v>38923</v>
      </c>
      <c r="H200">
        <v>38479</v>
      </c>
      <c r="I200">
        <v>40388</v>
      </c>
      <c r="J200">
        <v>42829</v>
      </c>
      <c r="K200">
        <v>43621</v>
      </c>
      <c r="L200">
        <v>45547</v>
      </c>
      <c r="M200">
        <v>47466</v>
      </c>
      <c r="N200">
        <v>50415</v>
      </c>
      <c r="O200">
        <v>52642</v>
      </c>
      <c r="P200">
        <v>58224</v>
      </c>
      <c r="Q200">
        <v>60083</v>
      </c>
      <c r="R200">
        <v>63767</v>
      </c>
    </row>
    <row r="201" spans="1:18">
      <c r="A201">
        <v>29940</v>
      </c>
      <c r="B201" t="s">
        <v>507</v>
      </c>
      <c r="C201" t="s">
        <v>1448</v>
      </c>
      <c r="D201" t="s">
        <v>1449</v>
      </c>
      <c r="E201">
        <v>34237</v>
      </c>
      <c r="F201">
        <v>35720</v>
      </c>
      <c r="G201">
        <v>36417</v>
      </c>
      <c r="H201">
        <v>36894</v>
      </c>
      <c r="I201">
        <v>38126</v>
      </c>
      <c r="J201">
        <v>39621</v>
      </c>
      <c r="K201">
        <v>40376</v>
      </c>
      <c r="L201">
        <v>42462</v>
      </c>
      <c r="M201">
        <v>44441</v>
      </c>
      <c r="N201">
        <v>46055</v>
      </c>
      <c r="O201">
        <v>48916</v>
      </c>
      <c r="P201">
        <v>52025</v>
      </c>
      <c r="Q201">
        <v>53670</v>
      </c>
      <c r="R201">
        <v>56846</v>
      </c>
    </row>
    <row r="202" spans="1:18">
      <c r="A202">
        <v>30020</v>
      </c>
      <c r="B202" t="s">
        <v>508</v>
      </c>
      <c r="C202" t="s">
        <v>1448</v>
      </c>
      <c r="D202" t="s">
        <v>1449</v>
      </c>
      <c r="E202">
        <v>36309</v>
      </c>
      <c r="F202">
        <v>37196</v>
      </c>
      <c r="G202">
        <v>36872</v>
      </c>
      <c r="H202">
        <v>37391</v>
      </c>
      <c r="I202">
        <v>38011</v>
      </c>
      <c r="J202">
        <v>38947</v>
      </c>
      <c r="K202">
        <v>39233</v>
      </c>
      <c r="L202">
        <v>40031</v>
      </c>
      <c r="M202">
        <v>41016</v>
      </c>
      <c r="N202">
        <v>42557</v>
      </c>
      <c r="O202">
        <v>45627</v>
      </c>
      <c r="P202">
        <v>48328</v>
      </c>
      <c r="Q202">
        <v>48545</v>
      </c>
      <c r="R202">
        <v>51510</v>
      </c>
    </row>
    <row r="203" spans="1:18">
      <c r="A203">
        <v>30140</v>
      </c>
      <c r="B203" t="s">
        <v>509</v>
      </c>
      <c r="C203" t="s">
        <v>1448</v>
      </c>
      <c r="D203" t="s">
        <v>1449</v>
      </c>
      <c r="E203">
        <v>36943</v>
      </c>
      <c r="F203">
        <v>38225</v>
      </c>
      <c r="G203">
        <v>38722</v>
      </c>
      <c r="H203">
        <v>39003</v>
      </c>
      <c r="I203">
        <v>40244</v>
      </c>
      <c r="J203">
        <v>41829</v>
      </c>
      <c r="K203">
        <v>43121</v>
      </c>
      <c r="L203">
        <v>44768</v>
      </c>
      <c r="M203">
        <v>46481</v>
      </c>
      <c r="N203">
        <v>48224</v>
      </c>
      <c r="O203">
        <v>52210</v>
      </c>
      <c r="P203">
        <v>56065</v>
      </c>
      <c r="Q203">
        <v>56954</v>
      </c>
      <c r="R203">
        <v>58851</v>
      </c>
    </row>
    <row r="204" spans="1:18">
      <c r="A204">
        <v>30300</v>
      </c>
      <c r="B204" t="s">
        <v>510</v>
      </c>
      <c r="C204" t="s">
        <v>1448</v>
      </c>
      <c r="D204" t="s">
        <v>1449</v>
      </c>
      <c r="E204">
        <v>34856</v>
      </c>
      <c r="F204">
        <v>35629</v>
      </c>
      <c r="G204">
        <v>36146</v>
      </c>
      <c r="H204">
        <v>36778</v>
      </c>
      <c r="I204">
        <v>37859</v>
      </c>
      <c r="J204">
        <v>39145</v>
      </c>
      <c r="K204">
        <v>40207</v>
      </c>
      <c r="L204">
        <v>41833</v>
      </c>
      <c r="M204">
        <v>43425</v>
      </c>
      <c r="N204">
        <v>45120</v>
      </c>
      <c r="O204">
        <v>48248</v>
      </c>
      <c r="P204">
        <v>52966</v>
      </c>
      <c r="Q204">
        <v>53944</v>
      </c>
      <c r="R204">
        <v>56797</v>
      </c>
    </row>
    <row r="205" spans="1:18">
      <c r="A205">
        <v>30340</v>
      </c>
      <c r="B205" t="s">
        <v>511</v>
      </c>
      <c r="C205" t="s">
        <v>1448</v>
      </c>
      <c r="D205" t="s">
        <v>1449</v>
      </c>
      <c r="E205">
        <v>34165</v>
      </c>
      <c r="F205">
        <v>34960</v>
      </c>
      <c r="G205">
        <v>35330</v>
      </c>
      <c r="H205">
        <v>34745</v>
      </c>
      <c r="I205">
        <v>35461</v>
      </c>
      <c r="J205">
        <v>37210</v>
      </c>
      <c r="K205">
        <v>37359</v>
      </c>
      <c r="L205">
        <v>38565</v>
      </c>
      <c r="M205">
        <v>39837</v>
      </c>
      <c r="N205">
        <v>41683</v>
      </c>
      <c r="O205">
        <v>46049</v>
      </c>
      <c r="P205">
        <v>48420</v>
      </c>
      <c r="Q205">
        <v>51087</v>
      </c>
      <c r="R205">
        <v>53731</v>
      </c>
    </row>
    <row r="206" spans="1:18">
      <c r="A206">
        <v>30460</v>
      </c>
      <c r="B206" t="s">
        <v>512</v>
      </c>
      <c r="C206" t="s">
        <v>1448</v>
      </c>
      <c r="D206" t="s">
        <v>1449</v>
      </c>
      <c r="E206">
        <v>37224</v>
      </c>
      <c r="F206">
        <v>38933</v>
      </c>
      <c r="G206">
        <v>40205</v>
      </c>
      <c r="H206">
        <v>41020</v>
      </c>
      <c r="I206">
        <v>42540</v>
      </c>
      <c r="J206">
        <v>44251</v>
      </c>
      <c r="K206">
        <v>44849</v>
      </c>
      <c r="L206">
        <v>45980</v>
      </c>
      <c r="M206">
        <v>47493</v>
      </c>
      <c r="N206">
        <v>50044</v>
      </c>
      <c r="O206">
        <v>53343</v>
      </c>
      <c r="P206">
        <v>58031</v>
      </c>
      <c r="Q206">
        <v>59690</v>
      </c>
      <c r="R206">
        <v>63021</v>
      </c>
    </row>
    <row r="207" spans="1:18">
      <c r="A207">
        <v>30620</v>
      </c>
      <c r="B207" t="s">
        <v>513</v>
      </c>
      <c r="C207" t="s">
        <v>1448</v>
      </c>
      <c r="D207" t="s">
        <v>1449</v>
      </c>
      <c r="E207">
        <v>32969</v>
      </c>
      <c r="F207">
        <v>34300</v>
      </c>
      <c r="G207">
        <v>35342</v>
      </c>
      <c r="H207">
        <v>35284</v>
      </c>
      <c r="I207">
        <v>36636</v>
      </c>
      <c r="J207">
        <v>37891</v>
      </c>
      <c r="K207">
        <v>38793</v>
      </c>
      <c r="L207">
        <v>40150</v>
      </c>
      <c r="M207">
        <v>41877</v>
      </c>
      <c r="N207">
        <v>43083</v>
      </c>
      <c r="O207">
        <v>46903</v>
      </c>
      <c r="P207">
        <v>50199</v>
      </c>
      <c r="Q207">
        <v>50956</v>
      </c>
      <c r="R207">
        <v>54010</v>
      </c>
    </row>
    <row r="208" spans="1:18">
      <c r="A208">
        <v>30700</v>
      </c>
      <c r="B208" t="s">
        <v>514</v>
      </c>
      <c r="C208" t="s">
        <v>1448</v>
      </c>
      <c r="D208" t="s">
        <v>1449</v>
      </c>
      <c r="E208">
        <v>38693</v>
      </c>
      <c r="F208">
        <v>40389</v>
      </c>
      <c r="G208">
        <v>42048</v>
      </c>
      <c r="H208">
        <v>41666</v>
      </c>
      <c r="I208">
        <v>42786</v>
      </c>
      <c r="J208">
        <v>44544</v>
      </c>
      <c r="K208">
        <v>44808</v>
      </c>
      <c r="L208">
        <v>46522</v>
      </c>
      <c r="M208">
        <v>48487</v>
      </c>
      <c r="N208">
        <v>50417</v>
      </c>
      <c r="O208">
        <v>53550</v>
      </c>
      <c r="P208">
        <v>59451</v>
      </c>
      <c r="Q208">
        <v>62366</v>
      </c>
      <c r="R208">
        <v>66373</v>
      </c>
    </row>
    <row r="209" spans="1:18">
      <c r="A209">
        <v>30780</v>
      </c>
      <c r="B209" t="s">
        <v>515</v>
      </c>
      <c r="C209" t="s">
        <v>1448</v>
      </c>
      <c r="D209" t="s">
        <v>1449</v>
      </c>
      <c r="E209">
        <v>37332</v>
      </c>
      <c r="F209">
        <v>38639</v>
      </c>
      <c r="G209">
        <v>40594</v>
      </c>
      <c r="H209">
        <v>39748</v>
      </c>
      <c r="I209">
        <v>41082</v>
      </c>
      <c r="J209">
        <v>42283</v>
      </c>
      <c r="K209">
        <v>43156</v>
      </c>
      <c r="L209">
        <v>43870</v>
      </c>
      <c r="M209">
        <v>44948</v>
      </c>
      <c r="N209">
        <v>46726</v>
      </c>
      <c r="O209">
        <v>50915</v>
      </c>
      <c r="P209">
        <v>55386</v>
      </c>
      <c r="Q209">
        <v>56399</v>
      </c>
      <c r="R209">
        <v>59463</v>
      </c>
    </row>
    <row r="210" spans="1:18">
      <c r="A210">
        <v>30860</v>
      </c>
      <c r="B210" t="s">
        <v>516</v>
      </c>
      <c r="C210" t="s">
        <v>1448</v>
      </c>
      <c r="D210" t="s">
        <v>1449</v>
      </c>
      <c r="E210">
        <v>28013</v>
      </c>
      <c r="F210">
        <v>29597</v>
      </c>
      <c r="G210">
        <v>30548</v>
      </c>
      <c r="H210">
        <v>30404</v>
      </c>
      <c r="I210">
        <v>31655</v>
      </c>
      <c r="J210">
        <v>33547</v>
      </c>
      <c r="K210">
        <v>34514</v>
      </c>
      <c r="L210">
        <v>36686</v>
      </c>
      <c r="M210">
        <v>38838</v>
      </c>
      <c r="N210">
        <v>40714</v>
      </c>
      <c r="O210">
        <v>42744</v>
      </c>
      <c r="P210">
        <v>48864</v>
      </c>
      <c r="Q210">
        <v>48563</v>
      </c>
      <c r="R210">
        <v>50139</v>
      </c>
    </row>
    <row r="211" spans="1:18">
      <c r="A211">
        <v>30980</v>
      </c>
      <c r="B211" t="s">
        <v>517</v>
      </c>
      <c r="C211" t="s">
        <v>1448</v>
      </c>
      <c r="D211" t="s">
        <v>1449</v>
      </c>
      <c r="E211">
        <v>37083</v>
      </c>
      <c r="F211">
        <v>40431</v>
      </c>
      <c r="G211">
        <v>40791</v>
      </c>
      <c r="H211">
        <v>40531</v>
      </c>
      <c r="I211">
        <v>42429</v>
      </c>
      <c r="J211">
        <v>40747</v>
      </c>
      <c r="K211">
        <v>39281</v>
      </c>
      <c r="L211">
        <v>40090</v>
      </c>
      <c r="M211">
        <v>42051</v>
      </c>
      <c r="N211">
        <v>43797</v>
      </c>
      <c r="O211">
        <v>46088</v>
      </c>
      <c r="P211">
        <v>49561</v>
      </c>
      <c r="Q211">
        <v>50944</v>
      </c>
      <c r="R211">
        <v>53386</v>
      </c>
    </row>
    <row r="212" spans="1:18">
      <c r="A212">
        <v>31020</v>
      </c>
      <c r="B212" t="s">
        <v>518</v>
      </c>
      <c r="C212" t="s">
        <v>1448</v>
      </c>
      <c r="D212" t="s">
        <v>1449</v>
      </c>
      <c r="E212">
        <v>34867</v>
      </c>
      <c r="F212">
        <v>35289</v>
      </c>
      <c r="G212">
        <v>36819</v>
      </c>
      <c r="H212">
        <v>37310</v>
      </c>
      <c r="I212">
        <v>38808</v>
      </c>
      <c r="J212">
        <v>39857</v>
      </c>
      <c r="K212">
        <v>40632</v>
      </c>
      <c r="L212">
        <v>41683</v>
      </c>
      <c r="M212">
        <v>43277</v>
      </c>
      <c r="N212">
        <v>45831</v>
      </c>
      <c r="O212">
        <v>49692</v>
      </c>
      <c r="P212">
        <v>54090</v>
      </c>
      <c r="Q212">
        <v>55235</v>
      </c>
      <c r="R212">
        <v>57947</v>
      </c>
    </row>
    <row r="213" spans="1:18">
      <c r="A213">
        <v>31080</v>
      </c>
      <c r="B213" t="s">
        <v>519</v>
      </c>
      <c r="C213" t="s">
        <v>1448</v>
      </c>
      <c r="D213" t="s">
        <v>1449</v>
      </c>
      <c r="E213">
        <v>44169</v>
      </c>
      <c r="F213">
        <v>46814</v>
      </c>
      <c r="G213">
        <v>49553</v>
      </c>
      <c r="H213">
        <v>48965</v>
      </c>
      <c r="I213">
        <v>51337</v>
      </c>
      <c r="J213">
        <v>54538</v>
      </c>
      <c r="K213">
        <v>56287</v>
      </c>
      <c r="L213">
        <v>58282</v>
      </c>
      <c r="M213">
        <v>60697</v>
      </c>
      <c r="N213">
        <v>64293</v>
      </c>
      <c r="O213">
        <v>69637</v>
      </c>
      <c r="P213">
        <v>75332</v>
      </c>
      <c r="Q213">
        <v>76760</v>
      </c>
      <c r="R213">
        <v>80898</v>
      </c>
    </row>
    <row r="214" spans="1:18">
      <c r="A214">
        <v>31140</v>
      </c>
      <c r="B214" t="s">
        <v>520</v>
      </c>
      <c r="C214" t="s">
        <v>1448</v>
      </c>
      <c r="D214" t="s">
        <v>1449</v>
      </c>
      <c r="E214">
        <v>37825</v>
      </c>
      <c r="F214">
        <v>39460</v>
      </c>
      <c r="G214">
        <v>41682</v>
      </c>
      <c r="H214">
        <v>40925</v>
      </c>
      <c r="I214">
        <v>42646</v>
      </c>
      <c r="J214">
        <v>44856</v>
      </c>
      <c r="K214">
        <v>45876</v>
      </c>
      <c r="L214">
        <v>47348</v>
      </c>
      <c r="M214">
        <v>49337</v>
      </c>
      <c r="N214">
        <v>51193</v>
      </c>
      <c r="O214">
        <v>54677</v>
      </c>
      <c r="P214">
        <v>60470</v>
      </c>
      <c r="Q214">
        <v>61964</v>
      </c>
      <c r="R214">
        <v>65205</v>
      </c>
    </row>
    <row r="215" spans="1:18">
      <c r="A215">
        <v>31180</v>
      </c>
      <c r="B215" t="s">
        <v>521</v>
      </c>
      <c r="C215" t="s">
        <v>1448</v>
      </c>
      <c r="D215" t="s">
        <v>1449</v>
      </c>
      <c r="E215">
        <v>34192</v>
      </c>
      <c r="F215">
        <v>35238</v>
      </c>
      <c r="G215">
        <v>36967</v>
      </c>
      <c r="H215">
        <v>37977</v>
      </c>
      <c r="I215">
        <v>39014</v>
      </c>
      <c r="J215">
        <v>39588</v>
      </c>
      <c r="K215">
        <v>39943</v>
      </c>
      <c r="L215">
        <v>41015</v>
      </c>
      <c r="M215">
        <v>43145</v>
      </c>
      <c r="N215">
        <v>45080</v>
      </c>
      <c r="O215">
        <v>47462</v>
      </c>
      <c r="P215">
        <v>51366</v>
      </c>
      <c r="Q215">
        <v>52013</v>
      </c>
      <c r="R215">
        <v>54524</v>
      </c>
    </row>
    <row r="216" spans="1:18">
      <c r="A216">
        <v>31340</v>
      </c>
      <c r="B216" t="s">
        <v>522</v>
      </c>
      <c r="C216" t="s">
        <v>1448</v>
      </c>
      <c r="D216" t="s">
        <v>1449</v>
      </c>
      <c r="E216">
        <v>32735</v>
      </c>
      <c r="F216">
        <v>33847</v>
      </c>
      <c r="G216">
        <v>34871</v>
      </c>
      <c r="H216">
        <v>34749</v>
      </c>
      <c r="I216">
        <v>35975</v>
      </c>
      <c r="J216">
        <v>36846</v>
      </c>
      <c r="K216">
        <v>37098</v>
      </c>
      <c r="L216">
        <v>38262</v>
      </c>
      <c r="M216">
        <v>39638</v>
      </c>
      <c r="N216">
        <v>41005</v>
      </c>
      <c r="O216">
        <v>44141</v>
      </c>
      <c r="P216">
        <v>47551</v>
      </c>
      <c r="Q216">
        <v>48695</v>
      </c>
      <c r="R216">
        <v>51243</v>
      </c>
    </row>
    <row r="217" spans="1:18">
      <c r="A217">
        <v>31420</v>
      </c>
      <c r="B217" t="s">
        <v>523</v>
      </c>
      <c r="C217" t="s">
        <v>1448</v>
      </c>
      <c r="D217" t="s">
        <v>1449</v>
      </c>
      <c r="E217">
        <v>32549</v>
      </c>
      <c r="F217">
        <v>34030</v>
      </c>
      <c r="G217">
        <v>33600</v>
      </c>
      <c r="H217">
        <v>33894</v>
      </c>
      <c r="I217">
        <v>35364</v>
      </c>
      <c r="J217">
        <v>36597</v>
      </c>
      <c r="K217">
        <v>37037</v>
      </c>
      <c r="L217">
        <v>38365</v>
      </c>
      <c r="M217">
        <v>39393</v>
      </c>
      <c r="N217">
        <v>40225</v>
      </c>
      <c r="O217">
        <v>43137</v>
      </c>
      <c r="P217">
        <v>47422</v>
      </c>
      <c r="Q217">
        <v>46970</v>
      </c>
      <c r="R217">
        <v>48529</v>
      </c>
    </row>
    <row r="218" spans="1:18">
      <c r="A218">
        <v>31460</v>
      </c>
      <c r="B218" t="s">
        <v>524</v>
      </c>
      <c r="C218" t="s">
        <v>1448</v>
      </c>
      <c r="D218" t="s">
        <v>1449</v>
      </c>
      <c r="E218">
        <v>28121</v>
      </c>
      <c r="F218">
        <v>29341</v>
      </c>
      <c r="G218">
        <v>30904</v>
      </c>
      <c r="H218">
        <v>32072</v>
      </c>
      <c r="I218">
        <v>33801</v>
      </c>
      <c r="J218">
        <v>34323</v>
      </c>
      <c r="K218">
        <v>35931</v>
      </c>
      <c r="L218">
        <v>36871</v>
      </c>
      <c r="M218">
        <v>37414</v>
      </c>
      <c r="N218">
        <v>39026</v>
      </c>
      <c r="O218">
        <v>44026</v>
      </c>
      <c r="P218">
        <v>47871</v>
      </c>
      <c r="Q218">
        <v>45181</v>
      </c>
      <c r="R218">
        <v>46709</v>
      </c>
    </row>
    <row r="219" spans="1:18">
      <c r="A219">
        <v>31540</v>
      </c>
      <c r="B219" t="s">
        <v>525</v>
      </c>
      <c r="C219" t="s">
        <v>1448</v>
      </c>
      <c r="D219" t="s">
        <v>1449</v>
      </c>
      <c r="E219">
        <v>43458</v>
      </c>
      <c r="F219">
        <v>46059</v>
      </c>
      <c r="G219">
        <v>47560</v>
      </c>
      <c r="H219">
        <v>48279</v>
      </c>
      <c r="I219">
        <v>49776</v>
      </c>
      <c r="J219">
        <v>52095</v>
      </c>
      <c r="K219">
        <v>53334</v>
      </c>
      <c r="L219">
        <v>55068</v>
      </c>
      <c r="M219">
        <v>58032</v>
      </c>
      <c r="N219">
        <v>60895</v>
      </c>
      <c r="O219">
        <v>63796</v>
      </c>
      <c r="P219">
        <v>70480</v>
      </c>
      <c r="Q219">
        <v>71900</v>
      </c>
      <c r="R219">
        <v>75862</v>
      </c>
    </row>
    <row r="220" spans="1:18">
      <c r="A220">
        <v>31700</v>
      </c>
      <c r="B220" t="s">
        <v>526</v>
      </c>
      <c r="C220" t="s">
        <v>1448</v>
      </c>
      <c r="D220" t="s">
        <v>1449</v>
      </c>
      <c r="E220">
        <v>47527</v>
      </c>
      <c r="F220">
        <v>49850</v>
      </c>
      <c r="G220">
        <v>51618</v>
      </c>
      <c r="H220">
        <v>51053</v>
      </c>
      <c r="I220">
        <v>52511</v>
      </c>
      <c r="J220">
        <v>54070</v>
      </c>
      <c r="K220">
        <v>55459</v>
      </c>
      <c r="L220">
        <v>57371</v>
      </c>
      <c r="M220">
        <v>59755</v>
      </c>
      <c r="N220">
        <v>62681</v>
      </c>
      <c r="O220">
        <v>65906</v>
      </c>
      <c r="P220">
        <v>74634</v>
      </c>
      <c r="Q220">
        <v>72592</v>
      </c>
      <c r="R220">
        <v>76187</v>
      </c>
    </row>
    <row r="221" spans="1:18">
      <c r="A221">
        <v>31740</v>
      </c>
      <c r="B221" t="s">
        <v>527</v>
      </c>
      <c r="C221" t="s">
        <v>1448</v>
      </c>
      <c r="D221" t="s">
        <v>1449</v>
      </c>
      <c r="E221">
        <v>40267</v>
      </c>
      <c r="F221">
        <v>42101</v>
      </c>
      <c r="G221">
        <v>40768</v>
      </c>
      <c r="H221">
        <v>39910</v>
      </c>
      <c r="I221">
        <v>40918</v>
      </c>
      <c r="J221">
        <v>41339</v>
      </c>
      <c r="K221">
        <v>42155</v>
      </c>
      <c r="L221">
        <v>43456</v>
      </c>
      <c r="M221">
        <v>44146</v>
      </c>
      <c r="N221">
        <v>45651</v>
      </c>
      <c r="O221">
        <v>48305</v>
      </c>
      <c r="P221">
        <v>51890</v>
      </c>
      <c r="Q221">
        <v>53251</v>
      </c>
      <c r="R221">
        <v>56195</v>
      </c>
    </row>
    <row r="222" spans="1:18">
      <c r="A222">
        <v>31860</v>
      </c>
      <c r="B222" t="s">
        <v>528</v>
      </c>
      <c r="C222" t="s">
        <v>1448</v>
      </c>
      <c r="D222" t="s">
        <v>1449</v>
      </c>
      <c r="E222">
        <v>34746</v>
      </c>
      <c r="F222">
        <v>37481</v>
      </c>
      <c r="G222">
        <v>39799</v>
      </c>
      <c r="H222">
        <v>40083</v>
      </c>
      <c r="I222">
        <v>41237</v>
      </c>
      <c r="J222">
        <v>42821</v>
      </c>
      <c r="K222">
        <v>42124</v>
      </c>
      <c r="L222">
        <v>43489</v>
      </c>
      <c r="M222">
        <v>45426</v>
      </c>
      <c r="N222">
        <v>46650</v>
      </c>
      <c r="O222">
        <v>49940</v>
      </c>
      <c r="P222">
        <v>54036</v>
      </c>
      <c r="Q222">
        <v>55745</v>
      </c>
      <c r="R222">
        <v>56825</v>
      </c>
    </row>
    <row r="223" spans="1:18">
      <c r="A223">
        <v>31900</v>
      </c>
      <c r="B223" t="s">
        <v>529</v>
      </c>
      <c r="C223" t="s">
        <v>1448</v>
      </c>
      <c r="D223" t="s">
        <v>1449</v>
      </c>
      <c r="E223">
        <v>30295</v>
      </c>
      <c r="F223">
        <v>31997</v>
      </c>
      <c r="G223">
        <v>32503</v>
      </c>
      <c r="H223">
        <v>32923</v>
      </c>
      <c r="I223">
        <v>34379</v>
      </c>
      <c r="J223">
        <v>35347</v>
      </c>
      <c r="K223">
        <v>35404</v>
      </c>
      <c r="L223">
        <v>36615</v>
      </c>
      <c r="M223">
        <v>37796</v>
      </c>
      <c r="N223">
        <v>39577</v>
      </c>
      <c r="O223">
        <v>43507</v>
      </c>
      <c r="P223">
        <v>45386</v>
      </c>
      <c r="Q223">
        <v>45660</v>
      </c>
      <c r="R223">
        <v>48116</v>
      </c>
    </row>
    <row r="224" spans="1:18">
      <c r="A224">
        <v>32580</v>
      </c>
      <c r="B224" t="s">
        <v>530</v>
      </c>
      <c r="C224" t="s">
        <v>1448</v>
      </c>
      <c r="D224" t="s">
        <v>1449</v>
      </c>
      <c r="E224">
        <v>22215</v>
      </c>
      <c r="F224">
        <v>23014</v>
      </c>
      <c r="G224">
        <v>23324</v>
      </c>
      <c r="H224">
        <v>23918</v>
      </c>
      <c r="I224">
        <v>24561</v>
      </c>
      <c r="J224">
        <v>25133</v>
      </c>
      <c r="K224">
        <v>25307</v>
      </c>
      <c r="L224">
        <v>25794</v>
      </c>
      <c r="M224">
        <v>26823</v>
      </c>
      <c r="N224">
        <v>28103</v>
      </c>
      <c r="O224">
        <v>31101</v>
      </c>
      <c r="P224">
        <v>34807</v>
      </c>
      <c r="Q224">
        <v>32961</v>
      </c>
      <c r="R224">
        <v>34373</v>
      </c>
    </row>
    <row r="225" spans="1:18">
      <c r="A225">
        <v>32780</v>
      </c>
      <c r="B225" t="s">
        <v>531</v>
      </c>
      <c r="C225" t="s">
        <v>1448</v>
      </c>
      <c r="D225" t="s">
        <v>1449</v>
      </c>
      <c r="E225">
        <v>33449</v>
      </c>
      <c r="F225">
        <v>34937</v>
      </c>
      <c r="G225">
        <v>35832</v>
      </c>
      <c r="H225">
        <v>36230</v>
      </c>
      <c r="I225">
        <v>38643</v>
      </c>
      <c r="J225">
        <v>40889</v>
      </c>
      <c r="K225">
        <v>42223</v>
      </c>
      <c r="L225">
        <v>43892</v>
      </c>
      <c r="M225">
        <v>45355</v>
      </c>
      <c r="N225">
        <v>47201</v>
      </c>
      <c r="O225">
        <v>51838</v>
      </c>
      <c r="P225">
        <v>57180</v>
      </c>
      <c r="Q225">
        <v>58570</v>
      </c>
      <c r="R225">
        <v>62541</v>
      </c>
    </row>
    <row r="226" spans="1:18">
      <c r="A226">
        <v>32820</v>
      </c>
      <c r="B226" t="s">
        <v>532</v>
      </c>
      <c r="C226" t="s">
        <v>1448</v>
      </c>
      <c r="D226" t="s">
        <v>1449</v>
      </c>
      <c r="E226">
        <v>37012</v>
      </c>
      <c r="F226">
        <v>38692</v>
      </c>
      <c r="G226">
        <v>40194</v>
      </c>
      <c r="H226">
        <v>40062</v>
      </c>
      <c r="I226">
        <v>40888</v>
      </c>
      <c r="J226">
        <v>42206</v>
      </c>
      <c r="K226">
        <v>43143</v>
      </c>
      <c r="L226">
        <v>44557</v>
      </c>
      <c r="M226">
        <v>46218</v>
      </c>
      <c r="N226">
        <v>48269</v>
      </c>
      <c r="O226">
        <v>51329</v>
      </c>
      <c r="P226">
        <v>56910</v>
      </c>
      <c r="Q226">
        <v>57193</v>
      </c>
      <c r="R226">
        <v>60083</v>
      </c>
    </row>
    <row r="227" spans="1:18">
      <c r="A227">
        <v>32900</v>
      </c>
      <c r="B227" t="s">
        <v>533</v>
      </c>
      <c r="C227" t="s">
        <v>1448</v>
      </c>
      <c r="D227" t="s">
        <v>1449</v>
      </c>
      <c r="E227">
        <v>27985</v>
      </c>
      <c r="F227">
        <v>29817</v>
      </c>
      <c r="G227">
        <v>30248</v>
      </c>
      <c r="H227">
        <v>31492</v>
      </c>
      <c r="I227">
        <v>34240</v>
      </c>
      <c r="J227">
        <v>35167</v>
      </c>
      <c r="K227">
        <v>35626</v>
      </c>
      <c r="L227">
        <v>36405</v>
      </c>
      <c r="M227">
        <v>36820</v>
      </c>
      <c r="N227">
        <v>38416</v>
      </c>
      <c r="O227">
        <v>44087</v>
      </c>
      <c r="P227">
        <v>47854</v>
      </c>
      <c r="Q227">
        <v>45918</v>
      </c>
      <c r="R227">
        <v>46654</v>
      </c>
    </row>
    <row r="228" spans="1:18">
      <c r="A228">
        <v>33100</v>
      </c>
      <c r="B228" t="s">
        <v>534</v>
      </c>
      <c r="C228" t="s">
        <v>1448</v>
      </c>
      <c r="D228" t="s">
        <v>1449</v>
      </c>
      <c r="E228">
        <v>43094</v>
      </c>
      <c r="F228">
        <v>44589</v>
      </c>
      <c r="G228">
        <v>45960</v>
      </c>
      <c r="H228">
        <v>44967</v>
      </c>
      <c r="I228">
        <v>47844</v>
      </c>
      <c r="J228">
        <v>50764</v>
      </c>
      <c r="K228">
        <v>51091</v>
      </c>
      <c r="L228">
        <v>55246</v>
      </c>
      <c r="M228">
        <v>59197</v>
      </c>
      <c r="N228">
        <v>62444</v>
      </c>
      <c r="O228">
        <v>64957</v>
      </c>
      <c r="P228">
        <v>73220</v>
      </c>
      <c r="Q228">
        <v>78610</v>
      </c>
      <c r="R228">
        <v>84302</v>
      </c>
    </row>
    <row r="229" spans="1:18">
      <c r="A229">
        <v>33140</v>
      </c>
      <c r="B229" t="s">
        <v>535</v>
      </c>
      <c r="C229" t="s">
        <v>1448</v>
      </c>
      <c r="D229" t="s">
        <v>1449</v>
      </c>
      <c r="E229">
        <v>32037</v>
      </c>
      <c r="F229">
        <v>34033</v>
      </c>
      <c r="G229">
        <v>35686</v>
      </c>
      <c r="H229">
        <v>35871</v>
      </c>
      <c r="I229">
        <v>36412</v>
      </c>
      <c r="J229">
        <v>37193</v>
      </c>
      <c r="K229">
        <v>38349</v>
      </c>
      <c r="L229">
        <v>39566</v>
      </c>
      <c r="M229">
        <v>41080</v>
      </c>
      <c r="N229">
        <v>41880</v>
      </c>
      <c r="O229">
        <v>45370</v>
      </c>
      <c r="P229">
        <v>49173</v>
      </c>
      <c r="Q229">
        <v>50903</v>
      </c>
      <c r="R229">
        <v>53144</v>
      </c>
    </row>
    <row r="230" spans="1:18">
      <c r="A230">
        <v>33220</v>
      </c>
      <c r="B230" t="s">
        <v>536</v>
      </c>
      <c r="C230" t="s">
        <v>1448</v>
      </c>
      <c r="D230" t="s">
        <v>1449</v>
      </c>
      <c r="E230">
        <v>42939</v>
      </c>
      <c r="F230">
        <v>45772</v>
      </c>
      <c r="G230">
        <v>46758</v>
      </c>
      <c r="H230">
        <v>46128</v>
      </c>
      <c r="I230">
        <v>49037</v>
      </c>
      <c r="J230">
        <v>41387</v>
      </c>
      <c r="K230">
        <v>50967</v>
      </c>
      <c r="L230">
        <v>57210</v>
      </c>
      <c r="M230">
        <v>52997</v>
      </c>
      <c r="N230">
        <v>54119</v>
      </c>
      <c r="O230">
        <v>57467</v>
      </c>
      <c r="P230">
        <v>60417</v>
      </c>
      <c r="Q230">
        <v>60467</v>
      </c>
      <c r="R230">
        <v>64106</v>
      </c>
    </row>
    <row r="231" spans="1:18">
      <c r="A231">
        <v>33260</v>
      </c>
      <c r="B231" t="s">
        <v>537</v>
      </c>
      <c r="C231" t="s">
        <v>1448</v>
      </c>
      <c r="D231" t="s">
        <v>1449</v>
      </c>
      <c r="E231">
        <v>74245</v>
      </c>
      <c r="F231">
        <v>100205</v>
      </c>
      <c r="G231">
        <v>109357</v>
      </c>
      <c r="H231">
        <v>114219</v>
      </c>
      <c r="I231">
        <v>120911</v>
      </c>
      <c r="J231">
        <v>89944</v>
      </c>
      <c r="K231">
        <v>75304</v>
      </c>
      <c r="L231">
        <v>109043</v>
      </c>
      <c r="M231">
        <v>130526</v>
      </c>
      <c r="N231">
        <v>134652</v>
      </c>
      <c r="O231">
        <v>102476</v>
      </c>
      <c r="P231">
        <v>119423</v>
      </c>
      <c r="Q231">
        <v>144331</v>
      </c>
      <c r="R231">
        <v>143469</v>
      </c>
    </row>
    <row r="232" spans="1:18">
      <c r="A232">
        <v>33340</v>
      </c>
      <c r="B232" t="s">
        <v>538</v>
      </c>
      <c r="C232" t="s">
        <v>1448</v>
      </c>
      <c r="D232" t="s">
        <v>1449</v>
      </c>
      <c r="E232">
        <v>43647</v>
      </c>
      <c r="F232">
        <v>45838</v>
      </c>
      <c r="G232">
        <v>47634</v>
      </c>
      <c r="H232">
        <v>47264</v>
      </c>
      <c r="I232">
        <v>48627</v>
      </c>
      <c r="J232">
        <v>50685</v>
      </c>
      <c r="K232">
        <v>51560</v>
      </c>
      <c r="L232">
        <v>53341</v>
      </c>
      <c r="M232">
        <v>55900</v>
      </c>
      <c r="N232">
        <v>57580</v>
      </c>
      <c r="O232">
        <v>60639</v>
      </c>
      <c r="P232">
        <v>66546</v>
      </c>
      <c r="Q232">
        <v>68735</v>
      </c>
      <c r="R232">
        <v>72316</v>
      </c>
    </row>
    <row r="233" spans="1:18">
      <c r="A233">
        <v>33460</v>
      </c>
      <c r="B233" t="s">
        <v>539</v>
      </c>
      <c r="C233" t="s">
        <v>1448</v>
      </c>
      <c r="D233" t="s">
        <v>1449</v>
      </c>
      <c r="E233">
        <v>46226</v>
      </c>
      <c r="F233">
        <v>48947</v>
      </c>
      <c r="G233">
        <v>51247</v>
      </c>
      <c r="H233">
        <v>51251</v>
      </c>
      <c r="I233">
        <v>53784</v>
      </c>
      <c r="J233">
        <v>56085</v>
      </c>
      <c r="K233">
        <v>57172</v>
      </c>
      <c r="L233">
        <v>59132</v>
      </c>
      <c r="M233">
        <v>61785</v>
      </c>
      <c r="N233">
        <v>63815</v>
      </c>
      <c r="O233">
        <v>66526</v>
      </c>
      <c r="P233">
        <v>73203</v>
      </c>
      <c r="Q233">
        <v>76155</v>
      </c>
      <c r="R233">
        <v>79654</v>
      </c>
    </row>
    <row r="234" spans="1:18">
      <c r="A234">
        <v>33540</v>
      </c>
      <c r="B234" t="s">
        <v>540</v>
      </c>
      <c r="C234" t="s">
        <v>1448</v>
      </c>
      <c r="D234" t="s">
        <v>1449</v>
      </c>
      <c r="E234">
        <v>34911</v>
      </c>
      <c r="F234">
        <v>37086</v>
      </c>
      <c r="G234">
        <v>39341</v>
      </c>
      <c r="H234">
        <v>38945</v>
      </c>
      <c r="I234">
        <v>41504</v>
      </c>
      <c r="J234">
        <v>45391</v>
      </c>
      <c r="K234">
        <v>45217</v>
      </c>
      <c r="L234">
        <v>48532</v>
      </c>
      <c r="M234">
        <v>49960</v>
      </c>
      <c r="N234">
        <v>53100</v>
      </c>
      <c r="O234">
        <v>57753</v>
      </c>
      <c r="P234">
        <v>62167</v>
      </c>
      <c r="Q234">
        <v>64137</v>
      </c>
      <c r="R234">
        <v>68344</v>
      </c>
    </row>
    <row r="235" spans="1:18">
      <c r="A235">
        <v>33660</v>
      </c>
      <c r="B235" t="s">
        <v>541</v>
      </c>
      <c r="C235" t="s">
        <v>1448</v>
      </c>
      <c r="D235" t="s">
        <v>1449</v>
      </c>
      <c r="E235">
        <v>31780</v>
      </c>
      <c r="F235">
        <v>33537</v>
      </c>
      <c r="G235">
        <v>33198</v>
      </c>
      <c r="H235">
        <v>33615</v>
      </c>
      <c r="I235">
        <v>34353</v>
      </c>
      <c r="J235">
        <v>35705</v>
      </c>
      <c r="K235">
        <v>35903</v>
      </c>
      <c r="L235">
        <v>36649</v>
      </c>
      <c r="M235">
        <v>37803</v>
      </c>
      <c r="N235">
        <v>39261</v>
      </c>
      <c r="O235">
        <v>42501</v>
      </c>
      <c r="P235">
        <v>47551</v>
      </c>
      <c r="Q235">
        <v>48316</v>
      </c>
      <c r="R235">
        <v>50384</v>
      </c>
    </row>
    <row r="236" spans="1:18">
      <c r="A236">
        <v>33700</v>
      </c>
      <c r="B236" t="s">
        <v>542</v>
      </c>
      <c r="C236" t="s">
        <v>1448</v>
      </c>
      <c r="D236" t="s">
        <v>1449</v>
      </c>
      <c r="E236">
        <v>31909</v>
      </c>
      <c r="F236">
        <v>32860</v>
      </c>
      <c r="G236">
        <v>33794</v>
      </c>
      <c r="H236">
        <v>34382</v>
      </c>
      <c r="I236">
        <v>36753</v>
      </c>
      <c r="J236">
        <v>39006</v>
      </c>
      <c r="K236">
        <v>39780</v>
      </c>
      <c r="L236">
        <v>40592</v>
      </c>
      <c r="M236">
        <v>41452</v>
      </c>
      <c r="N236">
        <v>43435</v>
      </c>
      <c r="O236">
        <v>48654</v>
      </c>
      <c r="P236">
        <v>52389</v>
      </c>
      <c r="Q236">
        <v>51092</v>
      </c>
      <c r="R236">
        <v>53058</v>
      </c>
    </row>
    <row r="237" spans="1:18">
      <c r="A237">
        <v>33740</v>
      </c>
      <c r="B237" t="s">
        <v>543</v>
      </c>
      <c r="C237" t="s">
        <v>1448</v>
      </c>
      <c r="D237" t="s">
        <v>1449</v>
      </c>
      <c r="E237">
        <v>32600</v>
      </c>
      <c r="F237">
        <v>33737</v>
      </c>
      <c r="G237">
        <v>34354</v>
      </c>
      <c r="H237">
        <v>34778</v>
      </c>
      <c r="I237">
        <v>34534</v>
      </c>
      <c r="J237">
        <v>35581</v>
      </c>
      <c r="K237">
        <v>36468</v>
      </c>
      <c r="L237">
        <v>37260</v>
      </c>
      <c r="M237">
        <v>38904</v>
      </c>
      <c r="N237">
        <v>39401</v>
      </c>
      <c r="O237">
        <v>43229</v>
      </c>
      <c r="P237">
        <v>46570</v>
      </c>
      <c r="Q237">
        <v>46926</v>
      </c>
      <c r="R237">
        <v>49272</v>
      </c>
    </row>
    <row r="238" spans="1:18">
      <c r="A238">
        <v>33780</v>
      </c>
      <c r="B238" t="s">
        <v>544</v>
      </c>
      <c r="C238" t="s">
        <v>1448</v>
      </c>
      <c r="D238" t="s">
        <v>1449</v>
      </c>
      <c r="E238">
        <v>34665</v>
      </c>
      <c r="F238">
        <v>36479</v>
      </c>
      <c r="G238">
        <v>37565</v>
      </c>
      <c r="H238">
        <v>37948</v>
      </c>
      <c r="I238">
        <v>39568</v>
      </c>
      <c r="J238">
        <v>41873</v>
      </c>
      <c r="K238">
        <v>42785</v>
      </c>
      <c r="L238">
        <v>44470</v>
      </c>
      <c r="M238">
        <v>46013</v>
      </c>
      <c r="N238">
        <v>47340</v>
      </c>
      <c r="O238">
        <v>49899</v>
      </c>
      <c r="P238">
        <v>52860</v>
      </c>
      <c r="Q238">
        <v>56960</v>
      </c>
      <c r="R238">
        <v>59956</v>
      </c>
    </row>
    <row r="239" spans="1:18">
      <c r="A239">
        <v>33860</v>
      </c>
      <c r="B239" t="s">
        <v>545</v>
      </c>
      <c r="C239" t="s">
        <v>1448</v>
      </c>
      <c r="D239" t="s">
        <v>1449</v>
      </c>
      <c r="E239">
        <v>34928</v>
      </c>
      <c r="F239">
        <v>36205</v>
      </c>
      <c r="G239">
        <v>36370</v>
      </c>
      <c r="H239">
        <v>36508</v>
      </c>
      <c r="I239">
        <v>37369</v>
      </c>
      <c r="J239">
        <v>38885</v>
      </c>
      <c r="K239">
        <v>39809</v>
      </c>
      <c r="L239">
        <v>40753</v>
      </c>
      <c r="M239">
        <v>41611</v>
      </c>
      <c r="N239">
        <v>42720</v>
      </c>
      <c r="O239">
        <v>45501</v>
      </c>
      <c r="P239">
        <v>49259</v>
      </c>
      <c r="Q239">
        <v>50135</v>
      </c>
      <c r="R239">
        <v>53266</v>
      </c>
    </row>
    <row r="240" spans="1:18">
      <c r="A240">
        <v>34060</v>
      </c>
      <c r="B240" t="s">
        <v>546</v>
      </c>
      <c r="C240" t="s">
        <v>1448</v>
      </c>
      <c r="D240" t="s">
        <v>1449</v>
      </c>
      <c r="E240">
        <v>35016</v>
      </c>
      <c r="F240">
        <v>36349</v>
      </c>
      <c r="G240">
        <v>36607</v>
      </c>
      <c r="H240">
        <v>36913</v>
      </c>
      <c r="I240">
        <v>38319</v>
      </c>
      <c r="J240">
        <v>40015</v>
      </c>
      <c r="K240">
        <v>39478</v>
      </c>
      <c r="L240">
        <v>41325</v>
      </c>
      <c r="M240">
        <v>43521</v>
      </c>
      <c r="N240">
        <v>44787</v>
      </c>
      <c r="O240">
        <v>46888</v>
      </c>
      <c r="P240">
        <v>50575</v>
      </c>
      <c r="Q240">
        <v>52306</v>
      </c>
      <c r="R240">
        <v>55012</v>
      </c>
    </row>
    <row r="241" spans="1:18">
      <c r="A241">
        <v>34100</v>
      </c>
      <c r="B241" t="s">
        <v>547</v>
      </c>
      <c r="C241" t="s">
        <v>1448</v>
      </c>
      <c r="D241" t="s">
        <v>1449</v>
      </c>
      <c r="E241">
        <v>28273</v>
      </c>
      <c r="F241">
        <v>30043</v>
      </c>
      <c r="G241">
        <v>30480</v>
      </c>
      <c r="H241">
        <v>30751</v>
      </c>
      <c r="I241">
        <v>31668</v>
      </c>
      <c r="J241">
        <v>33151</v>
      </c>
      <c r="K241">
        <v>33600</v>
      </c>
      <c r="L241">
        <v>34719</v>
      </c>
      <c r="M241">
        <v>36342</v>
      </c>
      <c r="N241">
        <v>37938</v>
      </c>
      <c r="O241">
        <v>40678</v>
      </c>
      <c r="P241">
        <v>45865</v>
      </c>
      <c r="Q241">
        <v>46346</v>
      </c>
      <c r="R241">
        <v>48618</v>
      </c>
    </row>
    <row r="242" spans="1:18">
      <c r="A242">
        <v>34580</v>
      </c>
      <c r="B242" t="s">
        <v>548</v>
      </c>
      <c r="C242" t="s">
        <v>1448</v>
      </c>
      <c r="D242" t="s">
        <v>1449</v>
      </c>
      <c r="E242">
        <v>38073</v>
      </c>
      <c r="F242">
        <v>39731</v>
      </c>
      <c r="G242">
        <v>41822</v>
      </c>
      <c r="H242">
        <v>42260</v>
      </c>
      <c r="I242">
        <v>43438</v>
      </c>
      <c r="J242">
        <v>45232</v>
      </c>
      <c r="K242">
        <v>46699</v>
      </c>
      <c r="L242">
        <v>48668</v>
      </c>
      <c r="M242">
        <v>50675</v>
      </c>
      <c r="N242">
        <v>54045</v>
      </c>
      <c r="O242">
        <v>58402</v>
      </c>
      <c r="P242">
        <v>61889</v>
      </c>
      <c r="Q242">
        <v>62938</v>
      </c>
      <c r="R242">
        <v>67173</v>
      </c>
    </row>
    <row r="243" spans="1:18">
      <c r="A243">
        <v>34620</v>
      </c>
      <c r="B243" t="s">
        <v>549</v>
      </c>
      <c r="C243" t="s">
        <v>1448</v>
      </c>
      <c r="D243" t="s">
        <v>1449</v>
      </c>
      <c r="E243">
        <v>28154</v>
      </c>
      <c r="F243">
        <v>29481</v>
      </c>
      <c r="G243">
        <v>30881</v>
      </c>
      <c r="H243">
        <v>31393</v>
      </c>
      <c r="I243">
        <v>32570</v>
      </c>
      <c r="J243">
        <v>33696</v>
      </c>
      <c r="K243">
        <v>34344</v>
      </c>
      <c r="L243">
        <v>35617</v>
      </c>
      <c r="M243">
        <v>36851</v>
      </c>
      <c r="N243">
        <v>38572</v>
      </c>
      <c r="O243">
        <v>41937</v>
      </c>
      <c r="P243">
        <v>45152</v>
      </c>
      <c r="Q243">
        <v>45910</v>
      </c>
      <c r="R243">
        <v>47629</v>
      </c>
    </row>
    <row r="244" spans="1:18">
      <c r="A244">
        <v>34740</v>
      </c>
      <c r="B244" t="s">
        <v>550</v>
      </c>
      <c r="C244" t="s">
        <v>1448</v>
      </c>
      <c r="D244" t="s">
        <v>1449</v>
      </c>
      <c r="E244">
        <v>29052</v>
      </c>
      <c r="F244">
        <v>30834</v>
      </c>
      <c r="G244">
        <v>31753</v>
      </c>
      <c r="H244">
        <v>31684</v>
      </c>
      <c r="I244">
        <v>33269</v>
      </c>
      <c r="J244">
        <v>34747</v>
      </c>
      <c r="K244">
        <v>35355</v>
      </c>
      <c r="L244">
        <v>36360</v>
      </c>
      <c r="M244">
        <v>37621</v>
      </c>
      <c r="N244">
        <v>39247</v>
      </c>
      <c r="O244">
        <v>44329</v>
      </c>
      <c r="P244">
        <v>46526</v>
      </c>
      <c r="Q244">
        <v>47460</v>
      </c>
      <c r="R244">
        <v>49244</v>
      </c>
    </row>
    <row r="245" spans="1:18">
      <c r="A245">
        <v>34820</v>
      </c>
      <c r="B245" t="s">
        <v>551</v>
      </c>
      <c r="C245" t="s">
        <v>1448</v>
      </c>
      <c r="D245" t="s">
        <v>1449</v>
      </c>
      <c r="E245">
        <v>30519</v>
      </c>
      <c r="F245">
        <v>31499</v>
      </c>
      <c r="G245">
        <v>32433</v>
      </c>
      <c r="H245">
        <v>33208</v>
      </c>
      <c r="I245">
        <v>34788</v>
      </c>
      <c r="J245">
        <v>36645</v>
      </c>
      <c r="K245">
        <v>38109</v>
      </c>
      <c r="L245">
        <v>39364</v>
      </c>
      <c r="M245">
        <v>40941</v>
      </c>
      <c r="N245">
        <v>43346</v>
      </c>
      <c r="O245">
        <v>46927</v>
      </c>
      <c r="P245">
        <v>50624</v>
      </c>
      <c r="Q245">
        <v>51334</v>
      </c>
      <c r="R245">
        <v>54210</v>
      </c>
    </row>
    <row r="246" spans="1:18">
      <c r="A246">
        <v>34900</v>
      </c>
      <c r="B246" t="s">
        <v>552</v>
      </c>
      <c r="C246" t="s">
        <v>1448</v>
      </c>
      <c r="D246" t="s">
        <v>1449</v>
      </c>
      <c r="E246">
        <v>46720</v>
      </c>
      <c r="F246">
        <v>48198</v>
      </c>
      <c r="G246">
        <v>52821</v>
      </c>
      <c r="H246">
        <v>54298</v>
      </c>
      <c r="I246">
        <v>58241</v>
      </c>
      <c r="J246">
        <v>62781</v>
      </c>
      <c r="K246">
        <v>66405</v>
      </c>
      <c r="L246">
        <v>68063</v>
      </c>
      <c r="M246">
        <v>69010</v>
      </c>
      <c r="N246">
        <v>73267</v>
      </c>
      <c r="O246">
        <v>82962</v>
      </c>
      <c r="P246">
        <v>87015</v>
      </c>
      <c r="Q246">
        <v>89219</v>
      </c>
      <c r="R246">
        <v>94973</v>
      </c>
    </row>
    <row r="247" spans="1:18">
      <c r="A247">
        <v>34940</v>
      </c>
      <c r="B247" t="s">
        <v>553</v>
      </c>
      <c r="C247" t="s">
        <v>1448</v>
      </c>
      <c r="D247" t="s">
        <v>1449</v>
      </c>
      <c r="E247">
        <v>63015</v>
      </c>
      <c r="F247">
        <v>65193</v>
      </c>
      <c r="G247">
        <v>72049</v>
      </c>
      <c r="H247">
        <v>69561</v>
      </c>
      <c r="I247">
        <v>76843</v>
      </c>
      <c r="J247">
        <v>82935</v>
      </c>
      <c r="K247">
        <v>85250</v>
      </c>
      <c r="L247">
        <v>91778</v>
      </c>
      <c r="M247">
        <v>101957</v>
      </c>
      <c r="N247">
        <v>106526</v>
      </c>
      <c r="O247">
        <v>109870</v>
      </c>
      <c r="P247">
        <v>121237</v>
      </c>
      <c r="Q247">
        <v>125249</v>
      </c>
      <c r="R247">
        <v>134527</v>
      </c>
    </row>
    <row r="248" spans="1:18">
      <c r="A248">
        <v>34980</v>
      </c>
      <c r="B248" t="s">
        <v>554</v>
      </c>
      <c r="C248" t="s">
        <v>1448</v>
      </c>
      <c r="D248" t="s">
        <v>1449</v>
      </c>
      <c r="E248">
        <v>42071</v>
      </c>
      <c r="F248">
        <v>44180</v>
      </c>
      <c r="G248">
        <v>46062</v>
      </c>
      <c r="H248">
        <v>46077</v>
      </c>
      <c r="I248">
        <v>48169</v>
      </c>
      <c r="J248">
        <v>50712</v>
      </c>
      <c r="K248">
        <v>52406</v>
      </c>
      <c r="L248">
        <v>54263</v>
      </c>
      <c r="M248">
        <v>57340</v>
      </c>
      <c r="N248">
        <v>60678</v>
      </c>
      <c r="O248">
        <v>63959</v>
      </c>
      <c r="P248">
        <v>71439</v>
      </c>
      <c r="Q248">
        <v>75477</v>
      </c>
      <c r="R248">
        <v>79453</v>
      </c>
    </row>
    <row r="249" spans="1:18">
      <c r="A249">
        <v>35100</v>
      </c>
      <c r="B249" t="s">
        <v>555</v>
      </c>
      <c r="C249" t="s">
        <v>1448</v>
      </c>
      <c r="D249" t="s">
        <v>1449</v>
      </c>
      <c r="E249">
        <v>36257</v>
      </c>
      <c r="F249">
        <v>37076</v>
      </c>
      <c r="G249">
        <v>38167</v>
      </c>
      <c r="H249">
        <v>37745</v>
      </c>
      <c r="I249">
        <v>38972</v>
      </c>
      <c r="J249">
        <v>40236</v>
      </c>
      <c r="K249">
        <v>40811</v>
      </c>
      <c r="L249">
        <v>41670</v>
      </c>
      <c r="M249">
        <v>42913</v>
      </c>
      <c r="N249">
        <v>45759</v>
      </c>
      <c r="O249">
        <v>49346</v>
      </c>
      <c r="P249">
        <v>53592</v>
      </c>
      <c r="Q249">
        <v>54318</v>
      </c>
      <c r="R249">
        <v>57334</v>
      </c>
    </row>
    <row r="250" spans="1:18">
      <c r="A250">
        <v>35300</v>
      </c>
      <c r="B250" t="s">
        <v>556</v>
      </c>
      <c r="C250" t="s">
        <v>1448</v>
      </c>
      <c r="D250" t="s">
        <v>1449</v>
      </c>
      <c r="E250">
        <v>44296</v>
      </c>
      <c r="F250">
        <v>45947</v>
      </c>
      <c r="G250">
        <v>46896</v>
      </c>
      <c r="H250">
        <v>47193</v>
      </c>
      <c r="I250">
        <v>48555</v>
      </c>
      <c r="J250">
        <v>50082</v>
      </c>
      <c r="K250">
        <v>50725</v>
      </c>
      <c r="L250">
        <v>51504</v>
      </c>
      <c r="M250">
        <v>53729</v>
      </c>
      <c r="N250">
        <v>56443</v>
      </c>
      <c r="O250">
        <v>59957</v>
      </c>
      <c r="P250">
        <v>64206</v>
      </c>
      <c r="Q250">
        <v>64998</v>
      </c>
      <c r="R250">
        <v>68387</v>
      </c>
    </row>
    <row r="251" spans="1:18">
      <c r="A251">
        <v>35380</v>
      </c>
      <c r="B251" t="s">
        <v>557</v>
      </c>
      <c r="C251" t="s">
        <v>1448</v>
      </c>
      <c r="D251" t="s">
        <v>1449</v>
      </c>
      <c r="E251">
        <v>42926</v>
      </c>
      <c r="F251">
        <v>42745</v>
      </c>
      <c r="G251">
        <v>45023</v>
      </c>
      <c r="H251">
        <v>45251</v>
      </c>
      <c r="I251">
        <v>48305</v>
      </c>
      <c r="J251">
        <v>48248</v>
      </c>
      <c r="K251">
        <v>47719</v>
      </c>
      <c r="L251">
        <v>49461</v>
      </c>
      <c r="M251">
        <v>51880</v>
      </c>
      <c r="N251">
        <v>54102</v>
      </c>
      <c r="O251">
        <v>56378</v>
      </c>
      <c r="P251">
        <v>62890</v>
      </c>
      <c r="Q251">
        <v>62881</v>
      </c>
      <c r="R251">
        <v>66588</v>
      </c>
    </row>
    <row r="252" spans="1:18">
      <c r="A252">
        <v>35620</v>
      </c>
      <c r="B252" t="s">
        <v>558</v>
      </c>
      <c r="C252" t="s">
        <v>1448</v>
      </c>
      <c r="D252" t="s">
        <v>1449</v>
      </c>
      <c r="E252">
        <v>54062</v>
      </c>
      <c r="F252">
        <v>56455</v>
      </c>
      <c r="G252">
        <v>58446</v>
      </c>
      <c r="H252">
        <v>58611</v>
      </c>
      <c r="I252">
        <v>60631</v>
      </c>
      <c r="J252">
        <v>62877</v>
      </c>
      <c r="K252">
        <v>64886</v>
      </c>
      <c r="L252">
        <v>68621</v>
      </c>
      <c r="M252">
        <v>71172</v>
      </c>
      <c r="N252">
        <v>73841</v>
      </c>
      <c r="O252">
        <v>77174</v>
      </c>
      <c r="P252">
        <v>83995</v>
      </c>
      <c r="Q252">
        <v>86058</v>
      </c>
      <c r="R252">
        <v>91448</v>
      </c>
    </row>
    <row r="253" spans="1:18">
      <c r="A253">
        <v>35660</v>
      </c>
      <c r="B253" t="s">
        <v>559</v>
      </c>
      <c r="C253" t="s">
        <v>1448</v>
      </c>
      <c r="D253" t="s">
        <v>1449</v>
      </c>
      <c r="E253">
        <v>36265</v>
      </c>
      <c r="F253">
        <v>37661</v>
      </c>
      <c r="G253">
        <v>37633</v>
      </c>
      <c r="H253">
        <v>38221</v>
      </c>
      <c r="I253">
        <v>39751</v>
      </c>
      <c r="J253">
        <v>42297</v>
      </c>
      <c r="K253">
        <v>43671</v>
      </c>
      <c r="L253">
        <v>44636</v>
      </c>
      <c r="M253">
        <v>46881</v>
      </c>
      <c r="N253">
        <v>49239</v>
      </c>
      <c r="O253">
        <v>53954</v>
      </c>
      <c r="P253">
        <v>60474</v>
      </c>
      <c r="Q253">
        <v>60359</v>
      </c>
      <c r="R253">
        <v>61127</v>
      </c>
    </row>
    <row r="254" spans="1:18">
      <c r="A254">
        <v>35840</v>
      </c>
      <c r="B254" t="s">
        <v>560</v>
      </c>
      <c r="C254" t="s">
        <v>1448</v>
      </c>
      <c r="D254" t="s">
        <v>1449</v>
      </c>
      <c r="E254">
        <v>42177</v>
      </c>
      <c r="F254">
        <v>44458</v>
      </c>
      <c r="G254">
        <v>44705</v>
      </c>
      <c r="H254">
        <v>45228</v>
      </c>
      <c r="I254">
        <v>48553</v>
      </c>
      <c r="J254">
        <v>51336</v>
      </c>
      <c r="K254">
        <v>52289</v>
      </c>
      <c r="L254">
        <v>55478</v>
      </c>
      <c r="M254">
        <v>58174</v>
      </c>
      <c r="N254">
        <v>61799</v>
      </c>
      <c r="O254">
        <v>64355</v>
      </c>
      <c r="P254">
        <v>69235</v>
      </c>
      <c r="Q254">
        <v>70120</v>
      </c>
      <c r="R254">
        <v>74949</v>
      </c>
    </row>
    <row r="255" spans="1:18">
      <c r="A255">
        <v>35980</v>
      </c>
      <c r="B255" t="s">
        <v>561</v>
      </c>
      <c r="C255" t="s">
        <v>1448</v>
      </c>
      <c r="D255" t="s">
        <v>1449</v>
      </c>
      <c r="E255">
        <v>45928</v>
      </c>
      <c r="F255">
        <v>47792</v>
      </c>
      <c r="G255">
        <v>48410</v>
      </c>
      <c r="H255">
        <v>48199</v>
      </c>
      <c r="I255">
        <v>49614</v>
      </c>
      <c r="J255">
        <v>52089</v>
      </c>
      <c r="K255">
        <v>53370</v>
      </c>
      <c r="L255">
        <v>54659</v>
      </c>
      <c r="M255">
        <v>55649</v>
      </c>
      <c r="N255">
        <v>57938</v>
      </c>
      <c r="O255">
        <v>60968</v>
      </c>
      <c r="P255">
        <v>64463</v>
      </c>
      <c r="Q255">
        <v>66356</v>
      </c>
      <c r="R255">
        <v>69755</v>
      </c>
    </row>
    <row r="256" spans="1:18">
      <c r="A256">
        <v>36100</v>
      </c>
      <c r="B256" t="s">
        <v>562</v>
      </c>
      <c r="C256" t="s">
        <v>1448</v>
      </c>
      <c r="D256" t="s">
        <v>1449</v>
      </c>
      <c r="E256">
        <v>30494</v>
      </c>
      <c r="F256">
        <v>31777</v>
      </c>
      <c r="G256">
        <v>31939</v>
      </c>
      <c r="H256">
        <v>31324</v>
      </c>
      <c r="I256">
        <v>32264</v>
      </c>
      <c r="J256">
        <v>33170</v>
      </c>
      <c r="K256">
        <v>34354</v>
      </c>
      <c r="L256">
        <v>35683</v>
      </c>
      <c r="M256">
        <v>36837</v>
      </c>
      <c r="N256">
        <v>38440</v>
      </c>
      <c r="O256">
        <v>40887</v>
      </c>
      <c r="P256">
        <v>44712</v>
      </c>
      <c r="Q256">
        <v>44355</v>
      </c>
      <c r="R256">
        <v>46682</v>
      </c>
    </row>
    <row r="257" spans="1:18">
      <c r="A257">
        <v>36140</v>
      </c>
      <c r="B257" t="s">
        <v>563</v>
      </c>
      <c r="C257" t="s">
        <v>1448</v>
      </c>
      <c r="D257" t="s">
        <v>1449</v>
      </c>
      <c r="E257">
        <v>44553</v>
      </c>
      <c r="F257">
        <v>45872</v>
      </c>
      <c r="G257">
        <v>47053</v>
      </c>
      <c r="H257">
        <v>47738</v>
      </c>
      <c r="I257">
        <v>49359</v>
      </c>
      <c r="J257">
        <v>51225</v>
      </c>
      <c r="K257">
        <v>52782</v>
      </c>
      <c r="L257">
        <v>55446</v>
      </c>
      <c r="M257">
        <v>58002</v>
      </c>
      <c r="N257">
        <v>62131</v>
      </c>
      <c r="O257">
        <v>67991</v>
      </c>
      <c r="P257">
        <v>73283</v>
      </c>
      <c r="Q257">
        <v>73240</v>
      </c>
      <c r="R257">
        <v>78963</v>
      </c>
    </row>
    <row r="258" spans="1:18">
      <c r="A258">
        <v>36220</v>
      </c>
      <c r="B258" t="s">
        <v>564</v>
      </c>
      <c r="C258" t="s">
        <v>1448</v>
      </c>
      <c r="D258" t="s">
        <v>1449</v>
      </c>
      <c r="E258">
        <v>35591</v>
      </c>
      <c r="F258">
        <v>40403</v>
      </c>
      <c r="G258">
        <v>45408</v>
      </c>
      <c r="H258">
        <v>44999</v>
      </c>
      <c r="I258">
        <v>48697</v>
      </c>
      <c r="J258">
        <v>42910</v>
      </c>
      <c r="K258">
        <v>38312</v>
      </c>
      <c r="L258">
        <v>43345</v>
      </c>
      <c r="M258">
        <v>49602</v>
      </c>
      <c r="N258">
        <v>52721</v>
      </c>
      <c r="O258">
        <v>49142</v>
      </c>
      <c r="P258">
        <v>52569</v>
      </c>
      <c r="Q258">
        <v>55329</v>
      </c>
      <c r="R258">
        <v>58961</v>
      </c>
    </row>
    <row r="259" spans="1:18">
      <c r="A259">
        <v>36260</v>
      </c>
      <c r="B259" t="s">
        <v>565</v>
      </c>
      <c r="C259" t="s">
        <v>1448</v>
      </c>
      <c r="D259" t="s">
        <v>1449</v>
      </c>
      <c r="E259">
        <v>32280</v>
      </c>
      <c r="F259">
        <v>34147</v>
      </c>
      <c r="G259">
        <v>35347</v>
      </c>
      <c r="H259">
        <v>35388</v>
      </c>
      <c r="I259">
        <v>36579</v>
      </c>
      <c r="J259">
        <v>38234</v>
      </c>
      <c r="K259">
        <v>39657</v>
      </c>
      <c r="L259">
        <v>40952</v>
      </c>
      <c r="M259">
        <v>42963</v>
      </c>
      <c r="N259">
        <v>44988</v>
      </c>
      <c r="O259">
        <v>48236</v>
      </c>
      <c r="P259">
        <v>53442</v>
      </c>
      <c r="Q259">
        <v>55999</v>
      </c>
      <c r="R259">
        <v>59122</v>
      </c>
    </row>
    <row r="260" spans="1:18">
      <c r="A260">
        <v>36420</v>
      </c>
      <c r="B260" t="s">
        <v>566</v>
      </c>
      <c r="C260" t="s">
        <v>1448</v>
      </c>
      <c r="D260" t="s">
        <v>1449</v>
      </c>
      <c r="E260">
        <v>39411</v>
      </c>
      <c r="F260">
        <v>41465</v>
      </c>
      <c r="G260">
        <v>42818</v>
      </c>
      <c r="H260">
        <v>43310</v>
      </c>
      <c r="I260">
        <v>45429</v>
      </c>
      <c r="J260">
        <v>45486</v>
      </c>
      <c r="K260">
        <v>44787</v>
      </c>
      <c r="L260">
        <v>46015</v>
      </c>
      <c r="M260">
        <v>47746</v>
      </c>
      <c r="N260">
        <v>51058</v>
      </c>
      <c r="O260">
        <v>53413</v>
      </c>
      <c r="P260">
        <v>57984</v>
      </c>
      <c r="Q260">
        <v>62194</v>
      </c>
      <c r="R260">
        <v>64468</v>
      </c>
    </row>
    <row r="261" spans="1:18">
      <c r="A261">
        <v>36500</v>
      </c>
      <c r="B261" t="s">
        <v>567</v>
      </c>
      <c r="C261" t="s">
        <v>1448</v>
      </c>
      <c r="D261" t="s">
        <v>1449</v>
      </c>
      <c r="E261">
        <v>40518</v>
      </c>
      <c r="F261">
        <v>41034</v>
      </c>
      <c r="G261">
        <v>42256</v>
      </c>
      <c r="H261">
        <v>42019</v>
      </c>
      <c r="I261">
        <v>43392</v>
      </c>
      <c r="J261">
        <v>44763</v>
      </c>
      <c r="K261">
        <v>46284</v>
      </c>
      <c r="L261">
        <v>47542</v>
      </c>
      <c r="M261">
        <v>48957</v>
      </c>
      <c r="N261">
        <v>51835</v>
      </c>
      <c r="O261">
        <v>55450</v>
      </c>
      <c r="P261">
        <v>58681</v>
      </c>
      <c r="Q261">
        <v>61296</v>
      </c>
      <c r="R261">
        <v>65892</v>
      </c>
    </row>
    <row r="262" spans="1:18">
      <c r="A262">
        <v>36540</v>
      </c>
      <c r="B262" t="s">
        <v>568</v>
      </c>
      <c r="C262" t="s">
        <v>1448</v>
      </c>
      <c r="D262" t="s">
        <v>1449</v>
      </c>
      <c r="E262">
        <v>45186</v>
      </c>
      <c r="F262">
        <v>48994</v>
      </c>
      <c r="G262">
        <v>50465</v>
      </c>
      <c r="H262">
        <v>47994</v>
      </c>
      <c r="I262">
        <v>51365</v>
      </c>
      <c r="J262">
        <v>52947</v>
      </c>
      <c r="K262">
        <v>52237</v>
      </c>
      <c r="L262">
        <v>53974</v>
      </c>
      <c r="M262">
        <v>56148</v>
      </c>
      <c r="N262">
        <v>57443</v>
      </c>
      <c r="O262">
        <v>59928</v>
      </c>
      <c r="P262">
        <v>65576</v>
      </c>
      <c r="Q262">
        <v>71406</v>
      </c>
      <c r="R262">
        <v>75033</v>
      </c>
    </row>
    <row r="263" spans="1:18">
      <c r="A263">
        <v>36740</v>
      </c>
      <c r="B263" t="s">
        <v>569</v>
      </c>
      <c r="C263" t="s">
        <v>1448</v>
      </c>
      <c r="D263" t="s">
        <v>1449</v>
      </c>
      <c r="E263">
        <v>33600</v>
      </c>
      <c r="F263">
        <v>34873</v>
      </c>
      <c r="G263">
        <v>35389</v>
      </c>
      <c r="H263">
        <v>35579</v>
      </c>
      <c r="I263">
        <v>37065</v>
      </c>
      <c r="J263">
        <v>38884</v>
      </c>
      <c r="K263">
        <v>39527</v>
      </c>
      <c r="L263">
        <v>41500</v>
      </c>
      <c r="M263">
        <v>43151</v>
      </c>
      <c r="N263">
        <v>45144</v>
      </c>
      <c r="O263">
        <v>47953</v>
      </c>
      <c r="P263">
        <v>52947</v>
      </c>
      <c r="Q263">
        <v>54615</v>
      </c>
      <c r="R263">
        <v>57774</v>
      </c>
    </row>
    <row r="264" spans="1:18">
      <c r="A264">
        <v>36780</v>
      </c>
      <c r="B264" t="s">
        <v>570</v>
      </c>
      <c r="C264" t="s">
        <v>1448</v>
      </c>
      <c r="D264" t="s">
        <v>1449</v>
      </c>
      <c r="E264">
        <v>37240</v>
      </c>
      <c r="F264">
        <v>39255</v>
      </c>
      <c r="G264">
        <v>39923</v>
      </c>
      <c r="H264">
        <v>39497</v>
      </c>
      <c r="I264">
        <v>41019</v>
      </c>
      <c r="J264">
        <v>42806</v>
      </c>
      <c r="K264">
        <v>44055</v>
      </c>
      <c r="L264">
        <v>45311</v>
      </c>
      <c r="M264">
        <v>47336</v>
      </c>
      <c r="N264">
        <v>48656</v>
      </c>
      <c r="O264">
        <v>52285</v>
      </c>
      <c r="P264">
        <v>56110</v>
      </c>
      <c r="Q264">
        <v>57505</v>
      </c>
      <c r="R264">
        <v>60180</v>
      </c>
    </row>
    <row r="265" spans="1:18">
      <c r="A265">
        <v>36980</v>
      </c>
      <c r="B265" t="s">
        <v>571</v>
      </c>
      <c r="C265" t="s">
        <v>1448</v>
      </c>
      <c r="D265" t="s">
        <v>1449</v>
      </c>
      <c r="E265">
        <v>34736</v>
      </c>
      <c r="F265">
        <v>35940</v>
      </c>
      <c r="G265">
        <v>36306</v>
      </c>
      <c r="H265">
        <v>36993</v>
      </c>
      <c r="I265">
        <v>38149</v>
      </c>
      <c r="J265">
        <v>39101</v>
      </c>
      <c r="K265">
        <v>38454</v>
      </c>
      <c r="L265">
        <v>39478</v>
      </c>
      <c r="M265">
        <v>40056</v>
      </c>
      <c r="N265">
        <v>41861</v>
      </c>
      <c r="O265">
        <v>45552</v>
      </c>
      <c r="P265">
        <v>49723</v>
      </c>
      <c r="Q265">
        <v>51139</v>
      </c>
      <c r="R265">
        <v>53113</v>
      </c>
    </row>
    <row r="266" spans="1:18">
      <c r="A266">
        <v>37100</v>
      </c>
      <c r="B266" t="s">
        <v>572</v>
      </c>
      <c r="C266" t="s">
        <v>1448</v>
      </c>
      <c r="D266" t="s">
        <v>1449</v>
      </c>
      <c r="E266">
        <v>45947</v>
      </c>
      <c r="F266">
        <v>47868</v>
      </c>
      <c r="G266">
        <v>49592</v>
      </c>
      <c r="H266">
        <v>49787</v>
      </c>
      <c r="I266">
        <v>51943</v>
      </c>
      <c r="J266">
        <v>54241</v>
      </c>
      <c r="K266">
        <v>55756</v>
      </c>
      <c r="L266">
        <v>57456</v>
      </c>
      <c r="M266">
        <v>59781</v>
      </c>
      <c r="N266">
        <v>62925</v>
      </c>
      <c r="O266">
        <v>67666</v>
      </c>
      <c r="P266">
        <v>74252</v>
      </c>
      <c r="Q266">
        <v>73994</v>
      </c>
      <c r="R266">
        <v>78091</v>
      </c>
    </row>
    <row r="267" spans="1:18">
      <c r="A267">
        <v>37340</v>
      </c>
      <c r="B267" t="s">
        <v>573</v>
      </c>
      <c r="C267" t="s">
        <v>1448</v>
      </c>
      <c r="D267" t="s">
        <v>1449</v>
      </c>
      <c r="E267">
        <v>37102</v>
      </c>
      <c r="F267">
        <v>38495</v>
      </c>
      <c r="G267">
        <v>38218</v>
      </c>
      <c r="H267">
        <v>37917</v>
      </c>
      <c r="I267">
        <v>39018</v>
      </c>
      <c r="J267">
        <v>40773</v>
      </c>
      <c r="K267">
        <v>41496</v>
      </c>
      <c r="L267">
        <v>43462</v>
      </c>
      <c r="M267">
        <v>45693</v>
      </c>
      <c r="N267">
        <v>48147</v>
      </c>
      <c r="O267">
        <v>51188</v>
      </c>
      <c r="P267">
        <v>55485</v>
      </c>
      <c r="Q267">
        <v>56550</v>
      </c>
      <c r="R267">
        <v>60162</v>
      </c>
    </row>
    <row r="268" spans="1:18">
      <c r="A268">
        <v>37460</v>
      </c>
      <c r="B268" t="s">
        <v>574</v>
      </c>
      <c r="C268" t="s">
        <v>1448</v>
      </c>
      <c r="D268" t="s">
        <v>1449</v>
      </c>
      <c r="E268">
        <v>37148</v>
      </c>
      <c r="F268">
        <v>37967</v>
      </c>
      <c r="G268">
        <v>37619</v>
      </c>
      <c r="H268">
        <v>37251</v>
      </c>
      <c r="I268">
        <v>38324</v>
      </c>
      <c r="J268">
        <v>39683</v>
      </c>
      <c r="K268">
        <v>40323</v>
      </c>
      <c r="L268">
        <v>40662</v>
      </c>
      <c r="M268">
        <v>41924</v>
      </c>
      <c r="N268">
        <v>45869</v>
      </c>
      <c r="O268">
        <v>50009</v>
      </c>
      <c r="P268">
        <v>54283</v>
      </c>
      <c r="Q268">
        <v>53728</v>
      </c>
      <c r="R268">
        <v>56070</v>
      </c>
    </row>
    <row r="269" spans="1:18">
      <c r="A269">
        <v>37620</v>
      </c>
      <c r="B269" t="s">
        <v>575</v>
      </c>
      <c r="C269" t="s">
        <v>1448</v>
      </c>
      <c r="D269" t="s">
        <v>1449</v>
      </c>
      <c r="E269">
        <v>32577</v>
      </c>
      <c r="F269">
        <v>34314</v>
      </c>
      <c r="G269">
        <v>35564</v>
      </c>
      <c r="H269">
        <v>35464</v>
      </c>
      <c r="I269">
        <v>37801</v>
      </c>
      <c r="J269">
        <v>38067</v>
      </c>
      <c r="K269">
        <v>37677</v>
      </c>
      <c r="L269">
        <v>39033</v>
      </c>
      <c r="M269">
        <v>43713</v>
      </c>
      <c r="N269">
        <v>45920</v>
      </c>
      <c r="O269">
        <v>47501</v>
      </c>
      <c r="P269">
        <v>54324</v>
      </c>
      <c r="Q269">
        <v>55305</v>
      </c>
      <c r="R269">
        <v>58164</v>
      </c>
    </row>
    <row r="270" spans="1:18">
      <c r="A270">
        <v>37860</v>
      </c>
      <c r="B270" t="s">
        <v>576</v>
      </c>
      <c r="C270" t="s">
        <v>1448</v>
      </c>
      <c r="D270" t="s">
        <v>1449</v>
      </c>
      <c r="E270">
        <v>35291</v>
      </c>
      <c r="F270">
        <v>36774</v>
      </c>
      <c r="G270">
        <v>37060</v>
      </c>
      <c r="H270">
        <v>36508</v>
      </c>
      <c r="I270">
        <v>37752</v>
      </c>
      <c r="J270">
        <v>39128</v>
      </c>
      <c r="K270">
        <v>40645</v>
      </c>
      <c r="L270">
        <v>42420</v>
      </c>
      <c r="M270">
        <v>43374</v>
      </c>
      <c r="N270">
        <v>45291</v>
      </c>
      <c r="O270">
        <v>48574</v>
      </c>
      <c r="P270">
        <v>53135</v>
      </c>
      <c r="Q270">
        <v>54268</v>
      </c>
      <c r="R270">
        <v>56938</v>
      </c>
    </row>
    <row r="271" spans="1:18">
      <c r="A271">
        <v>37900</v>
      </c>
      <c r="B271" t="s">
        <v>577</v>
      </c>
      <c r="C271" t="s">
        <v>1448</v>
      </c>
      <c r="D271" t="s">
        <v>1449</v>
      </c>
      <c r="E271">
        <v>38928</v>
      </c>
      <c r="F271">
        <v>42294</v>
      </c>
      <c r="G271">
        <v>43557</v>
      </c>
      <c r="H271">
        <v>42495</v>
      </c>
      <c r="I271">
        <v>43051</v>
      </c>
      <c r="J271">
        <v>44462</v>
      </c>
      <c r="K271">
        <v>44560</v>
      </c>
      <c r="L271">
        <v>45022</v>
      </c>
      <c r="M271">
        <v>47304</v>
      </c>
      <c r="N271">
        <v>48100</v>
      </c>
      <c r="O271">
        <v>52021</v>
      </c>
      <c r="P271">
        <v>55739</v>
      </c>
      <c r="Q271">
        <v>57754</v>
      </c>
      <c r="R271">
        <v>60980</v>
      </c>
    </row>
    <row r="272" spans="1:18">
      <c r="A272">
        <v>37980</v>
      </c>
      <c r="B272" t="s">
        <v>578</v>
      </c>
      <c r="C272" t="s">
        <v>1448</v>
      </c>
      <c r="D272" t="s">
        <v>1449</v>
      </c>
      <c r="E272">
        <v>48175</v>
      </c>
      <c r="F272">
        <v>50546</v>
      </c>
      <c r="G272">
        <v>52609</v>
      </c>
      <c r="H272">
        <v>52736</v>
      </c>
      <c r="I272">
        <v>54499</v>
      </c>
      <c r="J272">
        <v>56629</v>
      </c>
      <c r="K272">
        <v>58589</v>
      </c>
      <c r="L272">
        <v>59467</v>
      </c>
      <c r="M272">
        <v>62282</v>
      </c>
      <c r="N272">
        <v>63798</v>
      </c>
      <c r="O272">
        <v>67725</v>
      </c>
      <c r="P272">
        <v>71896</v>
      </c>
      <c r="Q272">
        <v>74485</v>
      </c>
      <c r="R272">
        <v>78761</v>
      </c>
    </row>
    <row r="273" spans="1:18">
      <c r="A273">
        <v>38060</v>
      </c>
      <c r="B273" t="s">
        <v>579</v>
      </c>
      <c r="C273" t="s">
        <v>1448</v>
      </c>
      <c r="D273" t="s">
        <v>1449</v>
      </c>
      <c r="E273">
        <v>35092</v>
      </c>
      <c r="F273">
        <v>36767</v>
      </c>
      <c r="G273">
        <v>38129</v>
      </c>
      <c r="H273">
        <v>38590</v>
      </c>
      <c r="I273">
        <v>40090</v>
      </c>
      <c r="J273">
        <v>41828</v>
      </c>
      <c r="K273">
        <v>43196</v>
      </c>
      <c r="L273">
        <v>45249</v>
      </c>
      <c r="M273">
        <v>47562</v>
      </c>
      <c r="N273">
        <v>50342</v>
      </c>
      <c r="O273">
        <v>54681</v>
      </c>
      <c r="P273">
        <v>60086</v>
      </c>
      <c r="Q273">
        <v>62555</v>
      </c>
      <c r="R273">
        <v>66365</v>
      </c>
    </row>
    <row r="274" spans="1:18">
      <c r="A274">
        <v>38220</v>
      </c>
      <c r="B274" t="s">
        <v>580</v>
      </c>
      <c r="C274" t="s">
        <v>1448</v>
      </c>
      <c r="D274" t="s">
        <v>1449</v>
      </c>
      <c r="E274">
        <v>27874</v>
      </c>
      <c r="F274">
        <v>28810</v>
      </c>
      <c r="G274">
        <v>29644</v>
      </c>
      <c r="H274">
        <v>30544</v>
      </c>
      <c r="I274">
        <v>30884</v>
      </c>
      <c r="J274">
        <v>31002</v>
      </c>
      <c r="K274">
        <v>31376</v>
      </c>
      <c r="L274">
        <v>32648</v>
      </c>
      <c r="M274">
        <v>33452</v>
      </c>
      <c r="N274">
        <v>34565</v>
      </c>
      <c r="O274">
        <v>37364</v>
      </c>
      <c r="P274">
        <v>40784</v>
      </c>
      <c r="Q274">
        <v>41764</v>
      </c>
      <c r="R274">
        <v>42135</v>
      </c>
    </row>
    <row r="275" spans="1:18">
      <c r="A275">
        <v>38300</v>
      </c>
      <c r="B275" t="s">
        <v>581</v>
      </c>
      <c r="C275" t="s">
        <v>1448</v>
      </c>
      <c r="D275" t="s">
        <v>1449</v>
      </c>
      <c r="E275">
        <v>42763</v>
      </c>
      <c r="F275">
        <v>44872</v>
      </c>
      <c r="G275">
        <v>46200</v>
      </c>
      <c r="H275">
        <v>46441</v>
      </c>
      <c r="I275">
        <v>47970</v>
      </c>
      <c r="J275">
        <v>49927</v>
      </c>
      <c r="K275">
        <v>50652</v>
      </c>
      <c r="L275">
        <v>53021</v>
      </c>
      <c r="M275">
        <v>56109</v>
      </c>
      <c r="N275">
        <v>57531</v>
      </c>
      <c r="O275">
        <v>61335</v>
      </c>
      <c r="P275">
        <v>64898</v>
      </c>
      <c r="Q275">
        <v>66750</v>
      </c>
      <c r="R275">
        <v>70559</v>
      </c>
    </row>
    <row r="276" spans="1:18">
      <c r="A276">
        <v>38340</v>
      </c>
      <c r="B276" t="s">
        <v>582</v>
      </c>
      <c r="C276" t="s">
        <v>1448</v>
      </c>
      <c r="D276" t="s">
        <v>1449</v>
      </c>
      <c r="E276">
        <v>41040</v>
      </c>
      <c r="F276">
        <v>43105</v>
      </c>
      <c r="G276">
        <v>44417</v>
      </c>
      <c r="H276">
        <v>44353</v>
      </c>
      <c r="I276">
        <v>46612</v>
      </c>
      <c r="J276">
        <v>49406</v>
      </c>
      <c r="K276">
        <v>50712</v>
      </c>
      <c r="L276">
        <v>52131</v>
      </c>
      <c r="M276">
        <v>54231</v>
      </c>
      <c r="N276">
        <v>56191</v>
      </c>
      <c r="O276">
        <v>61222</v>
      </c>
      <c r="P276">
        <v>64927</v>
      </c>
      <c r="Q276">
        <v>66336</v>
      </c>
      <c r="R276">
        <v>70945</v>
      </c>
    </row>
    <row r="277" spans="1:18">
      <c r="A277">
        <v>38540</v>
      </c>
      <c r="B277" t="s">
        <v>583</v>
      </c>
      <c r="C277" t="s">
        <v>1448</v>
      </c>
      <c r="D277" t="s">
        <v>1449</v>
      </c>
      <c r="E277">
        <v>28980</v>
      </c>
      <c r="F277">
        <v>30338</v>
      </c>
      <c r="G277">
        <v>31182</v>
      </c>
      <c r="H277">
        <v>31772</v>
      </c>
      <c r="I277">
        <v>32547</v>
      </c>
      <c r="J277">
        <v>34198</v>
      </c>
      <c r="K277">
        <v>34807</v>
      </c>
      <c r="L277">
        <v>36443</v>
      </c>
      <c r="M277">
        <v>37360</v>
      </c>
      <c r="N277">
        <v>39049</v>
      </c>
      <c r="O277">
        <v>42739</v>
      </c>
      <c r="P277">
        <v>46403</v>
      </c>
      <c r="Q277">
        <v>48141</v>
      </c>
      <c r="R277">
        <v>49769</v>
      </c>
    </row>
    <row r="278" spans="1:18">
      <c r="A278">
        <v>38860</v>
      </c>
      <c r="B278" t="s">
        <v>584</v>
      </c>
      <c r="C278" t="s">
        <v>1448</v>
      </c>
      <c r="D278" t="s">
        <v>1449</v>
      </c>
      <c r="E278">
        <v>43489</v>
      </c>
      <c r="F278">
        <v>45339</v>
      </c>
      <c r="G278">
        <v>46293</v>
      </c>
      <c r="H278">
        <v>46286</v>
      </c>
      <c r="I278">
        <v>47558</v>
      </c>
      <c r="J278">
        <v>49687</v>
      </c>
      <c r="K278">
        <v>51674</v>
      </c>
      <c r="L278">
        <v>53956</v>
      </c>
      <c r="M278">
        <v>56288</v>
      </c>
      <c r="N278">
        <v>58966</v>
      </c>
      <c r="O278">
        <v>63489</v>
      </c>
      <c r="P278">
        <v>69744</v>
      </c>
      <c r="Q278">
        <v>73385</v>
      </c>
      <c r="R278">
        <v>78085</v>
      </c>
    </row>
    <row r="279" spans="1:18">
      <c r="A279">
        <v>38900</v>
      </c>
      <c r="B279" t="s">
        <v>585</v>
      </c>
      <c r="C279" t="s">
        <v>1448</v>
      </c>
      <c r="D279" t="s">
        <v>1449</v>
      </c>
      <c r="E279">
        <v>39646</v>
      </c>
      <c r="F279">
        <v>41660</v>
      </c>
      <c r="G279">
        <v>43824</v>
      </c>
      <c r="H279">
        <v>43895</v>
      </c>
      <c r="I279">
        <v>46243</v>
      </c>
      <c r="J279">
        <v>48916</v>
      </c>
      <c r="K279">
        <v>50367</v>
      </c>
      <c r="L279">
        <v>52962</v>
      </c>
      <c r="M279">
        <v>56285</v>
      </c>
      <c r="N279">
        <v>58551</v>
      </c>
      <c r="O279">
        <v>62557</v>
      </c>
      <c r="P279">
        <v>69099</v>
      </c>
      <c r="Q279">
        <v>71037</v>
      </c>
      <c r="R279">
        <v>74992</v>
      </c>
    </row>
    <row r="280" spans="1:18">
      <c r="A280">
        <v>38940</v>
      </c>
      <c r="B280" t="s">
        <v>586</v>
      </c>
      <c r="C280" t="s">
        <v>1448</v>
      </c>
      <c r="D280" t="s">
        <v>1449</v>
      </c>
      <c r="E280">
        <v>39112</v>
      </c>
      <c r="F280">
        <v>41328</v>
      </c>
      <c r="G280">
        <v>44833</v>
      </c>
      <c r="H280">
        <v>43479</v>
      </c>
      <c r="I280">
        <v>46628</v>
      </c>
      <c r="J280">
        <v>48513</v>
      </c>
      <c r="K280">
        <v>50727</v>
      </c>
      <c r="L280">
        <v>53368</v>
      </c>
      <c r="M280">
        <v>55268</v>
      </c>
      <c r="N280">
        <v>58109</v>
      </c>
      <c r="O280">
        <v>62024</v>
      </c>
      <c r="P280">
        <v>66466</v>
      </c>
      <c r="Q280">
        <v>67952</v>
      </c>
      <c r="R280">
        <v>73080</v>
      </c>
    </row>
    <row r="281" spans="1:18">
      <c r="A281">
        <v>39100</v>
      </c>
      <c r="B281" t="s">
        <v>587</v>
      </c>
      <c r="C281" t="s">
        <v>1448</v>
      </c>
      <c r="D281" t="s">
        <v>1449</v>
      </c>
      <c r="E281">
        <v>41155</v>
      </c>
      <c r="F281">
        <v>42775</v>
      </c>
      <c r="G281">
        <v>44067</v>
      </c>
      <c r="H281">
        <v>44493</v>
      </c>
      <c r="I281">
        <v>45474</v>
      </c>
      <c r="J281">
        <v>47471</v>
      </c>
      <c r="K281">
        <v>48436</v>
      </c>
      <c r="L281">
        <v>50472</v>
      </c>
      <c r="M281">
        <v>51652</v>
      </c>
      <c r="N281">
        <v>54644</v>
      </c>
      <c r="O281">
        <v>58458</v>
      </c>
      <c r="P281">
        <v>61504</v>
      </c>
      <c r="Q281">
        <v>61675</v>
      </c>
      <c r="R281">
        <v>65115</v>
      </c>
    </row>
    <row r="282" spans="1:18">
      <c r="A282">
        <v>39150</v>
      </c>
      <c r="B282" t="s">
        <v>588</v>
      </c>
      <c r="C282" t="s">
        <v>1448</v>
      </c>
      <c r="D282" t="s">
        <v>1449</v>
      </c>
      <c r="E282">
        <v>29236</v>
      </c>
      <c r="F282">
        <v>30531</v>
      </c>
      <c r="G282">
        <v>31141</v>
      </c>
      <c r="H282">
        <v>32352</v>
      </c>
      <c r="I282">
        <v>34267</v>
      </c>
      <c r="J282">
        <v>35641</v>
      </c>
      <c r="K282">
        <v>36834</v>
      </c>
      <c r="L282">
        <v>39094</v>
      </c>
      <c r="M282">
        <v>40738</v>
      </c>
      <c r="N282">
        <v>42758</v>
      </c>
      <c r="O282">
        <v>46886</v>
      </c>
      <c r="P282">
        <v>50645</v>
      </c>
      <c r="Q282">
        <v>51921</v>
      </c>
      <c r="R282">
        <v>55913</v>
      </c>
    </row>
    <row r="283" spans="1:18">
      <c r="A283">
        <v>39300</v>
      </c>
      <c r="B283" t="s">
        <v>589</v>
      </c>
      <c r="C283" t="s">
        <v>1448</v>
      </c>
      <c r="D283" t="s">
        <v>1449</v>
      </c>
      <c r="E283">
        <v>41924</v>
      </c>
      <c r="F283">
        <v>43360</v>
      </c>
      <c r="G283">
        <v>44556</v>
      </c>
      <c r="H283">
        <v>44578</v>
      </c>
      <c r="I283">
        <v>46012</v>
      </c>
      <c r="J283">
        <v>47714</v>
      </c>
      <c r="K283">
        <v>48395</v>
      </c>
      <c r="L283">
        <v>50312</v>
      </c>
      <c r="M283">
        <v>52061</v>
      </c>
      <c r="N283">
        <v>55031</v>
      </c>
      <c r="O283">
        <v>59808</v>
      </c>
      <c r="P283">
        <v>63377</v>
      </c>
      <c r="Q283">
        <v>64441</v>
      </c>
      <c r="R283">
        <v>67405</v>
      </c>
    </row>
    <row r="284" spans="1:18">
      <c r="A284">
        <v>39340</v>
      </c>
      <c r="B284" t="s">
        <v>590</v>
      </c>
      <c r="C284" t="s">
        <v>1448</v>
      </c>
      <c r="D284" t="s">
        <v>1449</v>
      </c>
      <c r="E284">
        <v>26247</v>
      </c>
      <c r="F284">
        <v>27789</v>
      </c>
      <c r="G284">
        <v>29647</v>
      </c>
      <c r="H284">
        <v>30494</v>
      </c>
      <c r="I284">
        <v>32375</v>
      </c>
      <c r="J284">
        <v>34752</v>
      </c>
      <c r="K284">
        <v>36471</v>
      </c>
      <c r="L284">
        <v>37904</v>
      </c>
      <c r="M284">
        <v>39765</v>
      </c>
      <c r="N284">
        <v>43558</v>
      </c>
      <c r="O284">
        <v>47049</v>
      </c>
      <c r="P284">
        <v>52031</v>
      </c>
      <c r="Q284">
        <v>54282</v>
      </c>
      <c r="R284">
        <v>57531</v>
      </c>
    </row>
    <row r="285" spans="1:18">
      <c r="A285">
        <v>39380</v>
      </c>
      <c r="B285" t="s">
        <v>591</v>
      </c>
      <c r="C285" t="s">
        <v>1448</v>
      </c>
      <c r="D285" t="s">
        <v>1449</v>
      </c>
      <c r="E285">
        <v>29348</v>
      </c>
      <c r="F285">
        <v>30404</v>
      </c>
      <c r="G285">
        <v>31099</v>
      </c>
      <c r="H285">
        <v>31636</v>
      </c>
      <c r="I285">
        <v>33241</v>
      </c>
      <c r="J285">
        <v>34564</v>
      </c>
      <c r="K285">
        <v>35307</v>
      </c>
      <c r="L285">
        <v>36162</v>
      </c>
      <c r="M285">
        <v>38008</v>
      </c>
      <c r="N285">
        <v>39471</v>
      </c>
      <c r="O285">
        <v>43219</v>
      </c>
      <c r="P285">
        <v>46844</v>
      </c>
      <c r="Q285">
        <v>47031</v>
      </c>
      <c r="R285">
        <v>48891</v>
      </c>
    </row>
    <row r="286" spans="1:18">
      <c r="A286">
        <v>39460</v>
      </c>
      <c r="B286" t="s">
        <v>592</v>
      </c>
      <c r="C286" t="s">
        <v>1448</v>
      </c>
      <c r="D286" t="s">
        <v>1449</v>
      </c>
      <c r="E286">
        <v>32464</v>
      </c>
      <c r="F286">
        <v>33790</v>
      </c>
      <c r="G286">
        <v>34774</v>
      </c>
      <c r="H286">
        <v>35159</v>
      </c>
      <c r="I286">
        <v>36909</v>
      </c>
      <c r="J286">
        <v>38669</v>
      </c>
      <c r="K286">
        <v>39947</v>
      </c>
      <c r="L286">
        <v>41088</v>
      </c>
      <c r="M286">
        <v>42694</v>
      </c>
      <c r="N286">
        <v>45672</v>
      </c>
      <c r="O286">
        <v>48529</v>
      </c>
      <c r="P286">
        <v>51866</v>
      </c>
      <c r="Q286">
        <v>51827</v>
      </c>
      <c r="R286">
        <v>55332</v>
      </c>
    </row>
    <row r="287" spans="1:18">
      <c r="A287">
        <v>39540</v>
      </c>
      <c r="B287" t="s">
        <v>593</v>
      </c>
      <c r="C287" t="s">
        <v>1448</v>
      </c>
      <c r="D287" t="s">
        <v>1449</v>
      </c>
      <c r="E287">
        <v>37926</v>
      </c>
      <c r="F287">
        <v>39775</v>
      </c>
      <c r="G287">
        <v>41424</v>
      </c>
      <c r="H287">
        <v>40541</v>
      </c>
      <c r="I287">
        <v>42035</v>
      </c>
      <c r="J287">
        <v>44326</v>
      </c>
      <c r="K287">
        <v>44337</v>
      </c>
      <c r="L287">
        <v>46588</v>
      </c>
      <c r="M287">
        <v>48550</v>
      </c>
      <c r="N287">
        <v>49892</v>
      </c>
      <c r="O287">
        <v>52771</v>
      </c>
      <c r="P287">
        <v>56574</v>
      </c>
      <c r="Q287">
        <v>59697</v>
      </c>
      <c r="R287">
        <v>62570</v>
      </c>
    </row>
    <row r="288" spans="1:18">
      <c r="A288">
        <v>39580</v>
      </c>
      <c r="B288" t="s">
        <v>594</v>
      </c>
      <c r="C288" t="s">
        <v>1448</v>
      </c>
      <c r="D288" t="s">
        <v>1449</v>
      </c>
      <c r="E288">
        <v>43418</v>
      </c>
      <c r="F288">
        <v>43897</v>
      </c>
      <c r="G288">
        <v>45647</v>
      </c>
      <c r="H288">
        <v>45207</v>
      </c>
      <c r="I288">
        <v>47391</v>
      </c>
      <c r="J288">
        <v>49706</v>
      </c>
      <c r="K288">
        <v>50824</v>
      </c>
      <c r="L288">
        <v>52254</v>
      </c>
      <c r="M288">
        <v>55686</v>
      </c>
      <c r="N288">
        <v>57774</v>
      </c>
      <c r="O288">
        <v>61490</v>
      </c>
      <c r="P288">
        <v>68848</v>
      </c>
      <c r="Q288">
        <v>71364</v>
      </c>
      <c r="R288">
        <v>75129</v>
      </c>
    </row>
    <row r="289" spans="1:18">
      <c r="A289">
        <v>39660</v>
      </c>
      <c r="B289" t="s">
        <v>595</v>
      </c>
      <c r="C289" t="s">
        <v>1448</v>
      </c>
      <c r="D289" t="s">
        <v>1449</v>
      </c>
      <c r="E289">
        <v>40423</v>
      </c>
      <c r="F289">
        <v>41881</v>
      </c>
      <c r="G289">
        <v>43837</v>
      </c>
      <c r="H289">
        <v>42811</v>
      </c>
      <c r="I289">
        <v>45883</v>
      </c>
      <c r="J289">
        <v>46669</v>
      </c>
      <c r="K289">
        <v>47683</v>
      </c>
      <c r="L289">
        <v>48826</v>
      </c>
      <c r="M289">
        <v>50568</v>
      </c>
      <c r="N289">
        <v>52910</v>
      </c>
      <c r="O289">
        <v>57799</v>
      </c>
      <c r="P289">
        <v>64366</v>
      </c>
      <c r="Q289">
        <v>66779</v>
      </c>
      <c r="R289">
        <v>70144</v>
      </c>
    </row>
    <row r="290" spans="1:18">
      <c r="A290">
        <v>39740</v>
      </c>
      <c r="B290" t="s">
        <v>596</v>
      </c>
      <c r="C290" t="s">
        <v>1448</v>
      </c>
      <c r="D290" t="s">
        <v>1449</v>
      </c>
      <c r="E290">
        <v>38221</v>
      </c>
      <c r="F290">
        <v>39972</v>
      </c>
      <c r="G290">
        <v>41416</v>
      </c>
      <c r="H290">
        <v>41058</v>
      </c>
      <c r="I290">
        <v>42476</v>
      </c>
      <c r="J290">
        <v>44257</v>
      </c>
      <c r="K290">
        <v>45054</v>
      </c>
      <c r="L290">
        <v>46271</v>
      </c>
      <c r="M290">
        <v>48187</v>
      </c>
      <c r="N290">
        <v>49924</v>
      </c>
      <c r="O290">
        <v>54337</v>
      </c>
      <c r="P290">
        <v>57913</v>
      </c>
      <c r="Q290">
        <v>58686</v>
      </c>
      <c r="R290">
        <v>61575</v>
      </c>
    </row>
    <row r="291" spans="1:18">
      <c r="A291">
        <v>39820</v>
      </c>
      <c r="B291" t="s">
        <v>597</v>
      </c>
      <c r="C291" t="s">
        <v>1448</v>
      </c>
      <c r="D291" t="s">
        <v>1449</v>
      </c>
      <c r="E291">
        <v>34493</v>
      </c>
      <c r="F291">
        <v>34982</v>
      </c>
      <c r="G291">
        <v>35512</v>
      </c>
      <c r="H291">
        <v>35799</v>
      </c>
      <c r="I291">
        <v>37909</v>
      </c>
      <c r="J291">
        <v>40252</v>
      </c>
      <c r="K291">
        <v>41305</v>
      </c>
      <c r="L291">
        <v>42714</v>
      </c>
      <c r="M291">
        <v>43843</v>
      </c>
      <c r="N291">
        <v>45675</v>
      </c>
      <c r="O291">
        <v>51240</v>
      </c>
      <c r="P291">
        <v>54385</v>
      </c>
      <c r="Q291">
        <v>54099</v>
      </c>
      <c r="R291">
        <v>57637</v>
      </c>
    </row>
    <row r="292" spans="1:18">
      <c r="A292">
        <v>39900</v>
      </c>
      <c r="B292" t="s">
        <v>598</v>
      </c>
      <c r="C292" t="s">
        <v>1448</v>
      </c>
      <c r="D292" t="s">
        <v>1449</v>
      </c>
      <c r="E292">
        <v>43559</v>
      </c>
      <c r="F292">
        <v>45168</v>
      </c>
      <c r="G292">
        <v>43309</v>
      </c>
      <c r="H292">
        <v>43149</v>
      </c>
      <c r="I292">
        <v>44907</v>
      </c>
      <c r="J292">
        <v>49075</v>
      </c>
      <c r="K292">
        <v>50947</v>
      </c>
      <c r="L292">
        <v>54728</v>
      </c>
      <c r="M292">
        <v>59316</v>
      </c>
      <c r="N292">
        <v>61018</v>
      </c>
      <c r="O292">
        <v>65045</v>
      </c>
      <c r="P292">
        <v>74762</v>
      </c>
      <c r="Q292">
        <v>76486</v>
      </c>
      <c r="R292">
        <v>81358</v>
      </c>
    </row>
    <row r="293" spans="1:18">
      <c r="A293">
        <v>40060</v>
      </c>
      <c r="B293" t="s">
        <v>599</v>
      </c>
      <c r="C293" t="s">
        <v>1448</v>
      </c>
      <c r="D293" t="s">
        <v>1449</v>
      </c>
      <c r="E293">
        <v>42736</v>
      </c>
      <c r="F293">
        <v>45020</v>
      </c>
      <c r="G293">
        <v>47083</v>
      </c>
      <c r="H293">
        <v>46709</v>
      </c>
      <c r="I293">
        <v>48392</v>
      </c>
      <c r="J293">
        <v>50627</v>
      </c>
      <c r="K293">
        <v>51617</v>
      </c>
      <c r="L293">
        <v>53636</v>
      </c>
      <c r="M293">
        <v>54922</v>
      </c>
      <c r="N293">
        <v>57761</v>
      </c>
      <c r="O293">
        <v>61308</v>
      </c>
      <c r="P293">
        <v>66074</v>
      </c>
      <c r="Q293">
        <v>67805</v>
      </c>
      <c r="R293">
        <v>71794</v>
      </c>
    </row>
    <row r="294" spans="1:18">
      <c r="A294">
        <v>40140</v>
      </c>
      <c r="B294" t="s">
        <v>600</v>
      </c>
      <c r="C294" t="s">
        <v>1448</v>
      </c>
      <c r="D294" t="s">
        <v>1449</v>
      </c>
      <c r="E294">
        <v>30231</v>
      </c>
      <c r="F294">
        <v>31628</v>
      </c>
      <c r="G294">
        <v>32076</v>
      </c>
      <c r="H294">
        <v>32763</v>
      </c>
      <c r="I294">
        <v>34115</v>
      </c>
      <c r="J294">
        <v>35917</v>
      </c>
      <c r="K294">
        <v>37275</v>
      </c>
      <c r="L294">
        <v>38229</v>
      </c>
      <c r="M294">
        <v>39671</v>
      </c>
      <c r="N294">
        <v>42138</v>
      </c>
      <c r="O294">
        <v>46540</v>
      </c>
      <c r="P294">
        <v>50700</v>
      </c>
      <c r="Q294">
        <v>49908</v>
      </c>
      <c r="R294">
        <v>52553</v>
      </c>
    </row>
    <row r="295" spans="1:18">
      <c r="A295">
        <v>40220</v>
      </c>
      <c r="B295" t="s">
        <v>601</v>
      </c>
      <c r="C295" t="s">
        <v>1448</v>
      </c>
      <c r="D295" t="s">
        <v>1449</v>
      </c>
      <c r="E295">
        <v>37354</v>
      </c>
      <c r="F295">
        <v>38678</v>
      </c>
      <c r="G295">
        <v>40521</v>
      </c>
      <c r="H295">
        <v>39670</v>
      </c>
      <c r="I295">
        <v>40778</v>
      </c>
      <c r="J295">
        <v>42655</v>
      </c>
      <c r="K295">
        <v>42984</v>
      </c>
      <c r="L295">
        <v>43813</v>
      </c>
      <c r="M295">
        <v>45273</v>
      </c>
      <c r="N295">
        <v>46433</v>
      </c>
      <c r="O295">
        <v>49774</v>
      </c>
      <c r="P295">
        <v>53764</v>
      </c>
      <c r="Q295">
        <v>56109</v>
      </c>
      <c r="R295">
        <v>59820</v>
      </c>
    </row>
    <row r="296" spans="1:18">
      <c r="A296">
        <v>40340</v>
      </c>
      <c r="B296" t="s">
        <v>602</v>
      </c>
      <c r="C296" t="s">
        <v>1448</v>
      </c>
      <c r="D296" t="s">
        <v>1449</v>
      </c>
      <c r="E296">
        <v>42606</v>
      </c>
      <c r="F296">
        <v>44018</v>
      </c>
      <c r="G296">
        <v>46016</v>
      </c>
      <c r="H296">
        <v>46063</v>
      </c>
      <c r="I296">
        <v>47042</v>
      </c>
      <c r="J296">
        <v>48689</v>
      </c>
      <c r="K296">
        <v>49448</v>
      </c>
      <c r="L296">
        <v>51283</v>
      </c>
      <c r="M296">
        <v>53545</v>
      </c>
      <c r="N296">
        <v>54842</v>
      </c>
      <c r="O296">
        <v>59086</v>
      </c>
      <c r="P296">
        <v>63801</v>
      </c>
      <c r="Q296">
        <v>65848</v>
      </c>
      <c r="R296">
        <v>68561</v>
      </c>
    </row>
    <row r="297" spans="1:18">
      <c r="A297">
        <v>40380</v>
      </c>
      <c r="B297" t="s">
        <v>603</v>
      </c>
      <c r="C297" t="s">
        <v>1448</v>
      </c>
      <c r="D297" t="s">
        <v>1449</v>
      </c>
      <c r="E297">
        <v>39598</v>
      </c>
      <c r="F297">
        <v>41264</v>
      </c>
      <c r="G297">
        <v>42848</v>
      </c>
      <c r="H297">
        <v>42506</v>
      </c>
      <c r="I297">
        <v>43127</v>
      </c>
      <c r="J297">
        <v>45252</v>
      </c>
      <c r="K297">
        <v>45918</v>
      </c>
      <c r="L297">
        <v>48183</v>
      </c>
      <c r="M297">
        <v>49277</v>
      </c>
      <c r="N297">
        <v>51286</v>
      </c>
      <c r="O297">
        <v>55699</v>
      </c>
      <c r="P297">
        <v>58261</v>
      </c>
      <c r="Q297">
        <v>58731</v>
      </c>
      <c r="R297">
        <v>61762</v>
      </c>
    </row>
    <row r="298" spans="1:18">
      <c r="A298">
        <v>40420</v>
      </c>
      <c r="B298" t="s">
        <v>604</v>
      </c>
      <c r="C298" t="s">
        <v>1448</v>
      </c>
      <c r="D298" t="s">
        <v>1449</v>
      </c>
      <c r="E298">
        <v>33747</v>
      </c>
      <c r="F298">
        <v>35109</v>
      </c>
      <c r="G298">
        <v>36065</v>
      </c>
      <c r="H298">
        <v>36946</v>
      </c>
      <c r="I298">
        <v>37887</v>
      </c>
      <c r="J298">
        <v>39524</v>
      </c>
      <c r="K298">
        <v>39732</v>
      </c>
      <c r="L298">
        <v>41467</v>
      </c>
      <c r="M298">
        <v>43237</v>
      </c>
      <c r="N298">
        <v>43907</v>
      </c>
      <c r="O298">
        <v>47337</v>
      </c>
      <c r="P298">
        <v>51191</v>
      </c>
      <c r="Q298">
        <v>51869</v>
      </c>
      <c r="R298">
        <v>54249</v>
      </c>
    </row>
    <row r="299" spans="1:18">
      <c r="A299">
        <v>40580</v>
      </c>
      <c r="B299" t="s">
        <v>605</v>
      </c>
      <c r="C299" t="s">
        <v>1448</v>
      </c>
      <c r="D299" t="s">
        <v>1449</v>
      </c>
      <c r="E299">
        <v>31818</v>
      </c>
      <c r="F299">
        <v>32614</v>
      </c>
      <c r="G299">
        <v>33833</v>
      </c>
      <c r="H299">
        <v>33337</v>
      </c>
      <c r="I299">
        <v>34901</v>
      </c>
      <c r="J299">
        <v>35940</v>
      </c>
      <c r="K299">
        <v>36384</v>
      </c>
      <c r="L299">
        <v>37593</v>
      </c>
      <c r="M299">
        <v>39195</v>
      </c>
      <c r="N299">
        <v>41435</v>
      </c>
      <c r="O299">
        <v>44549</v>
      </c>
      <c r="P299">
        <v>48221</v>
      </c>
      <c r="Q299">
        <v>48929</v>
      </c>
      <c r="R299">
        <v>51308</v>
      </c>
    </row>
    <row r="300" spans="1:18">
      <c r="A300">
        <v>40660</v>
      </c>
      <c r="B300" t="s">
        <v>606</v>
      </c>
      <c r="C300" t="s">
        <v>1448</v>
      </c>
      <c r="D300" t="s">
        <v>1449</v>
      </c>
      <c r="E300">
        <v>30231</v>
      </c>
      <c r="F300">
        <v>31195</v>
      </c>
      <c r="G300">
        <v>31547</v>
      </c>
      <c r="H300">
        <v>31802</v>
      </c>
      <c r="I300">
        <v>33374</v>
      </c>
      <c r="J300">
        <v>34748</v>
      </c>
      <c r="K300">
        <v>35514</v>
      </c>
      <c r="L300">
        <v>36165</v>
      </c>
      <c r="M300">
        <v>37439</v>
      </c>
      <c r="N300">
        <v>38724</v>
      </c>
      <c r="O300">
        <v>40857</v>
      </c>
      <c r="P300">
        <v>44177</v>
      </c>
      <c r="Q300">
        <v>44332</v>
      </c>
      <c r="R300">
        <v>46727</v>
      </c>
    </row>
    <row r="301" spans="1:18">
      <c r="A301">
        <v>40900</v>
      </c>
      <c r="B301" t="s">
        <v>607</v>
      </c>
      <c r="C301" t="s">
        <v>1448</v>
      </c>
      <c r="D301" t="s">
        <v>1449</v>
      </c>
      <c r="E301">
        <v>40802</v>
      </c>
      <c r="F301">
        <v>42471</v>
      </c>
      <c r="G301">
        <v>43779</v>
      </c>
      <c r="H301">
        <v>44734</v>
      </c>
      <c r="I301">
        <v>46743</v>
      </c>
      <c r="J301">
        <v>49286</v>
      </c>
      <c r="K301">
        <v>50659</v>
      </c>
      <c r="L301">
        <v>52134</v>
      </c>
      <c r="M301">
        <v>54155</v>
      </c>
      <c r="N301">
        <v>56671</v>
      </c>
      <c r="O301">
        <v>61803</v>
      </c>
      <c r="P301">
        <v>66588</v>
      </c>
      <c r="Q301">
        <v>66642</v>
      </c>
      <c r="R301">
        <v>70418</v>
      </c>
    </row>
    <row r="302" spans="1:18">
      <c r="A302">
        <v>40980</v>
      </c>
      <c r="B302" t="s">
        <v>608</v>
      </c>
      <c r="C302" t="s">
        <v>1448</v>
      </c>
      <c r="D302" t="s">
        <v>1449</v>
      </c>
      <c r="E302">
        <v>30545</v>
      </c>
      <c r="F302">
        <v>31901</v>
      </c>
      <c r="G302">
        <v>32230</v>
      </c>
      <c r="H302">
        <v>32926</v>
      </c>
      <c r="I302">
        <v>33798</v>
      </c>
      <c r="J302">
        <v>35384</v>
      </c>
      <c r="K302">
        <v>36315</v>
      </c>
      <c r="L302">
        <v>37044</v>
      </c>
      <c r="M302">
        <v>39522</v>
      </c>
      <c r="N302">
        <v>40852</v>
      </c>
      <c r="O302">
        <v>45597</v>
      </c>
      <c r="P302">
        <v>48903</v>
      </c>
      <c r="Q302">
        <v>48088</v>
      </c>
      <c r="R302">
        <v>50278</v>
      </c>
    </row>
    <row r="303" spans="1:18">
      <c r="A303">
        <v>41060</v>
      </c>
      <c r="B303" t="s">
        <v>609</v>
      </c>
      <c r="C303" t="s">
        <v>1448</v>
      </c>
      <c r="D303" t="s">
        <v>1449</v>
      </c>
      <c r="E303">
        <v>34404</v>
      </c>
      <c r="F303">
        <v>36975</v>
      </c>
      <c r="G303">
        <v>38666</v>
      </c>
      <c r="H303">
        <v>39614</v>
      </c>
      <c r="I303">
        <v>41606</v>
      </c>
      <c r="J303">
        <v>42371</v>
      </c>
      <c r="K303">
        <v>42506</v>
      </c>
      <c r="L303">
        <v>44460</v>
      </c>
      <c r="M303">
        <v>46046</v>
      </c>
      <c r="N303">
        <v>47833</v>
      </c>
      <c r="O303">
        <v>52474</v>
      </c>
      <c r="P303">
        <v>57754</v>
      </c>
      <c r="Q303">
        <v>59713</v>
      </c>
      <c r="R303">
        <v>61633</v>
      </c>
    </row>
    <row r="304" spans="1:18">
      <c r="A304">
        <v>41100</v>
      </c>
      <c r="B304" t="s">
        <v>610</v>
      </c>
      <c r="C304" t="s">
        <v>1448</v>
      </c>
      <c r="D304" t="s">
        <v>1449</v>
      </c>
      <c r="E304">
        <v>26218</v>
      </c>
      <c r="F304">
        <v>26919</v>
      </c>
      <c r="G304">
        <v>28208</v>
      </c>
      <c r="H304">
        <v>29397</v>
      </c>
      <c r="I304">
        <v>30986</v>
      </c>
      <c r="J304">
        <v>32898</v>
      </c>
      <c r="K304">
        <v>34953</v>
      </c>
      <c r="L304">
        <v>37324</v>
      </c>
      <c r="M304">
        <v>40070</v>
      </c>
      <c r="N304">
        <v>42336</v>
      </c>
      <c r="O304">
        <v>45342</v>
      </c>
      <c r="P304">
        <v>50741</v>
      </c>
      <c r="Q304">
        <v>51650</v>
      </c>
      <c r="R304">
        <v>54405</v>
      </c>
    </row>
    <row r="305" spans="1:18">
      <c r="A305">
        <v>41140</v>
      </c>
      <c r="B305" t="s">
        <v>611</v>
      </c>
      <c r="C305" t="s">
        <v>1448</v>
      </c>
      <c r="D305" t="s">
        <v>1449</v>
      </c>
      <c r="E305">
        <v>31235</v>
      </c>
      <c r="F305">
        <v>33138</v>
      </c>
      <c r="G305">
        <v>34049</v>
      </c>
      <c r="H305">
        <v>34827</v>
      </c>
      <c r="I305">
        <v>35325</v>
      </c>
      <c r="J305">
        <v>35907</v>
      </c>
      <c r="K305">
        <v>36440</v>
      </c>
      <c r="L305">
        <v>37565</v>
      </c>
      <c r="M305">
        <v>38084</v>
      </c>
      <c r="N305">
        <v>40518</v>
      </c>
      <c r="O305">
        <v>43538</v>
      </c>
      <c r="P305">
        <v>46696</v>
      </c>
      <c r="Q305">
        <v>48646</v>
      </c>
      <c r="R305">
        <v>51612</v>
      </c>
    </row>
    <row r="306" spans="1:18">
      <c r="A306">
        <v>41180</v>
      </c>
      <c r="B306" t="s">
        <v>612</v>
      </c>
      <c r="C306" t="s">
        <v>1448</v>
      </c>
      <c r="D306" t="s">
        <v>1449</v>
      </c>
      <c r="E306">
        <v>42571</v>
      </c>
      <c r="F306">
        <v>43983</v>
      </c>
      <c r="G306">
        <v>46411</v>
      </c>
      <c r="H306">
        <v>45880</v>
      </c>
      <c r="I306">
        <v>47365</v>
      </c>
      <c r="J306">
        <v>49025</v>
      </c>
      <c r="K306">
        <v>50748</v>
      </c>
      <c r="L306">
        <v>51653</v>
      </c>
      <c r="M306">
        <v>54637</v>
      </c>
      <c r="N306">
        <v>56758</v>
      </c>
      <c r="O306">
        <v>61208</v>
      </c>
      <c r="P306">
        <v>67489</v>
      </c>
      <c r="Q306">
        <v>70837</v>
      </c>
      <c r="R306">
        <v>75577</v>
      </c>
    </row>
    <row r="307" spans="1:18">
      <c r="A307">
        <v>41420</v>
      </c>
      <c r="B307" t="s">
        <v>613</v>
      </c>
      <c r="C307" t="s">
        <v>1448</v>
      </c>
      <c r="D307" t="s">
        <v>1449</v>
      </c>
      <c r="E307">
        <v>31353</v>
      </c>
      <c r="F307">
        <v>32178</v>
      </c>
      <c r="G307">
        <v>33068</v>
      </c>
      <c r="H307">
        <v>33523</v>
      </c>
      <c r="I307">
        <v>35464</v>
      </c>
      <c r="J307">
        <v>37496</v>
      </c>
      <c r="K307">
        <v>38704</v>
      </c>
      <c r="L307">
        <v>40173</v>
      </c>
      <c r="M307">
        <v>42028</v>
      </c>
      <c r="N307">
        <v>44270</v>
      </c>
      <c r="O307">
        <v>48325</v>
      </c>
      <c r="P307">
        <v>53543</v>
      </c>
      <c r="Q307">
        <v>54703</v>
      </c>
      <c r="R307">
        <v>57774</v>
      </c>
    </row>
    <row r="308" spans="1:18">
      <c r="A308">
        <v>41500</v>
      </c>
      <c r="B308" t="s">
        <v>614</v>
      </c>
      <c r="C308" t="s">
        <v>1448</v>
      </c>
      <c r="D308" t="s">
        <v>1449</v>
      </c>
      <c r="E308">
        <v>41004</v>
      </c>
      <c r="F308">
        <v>41452</v>
      </c>
      <c r="G308">
        <v>42873</v>
      </c>
      <c r="H308">
        <v>44355</v>
      </c>
      <c r="I308">
        <v>46374</v>
      </c>
      <c r="J308">
        <v>49757</v>
      </c>
      <c r="K308">
        <v>50839</v>
      </c>
      <c r="L308">
        <v>51861</v>
      </c>
      <c r="M308">
        <v>52346</v>
      </c>
      <c r="N308">
        <v>55672</v>
      </c>
      <c r="O308">
        <v>60598</v>
      </c>
      <c r="P308">
        <v>64975</v>
      </c>
      <c r="Q308">
        <v>65331</v>
      </c>
      <c r="R308">
        <v>68943</v>
      </c>
    </row>
    <row r="309" spans="1:18">
      <c r="A309">
        <v>41540</v>
      </c>
      <c r="B309" t="s">
        <v>615</v>
      </c>
      <c r="C309" t="s">
        <v>1448</v>
      </c>
      <c r="D309" t="s">
        <v>1449</v>
      </c>
      <c r="E309">
        <v>36205</v>
      </c>
      <c r="F309">
        <v>37745</v>
      </c>
      <c r="G309">
        <v>38859</v>
      </c>
      <c r="H309">
        <v>40380</v>
      </c>
      <c r="I309">
        <v>42216</v>
      </c>
      <c r="J309">
        <v>45030</v>
      </c>
      <c r="K309">
        <v>45081</v>
      </c>
      <c r="L309">
        <v>46584</v>
      </c>
      <c r="M309">
        <v>48158</v>
      </c>
      <c r="N309">
        <v>49842</v>
      </c>
      <c r="O309">
        <v>52131</v>
      </c>
      <c r="P309">
        <v>57318</v>
      </c>
      <c r="Q309">
        <v>60590</v>
      </c>
      <c r="R309">
        <v>62081</v>
      </c>
    </row>
    <row r="310" spans="1:18">
      <c r="A310">
        <v>41620</v>
      </c>
      <c r="B310" t="s">
        <v>616</v>
      </c>
      <c r="C310" t="s">
        <v>1448</v>
      </c>
      <c r="D310" t="s">
        <v>1449</v>
      </c>
      <c r="E310">
        <v>35696</v>
      </c>
      <c r="F310">
        <v>37864</v>
      </c>
      <c r="G310">
        <v>39632</v>
      </c>
      <c r="H310">
        <v>40082</v>
      </c>
      <c r="I310">
        <v>41677</v>
      </c>
      <c r="J310">
        <v>44347</v>
      </c>
      <c r="K310">
        <v>45734</v>
      </c>
      <c r="L310">
        <v>47502</v>
      </c>
      <c r="M310">
        <v>50006</v>
      </c>
      <c r="N310">
        <v>52194</v>
      </c>
      <c r="O310">
        <v>56370</v>
      </c>
      <c r="P310">
        <v>63510</v>
      </c>
      <c r="Q310">
        <v>66506</v>
      </c>
      <c r="R310">
        <v>70395</v>
      </c>
    </row>
    <row r="311" spans="1:18">
      <c r="A311">
        <v>41660</v>
      </c>
      <c r="B311" t="s">
        <v>617</v>
      </c>
      <c r="C311" t="s">
        <v>1448</v>
      </c>
      <c r="D311" t="s">
        <v>1449</v>
      </c>
      <c r="E311">
        <v>37849</v>
      </c>
      <c r="F311">
        <v>39684</v>
      </c>
      <c r="G311">
        <v>41407</v>
      </c>
      <c r="H311">
        <v>42090</v>
      </c>
      <c r="I311">
        <v>45658</v>
      </c>
      <c r="J311">
        <v>43342</v>
      </c>
      <c r="K311">
        <v>41844</v>
      </c>
      <c r="L311">
        <v>44407</v>
      </c>
      <c r="M311">
        <v>48558</v>
      </c>
      <c r="N311">
        <v>51900</v>
      </c>
      <c r="O311">
        <v>55453</v>
      </c>
      <c r="P311">
        <v>59864</v>
      </c>
      <c r="Q311">
        <v>61157</v>
      </c>
      <c r="R311">
        <v>65650</v>
      </c>
    </row>
    <row r="312" spans="1:18">
      <c r="A312">
        <v>41700</v>
      </c>
      <c r="B312" t="s">
        <v>618</v>
      </c>
      <c r="C312" t="s">
        <v>1448</v>
      </c>
      <c r="D312" t="s">
        <v>1449</v>
      </c>
      <c r="E312">
        <v>36557</v>
      </c>
      <c r="F312">
        <v>39125</v>
      </c>
      <c r="G312">
        <v>39774</v>
      </c>
      <c r="H312">
        <v>40750</v>
      </c>
      <c r="I312">
        <v>43198</v>
      </c>
      <c r="J312">
        <v>43712</v>
      </c>
      <c r="K312">
        <v>43637</v>
      </c>
      <c r="L312">
        <v>45480</v>
      </c>
      <c r="M312">
        <v>47816</v>
      </c>
      <c r="N312">
        <v>48251</v>
      </c>
      <c r="O312">
        <v>49823</v>
      </c>
      <c r="P312">
        <v>53978</v>
      </c>
      <c r="Q312">
        <v>56592</v>
      </c>
      <c r="R312">
        <v>59477</v>
      </c>
    </row>
    <row r="313" spans="1:18">
      <c r="A313">
        <v>41740</v>
      </c>
      <c r="B313" t="s">
        <v>619</v>
      </c>
      <c r="C313" t="s">
        <v>1448</v>
      </c>
      <c r="D313" t="s">
        <v>1449</v>
      </c>
      <c r="E313">
        <v>43889</v>
      </c>
      <c r="F313">
        <v>46113</v>
      </c>
      <c r="G313">
        <v>47700</v>
      </c>
      <c r="H313">
        <v>48645</v>
      </c>
      <c r="I313">
        <v>50915</v>
      </c>
      <c r="J313">
        <v>53357</v>
      </c>
      <c r="K313">
        <v>55074</v>
      </c>
      <c r="L313">
        <v>56969</v>
      </c>
      <c r="M313">
        <v>59014</v>
      </c>
      <c r="N313">
        <v>62047</v>
      </c>
      <c r="O313">
        <v>67569</v>
      </c>
      <c r="P313">
        <v>73084</v>
      </c>
      <c r="Q313">
        <v>74476</v>
      </c>
      <c r="R313">
        <v>79122</v>
      </c>
    </row>
    <row r="314" spans="1:18">
      <c r="A314">
        <v>41860</v>
      </c>
      <c r="B314" t="s">
        <v>620</v>
      </c>
      <c r="C314" t="s">
        <v>1448</v>
      </c>
      <c r="D314" t="s">
        <v>1449</v>
      </c>
      <c r="E314">
        <v>60501</v>
      </c>
      <c r="F314">
        <v>64480</v>
      </c>
      <c r="G314">
        <v>68904</v>
      </c>
      <c r="H314">
        <v>69370</v>
      </c>
      <c r="I314">
        <v>73673</v>
      </c>
      <c r="J314">
        <v>79560</v>
      </c>
      <c r="K314">
        <v>83812</v>
      </c>
      <c r="L314">
        <v>89560</v>
      </c>
      <c r="M314">
        <v>95972</v>
      </c>
      <c r="N314">
        <v>99888</v>
      </c>
      <c r="O314">
        <v>108866</v>
      </c>
      <c r="P314">
        <v>123973</v>
      </c>
      <c r="Q314">
        <v>123152</v>
      </c>
      <c r="R314">
        <v>130730</v>
      </c>
    </row>
    <row r="315" spans="1:18">
      <c r="A315">
        <v>41940</v>
      </c>
      <c r="B315" t="s">
        <v>621</v>
      </c>
      <c r="C315" t="s">
        <v>1448</v>
      </c>
      <c r="D315" t="s">
        <v>1449</v>
      </c>
      <c r="E315">
        <v>60111</v>
      </c>
      <c r="F315">
        <v>64821</v>
      </c>
      <c r="G315">
        <v>70679</v>
      </c>
      <c r="H315">
        <v>70632</v>
      </c>
      <c r="I315">
        <v>75972</v>
      </c>
      <c r="J315">
        <v>82603</v>
      </c>
      <c r="K315">
        <v>88801</v>
      </c>
      <c r="L315">
        <v>96174</v>
      </c>
      <c r="M315">
        <v>104834</v>
      </c>
      <c r="N315">
        <v>110756</v>
      </c>
      <c r="O315">
        <v>119863</v>
      </c>
      <c r="P315">
        <v>141146</v>
      </c>
      <c r="Q315">
        <v>139912</v>
      </c>
      <c r="R315">
        <v>148036</v>
      </c>
    </row>
    <row r="316" spans="1:18">
      <c r="A316">
        <v>42020</v>
      </c>
      <c r="B316" t="s">
        <v>622</v>
      </c>
      <c r="C316" t="s">
        <v>1448</v>
      </c>
      <c r="D316" t="s">
        <v>1449</v>
      </c>
      <c r="E316">
        <v>40064</v>
      </c>
      <c r="F316">
        <v>42219</v>
      </c>
      <c r="G316">
        <v>43666</v>
      </c>
      <c r="H316">
        <v>44771</v>
      </c>
      <c r="I316">
        <v>47054</v>
      </c>
      <c r="J316">
        <v>49914</v>
      </c>
      <c r="K316">
        <v>51118</v>
      </c>
      <c r="L316">
        <v>53626</v>
      </c>
      <c r="M316">
        <v>55473</v>
      </c>
      <c r="N316">
        <v>59012</v>
      </c>
      <c r="O316">
        <v>63129</v>
      </c>
      <c r="P316">
        <v>68378</v>
      </c>
      <c r="Q316">
        <v>68364</v>
      </c>
      <c r="R316">
        <v>72721</v>
      </c>
    </row>
    <row r="317" spans="1:18">
      <c r="A317">
        <v>42100</v>
      </c>
      <c r="B317" t="s">
        <v>623</v>
      </c>
      <c r="C317" t="s">
        <v>1448</v>
      </c>
      <c r="D317" t="s">
        <v>1449</v>
      </c>
      <c r="E317">
        <v>48843</v>
      </c>
      <c r="F317">
        <v>49290</v>
      </c>
      <c r="G317">
        <v>51725</v>
      </c>
      <c r="H317">
        <v>52252</v>
      </c>
      <c r="I317">
        <v>54072</v>
      </c>
      <c r="J317">
        <v>56902</v>
      </c>
      <c r="K317">
        <v>58504</v>
      </c>
      <c r="L317">
        <v>62065</v>
      </c>
      <c r="M317">
        <v>64845</v>
      </c>
      <c r="N317">
        <v>69402</v>
      </c>
      <c r="O317">
        <v>77231</v>
      </c>
      <c r="P317">
        <v>88329</v>
      </c>
      <c r="Q317">
        <v>83277</v>
      </c>
      <c r="R317">
        <v>88581</v>
      </c>
    </row>
    <row r="318" spans="1:18">
      <c r="A318">
        <v>42140</v>
      </c>
      <c r="B318" t="s">
        <v>624</v>
      </c>
      <c r="C318" t="s">
        <v>1448</v>
      </c>
      <c r="D318" t="s">
        <v>1449</v>
      </c>
      <c r="E318">
        <v>43645</v>
      </c>
      <c r="F318">
        <v>45598</v>
      </c>
      <c r="G318">
        <v>47210</v>
      </c>
      <c r="H318">
        <v>46633</v>
      </c>
      <c r="I318">
        <v>50413</v>
      </c>
      <c r="J318">
        <v>51000</v>
      </c>
      <c r="K318">
        <v>53593</v>
      </c>
      <c r="L318">
        <v>54097</v>
      </c>
      <c r="M318">
        <v>57191</v>
      </c>
      <c r="N318">
        <v>60880</v>
      </c>
      <c r="O318">
        <v>63443</v>
      </c>
      <c r="P318">
        <v>70477</v>
      </c>
      <c r="Q318">
        <v>72932</v>
      </c>
      <c r="R318">
        <v>77717</v>
      </c>
    </row>
    <row r="319" spans="1:18">
      <c r="A319">
        <v>42200</v>
      </c>
      <c r="B319" t="s">
        <v>625</v>
      </c>
      <c r="C319" t="s">
        <v>1448</v>
      </c>
      <c r="D319" t="s">
        <v>1449</v>
      </c>
      <c r="E319">
        <v>45155</v>
      </c>
      <c r="F319">
        <v>47840</v>
      </c>
      <c r="G319">
        <v>49987</v>
      </c>
      <c r="H319">
        <v>49091</v>
      </c>
      <c r="I319">
        <v>51447</v>
      </c>
      <c r="J319">
        <v>54318</v>
      </c>
      <c r="K319">
        <v>54873</v>
      </c>
      <c r="L319">
        <v>57012</v>
      </c>
      <c r="M319">
        <v>59649</v>
      </c>
      <c r="N319">
        <v>62388</v>
      </c>
      <c r="O319">
        <v>68907</v>
      </c>
      <c r="P319">
        <v>76392</v>
      </c>
      <c r="Q319">
        <v>77419</v>
      </c>
      <c r="R319">
        <v>82736</v>
      </c>
    </row>
    <row r="320" spans="1:18">
      <c r="A320">
        <v>42220</v>
      </c>
      <c r="B320" t="s">
        <v>626</v>
      </c>
      <c r="C320" t="s">
        <v>1448</v>
      </c>
      <c r="D320" t="s">
        <v>1449</v>
      </c>
      <c r="E320">
        <v>42813</v>
      </c>
      <c r="F320">
        <v>44462</v>
      </c>
      <c r="G320">
        <v>46251</v>
      </c>
      <c r="H320">
        <v>47527</v>
      </c>
      <c r="I320">
        <v>49836</v>
      </c>
      <c r="J320">
        <v>53594</v>
      </c>
      <c r="K320">
        <v>55513</v>
      </c>
      <c r="L320">
        <v>57858</v>
      </c>
      <c r="M320">
        <v>61066</v>
      </c>
      <c r="N320">
        <v>65887</v>
      </c>
      <c r="O320">
        <v>72601</v>
      </c>
      <c r="P320">
        <v>78100</v>
      </c>
      <c r="Q320">
        <v>78660</v>
      </c>
      <c r="R320">
        <v>83408</v>
      </c>
    </row>
    <row r="321" spans="1:18">
      <c r="A321">
        <v>42340</v>
      </c>
      <c r="B321" t="s">
        <v>627</v>
      </c>
      <c r="C321" t="s">
        <v>1448</v>
      </c>
      <c r="D321" t="s">
        <v>1449</v>
      </c>
      <c r="E321">
        <v>37928</v>
      </c>
      <c r="F321">
        <v>39814</v>
      </c>
      <c r="G321">
        <v>39662</v>
      </c>
      <c r="H321">
        <v>39637</v>
      </c>
      <c r="I321">
        <v>40805</v>
      </c>
      <c r="J321">
        <v>42199</v>
      </c>
      <c r="K321">
        <v>42326</v>
      </c>
      <c r="L321">
        <v>44069</v>
      </c>
      <c r="M321">
        <v>45749</v>
      </c>
      <c r="N321">
        <v>46482</v>
      </c>
      <c r="O321">
        <v>50420</v>
      </c>
      <c r="P321">
        <v>55129</v>
      </c>
      <c r="Q321">
        <v>55573</v>
      </c>
      <c r="R321">
        <v>58046</v>
      </c>
    </row>
    <row r="322" spans="1:18">
      <c r="A322">
        <v>42540</v>
      </c>
      <c r="B322" t="s">
        <v>628</v>
      </c>
      <c r="C322" t="s">
        <v>1448</v>
      </c>
      <c r="D322" t="s">
        <v>1449</v>
      </c>
      <c r="E322">
        <v>36282</v>
      </c>
      <c r="F322">
        <v>37436</v>
      </c>
      <c r="G322">
        <v>37945</v>
      </c>
      <c r="H322">
        <v>37717</v>
      </c>
      <c r="I322">
        <v>38823</v>
      </c>
      <c r="J322">
        <v>40341</v>
      </c>
      <c r="K322">
        <v>41431</v>
      </c>
      <c r="L322">
        <v>42185</v>
      </c>
      <c r="M322">
        <v>44020</v>
      </c>
      <c r="N322">
        <v>45429</v>
      </c>
      <c r="O322">
        <v>49839</v>
      </c>
      <c r="P322">
        <v>52617</v>
      </c>
      <c r="Q322">
        <v>52467</v>
      </c>
      <c r="R322">
        <v>54826</v>
      </c>
    </row>
    <row r="323" spans="1:18">
      <c r="A323">
        <v>42660</v>
      </c>
      <c r="B323" t="s">
        <v>629</v>
      </c>
      <c r="C323" t="s">
        <v>1448</v>
      </c>
      <c r="D323" t="s">
        <v>1449</v>
      </c>
      <c r="E323">
        <v>48456</v>
      </c>
      <c r="F323">
        <v>50948</v>
      </c>
      <c r="G323">
        <v>54971</v>
      </c>
      <c r="H323">
        <v>55606</v>
      </c>
      <c r="I323">
        <v>59429</v>
      </c>
      <c r="J323">
        <v>62060</v>
      </c>
      <c r="K323">
        <v>64639</v>
      </c>
      <c r="L323">
        <v>68086</v>
      </c>
      <c r="M323">
        <v>72181</v>
      </c>
      <c r="N323">
        <v>76794</v>
      </c>
      <c r="O323">
        <v>81697</v>
      </c>
      <c r="P323">
        <v>89358</v>
      </c>
      <c r="Q323">
        <v>92291</v>
      </c>
      <c r="R323">
        <v>99339</v>
      </c>
    </row>
    <row r="324" spans="1:18">
      <c r="A324">
        <v>42680</v>
      </c>
      <c r="B324" t="s">
        <v>630</v>
      </c>
      <c r="C324" t="s">
        <v>1448</v>
      </c>
      <c r="D324" t="s">
        <v>1449</v>
      </c>
      <c r="E324">
        <v>52998</v>
      </c>
      <c r="F324">
        <v>57762</v>
      </c>
      <c r="G324">
        <v>60614</v>
      </c>
      <c r="H324">
        <v>60102</v>
      </c>
      <c r="I324">
        <v>64867</v>
      </c>
      <c r="J324">
        <v>67278</v>
      </c>
      <c r="K324">
        <v>70156</v>
      </c>
      <c r="L324">
        <v>73948</v>
      </c>
      <c r="M324">
        <v>79919</v>
      </c>
      <c r="N324">
        <v>83775</v>
      </c>
      <c r="O324">
        <v>87164</v>
      </c>
      <c r="P324">
        <v>96551</v>
      </c>
      <c r="Q324">
        <v>97627</v>
      </c>
      <c r="R324">
        <v>105827</v>
      </c>
    </row>
    <row r="325" spans="1:18">
      <c r="A325">
        <v>42700</v>
      </c>
      <c r="B325" t="s">
        <v>631</v>
      </c>
      <c r="C325" t="s">
        <v>1448</v>
      </c>
      <c r="D325" t="s">
        <v>1449</v>
      </c>
      <c r="E325">
        <v>29075</v>
      </c>
      <c r="F325">
        <v>29929</v>
      </c>
      <c r="G325">
        <v>30471</v>
      </c>
      <c r="H325">
        <v>30197</v>
      </c>
      <c r="I325">
        <v>31006</v>
      </c>
      <c r="J325">
        <v>32100</v>
      </c>
      <c r="K325">
        <v>32557</v>
      </c>
      <c r="L325">
        <v>33702</v>
      </c>
      <c r="M325">
        <v>34077</v>
      </c>
      <c r="N325">
        <v>35979</v>
      </c>
      <c r="O325">
        <v>38625</v>
      </c>
      <c r="P325">
        <v>41497</v>
      </c>
      <c r="Q325">
        <v>41476</v>
      </c>
      <c r="R325">
        <v>44177</v>
      </c>
    </row>
    <row r="326" spans="1:18">
      <c r="A326">
        <v>43100</v>
      </c>
      <c r="B326" t="s">
        <v>632</v>
      </c>
      <c r="C326" t="s">
        <v>1448</v>
      </c>
      <c r="D326" t="s">
        <v>1449</v>
      </c>
      <c r="E326">
        <v>38771</v>
      </c>
      <c r="F326">
        <v>40879</v>
      </c>
      <c r="G326">
        <v>43386</v>
      </c>
      <c r="H326">
        <v>42575</v>
      </c>
      <c r="I326">
        <v>44213</v>
      </c>
      <c r="J326">
        <v>45893</v>
      </c>
      <c r="K326">
        <v>46478</v>
      </c>
      <c r="L326">
        <v>48928</v>
      </c>
      <c r="M326">
        <v>51168</v>
      </c>
      <c r="N326">
        <v>51973</v>
      </c>
      <c r="O326">
        <v>55038</v>
      </c>
      <c r="P326">
        <v>58795</v>
      </c>
      <c r="Q326">
        <v>60511</v>
      </c>
      <c r="R326">
        <v>63878</v>
      </c>
    </row>
    <row r="327" spans="1:18">
      <c r="A327">
        <v>43300</v>
      </c>
      <c r="B327" t="s">
        <v>633</v>
      </c>
      <c r="C327" t="s">
        <v>1448</v>
      </c>
      <c r="D327" t="s">
        <v>1449</v>
      </c>
      <c r="E327">
        <v>32995</v>
      </c>
      <c r="F327">
        <v>34672</v>
      </c>
      <c r="G327">
        <v>36163</v>
      </c>
      <c r="H327">
        <v>36845</v>
      </c>
      <c r="I327">
        <v>38595</v>
      </c>
      <c r="J327">
        <v>39374</v>
      </c>
      <c r="K327">
        <v>40679</v>
      </c>
      <c r="L327">
        <v>41451</v>
      </c>
      <c r="M327">
        <v>43341</v>
      </c>
      <c r="N327">
        <v>45430</v>
      </c>
      <c r="O327">
        <v>48109</v>
      </c>
      <c r="P327">
        <v>52462</v>
      </c>
      <c r="Q327">
        <v>53088</v>
      </c>
      <c r="R327">
        <v>55946</v>
      </c>
    </row>
    <row r="328" spans="1:18">
      <c r="A328">
        <v>43340</v>
      </c>
      <c r="B328" t="s">
        <v>634</v>
      </c>
      <c r="C328" t="s">
        <v>1448</v>
      </c>
      <c r="D328" t="s">
        <v>1449</v>
      </c>
      <c r="E328">
        <v>40001</v>
      </c>
      <c r="F328">
        <v>40754</v>
      </c>
      <c r="G328">
        <v>41363</v>
      </c>
      <c r="H328">
        <v>41625</v>
      </c>
      <c r="I328">
        <v>43196</v>
      </c>
      <c r="J328">
        <v>42859</v>
      </c>
      <c r="K328">
        <v>42379</v>
      </c>
      <c r="L328">
        <v>43235</v>
      </c>
      <c r="M328">
        <v>46080</v>
      </c>
      <c r="N328">
        <v>47046</v>
      </c>
      <c r="O328">
        <v>51965</v>
      </c>
      <c r="P328">
        <v>55609</v>
      </c>
      <c r="Q328">
        <v>58177</v>
      </c>
      <c r="R328">
        <v>61150</v>
      </c>
    </row>
    <row r="329" spans="1:18">
      <c r="A329">
        <v>43420</v>
      </c>
      <c r="B329" t="s">
        <v>635</v>
      </c>
      <c r="C329" t="s">
        <v>1448</v>
      </c>
      <c r="D329" t="s">
        <v>1449</v>
      </c>
      <c r="E329">
        <v>34678</v>
      </c>
      <c r="F329">
        <v>35407</v>
      </c>
      <c r="G329">
        <v>34581</v>
      </c>
      <c r="H329">
        <v>34436</v>
      </c>
      <c r="I329">
        <v>35360</v>
      </c>
      <c r="J329">
        <v>36659</v>
      </c>
      <c r="K329">
        <v>37190</v>
      </c>
      <c r="L329">
        <v>38920</v>
      </c>
      <c r="M329">
        <v>39635</v>
      </c>
      <c r="N329">
        <v>41303</v>
      </c>
      <c r="O329">
        <v>46814</v>
      </c>
      <c r="P329">
        <v>49715</v>
      </c>
      <c r="Q329">
        <v>50530</v>
      </c>
      <c r="R329">
        <v>53304</v>
      </c>
    </row>
    <row r="330" spans="1:18">
      <c r="A330">
        <v>43580</v>
      </c>
      <c r="B330" t="s">
        <v>636</v>
      </c>
      <c r="C330" t="s">
        <v>1448</v>
      </c>
      <c r="D330" t="s">
        <v>1449</v>
      </c>
      <c r="E330">
        <v>40867</v>
      </c>
      <c r="F330">
        <v>40084</v>
      </c>
      <c r="G330">
        <v>41048</v>
      </c>
      <c r="H330">
        <v>40389</v>
      </c>
      <c r="I330">
        <v>42208</v>
      </c>
      <c r="J330">
        <v>44784</v>
      </c>
      <c r="K330">
        <v>45322</v>
      </c>
      <c r="L330">
        <v>45897</v>
      </c>
      <c r="M330">
        <v>48443</v>
      </c>
      <c r="N330">
        <v>51232</v>
      </c>
      <c r="O330">
        <v>53558</v>
      </c>
      <c r="P330">
        <v>58238</v>
      </c>
      <c r="Q330">
        <v>62415</v>
      </c>
      <c r="R330">
        <v>65153</v>
      </c>
    </row>
    <row r="331" spans="1:18">
      <c r="A331">
        <v>43620</v>
      </c>
      <c r="B331" t="s">
        <v>637</v>
      </c>
      <c r="C331" t="s">
        <v>1448</v>
      </c>
      <c r="D331" t="s">
        <v>1449</v>
      </c>
      <c r="E331">
        <v>46435</v>
      </c>
      <c r="F331">
        <v>47283</v>
      </c>
      <c r="G331">
        <v>49275</v>
      </c>
      <c r="H331">
        <v>47611</v>
      </c>
      <c r="I331">
        <v>50875</v>
      </c>
      <c r="J331">
        <v>54178</v>
      </c>
      <c r="K331">
        <v>55137</v>
      </c>
      <c r="L331">
        <v>56479</v>
      </c>
      <c r="M331">
        <v>58529</v>
      </c>
      <c r="N331">
        <v>62721</v>
      </c>
      <c r="O331">
        <v>66572</v>
      </c>
      <c r="P331">
        <v>74342</v>
      </c>
      <c r="Q331">
        <v>75314</v>
      </c>
      <c r="R331">
        <v>78354</v>
      </c>
    </row>
    <row r="332" spans="1:18">
      <c r="A332">
        <v>43780</v>
      </c>
      <c r="B332" t="s">
        <v>638</v>
      </c>
      <c r="C332" t="s">
        <v>1448</v>
      </c>
      <c r="D332" t="s">
        <v>1449</v>
      </c>
      <c r="E332">
        <v>34397</v>
      </c>
      <c r="F332">
        <v>36492</v>
      </c>
      <c r="G332">
        <v>37942</v>
      </c>
      <c r="H332">
        <v>38384</v>
      </c>
      <c r="I332">
        <v>39987</v>
      </c>
      <c r="J332">
        <v>42399</v>
      </c>
      <c r="K332">
        <v>42712</v>
      </c>
      <c r="L332">
        <v>44579</v>
      </c>
      <c r="M332">
        <v>46534</v>
      </c>
      <c r="N332">
        <v>46940</v>
      </c>
      <c r="O332">
        <v>50409</v>
      </c>
      <c r="P332">
        <v>55580</v>
      </c>
      <c r="Q332">
        <v>56718</v>
      </c>
      <c r="R332">
        <v>57010</v>
      </c>
    </row>
    <row r="333" spans="1:18">
      <c r="A333">
        <v>43900</v>
      </c>
      <c r="B333" t="s">
        <v>639</v>
      </c>
      <c r="C333" t="s">
        <v>1448</v>
      </c>
      <c r="D333" t="s">
        <v>1449</v>
      </c>
      <c r="E333">
        <v>32031</v>
      </c>
      <c r="F333">
        <v>33789</v>
      </c>
      <c r="G333">
        <v>35890</v>
      </c>
      <c r="H333">
        <v>34787</v>
      </c>
      <c r="I333">
        <v>37650</v>
      </c>
      <c r="J333">
        <v>39198</v>
      </c>
      <c r="K333">
        <v>40605</v>
      </c>
      <c r="L333">
        <v>41155</v>
      </c>
      <c r="M333">
        <v>41980</v>
      </c>
      <c r="N333">
        <v>44497</v>
      </c>
      <c r="O333">
        <v>47994</v>
      </c>
      <c r="P333">
        <v>53005</v>
      </c>
      <c r="Q333">
        <v>51359</v>
      </c>
      <c r="R333">
        <v>53700</v>
      </c>
    </row>
    <row r="334" spans="1:18">
      <c r="A334">
        <v>44060</v>
      </c>
      <c r="B334" t="s">
        <v>640</v>
      </c>
      <c r="C334" t="s">
        <v>1448</v>
      </c>
      <c r="D334" t="s">
        <v>1449</v>
      </c>
      <c r="E334">
        <v>34231</v>
      </c>
      <c r="F334">
        <v>35415</v>
      </c>
      <c r="G334">
        <v>36500</v>
      </c>
      <c r="H334">
        <v>36592</v>
      </c>
      <c r="I334">
        <v>38107</v>
      </c>
      <c r="J334">
        <v>39359</v>
      </c>
      <c r="K334">
        <v>40347</v>
      </c>
      <c r="L334">
        <v>41760</v>
      </c>
      <c r="M334">
        <v>43597</v>
      </c>
      <c r="N334">
        <v>45195</v>
      </c>
      <c r="O334">
        <v>48667</v>
      </c>
      <c r="P334">
        <v>53679</v>
      </c>
      <c r="Q334">
        <v>54710</v>
      </c>
      <c r="R334">
        <v>57886</v>
      </c>
    </row>
    <row r="335" spans="1:18">
      <c r="A335">
        <v>44100</v>
      </c>
      <c r="B335" t="s">
        <v>641</v>
      </c>
      <c r="C335" t="s">
        <v>1448</v>
      </c>
      <c r="D335" t="s">
        <v>1449</v>
      </c>
      <c r="E335">
        <v>39034</v>
      </c>
      <c r="F335">
        <v>40384</v>
      </c>
      <c r="G335">
        <v>40412</v>
      </c>
      <c r="H335">
        <v>41679</v>
      </c>
      <c r="I335">
        <v>42460</v>
      </c>
      <c r="J335">
        <v>43324</v>
      </c>
      <c r="K335">
        <v>44085</v>
      </c>
      <c r="L335">
        <v>45183</v>
      </c>
      <c r="M335">
        <v>46871</v>
      </c>
      <c r="N335">
        <v>48731</v>
      </c>
      <c r="O335">
        <v>52265</v>
      </c>
      <c r="P335">
        <v>57255</v>
      </c>
      <c r="Q335">
        <v>57550</v>
      </c>
      <c r="R335">
        <v>60446</v>
      </c>
    </row>
    <row r="336" spans="1:18">
      <c r="A336">
        <v>44140</v>
      </c>
      <c r="B336" t="s">
        <v>642</v>
      </c>
      <c r="C336" t="s">
        <v>1448</v>
      </c>
      <c r="D336" t="s">
        <v>1449</v>
      </c>
      <c r="E336">
        <v>39248</v>
      </c>
      <c r="F336">
        <v>40984</v>
      </c>
      <c r="G336">
        <v>42751</v>
      </c>
      <c r="H336">
        <v>43132</v>
      </c>
      <c r="I336">
        <v>44340</v>
      </c>
      <c r="J336">
        <v>46906</v>
      </c>
      <c r="K336">
        <v>47942</v>
      </c>
      <c r="L336">
        <v>49236</v>
      </c>
      <c r="M336">
        <v>51249</v>
      </c>
      <c r="N336">
        <v>53485</v>
      </c>
      <c r="O336">
        <v>59265</v>
      </c>
      <c r="P336">
        <v>60981</v>
      </c>
      <c r="Q336">
        <v>61165</v>
      </c>
      <c r="R336">
        <v>64303</v>
      </c>
    </row>
    <row r="337" spans="1:18">
      <c r="A337">
        <v>44180</v>
      </c>
      <c r="B337" t="s">
        <v>643</v>
      </c>
      <c r="C337" t="s">
        <v>1448</v>
      </c>
      <c r="D337" t="s">
        <v>1449</v>
      </c>
      <c r="E337">
        <v>32159</v>
      </c>
      <c r="F337">
        <v>33034</v>
      </c>
      <c r="G337">
        <v>34338</v>
      </c>
      <c r="H337">
        <v>34309</v>
      </c>
      <c r="I337">
        <v>35651</v>
      </c>
      <c r="J337">
        <v>37315</v>
      </c>
      <c r="K337">
        <v>37915</v>
      </c>
      <c r="L337">
        <v>39431</v>
      </c>
      <c r="M337">
        <v>40834</v>
      </c>
      <c r="N337">
        <v>42576</v>
      </c>
      <c r="O337">
        <v>45465</v>
      </c>
      <c r="P337">
        <v>48889</v>
      </c>
      <c r="Q337">
        <v>50481</v>
      </c>
      <c r="R337">
        <v>53435</v>
      </c>
    </row>
    <row r="338" spans="1:18">
      <c r="A338">
        <v>44220</v>
      </c>
      <c r="B338" t="s">
        <v>644</v>
      </c>
      <c r="C338" t="s">
        <v>1448</v>
      </c>
      <c r="D338" t="s">
        <v>1449</v>
      </c>
      <c r="E338">
        <v>32196</v>
      </c>
      <c r="F338">
        <v>33848</v>
      </c>
      <c r="G338">
        <v>34186</v>
      </c>
      <c r="H338">
        <v>34705</v>
      </c>
      <c r="I338">
        <v>35564</v>
      </c>
      <c r="J338">
        <v>36436</v>
      </c>
      <c r="K338">
        <v>37201</v>
      </c>
      <c r="L338">
        <v>38441</v>
      </c>
      <c r="M338">
        <v>39335</v>
      </c>
      <c r="N338">
        <v>40882</v>
      </c>
      <c r="O338">
        <v>44450</v>
      </c>
      <c r="P338">
        <v>47583</v>
      </c>
      <c r="Q338">
        <v>48079</v>
      </c>
      <c r="R338">
        <v>50553</v>
      </c>
    </row>
    <row r="339" spans="1:18">
      <c r="A339">
        <v>44300</v>
      </c>
      <c r="B339" t="s">
        <v>645</v>
      </c>
      <c r="C339" t="s">
        <v>1448</v>
      </c>
      <c r="D339" t="s">
        <v>1449</v>
      </c>
      <c r="E339">
        <v>35787</v>
      </c>
      <c r="F339">
        <v>37601</v>
      </c>
      <c r="G339">
        <v>38765</v>
      </c>
      <c r="H339">
        <v>39821</v>
      </c>
      <c r="I339">
        <v>41268</v>
      </c>
      <c r="J339">
        <v>41635</v>
      </c>
      <c r="K339">
        <v>42939</v>
      </c>
      <c r="L339">
        <v>44940</v>
      </c>
      <c r="M339">
        <v>46187</v>
      </c>
      <c r="N339">
        <v>48134</v>
      </c>
      <c r="O339">
        <v>51930</v>
      </c>
      <c r="P339">
        <v>54767</v>
      </c>
      <c r="Q339">
        <v>54756</v>
      </c>
      <c r="R339">
        <v>57800</v>
      </c>
    </row>
    <row r="340" spans="1:18">
      <c r="A340">
        <v>44420</v>
      </c>
      <c r="B340" t="s">
        <v>646</v>
      </c>
      <c r="C340" t="s">
        <v>1448</v>
      </c>
      <c r="D340" t="s">
        <v>1449</v>
      </c>
      <c r="E340">
        <v>35775</v>
      </c>
      <c r="F340">
        <v>36323</v>
      </c>
      <c r="G340">
        <v>36809</v>
      </c>
      <c r="H340">
        <v>37107</v>
      </c>
      <c r="I340">
        <v>38424</v>
      </c>
      <c r="J340">
        <v>39489</v>
      </c>
      <c r="K340">
        <v>40165</v>
      </c>
      <c r="L340">
        <v>41424</v>
      </c>
      <c r="M340">
        <v>42586</v>
      </c>
      <c r="N340">
        <v>44729</v>
      </c>
      <c r="O340">
        <v>48073</v>
      </c>
      <c r="P340">
        <v>51537</v>
      </c>
      <c r="Q340">
        <v>53755</v>
      </c>
      <c r="R340">
        <v>55929</v>
      </c>
    </row>
    <row r="341" spans="1:18">
      <c r="A341">
        <v>44700</v>
      </c>
      <c r="B341" t="s">
        <v>647</v>
      </c>
      <c r="C341" t="s">
        <v>1448</v>
      </c>
      <c r="D341" t="s">
        <v>1449</v>
      </c>
      <c r="E341">
        <v>32597</v>
      </c>
      <c r="F341">
        <v>32947</v>
      </c>
      <c r="G341">
        <v>33631</v>
      </c>
      <c r="H341">
        <v>34791</v>
      </c>
      <c r="I341">
        <v>36290</v>
      </c>
      <c r="J341">
        <v>38463</v>
      </c>
      <c r="K341">
        <v>39777</v>
      </c>
      <c r="L341">
        <v>40888</v>
      </c>
      <c r="M341">
        <v>42320</v>
      </c>
      <c r="N341">
        <v>45297</v>
      </c>
      <c r="O341">
        <v>51569</v>
      </c>
      <c r="P341">
        <v>55952</v>
      </c>
      <c r="Q341">
        <v>56363</v>
      </c>
      <c r="R341">
        <v>59361</v>
      </c>
    </row>
    <row r="342" spans="1:18">
      <c r="A342">
        <v>44940</v>
      </c>
      <c r="B342" t="s">
        <v>648</v>
      </c>
      <c r="C342" t="s">
        <v>1448</v>
      </c>
      <c r="D342" t="s">
        <v>1449</v>
      </c>
      <c r="E342">
        <v>28711</v>
      </c>
      <c r="F342">
        <v>30392</v>
      </c>
      <c r="G342">
        <v>32074</v>
      </c>
      <c r="H342">
        <v>32399</v>
      </c>
      <c r="I342">
        <v>33447</v>
      </c>
      <c r="J342">
        <v>34393</v>
      </c>
      <c r="K342">
        <v>35293</v>
      </c>
      <c r="L342">
        <v>36535</v>
      </c>
      <c r="M342">
        <v>37944</v>
      </c>
      <c r="N342">
        <v>39049</v>
      </c>
      <c r="O342">
        <v>42424</v>
      </c>
      <c r="P342">
        <v>46575</v>
      </c>
      <c r="Q342">
        <v>47169</v>
      </c>
      <c r="R342">
        <v>49418</v>
      </c>
    </row>
    <row r="343" spans="1:18">
      <c r="A343">
        <v>45060</v>
      </c>
      <c r="B343" t="s">
        <v>649</v>
      </c>
      <c r="C343" t="s">
        <v>1448</v>
      </c>
      <c r="D343" t="s">
        <v>1449</v>
      </c>
      <c r="E343">
        <v>37949</v>
      </c>
      <c r="F343">
        <v>39294</v>
      </c>
      <c r="G343">
        <v>40523</v>
      </c>
      <c r="H343">
        <v>40505</v>
      </c>
      <c r="I343">
        <v>41572</v>
      </c>
      <c r="J343">
        <v>43533</v>
      </c>
      <c r="K343">
        <v>44264</v>
      </c>
      <c r="L343">
        <v>46554</v>
      </c>
      <c r="M343">
        <v>48030</v>
      </c>
      <c r="N343">
        <v>50084</v>
      </c>
      <c r="O343">
        <v>55111</v>
      </c>
      <c r="P343">
        <v>58069</v>
      </c>
      <c r="Q343">
        <v>57955</v>
      </c>
      <c r="R343">
        <v>60736</v>
      </c>
    </row>
    <row r="344" spans="1:18">
      <c r="A344">
        <v>45220</v>
      </c>
      <c r="B344" t="s">
        <v>650</v>
      </c>
      <c r="C344" t="s">
        <v>1448</v>
      </c>
      <c r="D344" t="s">
        <v>1449</v>
      </c>
      <c r="E344">
        <v>34649</v>
      </c>
      <c r="F344">
        <v>36361</v>
      </c>
      <c r="G344">
        <v>35673</v>
      </c>
      <c r="H344">
        <v>35127</v>
      </c>
      <c r="I344">
        <v>36764</v>
      </c>
      <c r="J344">
        <v>37848</v>
      </c>
      <c r="K344">
        <v>39168</v>
      </c>
      <c r="L344">
        <v>40621</v>
      </c>
      <c r="M344">
        <v>42590</v>
      </c>
      <c r="N344">
        <v>44606</v>
      </c>
      <c r="O344">
        <v>47470</v>
      </c>
      <c r="P344">
        <v>51561</v>
      </c>
      <c r="Q344">
        <v>51754</v>
      </c>
      <c r="R344">
        <v>55363</v>
      </c>
    </row>
    <row r="345" spans="1:18">
      <c r="A345">
        <v>45300</v>
      </c>
      <c r="B345" t="s">
        <v>651</v>
      </c>
      <c r="C345" t="s">
        <v>1448</v>
      </c>
      <c r="D345" t="s">
        <v>1449</v>
      </c>
      <c r="E345">
        <v>38760</v>
      </c>
      <c r="F345">
        <v>41067</v>
      </c>
      <c r="G345">
        <v>40399</v>
      </c>
      <c r="H345">
        <v>39917</v>
      </c>
      <c r="I345">
        <v>41555</v>
      </c>
      <c r="J345">
        <v>43131</v>
      </c>
      <c r="K345">
        <v>43783</v>
      </c>
      <c r="L345">
        <v>45658</v>
      </c>
      <c r="M345">
        <v>47569</v>
      </c>
      <c r="N345">
        <v>50054</v>
      </c>
      <c r="O345">
        <v>53610</v>
      </c>
      <c r="P345">
        <v>58124</v>
      </c>
      <c r="Q345">
        <v>59961</v>
      </c>
      <c r="R345">
        <v>63789</v>
      </c>
    </row>
    <row r="346" spans="1:18">
      <c r="A346">
        <v>45460</v>
      </c>
      <c r="B346" t="s">
        <v>652</v>
      </c>
      <c r="C346" t="s">
        <v>1448</v>
      </c>
      <c r="D346" t="s">
        <v>1449</v>
      </c>
      <c r="E346">
        <v>30701</v>
      </c>
      <c r="F346">
        <v>31597</v>
      </c>
      <c r="G346">
        <v>32266</v>
      </c>
      <c r="H346">
        <v>32734</v>
      </c>
      <c r="I346">
        <v>33527</v>
      </c>
      <c r="J346">
        <v>33967</v>
      </c>
      <c r="K346">
        <v>34854</v>
      </c>
      <c r="L346">
        <v>36248</v>
      </c>
      <c r="M346">
        <v>37080</v>
      </c>
      <c r="N346">
        <v>38188</v>
      </c>
      <c r="O346">
        <v>41780</v>
      </c>
      <c r="P346">
        <v>45867</v>
      </c>
      <c r="Q346">
        <v>46485</v>
      </c>
      <c r="R346">
        <v>48561</v>
      </c>
    </row>
    <row r="347" spans="1:18">
      <c r="A347">
        <v>45500</v>
      </c>
      <c r="B347" t="s">
        <v>653</v>
      </c>
      <c r="C347" t="s">
        <v>1448</v>
      </c>
      <c r="D347" t="s">
        <v>1449</v>
      </c>
      <c r="E347">
        <v>32216</v>
      </c>
      <c r="F347">
        <v>33555</v>
      </c>
      <c r="G347">
        <v>34094</v>
      </c>
      <c r="H347">
        <v>33163</v>
      </c>
      <c r="I347">
        <v>33963</v>
      </c>
      <c r="J347">
        <v>35294</v>
      </c>
      <c r="K347">
        <v>35829</v>
      </c>
      <c r="L347">
        <v>36773</v>
      </c>
      <c r="M347">
        <v>37604</v>
      </c>
      <c r="N347">
        <v>38695</v>
      </c>
      <c r="O347">
        <v>42484</v>
      </c>
      <c r="P347">
        <v>46063</v>
      </c>
      <c r="Q347">
        <v>45559</v>
      </c>
      <c r="R347">
        <v>47883</v>
      </c>
    </row>
    <row r="348" spans="1:18">
      <c r="A348">
        <v>45540</v>
      </c>
      <c r="B348" t="s">
        <v>654</v>
      </c>
      <c r="C348" t="s">
        <v>1448</v>
      </c>
      <c r="D348" t="s">
        <v>1449</v>
      </c>
      <c r="E348">
        <v>30292</v>
      </c>
      <c r="F348">
        <v>34211</v>
      </c>
      <c r="G348">
        <v>38160</v>
      </c>
      <c r="H348">
        <v>39081</v>
      </c>
      <c r="I348">
        <v>39974</v>
      </c>
      <c r="J348">
        <v>41987</v>
      </c>
      <c r="K348">
        <v>44571</v>
      </c>
      <c r="L348">
        <v>47359</v>
      </c>
      <c r="M348">
        <v>50248</v>
      </c>
      <c r="N348">
        <v>55054</v>
      </c>
      <c r="O348">
        <v>58168</v>
      </c>
      <c r="P348">
        <v>66960</v>
      </c>
      <c r="Q348">
        <v>66114</v>
      </c>
      <c r="R348">
        <v>71231</v>
      </c>
    </row>
    <row r="349" spans="1:18">
      <c r="A349">
        <v>45780</v>
      </c>
      <c r="B349" t="s">
        <v>655</v>
      </c>
      <c r="C349" t="s">
        <v>1448</v>
      </c>
      <c r="D349" t="s">
        <v>1449</v>
      </c>
      <c r="E349">
        <v>35718</v>
      </c>
      <c r="F349">
        <v>37645</v>
      </c>
      <c r="G349">
        <v>38419</v>
      </c>
      <c r="H349">
        <v>38884</v>
      </c>
      <c r="I349">
        <v>40631</v>
      </c>
      <c r="J349">
        <v>42269</v>
      </c>
      <c r="K349">
        <v>43206</v>
      </c>
      <c r="L349">
        <v>44069</v>
      </c>
      <c r="M349">
        <v>45986</v>
      </c>
      <c r="N349">
        <v>47591</v>
      </c>
      <c r="O349">
        <v>50818</v>
      </c>
      <c r="P349">
        <v>54466</v>
      </c>
      <c r="Q349">
        <v>55436</v>
      </c>
      <c r="R349">
        <v>58180</v>
      </c>
    </row>
    <row r="350" spans="1:18">
      <c r="A350">
        <v>45820</v>
      </c>
      <c r="B350" t="s">
        <v>656</v>
      </c>
      <c r="C350" t="s">
        <v>1448</v>
      </c>
      <c r="D350" t="s">
        <v>1449</v>
      </c>
      <c r="E350">
        <v>36685</v>
      </c>
      <c r="F350">
        <v>38436</v>
      </c>
      <c r="G350">
        <v>38943</v>
      </c>
      <c r="H350">
        <v>38981</v>
      </c>
      <c r="I350">
        <v>40321</v>
      </c>
      <c r="J350">
        <v>41006</v>
      </c>
      <c r="K350">
        <v>42141</v>
      </c>
      <c r="L350">
        <v>43166</v>
      </c>
      <c r="M350">
        <v>45366</v>
      </c>
      <c r="N350">
        <v>46566</v>
      </c>
      <c r="O350">
        <v>50126</v>
      </c>
      <c r="P350">
        <v>53682</v>
      </c>
      <c r="Q350">
        <v>54434</v>
      </c>
      <c r="R350">
        <v>57810</v>
      </c>
    </row>
    <row r="351" spans="1:18">
      <c r="A351">
        <v>45940</v>
      </c>
      <c r="B351" t="s">
        <v>657</v>
      </c>
      <c r="C351" t="s">
        <v>1448</v>
      </c>
      <c r="D351" t="s">
        <v>1449</v>
      </c>
      <c r="E351">
        <v>52829</v>
      </c>
      <c r="F351">
        <v>55537</v>
      </c>
      <c r="G351">
        <v>57702</v>
      </c>
      <c r="H351">
        <v>56222</v>
      </c>
      <c r="I351">
        <v>59651</v>
      </c>
      <c r="J351">
        <v>60323</v>
      </c>
      <c r="K351">
        <v>61418</v>
      </c>
      <c r="L351">
        <v>62938</v>
      </c>
      <c r="M351">
        <v>65643</v>
      </c>
      <c r="N351">
        <v>69560</v>
      </c>
      <c r="O351">
        <v>71623</v>
      </c>
      <c r="P351">
        <v>77551</v>
      </c>
      <c r="Q351">
        <v>80101</v>
      </c>
      <c r="R351">
        <v>84392</v>
      </c>
    </row>
    <row r="352" spans="1:18">
      <c r="A352">
        <v>46060</v>
      </c>
      <c r="B352" t="s">
        <v>658</v>
      </c>
      <c r="C352" t="s">
        <v>1448</v>
      </c>
      <c r="D352" t="s">
        <v>1449</v>
      </c>
      <c r="E352">
        <v>34099</v>
      </c>
      <c r="F352">
        <v>35334</v>
      </c>
      <c r="G352">
        <v>36316</v>
      </c>
      <c r="H352">
        <v>36562</v>
      </c>
      <c r="I352">
        <v>37432</v>
      </c>
      <c r="J352">
        <v>38571</v>
      </c>
      <c r="K352">
        <v>39723</v>
      </c>
      <c r="L352">
        <v>41950</v>
      </c>
      <c r="M352">
        <v>43624</v>
      </c>
      <c r="N352">
        <v>45493</v>
      </c>
      <c r="O352">
        <v>49595</v>
      </c>
      <c r="P352">
        <v>53631</v>
      </c>
      <c r="Q352">
        <v>54776</v>
      </c>
      <c r="R352">
        <v>58232</v>
      </c>
    </row>
    <row r="353" spans="1:18">
      <c r="A353">
        <v>46140</v>
      </c>
      <c r="B353" t="s">
        <v>659</v>
      </c>
      <c r="C353" t="s">
        <v>1448</v>
      </c>
      <c r="D353" t="s">
        <v>1449</v>
      </c>
      <c r="E353">
        <v>41883</v>
      </c>
      <c r="F353">
        <v>46534</v>
      </c>
      <c r="G353">
        <v>51128</v>
      </c>
      <c r="H353">
        <v>55929</v>
      </c>
      <c r="I353">
        <v>59015</v>
      </c>
      <c r="J353">
        <v>53544</v>
      </c>
      <c r="K353">
        <v>47087</v>
      </c>
      <c r="L353">
        <v>50433</v>
      </c>
      <c r="M353">
        <v>53979</v>
      </c>
      <c r="N353">
        <v>55378</v>
      </c>
      <c r="O353">
        <v>55760</v>
      </c>
      <c r="P353">
        <v>60392</v>
      </c>
      <c r="Q353">
        <v>66024</v>
      </c>
      <c r="R353">
        <v>69022</v>
      </c>
    </row>
    <row r="354" spans="1:18">
      <c r="A354">
        <v>46220</v>
      </c>
      <c r="B354" t="s">
        <v>660</v>
      </c>
      <c r="C354" t="s">
        <v>1448</v>
      </c>
      <c r="D354" t="s">
        <v>1449</v>
      </c>
      <c r="E354">
        <v>31590</v>
      </c>
      <c r="F354">
        <v>32388</v>
      </c>
      <c r="G354">
        <v>33009</v>
      </c>
      <c r="H354">
        <v>33028</v>
      </c>
      <c r="I354">
        <v>33469</v>
      </c>
      <c r="J354">
        <v>34113</v>
      </c>
      <c r="K354">
        <v>34178</v>
      </c>
      <c r="L354">
        <v>35256</v>
      </c>
      <c r="M354">
        <v>36094</v>
      </c>
      <c r="N354">
        <v>37418</v>
      </c>
      <c r="O354">
        <v>39536</v>
      </c>
      <c r="P354">
        <v>41586</v>
      </c>
      <c r="Q354">
        <v>42157</v>
      </c>
      <c r="R354">
        <v>44281</v>
      </c>
    </row>
    <row r="355" spans="1:18">
      <c r="A355">
        <v>46300</v>
      </c>
      <c r="B355" t="s">
        <v>661</v>
      </c>
      <c r="C355" t="s">
        <v>1448</v>
      </c>
      <c r="D355" t="s">
        <v>1449</v>
      </c>
      <c r="E355">
        <v>29494</v>
      </c>
      <c r="F355">
        <v>31156</v>
      </c>
      <c r="G355">
        <v>32436</v>
      </c>
      <c r="H355">
        <v>33536</v>
      </c>
      <c r="I355">
        <v>35077</v>
      </c>
      <c r="J355">
        <v>35882</v>
      </c>
      <c r="K355">
        <v>36143</v>
      </c>
      <c r="L355">
        <v>36785</v>
      </c>
      <c r="M355">
        <v>37724</v>
      </c>
      <c r="N355">
        <v>39463</v>
      </c>
      <c r="O355">
        <v>42955</v>
      </c>
      <c r="P355">
        <v>47126</v>
      </c>
      <c r="Q355">
        <v>49739</v>
      </c>
      <c r="R355">
        <v>50877</v>
      </c>
    </row>
    <row r="356" spans="1:18">
      <c r="A356">
        <v>46340</v>
      </c>
      <c r="B356" t="s">
        <v>662</v>
      </c>
      <c r="C356" t="s">
        <v>1448</v>
      </c>
      <c r="D356" t="s">
        <v>1449</v>
      </c>
      <c r="E356">
        <v>43014</v>
      </c>
      <c r="F356">
        <v>48020</v>
      </c>
      <c r="G356">
        <v>48130</v>
      </c>
      <c r="H356">
        <v>49529</v>
      </c>
      <c r="I356">
        <v>51344</v>
      </c>
      <c r="J356">
        <v>47038</v>
      </c>
      <c r="K356">
        <v>45813</v>
      </c>
      <c r="L356">
        <v>51919</v>
      </c>
      <c r="M356">
        <v>55219</v>
      </c>
      <c r="N356">
        <v>55391</v>
      </c>
      <c r="O356">
        <v>55090</v>
      </c>
      <c r="P356">
        <v>62358</v>
      </c>
      <c r="Q356">
        <v>65495</v>
      </c>
      <c r="R356">
        <v>66887</v>
      </c>
    </row>
    <row r="357" spans="1:18">
      <c r="A357">
        <v>46520</v>
      </c>
      <c r="B357" t="s">
        <v>663</v>
      </c>
      <c r="C357" t="s">
        <v>1448</v>
      </c>
      <c r="D357" t="s">
        <v>1449</v>
      </c>
      <c r="E357">
        <v>44945</v>
      </c>
      <c r="F357">
        <v>46267</v>
      </c>
      <c r="G357">
        <v>46893</v>
      </c>
      <c r="H357">
        <v>46750</v>
      </c>
      <c r="I357">
        <v>48743</v>
      </c>
      <c r="J357">
        <v>50316</v>
      </c>
      <c r="K357">
        <v>51805</v>
      </c>
      <c r="L357">
        <v>53723</v>
      </c>
      <c r="M357">
        <v>54633</v>
      </c>
      <c r="N357">
        <v>56784</v>
      </c>
      <c r="O357">
        <v>60246</v>
      </c>
      <c r="P357">
        <v>63755</v>
      </c>
      <c r="Q357">
        <v>65708</v>
      </c>
      <c r="R357">
        <v>69893</v>
      </c>
    </row>
    <row r="358" spans="1:18">
      <c r="A358">
        <v>46540</v>
      </c>
      <c r="B358" t="s">
        <v>664</v>
      </c>
      <c r="C358" t="s">
        <v>1448</v>
      </c>
      <c r="D358" t="s">
        <v>1449</v>
      </c>
      <c r="E358">
        <v>35280</v>
      </c>
      <c r="F358">
        <v>36142</v>
      </c>
      <c r="G358">
        <v>36840</v>
      </c>
      <c r="H358">
        <v>37211</v>
      </c>
      <c r="I358">
        <v>37441</v>
      </c>
      <c r="J358">
        <v>38708</v>
      </c>
      <c r="K358">
        <v>39443</v>
      </c>
      <c r="L358">
        <v>41549</v>
      </c>
      <c r="M358">
        <v>42631</v>
      </c>
      <c r="N358">
        <v>44954</v>
      </c>
      <c r="O358">
        <v>49345</v>
      </c>
      <c r="P358">
        <v>52374</v>
      </c>
      <c r="Q358">
        <v>52291</v>
      </c>
      <c r="R358">
        <v>55237</v>
      </c>
    </row>
    <row r="359" spans="1:18">
      <c r="A359">
        <v>46660</v>
      </c>
      <c r="B359" t="s">
        <v>665</v>
      </c>
      <c r="C359" t="s">
        <v>1448</v>
      </c>
      <c r="D359" t="s">
        <v>1449</v>
      </c>
      <c r="E359">
        <v>29132</v>
      </c>
      <c r="F359">
        <v>30090</v>
      </c>
      <c r="G359">
        <v>29674</v>
      </c>
      <c r="H359">
        <v>30246</v>
      </c>
      <c r="I359">
        <v>31470</v>
      </c>
      <c r="J359">
        <v>32535</v>
      </c>
      <c r="K359">
        <v>33305</v>
      </c>
      <c r="L359">
        <v>34396</v>
      </c>
      <c r="M359">
        <v>35742</v>
      </c>
      <c r="N359">
        <v>36713</v>
      </c>
      <c r="O359">
        <v>40268</v>
      </c>
      <c r="P359">
        <v>43066</v>
      </c>
      <c r="Q359">
        <v>42527</v>
      </c>
      <c r="R359">
        <v>44231</v>
      </c>
    </row>
    <row r="360" spans="1:18">
      <c r="A360">
        <v>46700</v>
      </c>
      <c r="B360" t="s">
        <v>666</v>
      </c>
      <c r="C360" t="s">
        <v>1448</v>
      </c>
      <c r="D360" t="s">
        <v>1449</v>
      </c>
      <c r="E360">
        <v>37656</v>
      </c>
      <c r="F360">
        <v>38635</v>
      </c>
      <c r="G360">
        <v>38975</v>
      </c>
      <c r="H360">
        <v>40025</v>
      </c>
      <c r="I360">
        <v>41195</v>
      </c>
      <c r="J360">
        <v>43597</v>
      </c>
      <c r="K360">
        <v>45447</v>
      </c>
      <c r="L360">
        <v>46644</v>
      </c>
      <c r="M360">
        <v>48566</v>
      </c>
      <c r="N360">
        <v>51608</v>
      </c>
      <c r="O360">
        <v>58642</v>
      </c>
      <c r="P360">
        <v>59755</v>
      </c>
      <c r="Q360">
        <v>61019</v>
      </c>
      <c r="R360">
        <v>64514</v>
      </c>
    </row>
    <row r="361" spans="1:18">
      <c r="A361">
        <v>47020</v>
      </c>
      <c r="B361" t="s">
        <v>667</v>
      </c>
      <c r="C361" t="s">
        <v>1448</v>
      </c>
      <c r="D361" t="s">
        <v>1449</v>
      </c>
      <c r="E361">
        <v>36996</v>
      </c>
      <c r="F361">
        <v>39821</v>
      </c>
      <c r="G361">
        <v>42583</v>
      </c>
      <c r="H361">
        <v>44676</v>
      </c>
      <c r="I361">
        <v>47314</v>
      </c>
      <c r="J361">
        <v>45560</v>
      </c>
      <c r="K361">
        <v>42234</v>
      </c>
      <c r="L361">
        <v>44700</v>
      </c>
      <c r="M361">
        <v>47691</v>
      </c>
      <c r="N361">
        <v>51878</v>
      </c>
      <c r="O361">
        <v>53075</v>
      </c>
      <c r="P361">
        <v>57243</v>
      </c>
      <c r="Q361">
        <v>56092</v>
      </c>
      <c r="R361">
        <v>59170</v>
      </c>
    </row>
    <row r="362" spans="1:18">
      <c r="A362">
        <v>47220</v>
      </c>
      <c r="B362" t="s">
        <v>668</v>
      </c>
      <c r="C362" t="s">
        <v>1448</v>
      </c>
      <c r="D362" t="s">
        <v>1449</v>
      </c>
      <c r="E362">
        <v>33049</v>
      </c>
      <c r="F362">
        <v>33740</v>
      </c>
      <c r="G362">
        <v>33239</v>
      </c>
      <c r="H362">
        <v>33252</v>
      </c>
      <c r="I362">
        <v>34055</v>
      </c>
      <c r="J362">
        <v>35232</v>
      </c>
      <c r="K362">
        <v>35684</v>
      </c>
      <c r="L362">
        <v>36866</v>
      </c>
      <c r="M362">
        <v>37720</v>
      </c>
      <c r="N362">
        <v>39965</v>
      </c>
      <c r="O362">
        <v>43847</v>
      </c>
      <c r="P362">
        <v>48387</v>
      </c>
      <c r="Q362">
        <v>47815</v>
      </c>
      <c r="R362">
        <v>49367</v>
      </c>
    </row>
    <row r="363" spans="1:18">
      <c r="A363">
        <v>47260</v>
      </c>
      <c r="B363" t="s">
        <v>669</v>
      </c>
      <c r="C363" t="s">
        <v>1448</v>
      </c>
      <c r="D363" t="s">
        <v>1449</v>
      </c>
      <c r="E363">
        <v>40417</v>
      </c>
      <c r="F363">
        <v>41853</v>
      </c>
      <c r="G363">
        <v>42849</v>
      </c>
      <c r="H363">
        <v>42382</v>
      </c>
      <c r="I363">
        <v>43551</v>
      </c>
      <c r="J363">
        <v>45068</v>
      </c>
      <c r="K363">
        <v>46137</v>
      </c>
      <c r="L363">
        <v>47362</v>
      </c>
      <c r="M363">
        <v>47486</v>
      </c>
      <c r="N363">
        <v>49087</v>
      </c>
      <c r="O363">
        <v>52346</v>
      </c>
      <c r="P363">
        <v>56873</v>
      </c>
      <c r="Q363">
        <v>58611</v>
      </c>
      <c r="R363">
        <v>62575</v>
      </c>
    </row>
    <row r="364" spans="1:18">
      <c r="A364">
        <v>47300</v>
      </c>
      <c r="B364" t="s">
        <v>670</v>
      </c>
      <c r="C364" t="s">
        <v>1448</v>
      </c>
      <c r="D364" t="s">
        <v>1449</v>
      </c>
      <c r="E364">
        <v>30109</v>
      </c>
      <c r="F364">
        <v>31644</v>
      </c>
      <c r="G364">
        <v>31434</v>
      </c>
      <c r="H364">
        <v>32017</v>
      </c>
      <c r="I364">
        <v>34983</v>
      </c>
      <c r="J364">
        <v>35556</v>
      </c>
      <c r="K364">
        <v>37125</v>
      </c>
      <c r="L364">
        <v>37983</v>
      </c>
      <c r="M364">
        <v>38070</v>
      </c>
      <c r="N364">
        <v>39842</v>
      </c>
      <c r="O364">
        <v>45486</v>
      </c>
      <c r="P364">
        <v>49064</v>
      </c>
      <c r="Q364">
        <v>46995</v>
      </c>
      <c r="R364">
        <v>48253</v>
      </c>
    </row>
    <row r="365" spans="1:18">
      <c r="A365">
        <v>47380</v>
      </c>
      <c r="B365" t="s">
        <v>671</v>
      </c>
      <c r="C365" t="s">
        <v>1448</v>
      </c>
      <c r="D365" t="s">
        <v>1449</v>
      </c>
      <c r="E365">
        <v>31532</v>
      </c>
      <c r="F365">
        <v>32728</v>
      </c>
      <c r="G365">
        <v>33819</v>
      </c>
      <c r="H365">
        <v>34238</v>
      </c>
      <c r="I365">
        <v>35686</v>
      </c>
      <c r="J365">
        <v>37209</v>
      </c>
      <c r="K365">
        <v>37895</v>
      </c>
      <c r="L365">
        <v>39242</v>
      </c>
      <c r="M365">
        <v>40764</v>
      </c>
      <c r="N365">
        <v>41741</v>
      </c>
      <c r="O365">
        <v>45169</v>
      </c>
      <c r="P365">
        <v>49248</v>
      </c>
      <c r="Q365">
        <v>50431</v>
      </c>
      <c r="R365">
        <v>53528</v>
      </c>
    </row>
    <row r="366" spans="1:18">
      <c r="A366">
        <v>47460</v>
      </c>
      <c r="B366" t="s">
        <v>672</v>
      </c>
      <c r="C366" t="s">
        <v>1448</v>
      </c>
      <c r="D366" t="s">
        <v>1449</v>
      </c>
      <c r="E366">
        <v>34166</v>
      </c>
      <c r="F366">
        <v>35413</v>
      </c>
      <c r="G366">
        <v>36671</v>
      </c>
      <c r="H366">
        <v>37489</v>
      </c>
      <c r="I366">
        <v>38336</v>
      </c>
      <c r="J366">
        <v>39878</v>
      </c>
      <c r="K366">
        <v>40493</v>
      </c>
      <c r="L366">
        <v>41825</v>
      </c>
      <c r="M366">
        <v>43381</v>
      </c>
      <c r="N366">
        <v>46014</v>
      </c>
      <c r="O366">
        <v>49810</v>
      </c>
      <c r="P366">
        <v>54678</v>
      </c>
      <c r="Q366">
        <v>54862</v>
      </c>
      <c r="R366">
        <v>56420</v>
      </c>
    </row>
    <row r="367" spans="1:18">
      <c r="A367">
        <v>47580</v>
      </c>
      <c r="B367" t="s">
        <v>673</v>
      </c>
      <c r="C367" t="s">
        <v>1448</v>
      </c>
      <c r="D367" t="s">
        <v>1449</v>
      </c>
      <c r="E367">
        <v>34719</v>
      </c>
      <c r="F367">
        <v>36043</v>
      </c>
      <c r="G367">
        <v>35983</v>
      </c>
      <c r="H367">
        <v>35850</v>
      </c>
      <c r="I367">
        <v>36920</v>
      </c>
      <c r="J367">
        <v>38434</v>
      </c>
      <c r="K367">
        <v>38799</v>
      </c>
      <c r="L367">
        <v>40011</v>
      </c>
      <c r="M367">
        <v>40932</v>
      </c>
      <c r="N367">
        <v>42193</v>
      </c>
      <c r="O367">
        <v>44841</v>
      </c>
      <c r="P367">
        <v>48770</v>
      </c>
      <c r="Q367">
        <v>47938</v>
      </c>
      <c r="R367">
        <v>49649</v>
      </c>
    </row>
    <row r="368" spans="1:18">
      <c r="A368">
        <v>47900</v>
      </c>
      <c r="B368" t="s">
        <v>674</v>
      </c>
      <c r="C368" t="s">
        <v>1448</v>
      </c>
      <c r="D368" t="s">
        <v>1449</v>
      </c>
      <c r="E368">
        <v>58370</v>
      </c>
      <c r="F368">
        <v>61241</v>
      </c>
      <c r="G368">
        <v>62210</v>
      </c>
      <c r="H368">
        <v>60533</v>
      </c>
      <c r="I368">
        <v>62073</v>
      </c>
      <c r="J368">
        <v>64476</v>
      </c>
      <c r="K368">
        <v>66189</v>
      </c>
      <c r="L368">
        <v>67897</v>
      </c>
      <c r="M368">
        <v>70255</v>
      </c>
      <c r="N368">
        <v>72218</v>
      </c>
      <c r="O368">
        <v>75229</v>
      </c>
      <c r="P368">
        <v>81121</v>
      </c>
      <c r="Q368">
        <v>84517</v>
      </c>
      <c r="R368">
        <v>89396</v>
      </c>
    </row>
    <row r="369" spans="1:18">
      <c r="A369">
        <v>47940</v>
      </c>
      <c r="B369" t="s">
        <v>675</v>
      </c>
      <c r="C369" t="s">
        <v>1448</v>
      </c>
      <c r="D369" t="s">
        <v>1449</v>
      </c>
      <c r="E369">
        <v>35966</v>
      </c>
      <c r="F369">
        <v>38461</v>
      </c>
      <c r="G369">
        <v>40064</v>
      </c>
      <c r="H369">
        <v>39773</v>
      </c>
      <c r="I369">
        <v>40711</v>
      </c>
      <c r="J369">
        <v>41449</v>
      </c>
      <c r="K369">
        <v>41641</v>
      </c>
      <c r="L369">
        <v>42960</v>
      </c>
      <c r="M369">
        <v>45542</v>
      </c>
      <c r="N369">
        <v>46261</v>
      </c>
      <c r="O369">
        <v>50157</v>
      </c>
      <c r="P369">
        <v>53972</v>
      </c>
      <c r="Q369">
        <v>55528</v>
      </c>
      <c r="R369">
        <v>57114</v>
      </c>
    </row>
    <row r="370" spans="1:18">
      <c r="A370">
        <v>48060</v>
      </c>
      <c r="B370" t="s">
        <v>676</v>
      </c>
      <c r="C370" t="s">
        <v>1448</v>
      </c>
      <c r="D370" t="s">
        <v>1449</v>
      </c>
      <c r="E370">
        <v>41922</v>
      </c>
      <c r="F370">
        <v>43072</v>
      </c>
      <c r="G370">
        <v>42234</v>
      </c>
      <c r="H370">
        <v>41092</v>
      </c>
      <c r="I370">
        <v>41315</v>
      </c>
      <c r="J370">
        <v>41531</v>
      </c>
      <c r="K370">
        <v>41923</v>
      </c>
      <c r="L370">
        <v>42928</v>
      </c>
      <c r="M370">
        <v>43528</v>
      </c>
      <c r="N370">
        <v>45631</v>
      </c>
      <c r="O370">
        <v>50371</v>
      </c>
      <c r="P370">
        <v>52862</v>
      </c>
      <c r="Q370">
        <v>53146</v>
      </c>
      <c r="R370">
        <v>54926</v>
      </c>
    </row>
    <row r="371" spans="1:18">
      <c r="A371">
        <v>48140</v>
      </c>
      <c r="B371" t="s">
        <v>677</v>
      </c>
      <c r="C371" t="s">
        <v>1448</v>
      </c>
      <c r="D371" t="s">
        <v>1449</v>
      </c>
      <c r="E371">
        <v>37029</v>
      </c>
      <c r="F371">
        <v>38893</v>
      </c>
      <c r="G371">
        <v>40536</v>
      </c>
      <c r="H371">
        <v>40669</v>
      </c>
      <c r="I371">
        <v>42316</v>
      </c>
      <c r="J371">
        <v>43956</v>
      </c>
      <c r="K371">
        <v>44880</v>
      </c>
      <c r="L371">
        <v>46316</v>
      </c>
      <c r="M371">
        <v>48541</v>
      </c>
      <c r="N371">
        <v>50683</v>
      </c>
      <c r="O371">
        <v>53590</v>
      </c>
      <c r="P371">
        <v>58053</v>
      </c>
      <c r="Q371">
        <v>59273</v>
      </c>
      <c r="R371">
        <v>61617</v>
      </c>
    </row>
    <row r="372" spans="1:18">
      <c r="A372">
        <v>48260</v>
      </c>
      <c r="B372" t="s">
        <v>678</v>
      </c>
      <c r="C372" t="s">
        <v>1448</v>
      </c>
      <c r="D372" t="s">
        <v>1449</v>
      </c>
      <c r="E372">
        <v>31040</v>
      </c>
      <c r="F372">
        <v>32891</v>
      </c>
      <c r="G372">
        <v>33605</v>
      </c>
      <c r="H372">
        <v>33928</v>
      </c>
      <c r="I372">
        <v>35144</v>
      </c>
      <c r="J372">
        <v>36226</v>
      </c>
      <c r="K372">
        <v>36131</v>
      </c>
      <c r="L372">
        <v>37819</v>
      </c>
      <c r="M372">
        <v>39668</v>
      </c>
      <c r="N372">
        <v>41286</v>
      </c>
      <c r="O372">
        <v>44286</v>
      </c>
      <c r="P372">
        <v>47824</v>
      </c>
      <c r="Q372">
        <v>48594</v>
      </c>
      <c r="R372">
        <v>50649</v>
      </c>
    </row>
    <row r="373" spans="1:18">
      <c r="A373">
        <v>48300</v>
      </c>
      <c r="B373" t="s">
        <v>679</v>
      </c>
      <c r="C373" t="s">
        <v>1448</v>
      </c>
      <c r="D373" t="s">
        <v>1449</v>
      </c>
      <c r="E373">
        <v>33674</v>
      </c>
      <c r="F373">
        <v>35566</v>
      </c>
      <c r="G373">
        <v>38117</v>
      </c>
      <c r="H373">
        <v>38505</v>
      </c>
      <c r="I373">
        <v>40645</v>
      </c>
      <c r="J373">
        <v>42399</v>
      </c>
      <c r="K373">
        <v>44085</v>
      </c>
      <c r="L373">
        <v>45867</v>
      </c>
      <c r="M373">
        <v>47338</v>
      </c>
      <c r="N373">
        <v>49356</v>
      </c>
      <c r="O373">
        <v>53820</v>
      </c>
      <c r="P373">
        <v>57722</v>
      </c>
      <c r="Q373">
        <v>58989</v>
      </c>
      <c r="R373">
        <v>62458</v>
      </c>
    </row>
    <row r="374" spans="1:18">
      <c r="A374">
        <v>48540</v>
      </c>
      <c r="B374" t="s">
        <v>680</v>
      </c>
      <c r="C374" t="s">
        <v>1448</v>
      </c>
      <c r="D374" t="s">
        <v>1449</v>
      </c>
      <c r="E374">
        <v>32933</v>
      </c>
      <c r="F374">
        <v>34538</v>
      </c>
      <c r="G374">
        <v>35777</v>
      </c>
      <c r="H374">
        <v>36629</v>
      </c>
      <c r="I374">
        <v>38805</v>
      </c>
      <c r="J374">
        <v>39906</v>
      </c>
      <c r="K374">
        <v>40595</v>
      </c>
      <c r="L374">
        <v>44768</v>
      </c>
      <c r="M374">
        <v>47857</v>
      </c>
      <c r="N374">
        <v>47364</v>
      </c>
      <c r="O374">
        <v>47143</v>
      </c>
      <c r="P374">
        <v>51555</v>
      </c>
      <c r="Q374">
        <v>53481</v>
      </c>
      <c r="R374">
        <v>56458</v>
      </c>
    </row>
    <row r="375" spans="1:18">
      <c r="A375">
        <v>48620</v>
      </c>
      <c r="B375" t="s">
        <v>681</v>
      </c>
      <c r="C375" t="s">
        <v>1448</v>
      </c>
      <c r="D375" t="s">
        <v>1449</v>
      </c>
      <c r="E375">
        <v>38983</v>
      </c>
      <c r="F375">
        <v>43518</v>
      </c>
      <c r="G375">
        <v>45483</v>
      </c>
      <c r="H375">
        <v>45920</v>
      </c>
      <c r="I375">
        <v>47811</v>
      </c>
      <c r="J375">
        <v>46320</v>
      </c>
      <c r="K375">
        <v>45498</v>
      </c>
      <c r="L375">
        <v>47530</v>
      </c>
      <c r="M375">
        <v>49182</v>
      </c>
      <c r="N375">
        <v>50964</v>
      </c>
      <c r="O375">
        <v>52192</v>
      </c>
      <c r="P375">
        <v>56548</v>
      </c>
      <c r="Q375">
        <v>57170</v>
      </c>
      <c r="R375">
        <v>60375</v>
      </c>
    </row>
    <row r="376" spans="1:18">
      <c r="A376">
        <v>48660</v>
      </c>
      <c r="B376" t="s">
        <v>682</v>
      </c>
      <c r="C376" t="s">
        <v>1448</v>
      </c>
      <c r="D376" t="s">
        <v>1449</v>
      </c>
      <c r="E376">
        <v>38189</v>
      </c>
      <c r="F376">
        <v>42830</v>
      </c>
      <c r="G376">
        <v>42772</v>
      </c>
      <c r="H376">
        <v>43326</v>
      </c>
      <c r="I376">
        <v>43164</v>
      </c>
      <c r="J376">
        <v>41041</v>
      </c>
      <c r="K376">
        <v>40258</v>
      </c>
      <c r="L376">
        <v>41897</v>
      </c>
      <c r="M376">
        <v>43756</v>
      </c>
      <c r="N376">
        <v>45043</v>
      </c>
      <c r="O376">
        <v>47577</v>
      </c>
      <c r="P376">
        <v>50624</v>
      </c>
      <c r="Q376">
        <v>53342</v>
      </c>
      <c r="R376">
        <v>56148</v>
      </c>
    </row>
    <row r="377" spans="1:18">
      <c r="A377">
        <v>48700</v>
      </c>
      <c r="B377" t="s">
        <v>683</v>
      </c>
      <c r="C377" t="s">
        <v>1448</v>
      </c>
      <c r="D377" t="s">
        <v>1449</v>
      </c>
      <c r="E377">
        <v>33988</v>
      </c>
      <c r="F377">
        <v>36773</v>
      </c>
      <c r="G377">
        <v>37431</v>
      </c>
      <c r="H377">
        <v>37754</v>
      </c>
      <c r="I377">
        <v>38961</v>
      </c>
      <c r="J377">
        <v>39777</v>
      </c>
      <c r="K377">
        <v>39358</v>
      </c>
      <c r="L377">
        <v>40681</v>
      </c>
      <c r="M377">
        <v>42354</v>
      </c>
      <c r="N377">
        <v>43959</v>
      </c>
      <c r="O377">
        <v>47994</v>
      </c>
      <c r="P377">
        <v>50449</v>
      </c>
      <c r="Q377">
        <v>50940</v>
      </c>
      <c r="R377">
        <v>53630</v>
      </c>
    </row>
    <row r="378" spans="1:18">
      <c r="A378">
        <v>48900</v>
      </c>
      <c r="B378" t="s">
        <v>684</v>
      </c>
      <c r="C378" t="s">
        <v>1448</v>
      </c>
      <c r="D378" t="s">
        <v>1449</v>
      </c>
      <c r="E378">
        <v>34424</v>
      </c>
      <c r="F378">
        <v>35694</v>
      </c>
      <c r="G378">
        <v>36158</v>
      </c>
      <c r="H378">
        <v>36725</v>
      </c>
      <c r="I378">
        <v>39352</v>
      </c>
      <c r="J378">
        <v>40987</v>
      </c>
      <c r="K378">
        <v>42128</v>
      </c>
      <c r="L378">
        <v>43132</v>
      </c>
      <c r="M378">
        <v>45736</v>
      </c>
      <c r="N378">
        <v>48580</v>
      </c>
      <c r="O378">
        <v>51808</v>
      </c>
      <c r="P378">
        <v>57786</v>
      </c>
      <c r="Q378">
        <v>59442</v>
      </c>
      <c r="R378">
        <v>62278</v>
      </c>
    </row>
    <row r="379" spans="1:18">
      <c r="A379">
        <v>49020</v>
      </c>
      <c r="B379" t="s">
        <v>685</v>
      </c>
      <c r="C379" t="s">
        <v>1448</v>
      </c>
      <c r="D379" t="s">
        <v>1449</v>
      </c>
      <c r="E379">
        <v>36709</v>
      </c>
      <c r="F379">
        <v>38469</v>
      </c>
      <c r="G379">
        <v>39802</v>
      </c>
      <c r="H379">
        <v>39640</v>
      </c>
      <c r="I379">
        <v>40564</v>
      </c>
      <c r="J379">
        <v>42672</v>
      </c>
      <c r="K379">
        <v>44491</v>
      </c>
      <c r="L379">
        <v>45907</v>
      </c>
      <c r="M379">
        <v>47101</v>
      </c>
      <c r="N379">
        <v>49691</v>
      </c>
      <c r="O379">
        <v>52674</v>
      </c>
      <c r="P379">
        <v>57829</v>
      </c>
      <c r="Q379">
        <v>58837</v>
      </c>
      <c r="R379">
        <v>62115</v>
      </c>
    </row>
    <row r="380" spans="1:18">
      <c r="A380">
        <v>49180</v>
      </c>
      <c r="B380" t="s">
        <v>686</v>
      </c>
      <c r="C380" t="s">
        <v>1448</v>
      </c>
      <c r="D380" t="s">
        <v>1449</v>
      </c>
      <c r="E380">
        <v>35713</v>
      </c>
      <c r="F380">
        <v>36007</v>
      </c>
      <c r="G380">
        <v>37231</v>
      </c>
      <c r="H380">
        <v>36752</v>
      </c>
      <c r="I380">
        <v>39065</v>
      </c>
      <c r="J380">
        <v>40547</v>
      </c>
      <c r="K380">
        <v>41182</v>
      </c>
      <c r="L380">
        <v>42957</v>
      </c>
      <c r="M380">
        <v>43732</v>
      </c>
      <c r="N380">
        <v>45834</v>
      </c>
      <c r="O380">
        <v>48649</v>
      </c>
      <c r="P380">
        <v>53449</v>
      </c>
      <c r="Q380">
        <v>54744</v>
      </c>
      <c r="R380">
        <v>57101</v>
      </c>
    </row>
    <row r="381" spans="1:18">
      <c r="A381">
        <v>49340</v>
      </c>
      <c r="B381" t="s">
        <v>687</v>
      </c>
      <c r="C381" t="s">
        <v>1448</v>
      </c>
      <c r="D381" t="s">
        <v>1449</v>
      </c>
      <c r="E381">
        <v>42734</v>
      </c>
      <c r="F381">
        <v>44537</v>
      </c>
      <c r="G381">
        <v>45896</v>
      </c>
      <c r="H381">
        <v>45516</v>
      </c>
      <c r="I381">
        <v>46678</v>
      </c>
      <c r="J381">
        <v>48668</v>
      </c>
      <c r="K381">
        <v>49957</v>
      </c>
      <c r="L381">
        <v>51179</v>
      </c>
      <c r="M381">
        <v>52828</v>
      </c>
      <c r="N381">
        <v>55326</v>
      </c>
      <c r="O381">
        <v>60161</v>
      </c>
      <c r="P381">
        <v>63348</v>
      </c>
      <c r="Q381">
        <v>65083</v>
      </c>
      <c r="R381">
        <v>67810</v>
      </c>
    </row>
    <row r="382" spans="1:18">
      <c r="A382">
        <v>49420</v>
      </c>
      <c r="B382" t="s">
        <v>688</v>
      </c>
      <c r="C382" t="s">
        <v>1448</v>
      </c>
      <c r="D382" t="s">
        <v>1449</v>
      </c>
      <c r="E382">
        <v>31582</v>
      </c>
      <c r="F382">
        <v>33196</v>
      </c>
      <c r="G382">
        <v>34953</v>
      </c>
      <c r="H382">
        <v>34984</v>
      </c>
      <c r="I382">
        <v>36639</v>
      </c>
      <c r="J382">
        <v>37574</v>
      </c>
      <c r="K382">
        <v>38171</v>
      </c>
      <c r="L382">
        <v>39279</v>
      </c>
      <c r="M382">
        <v>40569</v>
      </c>
      <c r="N382">
        <v>42805</v>
      </c>
      <c r="O382">
        <v>46180</v>
      </c>
      <c r="P382">
        <v>49918</v>
      </c>
      <c r="Q382">
        <v>49680</v>
      </c>
      <c r="R382">
        <v>51488</v>
      </c>
    </row>
    <row r="383" spans="1:18">
      <c r="A383">
        <v>49620</v>
      </c>
      <c r="B383" t="s">
        <v>689</v>
      </c>
      <c r="C383" t="s">
        <v>1448</v>
      </c>
      <c r="D383" t="s">
        <v>1449</v>
      </c>
      <c r="E383">
        <v>40662</v>
      </c>
      <c r="F383">
        <v>41465</v>
      </c>
      <c r="G383">
        <v>41751</v>
      </c>
      <c r="H383">
        <v>41745</v>
      </c>
      <c r="I383">
        <v>42613</v>
      </c>
      <c r="J383">
        <v>44177</v>
      </c>
      <c r="K383">
        <v>45488</v>
      </c>
      <c r="L383">
        <v>47130</v>
      </c>
      <c r="M383">
        <v>49020</v>
      </c>
      <c r="N383">
        <v>50687</v>
      </c>
      <c r="O383">
        <v>54362</v>
      </c>
      <c r="P383">
        <v>57329</v>
      </c>
      <c r="Q383">
        <v>58305</v>
      </c>
      <c r="R383">
        <v>60915</v>
      </c>
    </row>
    <row r="384" spans="1:18">
      <c r="A384">
        <v>49660</v>
      </c>
      <c r="B384" t="s">
        <v>690</v>
      </c>
      <c r="C384" t="s">
        <v>1448</v>
      </c>
      <c r="D384" t="s">
        <v>1449</v>
      </c>
      <c r="E384">
        <v>32930</v>
      </c>
      <c r="F384">
        <v>35029</v>
      </c>
      <c r="G384">
        <v>35722</v>
      </c>
      <c r="H384">
        <v>35923</v>
      </c>
      <c r="I384">
        <v>37000</v>
      </c>
      <c r="J384">
        <v>38143</v>
      </c>
      <c r="K384">
        <v>38564</v>
      </c>
      <c r="L384">
        <v>39518</v>
      </c>
      <c r="M384">
        <v>40924</v>
      </c>
      <c r="N384">
        <v>41908</v>
      </c>
      <c r="O384">
        <v>45370</v>
      </c>
      <c r="P384">
        <v>48878</v>
      </c>
      <c r="Q384">
        <v>49271</v>
      </c>
      <c r="R384">
        <v>51869</v>
      </c>
    </row>
    <row r="385" spans="1:18">
      <c r="A385">
        <v>49700</v>
      </c>
      <c r="B385" t="s">
        <v>691</v>
      </c>
      <c r="C385" t="s">
        <v>1448</v>
      </c>
      <c r="D385" t="s">
        <v>1449</v>
      </c>
      <c r="E385">
        <v>33109</v>
      </c>
      <c r="F385">
        <v>34010</v>
      </c>
      <c r="G385">
        <v>33931</v>
      </c>
      <c r="H385">
        <v>35158</v>
      </c>
      <c r="I385">
        <v>35648</v>
      </c>
      <c r="J385">
        <v>38020</v>
      </c>
      <c r="K385">
        <v>38938</v>
      </c>
      <c r="L385">
        <v>39212</v>
      </c>
      <c r="M385">
        <v>40978</v>
      </c>
      <c r="N385">
        <v>42721</v>
      </c>
      <c r="O385">
        <v>47642</v>
      </c>
      <c r="P385">
        <v>51568</v>
      </c>
      <c r="Q385">
        <v>50207</v>
      </c>
      <c r="R385">
        <v>52354</v>
      </c>
    </row>
    <row r="386" spans="1:18">
      <c r="A386">
        <v>49740</v>
      </c>
      <c r="B386" t="s">
        <v>692</v>
      </c>
      <c r="C386" t="s">
        <v>1448</v>
      </c>
      <c r="D386" t="s">
        <v>1449</v>
      </c>
      <c r="E386">
        <v>27791</v>
      </c>
      <c r="F386">
        <v>28558</v>
      </c>
      <c r="G386">
        <v>28301</v>
      </c>
      <c r="H386">
        <v>30017</v>
      </c>
      <c r="I386">
        <v>29745</v>
      </c>
      <c r="J386">
        <v>31949</v>
      </c>
      <c r="K386">
        <v>33033</v>
      </c>
      <c r="L386">
        <v>34809</v>
      </c>
      <c r="M386">
        <v>35266</v>
      </c>
      <c r="N386">
        <v>36928</v>
      </c>
      <c r="O386">
        <v>41995</v>
      </c>
      <c r="P386">
        <v>44461</v>
      </c>
      <c r="Q386">
        <v>45028</v>
      </c>
      <c r="R386">
        <v>46441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9548-0383-4838-9C38-A7D4843A976A}">
  <dimension ref="A1:R544"/>
  <sheetViews>
    <sheetView workbookViewId="0"/>
  </sheetViews>
  <sheetFormatPr baseColWidth="10" defaultColWidth="8.83203125" defaultRowHeight="15"/>
  <sheetData>
    <row r="1" spans="1:18">
      <c r="A1" s="2" t="s">
        <v>2</v>
      </c>
      <c r="B1" s="2" t="s">
        <v>297</v>
      </c>
      <c r="C1" s="2" t="s">
        <v>1262</v>
      </c>
      <c r="D1" s="2" t="s">
        <v>1251</v>
      </c>
      <c r="E1" s="2" t="s">
        <v>1263</v>
      </c>
      <c r="F1" s="2" t="s">
        <v>1252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  <c r="L1" s="2" t="s">
        <v>303</v>
      </c>
      <c r="M1" s="2" t="s">
        <v>304</v>
      </c>
      <c r="N1" s="2" t="s">
        <v>305</v>
      </c>
      <c r="O1" s="2" t="s">
        <v>306</v>
      </c>
      <c r="P1" s="2" t="s">
        <v>307</v>
      </c>
      <c r="Q1" s="2" t="s">
        <v>1253</v>
      </c>
      <c r="R1" s="2" t="s">
        <v>1264</v>
      </c>
    </row>
    <row r="2" spans="1:18">
      <c r="A2">
        <v>10100</v>
      </c>
      <c r="B2" t="s">
        <v>693</v>
      </c>
      <c r="C2" t="s">
        <v>1448</v>
      </c>
      <c r="D2" t="s">
        <v>1449</v>
      </c>
      <c r="E2">
        <v>41076</v>
      </c>
      <c r="F2">
        <v>47333</v>
      </c>
      <c r="G2">
        <v>47939</v>
      </c>
      <c r="H2">
        <v>50744</v>
      </c>
      <c r="I2">
        <v>50512</v>
      </c>
      <c r="J2">
        <v>51514</v>
      </c>
      <c r="K2">
        <v>49821</v>
      </c>
      <c r="L2">
        <v>49475</v>
      </c>
      <c r="M2">
        <v>53295</v>
      </c>
      <c r="N2">
        <v>54143</v>
      </c>
      <c r="O2">
        <v>61400</v>
      </c>
      <c r="P2">
        <v>72304</v>
      </c>
      <c r="Q2">
        <v>76672</v>
      </c>
      <c r="R2">
        <v>77242</v>
      </c>
    </row>
    <row r="3" spans="1:18">
      <c r="A3">
        <v>10140</v>
      </c>
      <c r="B3" t="s">
        <v>694</v>
      </c>
      <c r="C3" t="s">
        <v>1448</v>
      </c>
      <c r="D3" t="s">
        <v>1449</v>
      </c>
      <c r="E3">
        <v>30223</v>
      </c>
      <c r="F3">
        <v>30888</v>
      </c>
      <c r="G3">
        <v>31806</v>
      </c>
      <c r="H3">
        <v>31979</v>
      </c>
      <c r="I3">
        <v>34277</v>
      </c>
      <c r="J3">
        <v>34894</v>
      </c>
      <c r="K3">
        <v>36023</v>
      </c>
      <c r="L3">
        <v>37512</v>
      </c>
      <c r="M3">
        <v>38982</v>
      </c>
      <c r="N3">
        <v>40452</v>
      </c>
      <c r="O3">
        <v>43601</v>
      </c>
      <c r="P3">
        <v>47004</v>
      </c>
      <c r="Q3">
        <v>47232</v>
      </c>
      <c r="R3">
        <v>49968</v>
      </c>
    </row>
    <row r="4" spans="1:18">
      <c r="A4">
        <v>10220</v>
      </c>
      <c r="B4" t="s">
        <v>695</v>
      </c>
      <c r="C4" t="s">
        <v>1448</v>
      </c>
      <c r="D4" t="s">
        <v>1449</v>
      </c>
      <c r="E4">
        <v>34526</v>
      </c>
      <c r="F4">
        <v>36192</v>
      </c>
      <c r="G4">
        <v>36300</v>
      </c>
      <c r="H4">
        <v>36380</v>
      </c>
      <c r="I4">
        <v>38682</v>
      </c>
      <c r="J4">
        <v>38776</v>
      </c>
      <c r="K4">
        <v>39222</v>
      </c>
      <c r="L4">
        <v>40988</v>
      </c>
      <c r="M4">
        <v>42881</v>
      </c>
      <c r="N4">
        <v>45099</v>
      </c>
      <c r="O4">
        <v>48275</v>
      </c>
      <c r="P4">
        <v>51729</v>
      </c>
      <c r="Q4">
        <v>53531</v>
      </c>
      <c r="R4">
        <v>56112</v>
      </c>
    </row>
    <row r="5" spans="1:18">
      <c r="A5">
        <v>10300</v>
      </c>
      <c r="B5" t="s">
        <v>696</v>
      </c>
      <c r="C5" t="s">
        <v>1448</v>
      </c>
      <c r="D5" t="s">
        <v>1449</v>
      </c>
      <c r="E5">
        <v>30552</v>
      </c>
      <c r="F5">
        <v>32182</v>
      </c>
      <c r="G5">
        <v>33032</v>
      </c>
      <c r="H5">
        <v>32631</v>
      </c>
      <c r="I5">
        <v>33710</v>
      </c>
      <c r="J5">
        <v>35560</v>
      </c>
      <c r="K5">
        <v>36484</v>
      </c>
      <c r="L5">
        <v>37025</v>
      </c>
      <c r="M5">
        <v>38918</v>
      </c>
      <c r="N5">
        <v>40110</v>
      </c>
      <c r="O5">
        <v>44127</v>
      </c>
      <c r="P5">
        <v>47735</v>
      </c>
      <c r="Q5">
        <v>48611</v>
      </c>
      <c r="R5">
        <v>51391</v>
      </c>
    </row>
    <row r="6" spans="1:18">
      <c r="A6">
        <v>10460</v>
      </c>
      <c r="B6" t="s">
        <v>697</v>
      </c>
      <c r="C6" t="s">
        <v>1448</v>
      </c>
      <c r="D6" t="s">
        <v>1449</v>
      </c>
      <c r="E6">
        <v>31474</v>
      </c>
      <c r="F6">
        <v>31979</v>
      </c>
      <c r="G6">
        <v>31760</v>
      </c>
      <c r="H6">
        <v>30598</v>
      </c>
      <c r="I6">
        <v>31617</v>
      </c>
      <c r="J6">
        <v>32587</v>
      </c>
      <c r="K6">
        <v>33105</v>
      </c>
      <c r="L6">
        <v>33240</v>
      </c>
      <c r="M6">
        <v>34474</v>
      </c>
      <c r="N6">
        <v>35119</v>
      </c>
      <c r="O6">
        <v>38834</v>
      </c>
      <c r="P6">
        <v>41855</v>
      </c>
      <c r="Q6">
        <v>42490</v>
      </c>
      <c r="R6">
        <v>43353</v>
      </c>
    </row>
    <row r="7" spans="1:18">
      <c r="A7">
        <v>10620</v>
      </c>
      <c r="B7" t="s">
        <v>698</v>
      </c>
      <c r="C7" t="s">
        <v>1448</v>
      </c>
      <c r="D7" t="s">
        <v>1449</v>
      </c>
      <c r="E7">
        <v>29239</v>
      </c>
      <c r="F7">
        <v>29917</v>
      </c>
      <c r="G7">
        <v>31500</v>
      </c>
      <c r="H7">
        <v>31786</v>
      </c>
      <c r="I7">
        <v>33292</v>
      </c>
      <c r="J7">
        <v>34639</v>
      </c>
      <c r="K7">
        <v>36109</v>
      </c>
      <c r="L7">
        <v>37585</v>
      </c>
      <c r="M7">
        <v>38705</v>
      </c>
      <c r="N7">
        <v>40254</v>
      </c>
      <c r="O7">
        <v>43148</v>
      </c>
      <c r="P7">
        <v>47770</v>
      </c>
      <c r="Q7">
        <v>48450</v>
      </c>
      <c r="R7">
        <v>50394</v>
      </c>
    </row>
    <row r="8" spans="1:18">
      <c r="A8">
        <v>10660</v>
      </c>
      <c r="B8" t="s">
        <v>699</v>
      </c>
      <c r="C8" t="s">
        <v>1448</v>
      </c>
      <c r="D8" t="s">
        <v>1449</v>
      </c>
      <c r="E8">
        <v>34935</v>
      </c>
      <c r="F8">
        <v>37669</v>
      </c>
      <c r="G8">
        <v>38862</v>
      </c>
      <c r="H8">
        <v>40443</v>
      </c>
      <c r="I8">
        <v>39579</v>
      </c>
      <c r="J8">
        <v>40839</v>
      </c>
      <c r="K8">
        <v>40117</v>
      </c>
      <c r="L8">
        <v>42361</v>
      </c>
      <c r="M8">
        <v>43490</v>
      </c>
      <c r="N8">
        <v>44518</v>
      </c>
      <c r="O8">
        <v>48857</v>
      </c>
      <c r="P8">
        <v>54489</v>
      </c>
      <c r="Q8">
        <v>55432</v>
      </c>
      <c r="R8">
        <v>56100</v>
      </c>
    </row>
    <row r="9" spans="1:18">
      <c r="A9">
        <v>10700</v>
      </c>
      <c r="B9" t="s">
        <v>700</v>
      </c>
      <c r="C9" t="s">
        <v>1448</v>
      </c>
      <c r="D9" t="s">
        <v>1449</v>
      </c>
      <c r="E9">
        <v>29709</v>
      </c>
      <c r="F9">
        <v>29648</v>
      </c>
      <c r="G9">
        <v>30789</v>
      </c>
      <c r="H9">
        <v>31076</v>
      </c>
      <c r="I9">
        <v>32093</v>
      </c>
      <c r="J9">
        <v>34050</v>
      </c>
      <c r="K9">
        <v>33615</v>
      </c>
      <c r="L9">
        <v>34556</v>
      </c>
      <c r="M9">
        <v>35648</v>
      </c>
      <c r="N9">
        <v>37673</v>
      </c>
      <c r="O9">
        <v>41120</v>
      </c>
      <c r="P9">
        <v>45985</v>
      </c>
      <c r="Q9">
        <v>47142</v>
      </c>
      <c r="R9">
        <v>48602</v>
      </c>
    </row>
    <row r="10" spans="1:18">
      <c r="A10">
        <v>10760</v>
      </c>
      <c r="B10" t="s">
        <v>701</v>
      </c>
      <c r="C10" t="s">
        <v>1448</v>
      </c>
      <c r="D10" t="s">
        <v>1449</v>
      </c>
      <c r="E10">
        <v>30699</v>
      </c>
      <c r="F10">
        <v>31202</v>
      </c>
      <c r="G10">
        <v>32129</v>
      </c>
      <c r="H10">
        <v>32452</v>
      </c>
      <c r="I10">
        <v>32782</v>
      </c>
      <c r="J10">
        <v>35019</v>
      </c>
      <c r="K10">
        <v>35889</v>
      </c>
      <c r="L10">
        <v>36506</v>
      </c>
      <c r="M10">
        <v>37885</v>
      </c>
      <c r="N10">
        <v>40125</v>
      </c>
      <c r="O10">
        <v>42533</v>
      </c>
      <c r="P10">
        <v>46781</v>
      </c>
      <c r="Q10">
        <v>46972</v>
      </c>
      <c r="R10">
        <v>49396</v>
      </c>
    </row>
    <row r="11" spans="1:18">
      <c r="A11">
        <v>10820</v>
      </c>
      <c r="B11" t="s">
        <v>702</v>
      </c>
      <c r="C11" t="s">
        <v>1448</v>
      </c>
      <c r="D11" t="s">
        <v>1449</v>
      </c>
      <c r="E11">
        <v>43255</v>
      </c>
      <c r="F11">
        <v>45281</v>
      </c>
      <c r="G11">
        <v>49625</v>
      </c>
      <c r="H11">
        <v>48494</v>
      </c>
      <c r="I11">
        <v>46179</v>
      </c>
      <c r="J11">
        <v>49126</v>
      </c>
      <c r="K11">
        <v>50091</v>
      </c>
      <c r="L11">
        <v>49167</v>
      </c>
      <c r="M11">
        <v>50088</v>
      </c>
      <c r="N11">
        <v>51196</v>
      </c>
      <c r="O11">
        <v>55839</v>
      </c>
      <c r="P11">
        <v>61686</v>
      </c>
      <c r="Q11">
        <v>63755</v>
      </c>
      <c r="R11">
        <v>65827</v>
      </c>
    </row>
    <row r="12" spans="1:18">
      <c r="A12">
        <v>10860</v>
      </c>
      <c r="B12" t="s">
        <v>703</v>
      </c>
      <c r="C12" t="s">
        <v>1448</v>
      </c>
      <c r="D12" t="s">
        <v>1449</v>
      </c>
      <c r="E12">
        <v>33147</v>
      </c>
      <c r="F12">
        <v>37523</v>
      </c>
      <c r="G12">
        <v>40161</v>
      </c>
      <c r="H12">
        <v>41830</v>
      </c>
      <c r="I12">
        <v>43500</v>
      </c>
      <c r="J12">
        <v>39914</v>
      </c>
      <c r="K12">
        <v>37538</v>
      </c>
      <c r="L12">
        <v>39904</v>
      </c>
      <c r="M12">
        <v>41376</v>
      </c>
      <c r="N12">
        <v>43314</v>
      </c>
      <c r="O12">
        <v>46340</v>
      </c>
      <c r="P12">
        <v>48074</v>
      </c>
      <c r="Q12">
        <v>48839</v>
      </c>
      <c r="R12">
        <v>51699</v>
      </c>
    </row>
    <row r="13" spans="1:18">
      <c r="A13">
        <v>10940</v>
      </c>
      <c r="B13" t="s">
        <v>704</v>
      </c>
      <c r="C13" t="s">
        <v>1448</v>
      </c>
      <c r="D13" t="s">
        <v>1449</v>
      </c>
      <c r="E13">
        <v>28766</v>
      </c>
      <c r="F13">
        <v>31142</v>
      </c>
      <c r="G13">
        <v>31475</v>
      </c>
      <c r="H13">
        <v>31558</v>
      </c>
      <c r="I13">
        <v>31831</v>
      </c>
      <c r="J13">
        <v>33200</v>
      </c>
      <c r="K13">
        <v>33620</v>
      </c>
      <c r="L13">
        <v>34369</v>
      </c>
      <c r="M13">
        <v>35625</v>
      </c>
      <c r="N13">
        <v>36073</v>
      </c>
      <c r="O13">
        <v>41228</v>
      </c>
      <c r="P13">
        <v>44174</v>
      </c>
      <c r="Q13">
        <v>44050</v>
      </c>
      <c r="R13">
        <v>45517</v>
      </c>
    </row>
    <row r="14" spans="1:18">
      <c r="A14">
        <v>10980</v>
      </c>
      <c r="B14" t="s">
        <v>705</v>
      </c>
      <c r="C14" t="s">
        <v>1448</v>
      </c>
      <c r="D14" t="s">
        <v>1449</v>
      </c>
      <c r="E14">
        <v>32060</v>
      </c>
      <c r="F14">
        <v>33321</v>
      </c>
      <c r="G14">
        <v>33770</v>
      </c>
      <c r="H14">
        <v>33928</v>
      </c>
      <c r="I14">
        <v>34636</v>
      </c>
      <c r="J14">
        <v>36599</v>
      </c>
      <c r="K14">
        <v>37212</v>
      </c>
      <c r="L14">
        <v>38577</v>
      </c>
      <c r="M14">
        <v>39251</v>
      </c>
      <c r="N14">
        <v>40402</v>
      </c>
      <c r="O14">
        <v>45014</v>
      </c>
      <c r="P14">
        <v>48642</v>
      </c>
      <c r="Q14">
        <v>48775</v>
      </c>
      <c r="R14">
        <v>51634</v>
      </c>
    </row>
    <row r="15" spans="1:18">
      <c r="A15">
        <v>11060</v>
      </c>
      <c r="B15" t="s">
        <v>706</v>
      </c>
      <c r="C15" t="s">
        <v>1448</v>
      </c>
      <c r="D15" t="s">
        <v>1449</v>
      </c>
      <c r="E15">
        <v>34316</v>
      </c>
      <c r="F15">
        <v>34909</v>
      </c>
      <c r="G15">
        <v>35812</v>
      </c>
      <c r="H15">
        <v>35630</v>
      </c>
      <c r="I15">
        <v>37193</v>
      </c>
      <c r="J15">
        <v>35798</v>
      </c>
      <c r="K15">
        <v>36452</v>
      </c>
      <c r="L15">
        <v>38346</v>
      </c>
      <c r="M15">
        <v>39642</v>
      </c>
      <c r="N15">
        <v>42456</v>
      </c>
      <c r="O15">
        <v>45233</v>
      </c>
      <c r="P15">
        <v>49858</v>
      </c>
      <c r="Q15">
        <v>51752</v>
      </c>
      <c r="R15">
        <v>54031</v>
      </c>
    </row>
    <row r="16" spans="1:18">
      <c r="A16">
        <v>11140</v>
      </c>
      <c r="B16" t="s">
        <v>707</v>
      </c>
      <c r="C16" t="s">
        <v>1448</v>
      </c>
      <c r="D16" t="s">
        <v>1449</v>
      </c>
      <c r="E16">
        <v>27171</v>
      </c>
      <c r="F16">
        <v>29271</v>
      </c>
      <c r="G16">
        <v>29574</v>
      </c>
      <c r="H16">
        <v>29641</v>
      </c>
      <c r="I16">
        <v>30828</v>
      </c>
      <c r="J16">
        <v>31966</v>
      </c>
      <c r="K16">
        <v>32506</v>
      </c>
      <c r="L16">
        <v>34316</v>
      </c>
      <c r="M16">
        <v>34853</v>
      </c>
      <c r="N16">
        <v>36710</v>
      </c>
      <c r="O16">
        <v>40133</v>
      </c>
      <c r="P16">
        <v>43790</v>
      </c>
      <c r="Q16">
        <v>43973</v>
      </c>
      <c r="R16">
        <v>45430</v>
      </c>
    </row>
    <row r="17" spans="1:18">
      <c r="A17">
        <v>11220</v>
      </c>
      <c r="B17" t="s">
        <v>708</v>
      </c>
      <c r="C17" t="s">
        <v>1448</v>
      </c>
      <c r="D17" t="s">
        <v>1449</v>
      </c>
      <c r="E17">
        <v>34449</v>
      </c>
      <c r="F17">
        <v>35048</v>
      </c>
      <c r="G17">
        <v>35185</v>
      </c>
      <c r="H17">
        <v>35828</v>
      </c>
      <c r="I17">
        <v>35762</v>
      </c>
      <c r="J17">
        <v>37078</v>
      </c>
      <c r="K17">
        <v>38279</v>
      </c>
      <c r="L17">
        <v>40231</v>
      </c>
      <c r="M17">
        <v>40020</v>
      </c>
      <c r="N17">
        <v>41973</v>
      </c>
      <c r="O17">
        <v>46451</v>
      </c>
      <c r="P17">
        <v>48135</v>
      </c>
      <c r="Q17">
        <v>48706</v>
      </c>
      <c r="R17">
        <v>50879</v>
      </c>
    </row>
    <row r="18" spans="1:18">
      <c r="A18">
        <v>11380</v>
      </c>
      <c r="B18" t="s">
        <v>709</v>
      </c>
      <c r="C18" t="s">
        <v>1448</v>
      </c>
      <c r="D18" t="s">
        <v>1449</v>
      </c>
      <c r="E18">
        <v>36910</v>
      </c>
      <c r="F18">
        <v>43277</v>
      </c>
      <c r="G18">
        <v>48595</v>
      </c>
      <c r="H18">
        <v>50751</v>
      </c>
      <c r="I18">
        <v>54503</v>
      </c>
      <c r="J18">
        <v>45554</v>
      </c>
      <c r="K18">
        <v>40602</v>
      </c>
      <c r="L18">
        <v>45613</v>
      </c>
      <c r="M18">
        <v>51430</v>
      </c>
      <c r="N18">
        <v>52819</v>
      </c>
      <c r="O18">
        <v>48552</v>
      </c>
      <c r="P18">
        <v>51441</v>
      </c>
      <c r="Q18">
        <v>54413</v>
      </c>
      <c r="R18">
        <v>57526</v>
      </c>
    </row>
    <row r="19" spans="1:18">
      <c r="A19">
        <v>11420</v>
      </c>
      <c r="B19" t="s">
        <v>710</v>
      </c>
      <c r="C19" t="s">
        <v>1448</v>
      </c>
      <c r="D19" t="s">
        <v>1449</v>
      </c>
      <c r="E19">
        <v>31228</v>
      </c>
      <c r="F19">
        <v>33538</v>
      </c>
      <c r="G19">
        <v>35358</v>
      </c>
      <c r="H19">
        <v>35794</v>
      </c>
      <c r="I19">
        <v>37230</v>
      </c>
      <c r="J19">
        <v>37550</v>
      </c>
      <c r="K19">
        <v>39321</v>
      </c>
      <c r="L19">
        <v>41457</v>
      </c>
      <c r="M19">
        <v>43741</v>
      </c>
      <c r="N19">
        <v>45131</v>
      </c>
      <c r="O19">
        <v>47956</v>
      </c>
      <c r="P19">
        <v>53688</v>
      </c>
      <c r="Q19">
        <v>54853</v>
      </c>
      <c r="R19">
        <v>56713</v>
      </c>
    </row>
    <row r="20" spans="1:18">
      <c r="A20">
        <v>11580</v>
      </c>
      <c r="B20" t="s">
        <v>711</v>
      </c>
      <c r="C20" t="s">
        <v>1448</v>
      </c>
      <c r="D20" t="s">
        <v>1449</v>
      </c>
      <c r="E20">
        <v>22231</v>
      </c>
      <c r="F20">
        <v>22979</v>
      </c>
      <c r="G20">
        <v>22443</v>
      </c>
      <c r="H20">
        <v>22765</v>
      </c>
      <c r="I20">
        <v>23936</v>
      </c>
      <c r="J20">
        <v>25265</v>
      </c>
      <c r="K20">
        <v>25238</v>
      </c>
      <c r="L20">
        <v>25905</v>
      </c>
      <c r="M20">
        <v>26557</v>
      </c>
      <c r="N20">
        <v>28287</v>
      </c>
      <c r="O20">
        <v>30128</v>
      </c>
      <c r="P20">
        <v>33227</v>
      </c>
      <c r="Q20">
        <v>33328</v>
      </c>
      <c r="R20">
        <v>34786</v>
      </c>
    </row>
    <row r="21" spans="1:18">
      <c r="A21">
        <v>11620</v>
      </c>
      <c r="B21" t="s">
        <v>712</v>
      </c>
      <c r="C21" t="s">
        <v>1448</v>
      </c>
      <c r="D21" t="s">
        <v>1449</v>
      </c>
      <c r="E21">
        <v>34631</v>
      </c>
      <c r="F21">
        <v>36637</v>
      </c>
      <c r="G21">
        <v>38957</v>
      </c>
      <c r="H21">
        <v>39116</v>
      </c>
      <c r="I21">
        <v>41893</v>
      </c>
      <c r="J21">
        <v>40226</v>
      </c>
      <c r="K21">
        <v>39217</v>
      </c>
      <c r="L21">
        <v>40135</v>
      </c>
      <c r="M21">
        <v>42205</v>
      </c>
      <c r="N21">
        <v>42852</v>
      </c>
      <c r="O21">
        <v>45071</v>
      </c>
      <c r="P21">
        <v>48010</v>
      </c>
      <c r="Q21">
        <v>49757</v>
      </c>
      <c r="R21">
        <v>51797</v>
      </c>
    </row>
    <row r="22" spans="1:18">
      <c r="A22">
        <v>11660</v>
      </c>
      <c r="B22" t="s">
        <v>713</v>
      </c>
      <c r="C22" t="s">
        <v>1448</v>
      </c>
      <c r="D22" t="s">
        <v>1449</v>
      </c>
      <c r="E22">
        <v>28235</v>
      </c>
      <c r="F22">
        <v>29457</v>
      </c>
      <c r="G22">
        <v>31336</v>
      </c>
      <c r="H22">
        <v>30910</v>
      </c>
      <c r="I22">
        <v>32247</v>
      </c>
      <c r="J22">
        <v>33019</v>
      </c>
      <c r="K22">
        <v>33933</v>
      </c>
      <c r="L22">
        <v>35302</v>
      </c>
      <c r="M22">
        <v>36406</v>
      </c>
      <c r="N22">
        <v>38362</v>
      </c>
      <c r="O22">
        <v>41640</v>
      </c>
      <c r="P22">
        <v>43413</v>
      </c>
      <c r="Q22">
        <v>42652</v>
      </c>
      <c r="R22">
        <v>44397</v>
      </c>
    </row>
    <row r="23" spans="1:18">
      <c r="A23">
        <v>11740</v>
      </c>
      <c r="B23" t="s">
        <v>714</v>
      </c>
      <c r="C23" t="s">
        <v>1448</v>
      </c>
      <c r="D23" t="s">
        <v>1449</v>
      </c>
      <c r="E23">
        <v>29553</v>
      </c>
      <c r="F23">
        <v>31575</v>
      </c>
      <c r="G23">
        <v>31765</v>
      </c>
      <c r="H23">
        <v>33296</v>
      </c>
      <c r="I23">
        <v>34529</v>
      </c>
      <c r="J23">
        <v>35524</v>
      </c>
      <c r="K23">
        <v>35860</v>
      </c>
      <c r="L23">
        <v>37254</v>
      </c>
      <c r="M23">
        <v>38774</v>
      </c>
      <c r="N23">
        <v>39111</v>
      </c>
      <c r="O23">
        <v>42750</v>
      </c>
      <c r="P23">
        <v>47702</v>
      </c>
      <c r="Q23">
        <v>48234</v>
      </c>
      <c r="R23">
        <v>51242</v>
      </c>
    </row>
    <row r="24" spans="1:18">
      <c r="A24">
        <v>11780</v>
      </c>
      <c r="B24" t="s">
        <v>715</v>
      </c>
      <c r="C24" t="s">
        <v>1448</v>
      </c>
      <c r="D24" t="s">
        <v>1449</v>
      </c>
      <c r="E24">
        <v>29763</v>
      </c>
      <c r="F24">
        <v>31620</v>
      </c>
      <c r="G24">
        <v>31897</v>
      </c>
      <c r="H24">
        <v>32415</v>
      </c>
      <c r="I24">
        <v>34061</v>
      </c>
      <c r="J24">
        <v>34910</v>
      </c>
      <c r="K24">
        <v>35307</v>
      </c>
      <c r="L24">
        <v>36417</v>
      </c>
      <c r="M24">
        <v>38201</v>
      </c>
      <c r="N24">
        <v>39321</v>
      </c>
      <c r="O24">
        <v>43172</v>
      </c>
      <c r="P24">
        <v>46451</v>
      </c>
      <c r="Q24">
        <v>47692</v>
      </c>
      <c r="R24">
        <v>50508</v>
      </c>
    </row>
    <row r="25" spans="1:18">
      <c r="A25">
        <v>11820</v>
      </c>
      <c r="B25" t="s">
        <v>716</v>
      </c>
      <c r="C25" t="s">
        <v>1448</v>
      </c>
      <c r="D25" t="s">
        <v>1449</v>
      </c>
      <c r="E25">
        <v>33749</v>
      </c>
      <c r="F25">
        <v>34192</v>
      </c>
      <c r="G25">
        <v>35013</v>
      </c>
      <c r="H25">
        <v>35180</v>
      </c>
      <c r="I25">
        <v>36723</v>
      </c>
      <c r="J25">
        <v>38315</v>
      </c>
      <c r="K25">
        <v>39742</v>
      </c>
      <c r="L25">
        <v>41628</v>
      </c>
      <c r="M25">
        <v>43990</v>
      </c>
      <c r="N25">
        <v>44895</v>
      </c>
      <c r="O25">
        <v>49743</v>
      </c>
      <c r="P25">
        <v>54545</v>
      </c>
      <c r="Q25">
        <v>56330</v>
      </c>
      <c r="R25">
        <v>60930</v>
      </c>
    </row>
    <row r="26" spans="1:18">
      <c r="A26">
        <v>11860</v>
      </c>
      <c r="B26" t="s">
        <v>717</v>
      </c>
      <c r="C26" t="s">
        <v>1448</v>
      </c>
      <c r="D26" t="s">
        <v>1449</v>
      </c>
      <c r="E26">
        <v>30038</v>
      </c>
      <c r="F26">
        <v>32384</v>
      </c>
      <c r="G26">
        <v>31008</v>
      </c>
      <c r="H26">
        <v>31710</v>
      </c>
      <c r="I26">
        <v>32196</v>
      </c>
      <c r="J26">
        <v>33389</v>
      </c>
      <c r="K26">
        <v>34388</v>
      </c>
      <c r="L26">
        <v>35945</v>
      </c>
      <c r="M26">
        <v>37071</v>
      </c>
      <c r="N26">
        <v>38291</v>
      </c>
      <c r="O26">
        <v>42314</v>
      </c>
      <c r="P26">
        <v>44687</v>
      </c>
      <c r="Q26">
        <v>43801</v>
      </c>
      <c r="R26">
        <v>45739</v>
      </c>
    </row>
    <row r="27" spans="1:18">
      <c r="A27">
        <v>11900</v>
      </c>
      <c r="B27" t="s">
        <v>718</v>
      </c>
      <c r="C27" t="s">
        <v>1448</v>
      </c>
      <c r="D27" t="s">
        <v>1449</v>
      </c>
      <c r="E27">
        <v>27567</v>
      </c>
      <c r="F27">
        <v>28740</v>
      </c>
      <c r="G27">
        <v>29555</v>
      </c>
      <c r="H27">
        <v>29698</v>
      </c>
      <c r="I27">
        <v>30650</v>
      </c>
      <c r="J27">
        <v>31621</v>
      </c>
      <c r="K27">
        <v>32128</v>
      </c>
      <c r="L27">
        <v>33401</v>
      </c>
      <c r="M27">
        <v>34357</v>
      </c>
      <c r="N27">
        <v>35639</v>
      </c>
      <c r="O27">
        <v>38196</v>
      </c>
      <c r="P27">
        <v>42586</v>
      </c>
      <c r="Q27">
        <v>41207</v>
      </c>
      <c r="R27">
        <v>42018</v>
      </c>
    </row>
    <row r="28" spans="1:18">
      <c r="A28">
        <v>11940</v>
      </c>
      <c r="B28" t="s">
        <v>719</v>
      </c>
      <c r="C28" t="s">
        <v>1448</v>
      </c>
      <c r="D28" t="s">
        <v>1449</v>
      </c>
      <c r="E28">
        <v>28696</v>
      </c>
      <c r="F28">
        <v>29718</v>
      </c>
      <c r="G28">
        <v>30779</v>
      </c>
      <c r="H28">
        <v>31264</v>
      </c>
      <c r="I28">
        <v>31825</v>
      </c>
      <c r="J28">
        <v>32942</v>
      </c>
      <c r="K28">
        <v>33607</v>
      </c>
      <c r="L28">
        <v>34872</v>
      </c>
      <c r="M28">
        <v>36423</v>
      </c>
      <c r="N28">
        <v>37568</v>
      </c>
      <c r="O28">
        <v>40799</v>
      </c>
      <c r="P28">
        <v>43540</v>
      </c>
      <c r="Q28">
        <v>43962</v>
      </c>
      <c r="R28">
        <v>45629</v>
      </c>
    </row>
    <row r="29" spans="1:18">
      <c r="A29">
        <v>11980</v>
      </c>
      <c r="B29" t="s">
        <v>720</v>
      </c>
      <c r="C29" t="s">
        <v>1448</v>
      </c>
      <c r="D29" t="s">
        <v>1449</v>
      </c>
      <c r="E29">
        <v>31171</v>
      </c>
      <c r="F29">
        <v>33203</v>
      </c>
      <c r="G29">
        <v>34432</v>
      </c>
      <c r="H29">
        <v>35725</v>
      </c>
      <c r="I29">
        <v>37035</v>
      </c>
      <c r="J29">
        <v>37004</v>
      </c>
      <c r="K29">
        <v>37257</v>
      </c>
      <c r="L29">
        <v>39190</v>
      </c>
      <c r="M29">
        <v>39564</v>
      </c>
      <c r="N29">
        <v>42365</v>
      </c>
      <c r="O29">
        <v>45036</v>
      </c>
      <c r="P29">
        <v>48144</v>
      </c>
      <c r="Q29">
        <v>49977</v>
      </c>
      <c r="R29">
        <v>52297</v>
      </c>
    </row>
    <row r="30" spans="1:18">
      <c r="A30">
        <v>12120</v>
      </c>
      <c r="B30" t="s">
        <v>721</v>
      </c>
      <c r="C30" t="s">
        <v>1448</v>
      </c>
      <c r="D30" t="s">
        <v>1449</v>
      </c>
      <c r="E30">
        <v>26812</v>
      </c>
      <c r="F30">
        <v>27519</v>
      </c>
      <c r="G30">
        <v>28689</v>
      </c>
      <c r="H30">
        <v>29089</v>
      </c>
      <c r="I30">
        <v>29467</v>
      </c>
      <c r="J30">
        <v>29887</v>
      </c>
      <c r="K30">
        <v>30354</v>
      </c>
      <c r="L30">
        <v>31672</v>
      </c>
      <c r="M30">
        <v>32079</v>
      </c>
      <c r="N30">
        <v>33272</v>
      </c>
      <c r="O30">
        <v>36149</v>
      </c>
      <c r="P30">
        <v>40120</v>
      </c>
      <c r="Q30">
        <v>40411</v>
      </c>
      <c r="R30">
        <v>42089</v>
      </c>
    </row>
    <row r="31" spans="1:18">
      <c r="A31">
        <v>12140</v>
      </c>
      <c r="B31" t="s">
        <v>722</v>
      </c>
      <c r="C31" t="s">
        <v>1448</v>
      </c>
      <c r="D31" t="s">
        <v>1449</v>
      </c>
      <c r="E31">
        <v>31718</v>
      </c>
      <c r="F31">
        <v>34901</v>
      </c>
      <c r="G31">
        <v>36092</v>
      </c>
      <c r="H31">
        <v>36508</v>
      </c>
      <c r="I31">
        <v>37698</v>
      </c>
      <c r="J31">
        <v>39198</v>
      </c>
      <c r="K31">
        <v>40599</v>
      </c>
      <c r="L31">
        <v>42337</v>
      </c>
      <c r="M31">
        <v>44255</v>
      </c>
      <c r="N31">
        <v>45077</v>
      </c>
      <c r="O31">
        <v>48528</v>
      </c>
      <c r="P31">
        <v>55175</v>
      </c>
      <c r="Q31">
        <v>55408</v>
      </c>
      <c r="R31">
        <v>56870</v>
      </c>
    </row>
    <row r="32" spans="1:18">
      <c r="A32">
        <v>12180</v>
      </c>
      <c r="B32" t="s">
        <v>723</v>
      </c>
      <c r="C32" t="s">
        <v>1448</v>
      </c>
      <c r="D32" t="s">
        <v>1449</v>
      </c>
      <c r="E32">
        <v>33085</v>
      </c>
      <c r="F32">
        <v>34609</v>
      </c>
      <c r="G32">
        <v>35925</v>
      </c>
      <c r="H32">
        <v>36589</v>
      </c>
      <c r="I32">
        <v>37366</v>
      </c>
      <c r="J32">
        <v>38273</v>
      </c>
      <c r="K32">
        <v>38867</v>
      </c>
      <c r="L32">
        <v>40804</v>
      </c>
      <c r="M32">
        <v>41584</v>
      </c>
      <c r="N32">
        <v>44222</v>
      </c>
      <c r="O32">
        <v>49083</v>
      </c>
      <c r="P32">
        <v>52361</v>
      </c>
      <c r="Q32">
        <v>52085</v>
      </c>
      <c r="R32">
        <v>53644</v>
      </c>
    </row>
    <row r="33" spans="1:18">
      <c r="A33">
        <v>12300</v>
      </c>
      <c r="B33" t="s">
        <v>724</v>
      </c>
      <c r="C33" t="s">
        <v>1448</v>
      </c>
      <c r="D33" t="s">
        <v>1449</v>
      </c>
      <c r="E33">
        <v>37583</v>
      </c>
      <c r="F33">
        <v>38298</v>
      </c>
      <c r="G33">
        <v>38222</v>
      </c>
      <c r="H33">
        <v>38629</v>
      </c>
      <c r="I33">
        <v>39528</v>
      </c>
      <c r="J33">
        <v>40640</v>
      </c>
      <c r="K33">
        <v>41314</v>
      </c>
      <c r="L33">
        <v>42318</v>
      </c>
      <c r="M33">
        <v>43930</v>
      </c>
      <c r="N33">
        <v>45877</v>
      </c>
      <c r="O33">
        <v>49788</v>
      </c>
      <c r="P33">
        <v>54441</v>
      </c>
      <c r="Q33">
        <v>55562</v>
      </c>
      <c r="R33">
        <v>58278</v>
      </c>
    </row>
    <row r="34" spans="1:18">
      <c r="A34">
        <v>12380</v>
      </c>
      <c r="B34" t="s">
        <v>725</v>
      </c>
      <c r="C34" t="s">
        <v>1448</v>
      </c>
      <c r="D34" t="s">
        <v>1449</v>
      </c>
      <c r="E34">
        <v>36601</v>
      </c>
      <c r="F34">
        <v>39502</v>
      </c>
      <c r="G34">
        <v>40935</v>
      </c>
      <c r="H34">
        <v>42232</v>
      </c>
      <c r="I34">
        <v>41276</v>
      </c>
      <c r="J34">
        <v>44330</v>
      </c>
      <c r="K34">
        <v>43513</v>
      </c>
      <c r="L34">
        <v>44672</v>
      </c>
      <c r="M34">
        <v>45436</v>
      </c>
      <c r="N34">
        <v>45476</v>
      </c>
      <c r="O34">
        <v>49842</v>
      </c>
      <c r="P34">
        <v>54948</v>
      </c>
      <c r="Q34">
        <v>55260</v>
      </c>
      <c r="R34">
        <v>56722</v>
      </c>
    </row>
    <row r="35" spans="1:18">
      <c r="A35">
        <v>12460</v>
      </c>
      <c r="B35" t="s">
        <v>726</v>
      </c>
      <c r="C35" t="s">
        <v>1448</v>
      </c>
      <c r="D35" t="s">
        <v>1449</v>
      </c>
      <c r="E35">
        <v>29303</v>
      </c>
      <c r="F35">
        <v>31107</v>
      </c>
      <c r="G35">
        <v>30685</v>
      </c>
      <c r="H35">
        <v>30233</v>
      </c>
      <c r="I35">
        <v>29502</v>
      </c>
      <c r="J35">
        <v>30597</v>
      </c>
      <c r="K35">
        <v>31059</v>
      </c>
      <c r="L35">
        <v>31292</v>
      </c>
      <c r="M35">
        <v>32799</v>
      </c>
      <c r="N35">
        <v>33913</v>
      </c>
      <c r="O35">
        <v>37424</v>
      </c>
      <c r="P35">
        <v>42214</v>
      </c>
      <c r="Q35">
        <v>43054</v>
      </c>
      <c r="R35">
        <v>44657</v>
      </c>
    </row>
    <row r="36" spans="1:18">
      <c r="A36">
        <v>12660</v>
      </c>
      <c r="B36" t="s">
        <v>727</v>
      </c>
      <c r="C36" t="s">
        <v>1448</v>
      </c>
      <c r="D36" t="s">
        <v>1449</v>
      </c>
      <c r="E36">
        <v>36406</v>
      </c>
      <c r="F36">
        <v>37978</v>
      </c>
      <c r="G36">
        <v>39761</v>
      </c>
      <c r="H36">
        <v>40198</v>
      </c>
      <c r="I36">
        <v>41916</v>
      </c>
      <c r="J36">
        <v>43222</v>
      </c>
      <c r="K36">
        <v>43596</v>
      </c>
      <c r="L36">
        <v>45322</v>
      </c>
      <c r="M36">
        <v>47817</v>
      </c>
      <c r="N36">
        <v>52289</v>
      </c>
      <c r="O36">
        <v>56053</v>
      </c>
      <c r="P36">
        <v>62989</v>
      </c>
      <c r="Q36">
        <v>62841</v>
      </c>
      <c r="R36">
        <v>66107</v>
      </c>
    </row>
    <row r="37" spans="1:18">
      <c r="A37">
        <v>12680</v>
      </c>
      <c r="B37" t="s">
        <v>728</v>
      </c>
      <c r="C37" t="s">
        <v>1448</v>
      </c>
      <c r="D37" t="s">
        <v>1449</v>
      </c>
      <c r="E37">
        <v>31914</v>
      </c>
      <c r="F37">
        <v>33362</v>
      </c>
      <c r="G37">
        <v>34076</v>
      </c>
      <c r="H37">
        <v>36546</v>
      </c>
      <c r="I37">
        <v>36173</v>
      </c>
      <c r="J37">
        <v>37971</v>
      </c>
      <c r="K37">
        <v>40795</v>
      </c>
      <c r="L37">
        <v>40597</v>
      </c>
      <c r="M37">
        <v>42124</v>
      </c>
      <c r="N37">
        <v>43819</v>
      </c>
      <c r="O37">
        <v>48103</v>
      </c>
      <c r="P37">
        <v>52851</v>
      </c>
      <c r="Q37">
        <v>53925</v>
      </c>
      <c r="R37">
        <v>56564</v>
      </c>
    </row>
    <row r="38" spans="1:18">
      <c r="A38">
        <v>12740</v>
      </c>
      <c r="B38" t="s">
        <v>729</v>
      </c>
      <c r="C38" t="s">
        <v>1448</v>
      </c>
      <c r="D38" t="s">
        <v>1449</v>
      </c>
      <c r="E38">
        <v>44649</v>
      </c>
      <c r="F38">
        <v>46361</v>
      </c>
      <c r="G38">
        <v>48064</v>
      </c>
      <c r="H38">
        <v>49219</v>
      </c>
      <c r="I38">
        <v>50709</v>
      </c>
      <c r="J38">
        <v>53022</v>
      </c>
      <c r="K38">
        <v>54512</v>
      </c>
      <c r="L38">
        <v>55654</v>
      </c>
      <c r="M38">
        <v>57693</v>
      </c>
      <c r="N38">
        <v>58793</v>
      </c>
      <c r="O38">
        <v>64201</v>
      </c>
      <c r="P38">
        <v>66673</v>
      </c>
      <c r="Q38">
        <v>69964</v>
      </c>
      <c r="R38">
        <v>73602</v>
      </c>
    </row>
    <row r="39" spans="1:18">
      <c r="A39">
        <v>12780</v>
      </c>
      <c r="B39" t="s">
        <v>730</v>
      </c>
      <c r="C39" t="s">
        <v>1448</v>
      </c>
      <c r="D39" t="s">
        <v>1449</v>
      </c>
      <c r="E39">
        <v>54411</v>
      </c>
      <c r="F39">
        <v>46374</v>
      </c>
      <c r="G39">
        <v>45899</v>
      </c>
      <c r="H39">
        <v>51965</v>
      </c>
      <c r="I39">
        <v>56769</v>
      </c>
      <c r="J39">
        <v>52958</v>
      </c>
      <c r="K39">
        <v>52069</v>
      </c>
      <c r="L39">
        <v>58768</v>
      </c>
      <c r="M39">
        <v>66373</v>
      </c>
      <c r="N39">
        <v>62410</v>
      </c>
      <c r="O39">
        <v>63649</v>
      </c>
      <c r="P39">
        <v>82944</v>
      </c>
      <c r="Q39">
        <v>110159</v>
      </c>
      <c r="R39">
        <v>111286</v>
      </c>
    </row>
    <row r="40" spans="1:18">
      <c r="A40">
        <v>12860</v>
      </c>
      <c r="B40" t="s">
        <v>731</v>
      </c>
      <c r="C40" t="s">
        <v>1448</v>
      </c>
      <c r="D40" t="s">
        <v>1449</v>
      </c>
      <c r="E40">
        <v>34753</v>
      </c>
      <c r="F40">
        <v>35808</v>
      </c>
      <c r="G40">
        <v>36570</v>
      </c>
      <c r="H40">
        <v>37268</v>
      </c>
      <c r="I40">
        <v>38469</v>
      </c>
      <c r="J40">
        <v>39720</v>
      </c>
      <c r="K40">
        <v>39717</v>
      </c>
      <c r="L40">
        <v>41443</v>
      </c>
      <c r="M40">
        <v>42390</v>
      </c>
      <c r="N40">
        <v>44282</v>
      </c>
      <c r="O40">
        <v>48168</v>
      </c>
      <c r="P40">
        <v>50390</v>
      </c>
      <c r="Q40">
        <v>51259</v>
      </c>
      <c r="R40">
        <v>53104</v>
      </c>
    </row>
    <row r="41" spans="1:18">
      <c r="A41">
        <v>12900</v>
      </c>
      <c r="B41" t="s">
        <v>732</v>
      </c>
      <c r="C41" t="s">
        <v>1448</v>
      </c>
      <c r="D41" t="s">
        <v>1449</v>
      </c>
      <c r="E41">
        <v>28309</v>
      </c>
      <c r="F41">
        <v>29150</v>
      </c>
      <c r="G41">
        <v>29341</v>
      </c>
      <c r="H41">
        <v>29659</v>
      </c>
      <c r="I41">
        <v>31425</v>
      </c>
      <c r="J41">
        <v>32389</v>
      </c>
      <c r="K41">
        <v>32906</v>
      </c>
      <c r="L41">
        <v>33747</v>
      </c>
      <c r="M41">
        <v>34655</v>
      </c>
      <c r="N41">
        <v>35634</v>
      </c>
      <c r="O41">
        <v>38113</v>
      </c>
      <c r="P41">
        <v>42549</v>
      </c>
      <c r="Q41">
        <v>45321</v>
      </c>
      <c r="R41">
        <v>46097</v>
      </c>
    </row>
    <row r="42" spans="1:18">
      <c r="A42">
        <v>13060</v>
      </c>
      <c r="B42" t="s">
        <v>733</v>
      </c>
      <c r="C42" t="s">
        <v>1448</v>
      </c>
      <c r="D42" t="s">
        <v>1449</v>
      </c>
      <c r="E42">
        <v>31842</v>
      </c>
      <c r="F42">
        <v>33958</v>
      </c>
      <c r="G42">
        <v>35159</v>
      </c>
      <c r="H42">
        <v>36915</v>
      </c>
      <c r="I42">
        <v>39454</v>
      </c>
      <c r="J42">
        <v>41396</v>
      </c>
      <c r="K42">
        <v>40550</v>
      </c>
      <c r="L42">
        <v>41477</v>
      </c>
      <c r="M42">
        <v>43214</v>
      </c>
      <c r="N42">
        <v>45706</v>
      </c>
      <c r="O42">
        <v>47990</v>
      </c>
      <c r="P42">
        <v>50845</v>
      </c>
      <c r="Q42">
        <v>49952</v>
      </c>
      <c r="R42">
        <v>53090</v>
      </c>
    </row>
    <row r="43" spans="1:18">
      <c r="A43">
        <v>13100</v>
      </c>
      <c r="B43" t="s">
        <v>734</v>
      </c>
      <c r="C43" t="s">
        <v>1448</v>
      </c>
      <c r="D43" t="s">
        <v>1449</v>
      </c>
      <c r="E43">
        <v>39086</v>
      </c>
      <c r="F43">
        <v>43114</v>
      </c>
      <c r="G43">
        <v>41684</v>
      </c>
      <c r="H43">
        <v>43097</v>
      </c>
      <c r="I43">
        <v>44220</v>
      </c>
      <c r="J43">
        <v>46096</v>
      </c>
      <c r="K43">
        <v>42840</v>
      </c>
      <c r="L43">
        <v>43840</v>
      </c>
      <c r="M43">
        <v>46266</v>
      </c>
      <c r="N43">
        <v>48577</v>
      </c>
      <c r="O43">
        <v>51159</v>
      </c>
      <c r="P43">
        <v>61357</v>
      </c>
      <c r="Q43">
        <v>75876</v>
      </c>
      <c r="R43">
        <v>80101</v>
      </c>
    </row>
    <row r="44" spans="1:18">
      <c r="A44">
        <v>13180</v>
      </c>
      <c r="B44" t="s">
        <v>735</v>
      </c>
      <c r="C44" t="s">
        <v>1448</v>
      </c>
      <c r="D44" t="s">
        <v>1449</v>
      </c>
      <c r="E44">
        <v>35379</v>
      </c>
      <c r="F44">
        <v>36860</v>
      </c>
      <c r="G44">
        <v>38271</v>
      </c>
      <c r="H44">
        <v>38652</v>
      </c>
      <c r="I44">
        <v>40141</v>
      </c>
      <c r="J44">
        <v>40414</v>
      </c>
      <c r="K44">
        <v>40392</v>
      </c>
      <c r="L44">
        <v>41652</v>
      </c>
      <c r="M44">
        <v>43251</v>
      </c>
      <c r="N44">
        <v>44907</v>
      </c>
      <c r="O44">
        <v>47230</v>
      </c>
      <c r="P44">
        <v>51580</v>
      </c>
      <c r="Q44">
        <v>53210</v>
      </c>
      <c r="R44">
        <v>55856</v>
      </c>
    </row>
    <row r="45" spans="1:18">
      <c r="A45">
        <v>13260</v>
      </c>
      <c r="B45" t="s">
        <v>736</v>
      </c>
      <c r="C45" t="s">
        <v>1448</v>
      </c>
      <c r="D45" t="s">
        <v>1449</v>
      </c>
      <c r="E45">
        <v>30862</v>
      </c>
      <c r="F45">
        <v>32326</v>
      </c>
      <c r="G45">
        <v>33327</v>
      </c>
      <c r="H45">
        <v>33366</v>
      </c>
      <c r="I45">
        <v>35179</v>
      </c>
      <c r="J45">
        <v>36374</v>
      </c>
      <c r="K45">
        <v>37634</v>
      </c>
      <c r="L45">
        <v>38927</v>
      </c>
      <c r="M45">
        <v>40724</v>
      </c>
      <c r="N45">
        <v>42855</v>
      </c>
      <c r="O45">
        <v>47222</v>
      </c>
      <c r="P45">
        <v>51688</v>
      </c>
      <c r="Q45">
        <v>52404</v>
      </c>
      <c r="R45">
        <v>54421</v>
      </c>
    </row>
    <row r="46" spans="1:18">
      <c r="A46">
        <v>13300</v>
      </c>
      <c r="B46" t="s">
        <v>737</v>
      </c>
      <c r="C46" t="s">
        <v>1448</v>
      </c>
      <c r="D46" t="s">
        <v>1449</v>
      </c>
      <c r="E46">
        <v>25200</v>
      </c>
      <c r="F46">
        <v>26180</v>
      </c>
      <c r="G46">
        <v>28749</v>
      </c>
      <c r="H46">
        <v>30177</v>
      </c>
      <c r="I46">
        <v>31134</v>
      </c>
      <c r="J46">
        <v>28183</v>
      </c>
      <c r="K46">
        <v>26849</v>
      </c>
      <c r="L46">
        <v>28435</v>
      </c>
      <c r="M46">
        <v>29867</v>
      </c>
      <c r="N46">
        <v>31033</v>
      </c>
      <c r="O46">
        <v>32465</v>
      </c>
      <c r="P46">
        <v>34147</v>
      </c>
      <c r="Q46">
        <v>34725</v>
      </c>
      <c r="R46">
        <v>37156</v>
      </c>
    </row>
    <row r="47" spans="1:18">
      <c r="A47">
        <v>13340</v>
      </c>
      <c r="B47" t="s">
        <v>738</v>
      </c>
      <c r="C47" t="s">
        <v>1448</v>
      </c>
      <c r="D47" t="s">
        <v>1449</v>
      </c>
      <c r="E47">
        <v>32032</v>
      </c>
      <c r="F47">
        <v>33887</v>
      </c>
      <c r="G47">
        <v>35962</v>
      </c>
      <c r="H47">
        <v>37447</v>
      </c>
      <c r="I47">
        <v>37653</v>
      </c>
      <c r="J47">
        <v>38062</v>
      </c>
      <c r="K47">
        <v>38884</v>
      </c>
      <c r="L47">
        <v>40451</v>
      </c>
      <c r="M47">
        <v>42144</v>
      </c>
      <c r="N47">
        <v>42578</v>
      </c>
      <c r="O47">
        <v>46779</v>
      </c>
      <c r="P47">
        <v>49058</v>
      </c>
      <c r="Q47">
        <v>49418</v>
      </c>
      <c r="R47">
        <v>51515</v>
      </c>
    </row>
    <row r="48" spans="1:18">
      <c r="A48">
        <v>13420</v>
      </c>
      <c r="B48" t="s">
        <v>739</v>
      </c>
      <c r="C48" t="s">
        <v>1448</v>
      </c>
      <c r="D48" t="s">
        <v>1449</v>
      </c>
      <c r="E48">
        <v>30922</v>
      </c>
      <c r="F48">
        <v>32106</v>
      </c>
      <c r="G48">
        <v>33496</v>
      </c>
      <c r="H48">
        <v>33895</v>
      </c>
      <c r="I48">
        <v>36074</v>
      </c>
      <c r="J48">
        <v>37650</v>
      </c>
      <c r="K48">
        <v>38687</v>
      </c>
      <c r="L48">
        <v>39695</v>
      </c>
      <c r="M48">
        <v>41993</v>
      </c>
      <c r="N48">
        <v>42653</v>
      </c>
      <c r="O48">
        <v>46915</v>
      </c>
      <c r="P48">
        <v>51259</v>
      </c>
      <c r="Q48">
        <v>51096</v>
      </c>
      <c r="R48">
        <v>53382</v>
      </c>
    </row>
    <row r="49" spans="1:18">
      <c r="A49">
        <v>13500</v>
      </c>
      <c r="B49" t="s">
        <v>740</v>
      </c>
      <c r="C49" t="s">
        <v>1448</v>
      </c>
      <c r="D49" t="s">
        <v>1449</v>
      </c>
      <c r="E49">
        <v>22127</v>
      </c>
      <c r="F49">
        <v>23438</v>
      </c>
      <c r="G49">
        <v>24224</v>
      </c>
      <c r="H49">
        <v>26015</v>
      </c>
      <c r="I49">
        <v>26351</v>
      </c>
      <c r="J49">
        <v>27313</v>
      </c>
      <c r="K49">
        <v>28734</v>
      </c>
      <c r="L49">
        <v>29578</v>
      </c>
      <c r="M49">
        <v>30873</v>
      </c>
      <c r="N49">
        <v>31214</v>
      </c>
      <c r="O49">
        <v>34469</v>
      </c>
      <c r="P49">
        <v>38490</v>
      </c>
      <c r="Q49">
        <v>38132</v>
      </c>
      <c r="R49">
        <v>38787</v>
      </c>
    </row>
    <row r="50" spans="1:18">
      <c r="A50">
        <v>13540</v>
      </c>
      <c r="B50" t="s">
        <v>741</v>
      </c>
      <c r="C50" t="s">
        <v>1448</v>
      </c>
      <c r="D50" t="s">
        <v>1449</v>
      </c>
      <c r="E50">
        <v>40400</v>
      </c>
      <c r="F50">
        <v>42811</v>
      </c>
      <c r="G50">
        <v>43688</v>
      </c>
      <c r="H50">
        <v>43618</v>
      </c>
      <c r="I50">
        <v>45433</v>
      </c>
      <c r="J50">
        <v>46479</v>
      </c>
      <c r="K50">
        <v>47373</v>
      </c>
      <c r="L50">
        <v>48807</v>
      </c>
      <c r="M50">
        <v>50440</v>
      </c>
      <c r="N50">
        <v>52774</v>
      </c>
      <c r="O50">
        <v>55732</v>
      </c>
      <c r="P50">
        <v>58446</v>
      </c>
      <c r="Q50">
        <v>61577</v>
      </c>
      <c r="R50">
        <v>65638</v>
      </c>
    </row>
    <row r="51" spans="1:18">
      <c r="A51">
        <v>13620</v>
      </c>
      <c r="B51" t="s">
        <v>742</v>
      </c>
      <c r="C51" t="s">
        <v>1448</v>
      </c>
      <c r="D51" t="s">
        <v>1449</v>
      </c>
      <c r="E51">
        <v>34656</v>
      </c>
      <c r="F51">
        <v>35611</v>
      </c>
      <c r="G51">
        <v>36473</v>
      </c>
      <c r="H51">
        <v>36472</v>
      </c>
      <c r="I51">
        <v>36620</v>
      </c>
      <c r="J51">
        <v>38833</v>
      </c>
      <c r="K51">
        <v>39664</v>
      </c>
      <c r="L51">
        <v>41776</v>
      </c>
      <c r="M51">
        <v>43303</v>
      </c>
      <c r="N51">
        <v>44743</v>
      </c>
      <c r="O51">
        <v>49233</v>
      </c>
      <c r="P51">
        <v>52854</v>
      </c>
      <c r="Q51">
        <v>52958</v>
      </c>
      <c r="R51">
        <v>55665</v>
      </c>
    </row>
    <row r="52" spans="1:18">
      <c r="A52">
        <v>13660</v>
      </c>
      <c r="B52" t="s">
        <v>743</v>
      </c>
      <c r="C52" t="s">
        <v>1448</v>
      </c>
      <c r="D52" t="s">
        <v>1449</v>
      </c>
      <c r="E52">
        <v>26019</v>
      </c>
      <c r="F52">
        <v>27512</v>
      </c>
      <c r="G52">
        <v>27964</v>
      </c>
      <c r="H52">
        <v>28943</v>
      </c>
      <c r="I52">
        <v>30209</v>
      </c>
      <c r="J52">
        <v>31521</v>
      </c>
      <c r="K52">
        <v>32945</v>
      </c>
      <c r="L52">
        <v>34742</v>
      </c>
      <c r="M52">
        <v>35798</v>
      </c>
      <c r="N52">
        <v>36886</v>
      </c>
      <c r="O52">
        <v>40805</v>
      </c>
      <c r="P52">
        <v>44319</v>
      </c>
      <c r="Q52">
        <v>42745</v>
      </c>
      <c r="R52">
        <v>45437</v>
      </c>
    </row>
    <row r="53" spans="1:18">
      <c r="A53">
        <v>13700</v>
      </c>
      <c r="B53" t="s">
        <v>744</v>
      </c>
      <c r="C53" t="s">
        <v>1448</v>
      </c>
      <c r="D53" t="s">
        <v>1449</v>
      </c>
      <c r="E53">
        <v>30065</v>
      </c>
      <c r="F53">
        <v>33675</v>
      </c>
      <c r="G53">
        <v>34995</v>
      </c>
      <c r="H53">
        <v>36275</v>
      </c>
      <c r="I53">
        <v>38288</v>
      </c>
      <c r="J53">
        <v>36208</v>
      </c>
      <c r="K53">
        <v>36073</v>
      </c>
      <c r="L53">
        <v>39070</v>
      </c>
      <c r="M53">
        <v>45672</v>
      </c>
      <c r="N53">
        <v>46382</v>
      </c>
      <c r="O53">
        <v>46762</v>
      </c>
      <c r="P53">
        <v>50412</v>
      </c>
      <c r="Q53">
        <v>63237</v>
      </c>
      <c r="R53">
        <v>66751</v>
      </c>
    </row>
    <row r="54" spans="1:18">
      <c r="A54">
        <v>13720</v>
      </c>
      <c r="B54" t="s">
        <v>745</v>
      </c>
      <c r="C54" t="s">
        <v>1448</v>
      </c>
      <c r="D54" t="s">
        <v>1449</v>
      </c>
      <c r="E54">
        <v>30434</v>
      </c>
      <c r="F54">
        <v>31356</v>
      </c>
      <c r="G54">
        <v>30612</v>
      </c>
      <c r="H54">
        <v>29393</v>
      </c>
      <c r="I54">
        <v>30107</v>
      </c>
      <c r="J54">
        <v>30451</v>
      </c>
      <c r="K54">
        <v>30257</v>
      </c>
      <c r="L54">
        <v>30920</v>
      </c>
      <c r="M54">
        <v>32442</v>
      </c>
      <c r="N54">
        <v>33780</v>
      </c>
      <c r="O54">
        <v>37096</v>
      </c>
      <c r="P54">
        <v>40786</v>
      </c>
      <c r="Q54">
        <v>42148</v>
      </c>
      <c r="R54">
        <v>44131</v>
      </c>
    </row>
    <row r="55" spans="1:18">
      <c r="A55">
        <v>13940</v>
      </c>
      <c r="B55" t="s">
        <v>746</v>
      </c>
      <c r="C55" t="s">
        <v>1448</v>
      </c>
      <c r="D55" t="s">
        <v>1449</v>
      </c>
      <c r="E55">
        <v>27997</v>
      </c>
      <c r="F55">
        <v>30189</v>
      </c>
      <c r="G55">
        <v>30197</v>
      </c>
      <c r="H55">
        <v>30816</v>
      </c>
      <c r="I55">
        <v>30569</v>
      </c>
      <c r="J55">
        <v>32029</v>
      </c>
      <c r="K55">
        <v>32433</v>
      </c>
      <c r="L55">
        <v>32662</v>
      </c>
      <c r="M55">
        <v>34458</v>
      </c>
      <c r="N55">
        <v>37008</v>
      </c>
      <c r="O55">
        <v>41132</v>
      </c>
      <c r="P55">
        <v>46385</v>
      </c>
      <c r="Q55">
        <v>47942</v>
      </c>
      <c r="R55">
        <v>48780</v>
      </c>
    </row>
    <row r="56" spans="1:18">
      <c r="A56">
        <v>14140</v>
      </c>
      <c r="B56" t="s">
        <v>747</v>
      </c>
      <c r="C56" t="s">
        <v>1448</v>
      </c>
      <c r="D56" t="s">
        <v>1449</v>
      </c>
      <c r="E56">
        <v>31422</v>
      </c>
      <c r="F56">
        <v>32585</v>
      </c>
      <c r="G56">
        <v>33488</v>
      </c>
      <c r="H56">
        <v>32837</v>
      </c>
      <c r="I56">
        <v>33373</v>
      </c>
      <c r="J56">
        <v>33829</v>
      </c>
      <c r="K56">
        <v>33594</v>
      </c>
      <c r="L56">
        <v>35535</v>
      </c>
      <c r="M56">
        <v>36781</v>
      </c>
      <c r="N56">
        <v>37901</v>
      </c>
      <c r="O56">
        <v>40765</v>
      </c>
      <c r="P56">
        <v>44031</v>
      </c>
      <c r="Q56">
        <v>45263</v>
      </c>
      <c r="R56">
        <v>48036</v>
      </c>
    </row>
    <row r="57" spans="1:18">
      <c r="A57">
        <v>14160</v>
      </c>
      <c r="B57" t="s">
        <v>748</v>
      </c>
      <c r="C57" t="s">
        <v>1448</v>
      </c>
      <c r="D57" t="s">
        <v>1449</v>
      </c>
      <c r="E57">
        <v>32678</v>
      </c>
      <c r="F57">
        <v>34724</v>
      </c>
      <c r="G57">
        <v>36329</v>
      </c>
      <c r="H57">
        <v>38108</v>
      </c>
      <c r="I57">
        <v>38422</v>
      </c>
      <c r="J57">
        <v>38367</v>
      </c>
      <c r="K57">
        <v>38873</v>
      </c>
      <c r="L57">
        <v>39753</v>
      </c>
      <c r="M57">
        <v>41354</v>
      </c>
      <c r="N57">
        <v>42432</v>
      </c>
      <c r="O57">
        <v>46074</v>
      </c>
      <c r="P57">
        <v>51603</v>
      </c>
      <c r="Q57">
        <v>52094</v>
      </c>
      <c r="R57">
        <v>53280</v>
      </c>
    </row>
    <row r="58" spans="1:18">
      <c r="A58">
        <v>14180</v>
      </c>
      <c r="B58" t="s">
        <v>749</v>
      </c>
      <c r="C58" t="s">
        <v>1448</v>
      </c>
      <c r="D58" t="s">
        <v>1449</v>
      </c>
      <c r="E58">
        <v>27664</v>
      </c>
      <c r="F58">
        <v>30493</v>
      </c>
      <c r="G58">
        <v>27804</v>
      </c>
      <c r="H58">
        <v>29711</v>
      </c>
      <c r="I58">
        <v>29597</v>
      </c>
      <c r="J58">
        <v>28641</v>
      </c>
      <c r="K58">
        <v>29143</v>
      </c>
      <c r="L58">
        <v>30304</v>
      </c>
      <c r="M58">
        <v>32365</v>
      </c>
      <c r="N58">
        <v>35233</v>
      </c>
      <c r="O58">
        <v>37956</v>
      </c>
      <c r="P58">
        <v>45419</v>
      </c>
      <c r="Q58">
        <v>45175</v>
      </c>
      <c r="R58">
        <v>47237</v>
      </c>
    </row>
    <row r="59" spans="1:18">
      <c r="A59">
        <v>14220</v>
      </c>
      <c r="B59" t="s">
        <v>750</v>
      </c>
      <c r="C59" t="s">
        <v>1448</v>
      </c>
      <c r="D59" t="s">
        <v>1449</v>
      </c>
      <c r="E59">
        <v>29163</v>
      </c>
      <c r="F59">
        <v>30383</v>
      </c>
      <c r="G59">
        <v>30091</v>
      </c>
      <c r="H59">
        <v>30870</v>
      </c>
      <c r="I59">
        <v>31165</v>
      </c>
      <c r="J59">
        <v>31259</v>
      </c>
      <c r="K59">
        <v>31562</v>
      </c>
      <c r="L59">
        <v>32392</v>
      </c>
      <c r="M59">
        <v>33462</v>
      </c>
      <c r="N59">
        <v>35639</v>
      </c>
      <c r="O59">
        <v>38256</v>
      </c>
      <c r="P59">
        <v>41826</v>
      </c>
      <c r="Q59">
        <v>42127</v>
      </c>
      <c r="R59">
        <v>44615</v>
      </c>
    </row>
    <row r="60" spans="1:18">
      <c r="A60">
        <v>14300</v>
      </c>
      <c r="B60" t="s">
        <v>751</v>
      </c>
      <c r="C60" t="s">
        <v>1448</v>
      </c>
      <c r="D60" t="s">
        <v>1449</v>
      </c>
      <c r="E60">
        <v>28247</v>
      </c>
      <c r="F60">
        <v>30705</v>
      </c>
      <c r="G60">
        <v>31191</v>
      </c>
      <c r="H60">
        <v>31715</v>
      </c>
      <c r="I60">
        <v>33100</v>
      </c>
      <c r="J60">
        <v>35075</v>
      </c>
      <c r="K60">
        <v>36131</v>
      </c>
      <c r="L60">
        <v>37130</v>
      </c>
      <c r="M60">
        <v>38354</v>
      </c>
      <c r="N60">
        <v>40809</v>
      </c>
      <c r="O60">
        <v>42834</v>
      </c>
      <c r="P60">
        <v>46889</v>
      </c>
      <c r="Q60">
        <v>46493</v>
      </c>
      <c r="R60">
        <v>49380</v>
      </c>
    </row>
    <row r="61" spans="1:18">
      <c r="A61">
        <v>14380</v>
      </c>
      <c r="B61" t="s">
        <v>752</v>
      </c>
      <c r="C61" t="s">
        <v>1448</v>
      </c>
      <c r="D61" t="s">
        <v>1449</v>
      </c>
      <c r="E61">
        <v>29427</v>
      </c>
      <c r="F61">
        <v>29270</v>
      </c>
      <c r="G61">
        <v>30512</v>
      </c>
      <c r="H61">
        <v>30307</v>
      </c>
      <c r="I61">
        <v>31896</v>
      </c>
      <c r="J61">
        <v>33170</v>
      </c>
      <c r="K61">
        <v>34422</v>
      </c>
      <c r="L61">
        <v>35756</v>
      </c>
      <c r="M61">
        <v>37673</v>
      </c>
      <c r="N61">
        <v>40178</v>
      </c>
      <c r="O61">
        <v>43180</v>
      </c>
      <c r="P61">
        <v>46588</v>
      </c>
      <c r="Q61">
        <v>49431</v>
      </c>
      <c r="R61">
        <v>53013</v>
      </c>
    </row>
    <row r="62" spans="1:18">
      <c r="A62">
        <v>14420</v>
      </c>
      <c r="B62" t="s">
        <v>753</v>
      </c>
      <c r="C62" t="s">
        <v>1448</v>
      </c>
      <c r="D62" t="s">
        <v>1449</v>
      </c>
      <c r="E62">
        <v>34866</v>
      </c>
      <c r="F62">
        <v>35941</v>
      </c>
      <c r="G62">
        <v>38300</v>
      </c>
      <c r="H62">
        <v>38581</v>
      </c>
      <c r="I62">
        <v>40219</v>
      </c>
      <c r="J62">
        <v>40283</v>
      </c>
      <c r="K62">
        <v>40342</v>
      </c>
      <c r="L62">
        <v>39777</v>
      </c>
      <c r="M62">
        <v>42039</v>
      </c>
      <c r="N62">
        <v>43291</v>
      </c>
      <c r="O62">
        <v>46831</v>
      </c>
      <c r="P62">
        <v>48192</v>
      </c>
      <c r="Q62">
        <v>49651</v>
      </c>
      <c r="R62">
        <v>52596</v>
      </c>
    </row>
    <row r="63" spans="1:18">
      <c r="A63">
        <v>14580</v>
      </c>
      <c r="B63" t="s">
        <v>754</v>
      </c>
      <c r="C63" t="s">
        <v>1448</v>
      </c>
      <c r="D63" t="s">
        <v>1449</v>
      </c>
      <c r="E63">
        <v>38044</v>
      </c>
      <c r="F63">
        <v>40365</v>
      </c>
      <c r="G63">
        <v>43158</v>
      </c>
      <c r="H63">
        <v>43608</v>
      </c>
      <c r="I63">
        <v>46567</v>
      </c>
      <c r="J63">
        <v>48511</v>
      </c>
      <c r="K63">
        <v>49292</v>
      </c>
      <c r="L63">
        <v>52249</v>
      </c>
      <c r="M63">
        <v>55075</v>
      </c>
      <c r="N63">
        <v>59064</v>
      </c>
      <c r="O63">
        <v>63907</v>
      </c>
      <c r="P63">
        <v>75588</v>
      </c>
      <c r="Q63">
        <v>81730</v>
      </c>
      <c r="R63">
        <v>87254</v>
      </c>
    </row>
    <row r="64" spans="1:18">
      <c r="A64">
        <v>14620</v>
      </c>
      <c r="B64" t="s">
        <v>755</v>
      </c>
      <c r="C64" t="s">
        <v>1448</v>
      </c>
      <c r="D64" t="s">
        <v>1449</v>
      </c>
      <c r="E64">
        <v>33838</v>
      </c>
      <c r="F64">
        <v>37568</v>
      </c>
      <c r="G64">
        <v>38576</v>
      </c>
      <c r="H64">
        <v>39107</v>
      </c>
      <c r="I64">
        <v>40302</v>
      </c>
      <c r="J64">
        <v>40065</v>
      </c>
      <c r="K64">
        <v>40693</v>
      </c>
      <c r="L64">
        <v>41620</v>
      </c>
      <c r="M64">
        <v>42941</v>
      </c>
      <c r="N64">
        <v>44206</v>
      </c>
      <c r="O64">
        <v>47589</v>
      </c>
      <c r="P64">
        <v>49946</v>
      </c>
      <c r="Q64">
        <v>48986</v>
      </c>
      <c r="R64">
        <v>51318</v>
      </c>
    </row>
    <row r="65" spans="1:18">
      <c r="A65">
        <v>14660</v>
      </c>
      <c r="B65" t="s">
        <v>756</v>
      </c>
      <c r="C65" t="s">
        <v>1448</v>
      </c>
      <c r="D65" t="s">
        <v>1449</v>
      </c>
      <c r="E65">
        <v>34107</v>
      </c>
      <c r="F65">
        <v>35455</v>
      </c>
      <c r="G65">
        <v>36823</v>
      </c>
      <c r="H65">
        <v>36998</v>
      </c>
      <c r="I65">
        <v>38941</v>
      </c>
      <c r="J65">
        <v>40727</v>
      </c>
      <c r="K65">
        <v>41812</v>
      </c>
      <c r="L65">
        <v>43151</v>
      </c>
      <c r="M65">
        <v>44504</v>
      </c>
      <c r="N65">
        <v>46188</v>
      </c>
      <c r="O65">
        <v>49576</v>
      </c>
      <c r="P65">
        <v>56008</v>
      </c>
      <c r="Q65">
        <v>54596</v>
      </c>
      <c r="R65">
        <v>57222</v>
      </c>
    </row>
    <row r="66" spans="1:18">
      <c r="A66">
        <v>14700</v>
      </c>
      <c r="B66" t="s">
        <v>757</v>
      </c>
      <c r="C66" t="s">
        <v>1448</v>
      </c>
      <c r="D66" t="s">
        <v>1449</v>
      </c>
      <c r="E66">
        <v>29599</v>
      </c>
      <c r="F66">
        <v>30615</v>
      </c>
      <c r="G66">
        <v>31439</v>
      </c>
      <c r="H66">
        <v>31811</v>
      </c>
      <c r="I66">
        <v>32971</v>
      </c>
      <c r="J66">
        <v>33643</v>
      </c>
      <c r="K66">
        <v>34551</v>
      </c>
      <c r="L66">
        <v>34551</v>
      </c>
      <c r="M66">
        <v>35824</v>
      </c>
      <c r="N66">
        <v>37515</v>
      </c>
      <c r="O66">
        <v>39768</v>
      </c>
      <c r="P66">
        <v>44646</v>
      </c>
      <c r="Q66">
        <v>45972</v>
      </c>
      <c r="R66">
        <v>48862</v>
      </c>
    </row>
    <row r="67" spans="1:18">
      <c r="A67">
        <v>14720</v>
      </c>
      <c r="B67" t="s">
        <v>758</v>
      </c>
      <c r="C67" t="s">
        <v>1448</v>
      </c>
      <c r="D67" t="s">
        <v>1449</v>
      </c>
      <c r="E67">
        <v>43324</v>
      </c>
      <c r="F67">
        <v>47832</v>
      </c>
      <c r="G67">
        <v>48526</v>
      </c>
      <c r="H67">
        <v>53266</v>
      </c>
      <c r="I67">
        <v>55610</v>
      </c>
      <c r="J67">
        <v>59410</v>
      </c>
      <c r="K67">
        <v>60435</v>
      </c>
      <c r="L67">
        <v>63036</v>
      </c>
      <c r="M67">
        <v>68552</v>
      </c>
      <c r="N67">
        <v>75035</v>
      </c>
      <c r="O67">
        <v>77460</v>
      </c>
      <c r="P67">
        <v>84785</v>
      </c>
      <c r="Q67">
        <v>97495</v>
      </c>
      <c r="R67">
        <v>105034</v>
      </c>
    </row>
    <row r="68" spans="1:18">
      <c r="A68">
        <v>14780</v>
      </c>
      <c r="B68" t="s">
        <v>759</v>
      </c>
      <c r="C68" t="s">
        <v>1448</v>
      </c>
      <c r="D68" t="s">
        <v>1449</v>
      </c>
      <c r="E68">
        <v>43537</v>
      </c>
      <c r="F68">
        <v>46375</v>
      </c>
      <c r="G68">
        <v>46880</v>
      </c>
      <c r="H68">
        <v>48550</v>
      </c>
      <c r="I68">
        <v>50000</v>
      </c>
      <c r="J68">
        <v>48222</v>
      </c>
      <c r="K68">
        <v>46955</v>
      </c>
      <c r="L68">
        <v>49690</v>
      </c>
      <c r="M68">
        <v>54093</v>
      </c>
      <c r="N68">
        <v>54949</v>
      </c>
      <c r="O68">
        <v>58797</v>
      </c>
      <c r="P68">
        <v>68834</v>
      </c>
      <c r="Q68">
        <v>69605</v>
      </c>
      <c r="R68">
        <v>73880</v>
      </c>
    </row>
    <row r="69" spans="1:18">
      <c r="A69">
        <v>14820</v>
      </c>
      <c r="B69" t="s">
        <v>760</v>
      </c>
      <c r="C69" t="s">
        <v>1448</v>
      </c>
      <c r="D69" t="s">
        <v>1449</v>
      </c>
      <c r="E69">
        <v>30324</v>
      </c>
      <c r="F69">
        <v>31437</v>
      </c>
      <c r="G69">
        <v>33101</v>
      </c>
      <c r="H69">
        <v>32901</v>
      </c>
      <c r="I69">
        <v>35115</v>
      </c>
      <c r="J69">
        <v>37254</v>
      </c>
      <c r="K69">
        <v>40101</v>
      </c>
      <c r="L69">
        <v>40793</v>
      </c>
      <c r="M69">
        <v>42297</v>
      </c>
      <c r="N69">
        <v>45266</v>
      </c>
      <c r="O69">
        <v>47359</v>
      </c>
      <c r="P69">
        <v>53367</v>
      </c>
      <c r="Q69">
        <v>56487</v>
      </c>
      <c r="R69">
        <v>60160</v>
      </c>
    </row>
    <row r="70" spans="1:18">
      <c r="A70">
        <v>15020</v>
      </c>
      <c r="B70" t="s">
        <v>761</v>
      </c>
      <c r="C70" t="s">
        <v>1448</v>
      </c>
      <c r="D70" t="s">
        <v>1449</v>
      </c>
      <c r="E70">
        <v>30807</v>
      </c>
      <c r="F70">
        <v>32041</v>
      </c>
      <c r="G70">
        <v>33608</v>
      </c>
      <c r="H70">
        <v>34087</v>
      </c>
      <c r="I70">
        <v>34961</v>
      </c>
      <c r="J70">
        <v>35433</v>
      </c>
      <c r="K70">
        <v>35552</v>
      </c>
      <c r="L70">
        <v>36732</v>
      </c>
      <c r="M70">
        <v>37600</v>
      </c>
      <c r="N70">
        <v>38981</v>
      </c>
      <c r="O70">
        <v>41503</v>
      </c>
      <c r="P70">
        <v>44550</v>
      </c>
      <c r="Q70">
        <v>45492</v>
      </c>
      <c r="R70">
        <v>47781</v>
      </c>
    </row>
    <row r="71" spans="1:18">
      <c r="A71">
        <v>15060</v>
      </c>
      <c r="B71" t="s">
        <v>762</v>
      </c>
      <c r="C71" t="s">
        <v>1448</v>
      </c>
      <c r="D71" t="s">
        <v>1449</v>
      </c>
      <c r="E71">
        <v>32396</v>
      </c>
      <c r="F71">
        <v>32958</v>
      </c>
      <c r="G71">
        <v>33999</v>
      </c>
      <c r="H71">
        <v>33963</v>
      </c>
      <c r="I71">
        <v>35716</v>
      </c>
      <c r="J71">
        <v>38092</v>
      </c>
      <c r="K71">
        <v>38564</v>
      </c>
      <c r="L71">
        <v>39987</v>
      </c>
      <c r="M71">
        <v>42343</v>
      </c>
      <c r="N71">
        <v>44559</v>
      </c>
      <c r="O71">
        <v>47908</v>
      </c>
      <c r="P71">
        <v>52030</v>
      </c>
      <c r="Q71">
        <v>52705</v>
      </c>
      <c r="R71">
        <v>57405</v>
      </c>
    </row>
    <row r="72" spans="1:18">
      <c r="A72">
        <v>15100</v>
      </c>
      <c r="B72" t="s">
        <v>763</v>
      </c>
      <c r="C72" t="s">
        <v>1448</v>
      </c>
      <c r="D72" t="s">
        <v>1449</v>
      </c>
      <c r="E72">
        <v>35343</v>
      </c>
      <c r="F72">
        <v>39390</v>
      </c>
      <c r="G72">
        <v>39996</v>
      </c>
      <c r="H72">
        <v>41134</v>
      </c>
      <c r="I72">
        <v>42838</v>
      </c>
      <c r="J72">
        <v>44552</v>
      </c>
      <c r="K72">
        <v>44208</v>
      </c>
      <c r="L72">
        <v>44392</v>
      </c>
      <c r="M72">
        <v>45961</v>
      </c>
      <c r="N72">
        <v>47441</v>
      </c>
      <c r="O72">
        <v>50799</v>
      </c>
      <c r="P72">
        <v>55462</v>
      </c>
      <c r="Q72">
        <v>59247</v>
      </c>
      <c r="R72">
        <v>62408</v>
      </c>
    </row>
    <row r="73" spans="1:18">
      <c r="A73">
        <v>15140</v>
      </c>
      <c r="B73" t="s">
        <v>764</v>
      </c>
      <c r="C73" t="s">
        <v>1448</v>
      </c>
      <c r="D73" t="s">
        <v>1449</v>
      </c>
      <c r="E73">
        <v>26413</v>
      </c>
      <c r="F73">
        <v>30597</v>
      </c>
      <c r="G73">
        <v>29365</v>
      </c>
      <c r="H73">
        <v>31744</v>
      </c>
      <c r="I73">
        <v>28342</v>
      </c>
      <c r="J73">
        <v>28226</v>
      </c>
      <c r="K73">
        <v>29451</v>
      </c>
      <c r="L73">
        <v>30221</v>
      </c>
      <c r="M73">
        <v>31170</v>
      </c>
      <c r="N73">
        <v>33466</v>
      </c>
      <c r="O73">
        <v>36138</v>
      </c>
      <c r="P73">
        <v>40469</v>
      </c>
      <c r="Q73">
        <v>38728</v>
      </c>
      <c r="R73">
        <v>40397</v>
      </c>
    </row>
    <row r="74" spans="1:18">
      <c r="A74">
        <v>15220</v>
      </c>
      <c r="B74" t="s">
        <v>765</v>
      </c>
      <c r="C74" t="s">
        <v>1448</v>
      </c>
      <c r="D74" t="s">
        <v>1449</v>
      </c>
      <c r="E74">
        <v>30250</v>
      </c>
      <c r="F74">
        <v>31027</v>
      </c>
      <c r="G74">
        <v>31326</v>
      </c>
      <c r="H74">
        <v>32969</v>
      </c>
      <c r="I74">
        <v>34596</v>
      </c>
      <c r="J74">
        <v>35444</v>
      </c>
      <c r="K74">
        <v>35233</v>
      </c>
      <c r="L74">
        <v>36997</v>
      </c>
      <c r="M74">
        <v>38667</v>
      </c>
      <c r="N74">
        <v>40238</v>
      </c>
      <c r="O74">
        <v>42929</v>
      </c>
      <c r="P74">
        <v>46031</v>
      </c>
      <c r="Q74">
        <v>46835</v>
      </c>
      <c r="R74">
        <v>49825</v>
      </c>
    </row>
    <row r="75" spans="1:18">
      <c r="A75">
        <v>15340</v>
      </c>
      <c r="B75" t="s">
        <v>766</v>
      </c>
      <c r="C75" t="s">
        <v>1448</v>
      </c>
      <c r="D75" t="s">
        <v>1449</v>
      </c>
      <c r="E75">
        <v>30177</v>
      </c>
      <c r="F75">
        <v>32329</v>
      </c>
      <c r="G75">
        <v>32398</v>
      </c>
      <c r="H75">
        <v>33808</v>
      </c>
      <c r="I75">
        <v>34300</v>
      </c>
      <c r="J75">
        <v>34406</v>
      </c>
      <c r="K75">
        <v>34828</v>
      </c>
      <c r="L75">
        <v>36196</v>
      </c>
      <c r="M75">
        <v>37979</v>
      </c>
      <c r="N75">
        <v>38045</v>
      </c>
      <c r="O75">
        <v>41981</v>
      </c>
      <c r="P75">
        <v>47647</v>
      </c>
      <c r="Q75">
        <v>46196</v>
      </c>
      <c r="R75">
        <v>48370</v>
      </c>
    </row>
    <row r="76" spans="1:18">
      <c r="A76">
        <v>15420</v>
      </c>
      <c r="B76" t="s">
        <v>767</v>
      </c>
      <c r="C76" t="s">
        <v>1448</v>
      </c>
      <c r="D76" t="s">
        <v>1449</v>
      </c>
      <c r="E76">
        <v>30457</v>
      </c>
      <c r="F76">
        <v>33351</v>
      </c>
      <c r="G76">
        <v>34184</v>
      </c>
      <c r="H76">
        <v>36293</v>
      </c>
      <c r="I76">
        <v>37664</v>
      </c>
      <c r="J76">
        <v>40017</v>
      </c>
      <c r="K76">
        <v>39801</v>
      </c>
      <c r="L76">
        <v>38356</v>
      </c>
      <c r="M76">
        <v>39805</v>
      </c>
      <c r="N76">
        <v>42094</v>
      </c>
      <c r="O76">
        <v>46583</v>
      </c>
      <c r="P76">
        <v>49236</v>
      </c>
      <c r="Q76">
        <v>52237</v>
      </c>
      <c r="R76">
        <v>52435</v>
      </c>
    </row>
    <row r="77" spans="1:18">
      <c r="A77">
        <v>15460</v>
      </c>
      <c r="B77" t="s">
        <v>768</v>
      </c>
      <c r="C77" t="s">
        <v>1448</v>
      </c>
      <c r="D77" t="s">
        <v>1449</v>
      </c>
      <c r="E77">
        <v>34868</v>
      </c>
      <c r="F77">
        <v>38022</v>
      </c>
      <c r="G77">
        <v>39216</v>
      </c>
      <c r="H77">
        <v>41884</v>
      </c>
      <c r="I77">
        <v>44239</v>
      </c>
      <c r="J77">
        <v>45539</v>
      </c>
      <c r="K77">
        <v>47471</v>
      </c>
      <c r="L77">
        <v>46350</v>
      </c>
      <c r="M77">
        <v>47387</v>
      </c>
      <c r="N77">
        <v>48760</v>
      </c>
      <c r="O77">
        <v>52912</v>
      </c>
      <c r="P77">
        <v>57982</v>
      </c>
      <c r="Q77">
        <v>57763</v>
      </c>
      <c r="R77">
        <v>58578</v>
      </c>
    </row>
    <row r="78" spans="1:18">
      <c r="A78">
        <v>15580</v>
      </c>
      <c r="B78" t="s">
        <v>769</v>
      </c>
      <c r="C78" t="s">
        <v>1448</v>
      </c>
      <c r="D78" t="s">
        <v>1449</v>
      </c>
      <c r="E78">
        <v>43446</v>
      </c>
      <c r="F78">
        <v>50645</v>
      </c>
      <c r="G78">
        <v>51088</v>
      </c>
      <c r="H78">
        <v>48298</v>
      </c>
      <c r="I78">
        <v>46200</v>
      </c>
      <c r="J78">
        <v>43926</v>
      </c>
      <c r="K78">
        <v>44275</v>
      </c>
      <c r="L78">
        <v>46432</v>
      </c>
      <c r="M78">
        <v>46705</v>
      </c>
      <c r="N78">
        <v>47993</v>
      </c>
      <c r="O78">
        <v>50052</v>
      </c>
      <c r="P78">
        <v>55074</v>
      </c>
      <c r="Q78">
        <v>57274</v>
      </c>
      <c r="R78">
        <v>60001</v>
      </c>
    </row>
    <row r="79" spans="1:18">
      <c r="A79">
        <v>15620</v>
      </c>
      <c r="B79" t="s">
        <v>770</v>
      </c>
      <c r="C79" t="s">
        <v>1448</v>
      </c>
      <c r="D79" t="s">
        <v>1449</v>
      </c>
      <c r="E79">
        <v>28247</v>
      </c>
      <c r="F79">
        <v>29892</v>
      </c>
      <c r="G79">
        <v>29853</v>
      </c>
      <c r="H79">
        <v>30715</v>
      </c>
      <c r="I79">
        <v>31803</v>
      </c>
      <c r="J79">
        <v>32681</v>
      </c>
      <c r="K79">
        <v>33310</v>
      </c>
      <c r="L79">
        <v>34658</v>
      </c>
      <c r="M79">
        <v>35542</v>
      </c>
      <c r="N79">
        <v>37211</v>
      </c>
      <c r="O79">
        <v>41427</v>
      </c>
      <c r="P79">
        <v>44792</v>
      </c>
      <c r="Q79">
        <v>43911</v>
      </c>
      <c r="R79">
        <v>45886</v>
      </c>
    </row>
    <row r="80" spans="1:18">
      <c r="A80">
        <v>15660</v>
      </c>
      <c r="B80" t="s">
        <v>771</v>
      </c>
      <c r="C80" t="s">
        <v>1448</v>
      </c>
      <c r="D80" t="s">
        <v>1449</v>
      </c>
      <c r="E80">
        <v>26456</v>
      </c>
      <c r="F80">
        <v>27381</v>
      </c>
      <c r="G80">
        <v>28237</v>
      </c>
      <c r="H80">
        <v>29769</v>
      </c>
      <c r="I80">
        <v>31155</v>
      </c>
      <c r="J80">
        <v>32589</v>
      </c>
      <c r="K80">
        <v>32777</v>
      </c>
      <c r="L80">
        <v>36054</v>
      </c>
      <c r="M80">
        <v>35220</v>
      </c>
      <c r="N80">
        <v>36417</v>
      </c>
      <c r="O80">
        <v>38180</v>
      </c>
      <c r="P80">
        <v>43088</v>
      </c>
      <c r="Q80">
        <v>45387</v>
      </c>
      <c r="R80">
        <v>45960</v>
      </c>
    </row>
    <row r="81" spans="1:18">
      <c r="A81">
        <v>15700</v>
      </c>
      <c r="B81" t="s">
        <v>772</v>
      </c>
      <c r="C81" t="s">
        <v>1448</v>
      </c>
      <c r="D81" t="s">
        <v>1449</v>
      </c>
      <c r="E81">
        <v>35229</v>
      </c>
      <c r="F81">
        <v>37415</v>
      </c>
      <c r="G81">
        <v>37742</v>
      </c>
      <c r="H81">
        <v>38609</v>
      </c>
      <c r="I81">
        <v>39505</v>
      </c>
      <c r="J81">
        <v>40619</v>
      </c>
      <c r="K81">
        <v>41147</v>
      </c>
      <c r="L81">
        <v>42828</v>
      </c>
      <c r="M81">
        <v>44032</v>
      </c>
      <c r="N81">
        <v>46006</v>
      </c>
      <c r="O81">
        <v>49229</v>
      </c>
      <c r="P81">
        <v>55579</v>
      </c>
      <c r="Q81">
        <v>55896</v>
      </c>
      <c r="R81">
        <v>57060</v>
      </c>
    </row>
    <row r="82" spans="1:18">
      <c r="A82">
        <v>15740</v>
      </c>
      <c r="B82" t="s">
        <v>773</v>
      </c>
      <c r="C82" t="s">
        <v>1448</v>
      </c>
      <c r="D82" t="s">
        <v>1449</v>
      </c>
      <c r="E82">
        <v>29291</v>
      </c>
      <c r="F82">
        <v>31543</v>
      </c>
      <c r="G82">
        <v>32827</v>
      </c>
      <c r="H82">
        <v>33624</v>
      </c>
      <c r="I82">
        <v>35827</v>
      </c>
      <c r="J82">
        <v>36593</v>
      </c>
      <c r="K82">
        <v>36410</v>
      </c>
      <c r="L82">
        <v>38553</v>
      </c>
      <c r="M82">
        <v>40536</v>
      </c>
      <c r="N82">
        <v>41694</v>
      </c>
      <c r="O82">
        <v>46158</v>
      </c>
      <c r="P82">
        <v>49038</v>
      </c>
      <c r="Q82">
        <v>48997</v>
      </c>
      <c r="R82">
        <v>51043</v>
      </c>
    </row>
    <row r="83" spans="1:18">
      <c r="A83">
        <v>15780</v>
      </c>
      <c r="B83" t="s">
        <v>774</v>
      </c>
      <c r="C83" t="s">
        <v>1448</v>
      </c>
      <c r="D83" t="s">
        <v>1449</v>
      </c>
      <c r="E83">
        <v>29906</v>
      </c>
      <c r="F83">
        <v>30810</v>
      </c>
      <c r="G83">
        <v>31515</v>
      </c>
      <c r="H83">
        <v>31889</v>
      </c>
      <c r="I83">
        <v>33111</v>
      </c>
      <c r="J83">
        <v>33999</v>
      </c>
      <c r="K83">
        <v>34560</v>
      </c>
      <c r="L83">
        <v>35461</v>
      </c>
      <c r="M83">
        <v>37561</v>
      </c>
      <c r="N83">
        <v>39408</v>
      </c>
      <c r="O83">
        <v>43239</v>
      </c>
      <c r="P83">
        <v>47109</v>
      </c>
      <c r="Q83">
        <v>48483</v>
      </c>
      <c r="R83">
        <v>50793</v>
      </c>
    </row>
    <row r="84" spans="1:18">
      <c r="A84">
        <v>15820</v>
      </c>
      <c r="B84" t="s">
        <v>775</v>
      </c>
      <c r="C84" t="s">
        <v>1448</v>
      </c>
      <c r="D84" t="s">
        <v>1449</v>
      </c>
      <c r="E84">
        <v>27900</v>
      </c>
      <c r="F84">
        <v>28561</v>
      </c>
      <c r="G84">
        <v>28732</v>
      </c>
      <c r="H84">
        <v>29172</v>
      </c>
      <c r="I84">
        <v>30370</v>
      </c>
      <c r="J84">
        <v>31812</v>
      </c>
      <c r="K84">
        <v>31957</v>
      </c>
      <c r="L84">
        <v>33109</v>
      </c>
      <c r="M84">
        <v>33533</v>
      </c>
      <c r="N84">
        <v>35067</v>
      </c>
      <c r="O84">
        <v>39322</v>
      </c>
      <c r="P84">
        <v>41833</v>
      </c>
      <c r="Q84">
        <v>41057</v>
      </c>
      <c r="R84">
        <v>43068</v>
      </c>
    </row>
    <row r="85" spans="1:18">
      <c r="A85">
        <v>15860</v>
      </c>
      <c r="B85" t="s">
        <v>776</v>
      </c>
      <c r="C85" t="s">
        <v>1448</v>
      </c>
      <c r="D85" t="s">
        <v>1449</v>
      </c>
      <c r="E85">
        <v>25915</v>
      </c>
      <c r="F85">
        <v>27057</v>
      </c>
      <c r="G85">
        <v>27208</v>
      </c>
      <c r="H85">
        <v>27965</v>
      </c>
      <c r="I85">
        <v>29310</v>
      </c>
      <c r="J85">
        <v>30754</v>
      </c>
      <c r="K85">
        <v>31729</v>
      </c>
      <c r="L85">
        <v>31895</v>
      </c>
      <c r="M85">
        <v>33761</v>
      </c>
      <c r="N85">
        <v>34663</v>
      </c>
      <c r="O85">
        <v>38298</v>
      </c>
      <c r="P85">
        <v>41689</v>
      </c>
      <c r="Q85">
        <v>42300</v>
      </c>
      <c r="R85">
        <v>43608</v>
      </c>
    </row>
    <row r="86" spans="1:18">
      <c r="A86">
        <v>16100</v>
      </c>
      <c r="B86" t="s">
        <v>777</v>
      </c>
      <c r="C86" t="s">
        <v>1448</v>
      </c>
      <c r="D86" t="s">
        <v>1449</v>
      </c>
      <c r="E86">
        <v>43348</v>
      </c>
      <c r="F86">
        <v>45285</v>
      </c>
      <c r="G86">
        <v>49566</v>
      </c>
      <c r="H86">
        <v>46393</v>
      </c>
      <c r="I86">
        <v>50306</v>
      </c>
      <c r="J86">
        <v>47699</v>
      </c>
      <c r="K86">
        <v>44211</v>
      </c>
      <c r="L86">
        <v>45282</v>
      </c>
      <c r="M86">
        <v>51598</v>
      </c>
      <c r="N86">
        <v>57431</v>
      </c>
      <c r="O86">
        <v>58780</v>
      </c>
      <c r="P86">
        <v>66157</v>
      </c>
      <c r="Q86">
        <v>71909</v>
      </c>
      <c r="R86">
        <v>76555</v>
      </c>
    </row>
    <row r="87" spans="1:18">
      <c r="A87">
        <v>16140</v>
      </c>
      <c r="B87" t="s">
        <v>778</v>
      </c>
      <c r="C87" t="s">
        <v>1448</v>
      </c>
      <c r="D87" t="s">
        <v>1449</v>
      </c>
      <c r="E87">
        <v>40558</v>
      </c>
      <c r="F87">
        <v>44962</v>
      </c>
      <c r="G87">
        <v>45425</v>
      </c>
      <c r="H87">
        <v>47438</v>
      </c>
      <c r="I87">
        <v>47239</v>
      </c>
      <c r="J87">
        <v>48276</v>
      </c>
      <c r="K87">
        <v>47681</v>
      </c>
      <c r="L87">
        <v>49073</v>
      </c>
      <c r="M87">
        <v>52067</v>
      </c>
      <c r="N87">
        <v>51201</v>
      </c>
      <c r="O87">
        <v>54630</v>
      </c>
      <c r="P87">
        <v>60922</v>
      </c>
      <c r="Q87">
        <v>68120</v>
      </c>
      <c r="R87">
        <v>65159</v>
      </c>
    </row>
    <row r="88" spans="1:18">
      <c r="A88">
        <v>16260</v>
      </c>
      <c r="B88" t="s">
        <v>779</v>
      </c>
      <c r="C88" t="s">
        <v>1448</v>
      </c>
      <c r="D88" t="s">
        <v>1449</v>
      </c>
      <c r="E88">
        <v>22742</v>
      </c>
      <c r="F88">
        <v>24213</v>
      </c>
      <c r="G88">
        <v>24631</v>
      </c>
      <c r="H88">
        <v>25810</v>
      </c>
      <c r="I88">
        <v>27083</v>
      </c>
      <c r="J88">
        <v>28232</v>
      </c>
      <c r="K88">
        <v>28462</v>
      </c>
      <c r="L88">
        <v>29831</v>
      </c>
      <c r="M88">
        <v>31756</v>
      </c>
      <c r="N88">
        <v>33862</v>
      </c>
      <c r="O88">
        <v>36540</v>
      </c>
      <c r="P88">
        <v>39860</v>
      </c>
      <c r="Q88">
        <v>40371</v>
      </c>
      <c r="R88">
        <v>42301</v>
      </c>
    </row>
    <row r="89" spans="1:18">
      <c r="A89">
        <v>16340</v>
      </c>
      <c r="B89" t="s">
        <v>780</v>
      </c>
      <c r="C89" t="s">
        <v>1448</v>
      </c>
      <c r="D89" t="s">
        <v>1449</v>
      </c>
      <c r="E89">
        <v>25836</v>
      </c>
      <c r="F89">
        <v>26576</v>
      </c>
      <c r="G89">
        <v>26738</v>
      </c>
      <c r="H89">
        <v>26738</v>
      </c>
      <c r="I89">
        <v>28146</v>
      </c>
      <c r="J89">
        <v>29454</v>
      </c>
      <c r="K89">
        <v>30580</v>
      </c>
      <c r="L89">
        <v>30839</v>
      </c>
      <c r="M89">
        <v>32064</v>
      </c>
      <c r="N89">
        <v>33335</v>
      </c>
      <c r="O89">
        <v>36134</v>
      </c>
      <c r="P89">
        <v>39380</v>
      </c>
      <c r="Q89">
        <v>40471</v>
      </c>
      <c r="R89">
        <v>41831</v>
      </c>
    </row>
    <row r="90" spans="1:18">
      <c r="A90">
        <v>16380</v>
      </c>
      <c r="B90" t="s">
        <v>781</v>
      </c>
      <c r="C90" t="s">
        <v>1448</v>
      </c>
      <c r="D90" t="s">
        <v>1449</v>
      </c>
      <c r="E90">
        <v>36804</v>
      </c>
      <c r="F90">
        <v>40066</v>
      </c>
      <c r="G90">
        <v>40149</v>
      </c>
      <c r="H90">
        <v>44307</v>
      </c>
      <c r="I90">
        <v>46282</v>
      </c>
      <c r="J90">
        <v>46267</v>
      </c>
      <c r="K90">
        <v>45123</v>
      </c>
      <c r="L90">
        <v>48438</v>
      </c>
      <c r="M90">
        <v>51346</v>
      </c>
      <c r="N90">
        <v>50058</v>
      </c>
      <c r="O90">
        <v>54028</v>
      </c>
      <c r="P90">
        <v>60315</v>
      </c>
      <c r="Q90">
        <v>61668</v>
      </c>
      <c r="R90">
        <v>67802</v>
      </c>
    </row>
    <row r="91" spans="1:18">
      <c r="A91">
        <v>16420</v>
      </c>
      <c r="B91" t="s">
        <v>782</v>
      </c>
      <c r="C91" t="s">
        <v>1448</v>
      </c>
      <c r="D91" t="s">
        <v>1449</v>
      </c>
      <c r="E91">
        <v>27615</v>
      </c>
      <c r="F91">
        <v>29979</v>
      </c>
      <c r="G91">
        <v>30013</v>
      </c>
      <c r="H91">
        <v>30822</v>
      </c>
      <c r="I91">
        <v>31962</v>
      </c>
      <c r="J91">
        <v>32688</v>
      </c>
      <c r="K91">
        <v>31447</v>
      </c>
      <c r="L91">
        <v>32888</v>
      </c>
      <c r="M91">
        <v>33116</v>
      </c>
      <c r="N91">
        <v>34887</v>
      </c>
      <c r="O91">
        <v>36603</v>
      </c>
      <c r="P91">
        <v>40542</v>
      </c>
      <c r="Q91">
        <v>40575</v>
      </c>
      <c r="R91">
        <v>42598</v>
      </c>
    </row>
    <row r="92" spans="1:18">
      <c r="A92">
        <v>16460</v>
      </c>
      <c r="B92" t="s">
        <v>783</v>
      </c>
      <c r="C92" t="s">
        <v>1448</v>
      </c>
      <c r="D92" t="s">
        <v>1449</v>
      </c>
      <c r="E92">
        <v>34095</v>
      </c>
      <c r="F92">
        <v>34938</v>
      </c>
      <c r="G92">
        <v>34838</v>
      </c>
      <c r="H92">
        <v>36155</v>
      </c>
      <c r="I92">
        <v>36495</v>
      </c>
      <c r="J92">
        <v>38017</v>
      </c>
      <c r="K92">
        <v>37560</v>
      </c>
      <c r="L92">
        <v>39304</v>
      </c>
      <c r="M92">
        <v>40626</v>
      </c>
      <c r="N92">
        <v>42099</v>
      </c>
      <c r="O92">
        <v>46753</v>
      </c>
      <c r="P92">
        <v>50016</v>
      </c>
      <c r="Q92">
        <v>51031</v>
      </c>
      <c r="R92">
        <v>53678</v>
      </c>
    </row>
    <row r="93" spans="1:18">
      <c r="A93">
        <v>16500</v>
      </c>
      <c r="B93" t="s">
        <v>784</v>
      </c>
      <c r="C93" t="s">
        <v>1448</v>
      </c>
      <c r="D93" t="s">
        <v>1449</v>
      </c>
      <c r="E93">
        <v>32204</v>
      </c>
      <c r="F93">
        <v>32664</v>
      </c>
      <c r="G93">
        <v>34078</v>
      </c>
      <c r="H93">
        <v>34353</v>
      </c>
      <c r="I93">
        <v>36223</v>
      </c>
      <c r="J93">
        <v>37903</v>
      </c>
      <c r="K93">
        <v>38388</v>
      </c>
      <c r="L93">
        <v>39806</v>
      </c>
      <c r="M93">
        <v>41710</v>
      </c>
      <c r="N93">
        <v>44593</v>
      </c>
      <c r="O93">
        <v>48902</v>
      </c>
      <c r="P93">
        <v>51640</v>
      </c>
      <c r="Q93">
        <v>56602</v>
      </c>
      <c r="R93">
        <v>59759</v>
      </c>
    </row>
    <row r="94" spans="1:18">
      <c r="A94">
        <v>16660</v>
      </c>
      <c r="B94" t="s">
        <v>785</v>
      </c>
      <c r="C94" t="s">
        <v>1448</v>
      </c>
      <c r="D94" t="s">
        <v>1449</v>
      </c>
      <c r="E94">
        <v>32502</v>
      </c>
      <c r="F94">
        <v>34548</v>
      </c>
      <c r="G94">
        <v>34739</v>
      </c>
      <c r="H94">
        <v>37655</v>
      </c>
      <c r="I94">
        <v>40066</v>
      </c>
      <c r="J94">
        <v>41466</v>
      </c>
      <c r="K94">
        <v>43887</v>
      </c>
      <c r="L94">
        <v>46282</v>
      </c>
      <c r="M94">
        <v>47585</v>
      </c>
      <c r="N94">
        <v>48696</v>
      </c>
      <c r="O94">
        <v>53824</v>
      </c>
      <c r="P94">
        <v>59332</v>
      </c>
      <c r="Q94">
        <v>60477</v>
      </c>
      <c r="R94">
        <v>63138</v>
      </c>
    </row>
    <row r="95" spans="1:18">
      <c r="A95">
        <v>17060</v>
      </c>
      <c r="B95" t="s">
        <v>786</v>
      </c>
      <c r="C95" t="s">
        <v>1448</v>
      </c>
      <c r="D95" t="s">
        <v>1449</v>
      </c>
      <c r="E95">
        <v>28947</v>
      </c>
      <c r="F95">
        <v>30875</v>
      </c>
      <c r="G95">
        <v>30888</v>
      </c>
      <c r="H95">
        <v>31519</v>
      </c>
      <c r="I95">
        <v>32413</v>
      </c>
      <c r="J95">
        <v>33725</v>
      </c>
      <c r="K95">
        <v>33995</v>
      </c>
      <c r="L95">
        <v>35169</v>
      </c>
      <c r="M95">
        <v>36709</v>
      </c>
      <c r="N95">
        <v>38451</v>
      </c>
      <c r="O95">
        <v>42149</v>
      </c>
      <c r="P95">
        <v>45483</v>
      </c>
      <c r="Q95">
        <v>45237</v>
      </c>
      <c r="R95">
        <v>46934</v>
      </c>
    </row>
    <row r="96" spans="1:18">
      <c r="A96">
        <v>17220</v>
      </c>
      <c r="B96" t="s">
        <v>787</v>
      </c>
      <c r="C96" t="s">
        <v>1448</v>
      </c>
      <c r="D96" t="s">
        <v>1449</v>
      </c>
      <c r="E96">
        <v>34311</v>
      </c>
      <c r="F96">
        <v>37168</v>
      </c>
      <c r="G96">
        <v>37739</v>
      </c>
      <c r="H96">
        <v>38441</v>
      </c>
      <c r="I96">
        <v>40688</v>
      </c>
      <c r="J96">
        <v>40690</v>
      </c>
      <c r="K96">
        <v>40125</v>
      </c>
      <c r="L96">
        <v>42845</v>
      </c>
      <c r="M96">
        <v>46015</v>
      </c>
      <c r="N96">
        <v>47996</v>
      </c>
      <c r="O96">
        <v>49454</v>
      </c>
      <c r="P96">
        <v>53831</v>
      </c>
      <c r="Q96">
        <v>56255</v>
      </c>
      <c r="R96">
        <v>59418</v>
      </c>
    </row>
    <row r="97" spans="1:18">
      <c r="A97">
        <v>17260</v>
      </c>
      <c r="B97" t="s">
        <v>788</v>
      </c>
      <c r="C97" t="s">
        <v>1448</v>
      </c>
      <c r="D97" t="s">
        <v>1449</v>
      </c>
      <c r="E97">
        <v>29025</v>
      </c>
      <c r="F97">
        <v>31398</v>
      </c>
      <c r="G97">
        <v>29601</v>
      </c>
      <c r="H97">
        <v>32875</v>
      </c>
      <c r="I97">
        <v>31456</v>
      </c>
      <c r="J97">
        <v>31399</v>
      </c>
      <c r="K97">
        <v>33517</v>
      </c>
      <c r="L97">
        <v>34323</v>
      </c>
      <c r="M97">
        <v>34926</v>
      </c>
      <c r="N97">
        <v>37028</v>
      </c>
      <c r="O97">
        <v>41207</v>
      </c>
      <c r="P97">
        <v>46198</v>
      </c>
      <c r="Q97">
        <v>45494</v>
      </c>
      <c r="R97">
        <v>47742</v>
      </c>
    </row>
    <row r="98" spans="1:18">
      <c r="A98">
        <v>17340</v>
      </c>
      <c r="B98" t="s">
        <v>789</v>
      </c>
      <c r="C98" t="s">
        <v>1448</v>
      </c>
      <c r="D98" t="s">
        <v>1449</v>
      </c>
      <c r="E98">
        <v>31081</v>
      </c>
      <c r="F98">
        <v>31444</v>
      </c>
      <c r="G98">
        <v>32005</v>
      </c>
      <c r="H98">
        <v>32632</v>
      </c>
      <c r="I98">
        <v>34201</v>
      </c>
      <c r="J98">
        <v>35796</v>
      </c>
      <c r="K98">
        <v>36651</v>
      </c>
      <c r="L98">
        <v>38201</v>
      </c>
      <c r="M98">
        <v>38998</v>
      </c>
      <c r="N98">
        <v>40228</v>
      </c>
      <c r="O98">
        <v>43949</v>
      </c>
      <c r="P98">
        <v>46918</v>
      </c>
      <c r="Q98">
        <v>45403</v>
      </c>
      <c r="R98">
        <v>48198</v>
      </c>
    </row>
    <row r="99" spans="1:18">
      <c r="A99">
        <v>17380</v>
      </c>
      <c r="B99" t="s">
        <v>790</v>
      </c>
      <c r="C99" t="s">
        <v>1448</v>
      </c>
      <c r="D99" t="s">
        <v>1449</v>
      </c>
      <c r="E99">
        <v>29539</v>
      </c>
      <c r="F99">
        <v>31153</v>
      </c>
      <c r="G99">
        <v>31926</v>
      </c>
      <c r="H99">
        <v>33419</v>
      </c>
      <c r="I99">
        <v>32788</v>
      </c>
      <c r="J99">
        <v>33248</v>
      </c>
      <c r="K99">
        <v>34987</v>
      </c>
      <c r="L99">
        <v>36056</v>
      </c>
      <c r="M99">
        <v>37144</v>
      </c>
      <c r="N99">
        <v>37257</v>
      </c>
      <c r="O99">
        <v>41861</v>
      </c>
      <c r="P99">
        <v>48333</v>
      </c>
      <c r="Q99">
        <v>47141</v>
      </c>
      <c r="R99">
        <v>51015</v>
      </c>
    </row>
    <row r="100" spans="1:18">
      <c r="A100">
        <v>17500</v>
      </c>
      <c r="B100" t="s">
        <v>791</v>
      </c>
      <c r="C100" t="s">
        <v>1448</v>
      </c>
      <c r="D100" t="s">
        <v>1449</v>
      </c>
      <c r="E100">
        <v>25987</v>
      </c>
      <c r="F100">
        <v>26078</v>
      </c>
      <c r="G100">
        <v>27940</v>
      </c>
      <c r="H100">
        <v>30025</v>
      </c>
      <c r="I100">
        <v>29733</v>
      </c>
      <c r="J100">
        <v>31232</v>
      </c>
      <c r="K100">
        <v>30951</v>
      </c>
      <c r="L100">
        <v>31896</v>
      </c>
      <c r="M100">
        <v>32687</v>
      </c>
      <c r="N100">
        <v>34641</v>
      </c>
      <c r="O100">
        <v>37526</v>
      </c>
      <c r="P100">
        <v>40915</v>
      </c>
      <c r="Q100">
        <v>39980</v>
      </c>
      <c r="R100">
        <v>41164</v>
      </c>
    </row>
    <row r="101" spans="1:18">
      <c r="A101">
        <v>17540</v>
      </c>
      <c r="B101" t="s">
        <v>792</v>
      </c>
      <c r="C101" t="s">
        <v>1448</v>
      </c>
      <c r="D101" t="s">
        <v>1449</v>
      </c>
      <c r="E101">
        <v>35202</v>
      </c>
      <c r="F101">
        <v>37683</v>
      </c>
      <c r="G101">
        <v>38447</v>
      </c>
      <c r="H101">
        <v>38774</v>
      </c>
      <c r="I101">
        <v>38834</v>
      </c>
      <c r="J101">
        <v>40654</v>
      </c>
      <c r="K101">
        <v>41071</v>
      </c>
      <c r="L101">
        <v>41682</v>
      </c>
      <c r="M101">
        <v>43671</v>
      </c>
      <c r="N101">
        <v>44846</v>
      </c>
      <c r="O101">
        <v>47552</v>
      </c>
      <c r="P101">
        <v>51663</v>
      </c>
      <c r="Q101">
        <v>52665</v>
      </c>
      <c r="R101">
        <v>53442</v>
      </c>
    </row>
    <row r="102" spans="1:18">
      <c r="A102">
        <v>17580</v>
      </c>
      <c r="B102" t="s">
        <v>793</v>
      </c>
      <c r="C102" t="s">
        <v>1448</v>
      </c>
      <c r="D102" t="s">
        <v>1449</v>
      </c>
      <c r="E102">
        <v>37154</v>
      </c>
      <c r="F102">
        <v>39005</v>
      </c>
      <c r="G102">
        <v>39920</v>
      </c>
      <c r="H102">
        <v>39260</v>
      </c>
      <c r="I102">
        <v>40727</v>
      </c>
      <c r="J102">
        <v>39752</v>
      </c>
      <c r="K102">
        <v>40434</v>
      </c>
      <c r="L102">
        <v>41554</v>
      </c>
      <c r="M102">
        <v>41950</v>
      </c>
      <c r="N102">
        <v>44155</v>
      </c>
      <c r="O102">
        <v>48205</v>
      </c>
      <c r="P102">
        <v>51272</v>
      </c>
      <c r="Q102">
        <v>56681</v>
      </c>
      <c r="R102">
        <v>56323</v>
      </c>
    </row>
    <row r="103" spans="1:18">
      <c r="A103">
        <v>17700</v>
      </c>
      <c r="B103" t="s">
        <v>794</v>
      </c>
      <c r="C103" t="s">
        <v>1448</v>
      </c>
      <c r="D103" t="s">
        <v>1449</v>
      </c>
      <c r="E103">
        <v>31713</v>
      </c>
      <c r="F103">
        <v>33257</v>
      </c>
      <c r="G103">
        <v>34350</v>
      </c>
      <c r="H103">
        <v>34146</v>
      </c>
      <c r="I103">
        <v>34705</v>
      </c>
      <c r="J103">
        <v>34476</v>
      </c>
      <c r="K103">
        <v>33260</v>
      </c>
      <c r="L103">
        <v>34835</v>
      </c>
      <c r="M103">
        <v>36591</v>
      </c>
      <c r="N103">
        <v>37149</v>
      </c>
      <c r="O103">
        <v>40280</v>
      </c>
      <c r="P103">
        <v>43541</v>
      </c>
      <c r="Q103">
        <v>44313</v>
      </c>
      <c r="R103">
        <v>46735</v>
      </c>
    </row>
    <row r="104" spans="1:18">
      <c r="A104">
        <v>17740</v>
      </c>
      <c r="B104" t="s">
        <v>795</v>
      </c>
      <c r="C104" t="s">
        <v>1448</v>
      </c>
      <c r="D104" t="s">
        <v>1449</v>
      </c>
      <c r="E104">
        <v>27598</v>
      </c>
      <c r="F104">
        <v>29831</v>
      </c>
      <c r="G104">
        <v>29727</v>
      </c>
      <c r="H104">
        <v>30534</v>
      </c>
      <c r="I104">
        <v>30817</v>
      </c>
      <c r="J104">
        <v>32153</v>
      </c>
      <c r="K104">
        <v>32816</v>
      </c>
      <c r="L104">
        <v>34251</v>
      </c>
      <c r="M104">
        <v>35230</v>
      </c>
      <c r="N104">
        <v>36049</v>
      </c>
      <c r="O104">
        <v>40159</v>
      </c>
      <c r="P104">
        <v>43269</v>
      </c>
      <c r="Q104">
        <v>43860</v>
      </c>
      <c r="R104">
        <v>44833</v>
      </c>
    </row>
    <row r="105" spans="1:18">
      <c r="A105">
        <v>18060</v>
      </c>
      <c r="B105" t="s">
        <v>796</v>
      </c>
      <c r="C105" t="s">
        <v>1448</v>
      </c>
      <c r="D105" t="s">
        <v>1449</v>
      </c>
      <c r="E105">
        <v>31623</v>
      </c>
      <c r="F105">
        <v>33566</v>
      </c>
      <c r="G105">
        <v>35529</v>
      </c>
      <c r="H105">
        <v>35262</v>
      </c>
      <c r="I105">
        <v>34934</v>
      </c>
      <c r="J105">
        <v>35009</v>
      </c>
      <c r="K105">
        <v>35885</v>
      </c>
      <c r="L105">
        <v>36685</v>
      </c>
      <c r="M105">
        <v>37718</v>
      </c>
      <c r="N105">
        <v>40232</v>
      </c>
      <c r="O105">
        <v>43495</v>
      </c>
      <c r="P105">
        <v>47971</v>
      </c>
      <c r="Q105">
        <v>48298</v>
      </c>
      <c r="R105">
        <v>51172</v>
      </c>
    </row>
    <row r="106" spans="1:18">
      <c r="A106">
        <v>18100</v>
      </c>
      <c r="B106" t="s">
        <v>797</v>
      </c>
      <c r="C106" t="s">
        <v>1448</v>
      </c>
      <c r="D106" t="s">
        <v>1449</v>
      </c>
      <c r="E106">
        <v>37182</v>
      </c>
      <c r="F106">
        <v>41614</v>
      </c>
      <c r="G106">
        <v>41152</v>
      </c>
      <c r="H106">
        <v>42445</v>
      </c>
      <c r="I106">
        <v>43645</v>
      </c>
      <c r="J106">
        <v>44265</v>
      </c>
      <c r="K106">
        <v>43953</v>
      </c>
      <c r="L106">
        <v>43117</v>
      </c>
      <c r="M106">
        <v>44724</v>
      </c>
      <c r="N106">
        <v>48250</v>
      </c>
      <c r="O106">
        <v>51012</v>
      </c>
      <c r="P106">
        <v>57667</v>
      </c>
      <c r="Q106">
        <v>58255</v>
      </c>
      <c r="R106">
        <v>62340</v>
      </c>
    </row>
    <row r="107" spans="1:18">
      <c r="A107">
        <v>18180</v>
      </c>
      <c r="B107" t="s">
        <v>798</v>
      </c>
      <c r="C107" t="s">
        <v>1448</v>
      </c>
      <c r="D107" t="s">
        <v>1449</v>
      </c>
      <c r="E107">
        <v>53970</v>
      </c>
      <c r="F107">
        <v>53592</v>
      </c>
      <c r="G107">
        <v>53607</v>
      </c>
      <c r="H107">
        <v>51531</v>
      </c>
      <c r="I107">
        <v>51124</v>
      </c>
      <c r="J107">
        <v>51135</v>
      </c>
      <c r="K107">
        <v>53275</v>
      </c>
      <c r="L107">
        <v>54736</v>
      </c>
      <c r="M107">
        <v>56427</v>
      </c>
      <c r="N107">
        <v>59634</v>
      </c>
      <c r="O107">
        <v>63578</v>
      </c>
      <c r="P107">
        <v>66922</v>
      </c>
      <c r="Q107">
        <v>69730</v>
      </c>
      <c r="R107">
        <v>73531</v>
      </c>
    </row>
    <row r="108" spans="1:18">
      <c r="A108">
        <v>18220</v>
      </c>
      <c r="B108" t="s">
        <v>799</v>
      </c>
      <c r="C108" t="s">
        <v>1448</v>
      </c>
      <c r="D108" t="s">
        <v>1449</v>
      </c>
      <c r="E108">
        <v>29816</v>
      </c>
      <c r="F108">
        <v>31427</v>
      </c>
      <c r="G108">
        <v>32723</v>
      </c>
      <c r="H108">
        <v>33303</v>
      </c>
      <c r="I108">
        <v>35073</v>
      </c>
      <c r="J108">
        <v>34928</v>
      </c>
      <c r="K108">
        <v>36511</v>
      </c>
      <c r="L108">
        <v>37840</v>
      </c>
      <c r="M108">
        <v>39376</v>
      </c>
      <c r="N108">
        <v>40294</v>
      </c>
      <c r="O108">
        <v>44099</v>
      </c>
      <c r="P108">
        <v>47659</v>
      </c>
      <c r="Q108">
        <v>47753</v>
      </c>
      <c r="R108">
        <v>50175</v>
      </c>
    </row>
    <row r="109" spans="1:18">
      <c r="A109">
        <v>18260</v>
      </c>
      <c r="B109" t="s">
        <v>800</v>
      </c>
      <c r="C109" t="s">
        <v>1448</v>
      </c>
      <c r="D109" t="s">
        <v>1449</v>
      </c>
      <c r="E109">
        <v>29820</v>
      </c>
      <c r="F109">
        <v>31240</v>
      </c>
      <c r="G109">
        <v>32252</v>
      </c>
      <c r="H109">
        <v>32250</v>
      </c>
      <c r="I109">
        <v>32913</v>
      </c>
      <c r="J109">
        <v>34389</v>
      </c>
      <c r="K109">
        <v>34903</v>
      </c>
      <c r="L109">
        <v>36053</v>
      </c>
      <c r="M109">
        <v>37579</v>
      </c>
      <c r="N109">
        <v>39313</v>
      </c>
      <c r="O109">
        <v>42085</v>
      </c>
      <c r="P109">
        <v>45741</v>
      </c>
      <c r="Q109">
        <v>46217</v>
      </c>
      <c r="R109">
        <v>48212</v>
      </c>
    </row>
    <row r="110" spans="1:18">
      <c r="A110">
        <v>18300</v>
      </c>
      <c r="B110" t="s">
        <v>801</v>
      </c>
      <c r="C110" t="s">
        <v>1448</v>
      </c>
      <c r="D110" t="s">
        <v>1449</v>
      </c>
      <c r="E110">
        <v>32026</v>
      </c>
      <c r="F110">
        <v>33462</v>
      </c>
      <c r="G110">
        <v>33800</v>
      </c>
      <c r="H110">
        <v>34840</v>
      </c>
      <c r="I110">
        <v>36766</v>
      </c>
      <c r="J110">
        <v>38867</v>
      </c>
      <c r="K110">
        <v>39502</v>
      </c>
      <c r="L110">
        <v>40994</v>
      </c>
      <c r="M110">
        <v>43340</v>
      </c>
      <c r="N110">
        <v>45963</v>
      </c>
      <c r="O110">
        <v>50759</v>
      </c>
      <c r="P110">
        <v>54684</v>
      </c>
      <c r="Q110">
        <v>55424</v>
      </c>
      <c r="R110">
        <v>59838</v>
      </c>
    </row>
    <row r="111" spans="1:18">
      <c r="A111">
        <v>18380</v>
      </c>
      <c r="B111" t="s">
        <v>802</v>
      </c>
      <c r="C111" t="s">
        <v>1448</v>
      </c>
      <c r="D111" t="s">
        <v>1449</v>
      </c>
      <c r="E111">
        <v>23978</v>
      </c>
      <c r="F111">
        <v>26251</v>
      </c>
      <c r="G111">
        <v>26403</v>
      </c>
      <c r="H111">
        <v>27202</v>
      </c>
      <c r="I111">
        <v>28280</v>
      </c>
      <c r="J111">
        <v>30188</v>
      </c>
      <c r="K111">
        <v>31311</v>
      </c>
      <c r="L111">
        <v>33420</v>
      </c>
      <c r="M111">
        <v>34608</v>
      </c>
      <c r="N111">
        <v>37161</v>
      </c>
      <c r="O111">
        <v>41930</v>
      </c>
      <c r="P111">
        <v>46242</v>
      </c>
      <c r="Q111">
        <v>46153</v>
      </c>
      <c r="R111">
        <v>48309</v>
      </c>
    </row>
    <row r="112" spans="1:18">
      <c r="A112">
        <v>18420</v>
      </c>
      <c r="B112" t="s">
        <v>803</v>
      </c>
      <c r="C112" t="s">
        <v>1448</v>
      </c>
      <c r="D112" t="s">
        <v>1449</v>
      </c>
      <c r="E112">
        <v>27662</v>
      </c>
      <c r="F112">
        <v>29271</v>
      </c>
      <c r="G112">
        <v>30839</v>
      </c>
      <c r="H112">
        <v>31404</v>
      </c>
      <c r="I112">
        <v>32189</v>
      </c>
      <c r="J112">
        <v>33326</v>
      </c>
      <c r="K112">
        <v>33972</v>
      </c>
      <c r="L112">
        <v>35639</v>
      </c>
      <c r="M112">
        <v>37682</v>
      </c>
      <c r="N112">
        <v>38493</v>
      </c>
      <c r="O112">
        <v>41700</v>
      </c>
      <c r="P112">
        <v>44564</v>
      </c>
      <c r="Q112">
        <v>44838</v>
      </c>
      <c r="R112">
        <v>47651</v>
      </c>
    </row>
    <row r="113" spans="1:18">
      <c r="A113">
        <v>18460</v>
      </c>
      <c r="B113" t="s">
        <v>804</v>
      </c>
      <c r="C113" t="s">
        <v>1448</v>
      </c>
      <c r="D113" t="s">
        <v>1449</v>
      </c>
      <c r="E113">
        <v>26857</v>
      </c>
      <c r="F113">
        <v>27042</v>
      </c>
      <c r="G113">
        <v>27498</v>
      </c>
      <c r="H113">
        <v>28969</v>
      </c>
      <c r="I113">
        <v>30287</v>
      </c>
      <c r="J113">
        <v>31109</v>
      </c>
      <c r="K113">
        <v>31801</v>
      </c>
      <c r="L113">
        <v>32833</v>
      </c>
      <c r="M113">
        <v>33989</v>
      </c>
      <c r="N113">
        <v>34877</v>
      </c>
      <c r="O113">
        <v>36955</v>
      </c>
      <c r="P113">
        <v>39366</v>
      </c>
      <c r="Q113">
        <v>40550</v>
      </c>
      <c r="R113">
        <v>40806</v>
      </c>
    </row>
    <row r="114" spans="1:18">
      <c r="A114">
        <v>18500</v>
      </c>
      <c r="B114" t="s">
        <v>805</v>
      </c>
      <c r="C114" t="s">
        <v>1448</v>
      </c>
      <c r="D114" t="s">
        <v>1449</v>
      </c>
      <c r="E114">
        <v>35856</v>
      </c>
      <c r="F114">
        <v>36784</v>
      </c>
      <c r="G114">
        <v>37249</v>
      </c>
      <c r="H114">
        <v>38384</v>
      </c>
      <c r="I114">
        <v>39411</v>
      </c>
      <c r="J114">
        <v>40661</v>
      </c>
      <c r="K114">
        <v>40976</v>
      </c>
      <c r="L114">
        <v>43322</v>
      </c>
      <c r="M114">
        <v>44984</v>
      </c>
      <c r="N114">
        <v>47043</v>
      </c>
      <c r="O114">
        <v>51305</v>
      </c>
      <c r="P114">
        <v>54372</v>
      </c>
      <c r="Q114">
        <v>54991</v>
      </c>
      <c r="R114">
        <v>56349</v>
      </c>
    </row>
    <row r="115" spans="1:18">
      <c r="A115">
        <v>18620</v>
      </c>
      <c r="B115" t="s">
        <v>806</v>
      </c>
      <c r="C115" t="s">
        <v>1448</v>
      </c>
      <c r="D115" t="s">
        <v>1449</v>
      </c>
      <c r="E115">
        <v>30922</v>
      </c>
      <c r="F115">
        <v>31944</v>
      </c>
      <c r="G115">
        <v>33472</v>
      </c>
      <c r="H115">
        <v>33135</v>
      </c>
      <c r="I115">
        <v>34446</v>
      </c>
      <c r="J115">
        <v>34832</v>
      </c>
      <c r="K115">
        <v>35297</v>
      </c>
      <c r="L115">
        <v>35991</v>
      </c>
      <c r="M115">
        <v>37333</v>
      </c>
      <c r="N115">
        <v>39141</v>
      </c>
      <c r="O115">
        <v>41446</v>
      </c>
      <c r="P115">
        <v>45121</v>
      </c>
      <c r="Q115">
        <v>44762</v>
      </c>
      <c r="R115">
        <v>46891</v>
      </c>
    </row>
    <row r="116" spans="1:18">
      <c r="A116">
        <v>18660</v>
      </c>
      <c r="B116" t="s">
        <v>807</v>
      </c>
      <c r="C116" t="s">
        <v>1448</v>
      </c>
      <c r="D116" t="s">
        <v>1449</v>
      </c>
      <c r="E116">
        <v>31455</v>
      </c>
      <c r="F116">
        <v>32484</v>
      </c>
      <c r="G116">
        <v>33915</v>
      </c>
      <c r="H116">
        <v>33869</v>
      </c>
      <c r="I116">
        <v>34660</v>
      </c>
      <c r="J116">
        <v>37109</v>
      </c>
      <c r="K116">
        <v>37040</v>
      </c>
      <c r="L116">
        <v>39231</v>
      </c>
      <c r="M116">
        <v>40433</v>
      </c>
      <c r="N116">
        <v>41215</v>
      </c>
      <c r="O116">
        <v>46042</v>
      </c>
      <c r="P116">
        <v>48524</v>
      </c>
      <c r="Q116">
        <v>49104</v>
      </c>
      <c r="R116">
        <v>50994</v>
      </c>
    </row>
    <row r="117" spans="1:18">
      <c r="A117">
        <v>18740</v>
      </c>
      <c r="B117" t="s">
        <v>808</v>
      </c>
      <c r="C117" t="s">
        <v>1448</v>
      </c>
      <c r="D117" t="s">
        <v>1449</v>
      </c>
      <c r="E117">
        <v>27882</v>
      </c>
      <c r="F117">
        <v>29863</v>
      </c>
      <c r="G117">
        <v>29635</v>
      </c>
      <c r="H117">
        <v>31347</v>
      </c>
      <c r="I117">
        <v>32407</v>
      </c>
      <c r="J117">
        <v>34533</v>
      </c>
      <c r="K117">
        <v>32212</v>
      </c>
      <c r="L117">
        <v>33270</v>
      </c>
      <c r="M117">
        <v>34871</v>
      </c>
      <c r="N117">
        <v>35679</v>
      </c>
      <c r="O117">
        <v>39330</v>
      </c>
      <c r="P117">
        <v>43032</v>
      </c>
      <c r="Q117">
        <v>42480</v>
      </c>
      <c r="R117">
        <v>44741</v>
      </c>
    </row>
    <row r="118" spans="1:18">
      <c r="A118">
        <v>18780</v>
      </c>
      <c r="B118" t="s">
        <v>809</v>
      </c>
      <c r="C118" t="s">
        <v>1448</v>
      </c>
      <c r="D118" t="s">
        <v>1449</v>
      </c>
      <c r="E118">
        <v>33169</v>
      </c>
      <c r="F118">
        <v>36107</v>
      </c>
      <c r="G118">
        <v>37588</v>
      </c>
      <c r="H118">
        <v>38652</v>
      </c>
      <c r="I118">
        <v>39963</v>
      </c>
      <c r="J118">
        <v>39723</v>
      </c>
      <c r="K118">
        <v>39347</v>
      </c>
      <c r="L118">
        <v>39396</v>
      </c>
      <c r="M118">
        <v>41636</v>
      </c>
      <c r="N118">
        <v>40918</v>
      </c>
      <c r="O118">
        <v>44811</v>
      </c>
      <c r="P118">
        <v>46205</v>
      </c>
      <c r="Q118">
        <v>49289</v>
      </c>
      <c r="R118">
        <v>52090</v>
      </c>
    </row>
    <row r="119" spans="1:18">
      <c r="A119">
        <v>18820</v>
      </c>
      <c r="B119" t="s">
        <v>810</v>
      </c>
      <c r="C119" t="s">
        <v>1448</v>
      </c>
      <c r="D119" t="s">
        <v>1449</v>
      </c>
      <c r="E119">
        <v>33492</v>
      </c>
      <c r="F119">
        <v>34522</v>
      </c>
      <c r="G119">
        <v>34662</v>
      </c>
      <c r="H119">
        <v>36648</v>
      </c>
      <c r="I119">
        <v>36787</v>
      </c>
      <c r="J119">
        <v>37723</v>
      </c>
      <c r="K119">
        <v>38239</v>
      </c>
      <c r="L119">
        <v>37991</v>
      </c>
      <c r="M119">
        <v>39502</v>
      </c>
      <c r="N119">
        <v>40729</v>
      </c>
      <c r="O119">
        <v>44532</v>
      </c>
      <c r="P119">
        <v>49440</v>
      </c>
      <c r="Q119">
        <v>50405</v>
      </c>
      <c r="R119">
        <v>51959</v>
      </c>
    </row>
    <row r="120" spans="1:18">
      <c r="A120">
        <v>18860</v>
      </c>
      <c r="B120" t="s">
        <v>811</v>
      </c>
      <c r="C120" t="s">
        <v>1448</v>
      </c>
      <c r="D120" t="s">
        <v>1449</v>
      </c>
      <c r="E120">
        <v>27355</v>
      </c>
      <c r="F120">
        <v>28194</v>
      </c>
      <c r="G120">
        <v>28596</v>
      </c>
      <c r="H120">
        <v>29550</v>
      </c>
      <c r="I120">
        <v>31479</v>
      </c>
      <c r="J120">
        <v>33072</v>
      </c>
      <c r="K120">
        <v>34105</v>
      </c>
      <c r="L120">
        <v>34350</v>
      </c>
      <c r="M120">
        <v>35090</v>
      </c>
      <c r="N120">
        <v>36562</v>
      </c>
      <c r="O120">
        <v>41481</v>
      </c>
      <c r="P120">
        <v>44626</v>
      </c>
      <c r="Q120">
        <v>43820</v>
      </c>
      <c r="R120">
        <v>47141</v>
      </c>
    </row>
    <row r="121" spans="1:18">
      <c r="A121">
        <v>18900</v>
      </c>
      <c r="B121" t="s">
        <v>812</v>
      </c>
      <c r="C121" t="s">
        <v>1448</v>
      </c>
      <c r="D121" t="s">
        <v>1449</v>
      </c>
      <c r="E121">
        <v>29396</v>
      </c>
      <c r="F121">
        <v>30640</v>
      </c>
      <c r="G121">
        <v>31706</v>
      </c>
      <c r="H121">
        <v>31870</v>
      </c>
      <c r="I121">
        <v>32756</v>
      </c>
      <c r="J121">
        <v>33886</v>
      </c>
      <c r="K121">
        <v>34690</v>
      </c>
      <c r="L121">
        <v>35820</v>
      </c>
      <c r="M121">
        <v>36563</v>
      </c>
      <c r="N121">
        <v>38679</v>
      </c>
      <c r="O121">
        <v>41363</v>
      </c>
      <c r="P121">
        <v>44792</v>
      </c>
      <c r="Q121">
        <v>45530</v>
      </c>
      <c r="R121">
        <v>48091</v>
      </c>
    </row>
    <row r="122" spans="1:18">
      <c r="A122">
        <v>18980</v>
      </c>
      <c r="B122" t="s">
        <v>813</v>
      </c>
      <c r="C122" t="s">
        <v>1448</v>
      </c>
      <c r="D122" t="s">
        <v>1449</v>
      </c>
      <c r="E122">
        <v>30528</v>
      </c>
      <c r="F122">
        <v>30934</v>
      </c>
      <c r="G122">
        <v>32130</v>
      </c>
      <c r="H122">
        <v>33696</v>
      </c>
      <c r="I122">
        <v>34072</v>
      </c>
      <c r="J122">
        <v>36284</v>
      </c>
      <c r="K122">
        <v>35483</v>
      </c>
      <c r="L122">
        <v>36933</v>
      </c>
      <c r="M122">
        <v>38038</v>
      </c>
      <c r="N122">
        <v>39891</v>
      </c>
      <c r="O122">
        <v>41480</v>
      </c>
      <c r="P122">
        <v>46886</v>
      </c>
      <c r="Q122">
        <v>49758</v>
      </c>
      <c r="R122">
        <v>50812</v>
      </c>
    </row>
    <row r="123" spans="1:18">
      <c r="A123">
        <v>19000</v>
      </c>
      <c r="B123" t="s">
        <v>814</v>
      </c>
      <c r="C123" t="s">
        <v>1448</v>
      </c>
      <c r="D123" t="s">
        <v>1449</v>
      </c>
      <c r="E123">
        <v>27115</v>
      </c>
      <c r="F123">
        <v>27623</v>
      </c>
      <c r="G123">
        <v>28314</v>
      </c>
      <c r="H123">
        <v>28418</v>
      </c>
      <c r="I123">
        <v>29992</v>
      </c>
      <c r="J123">
        <v>31676</v>
      </c>
      <c r="K123">
        <v>32307</v>
      </c>
      <c r="L123">
        <v>33900</v>
      </c>
      <c r="M123">
        <v>34865</v>
      </c>
      <c r="N123">
        <v>37464</v>
      </c>
      <c r="O123">
        <v>41260</v>
      </c>
      <c r="P123">
        <v>45690</v>
      </c>
      <c r="Q123">
        <v>46692</v>
      </c>
      <c r="R123">
        <v>48680</v>
      </c>
    </row>
    <row r="124" spans="1:18">
      <c r="A124">
        <v>19220</v>
      </c>
      <c r="B124" t="s">
        <v>815</v>
      </c>
      <c r="C124" t="s">
        <v>1448</v>
      </c>
      <c r="D124" t="s">
        <v>1449</v>
      </c>
      <c r="E124">
        <v>28173</v>
      </c>
      <c r="F124">
        <v>29148</v>
      </c>
      <c r="G124">
        <v>30249</v>
      </c>
      <c r="H124">
        <v>30244</v>
      </c>
      <c r="I124">
        <v>31299</v>
      </c>
      <c r="J124">
        <v>32742</v>
      </c>
      <c r="K124">
        <v>33145</v>
      </c>
      <c r="L124">
        <v>33977</v>
      </c>
      <c r="M124">
        <v>34721</v>
      </c>
      <c r="N124">
        <v>36749</v>
      </c>
      <c r="O124">
        <v>40016</v>
      </c>
      <c r="P124">
        <v>43155</v>
      </c>
      <c r="Q124">
        <v>44219</v>
      </c>
      <c r="R124">
        <v>45946</v>
      </c>
    </row>
    <row r="125" spans="1:18">
      <c r="A125">
        <v>19260</v>
      </c>
      <c r="B125" t="s">
        <v>816</v>
      </c>
      <c r="C125" t="s">
        <v>1448</v>
      </c>
      <c r="D125" t="s">
        <v>1449</v>
      </c>
      <c r="E125">
        <v>28514</v>
      </c>
      <c r="F125">
        <v>29524</v>
      </c>
      <c r="G125">
        <v>30175</v>
      </c>
      <c r="H125">
        <v>30527</v>
      </c>
      <c r="I125">
        <v>31759</v>
      </c>
      <c r="J125">
        <v>32872</v>
      </c>
      <c r="K125">
        <v>33433</v>
      </c>
      <c r="L125">
        <v>34582</v>
      </c>
      <c r="M125">
        <v>35835</v>
      </c>
      <c r="N125">
        <v>37249</v>
      </c>
      <c r="O125">
        <v>40596</v>
      </c>
      <c r="P125">
        <v>44122</v>
      </c>
      <c r="Q125">
        <v>45831</v>
      </c>
      <c r="R125">
        <v>48769</v>
      </c>
    </row>
    <row r="126" spans="1:18">
      <c r="A126">
        <v>19420</v>
      </c>
      <c r="B126" t="s">
        <v>817</v>
      </c>
      <c r="C126" t="s">
        <v>1448</v>
      </c>
      <c r="D126" t="s">
        <v>1449</v>
      </c>
      <c r="E126">
        <v>27762</v>
      </c>
      <c r="F126">
        <v>29207</v>
      </c>
      <c r="G126">
        <v>29966</v>
      </c>
      <c r="H126">
        <v>30240</v>
      </c>
      <c r="I126">
        <v>31323</v>
      </c>
      <c r="J126">
        <v>32832</v>
      </c>
      <c r="K126">
        <v>32731</v>
      </c>
      <c r="L126">
        <v>33424</v>
      </c>
      <c r="M126">
        <v>34579</v>
      </c>
      <c r="N126">
        <v>35993</v>
      </c>
      <c r="O126">
        <v>39452</v>
      </c>
      <c r="P126">
        <v>43579</v>
      </c>
      <c r="Q126">
        <v>43791</v>
      </c>
      <c r="R126">
        <v>45745</v>
      </c>
    </row>
    <row r="127" spans="1:18">
      <c r="A127">
        <v>19540</v>
      </c>
      <c r="B127" t="s">
        <v>818</v>
      </c>
      <c r="C127" t="s">
        <v>1448</v>
      </c>
      <c r="D127" t="s">
        <v>1449</v>
      </c>
      <c r="E127">
        <v>28332</v>
      </c>
      <c r="F127">
        <v>31371</v>
      </c>
      <c r="G127">
        <v>33364</v>
      </c>
      <c r="H127">
        <v>34503</v>
      </c>
      <c r="I127">
        <v>35675</v>
      </c>
      <c r="J127">
        <v>35202</v>
      </c>
      <c r="K127">
        <v>35379</v>
      </c>
      <c r="L127">
        <v>37092</v>
      </c>
      <c r="M127">
        <v>38473</v>
      </c>
      <c r="N127">
        <v>39705</v>
      </c>
      <c r="O127">
        <v>42485</v>
      </c>
      <c r="P127">
        <v>47675</v>
      </c>
      <c r="Q127">
        <v>50123</v>
      </c>
      <c r="R127">
        <v>50881</v>
      </c>
    </row>
    <row r="128" spans="1:18">
      <c r="A128">
        <v>19580</v>
      </c>
      <c r="B128" t="s">
        <v>819</v>
      </c>
      <c r="C128" t="s">
        <v>1448</v>
      </c>
      <c r="D128" t="s">
        <v>1449</v>
      </c>
      <c r="E128">
        <v>31118</v>
      </c>
      <c r="F128">
        <v>33346</v>
      </c>
      <c r="G128">
        <v>34077</v>
      </c>
      <c r="H128">
        <v>35524</v>
      </c>
      <c r="I128">
        <v>36680</v>
      </c>
      <c r="J128">
        <v>37014</v>
      </c>
      <c r="K128">
        <v>37985</v>
      </c>
      <c r="L128">
        <v>38908</v>
      </c>
      <c r="M128">
        <v>40153</v>
      </c>
      <c r="N128">
        <v>41206</v>
      </c>
      <c r="O128">
        <v>44273</v>
      </c>
      <c r="P128">
        <v>48163</v>
      </c>
      <c r="Q128">
        <v>48211</v>
      </c>
      <c r="R128">
        <v>50168</v>
      </c>
    </row>
    <row r="129" spans="1:18">
      <c r="A129">
        <v>19620</v>
      </c>
      <c r="B129" t="s">
        <v>820</v>
      </c>
      <c r="C129" t="s">
        <v>1448</v>
      </c>
      <c r="D129" t="s">
        <v>1449</v>
      </c>
      <c r="E129">
        <v>30318</v>
      </c>
      <c r="F129">
        <v>31494</v>
      </c>
      <c r="G129">
        <v>32726</v>
      </c>
      <c r="H129">
        <v>32037</v>
      </c>
      <c r="I129">
        <v>33632</v>
      </c>
      <c r="J129">
        <v>34573</v>
      </c>
      <c r="K129">
        <v>34794</v>
      </c>
      <c r="L129">
        <v>35515</v>
      </c>
      <c r="M129">
        <v>36950</v>
      </c>
      <c r="N129">
        <v>39595</v>
      </c>
      <c r="O129">
        <v>42518</v>
      </c>
      <c r="P129">
        <v>47240</v>
      </c>
      <c r="Q129">
        <v>47421</v>
      </c>
      <c r="R129">
        <v>50112</v>
      </c>
    </row>
    <row r="130" spans="1:18">
      <c r="A130">
        <v>19700</v>
      </c>
      <c r="B130" t="s">
        <v>821</v>
      </c>
      <c r="C130" t="s">
        <v>1448</v>
      </c>
      <c r="D130" t="s">
        <v>1449</v>
      </c>
      <c r="E130">
        <v>26747</v>
      </c>
      <c r="F130">
        <v>26895</v>
      </c>
      <c r="G130">
        <v>26705</v>
      </c>
      <c r="H130">
        <v>26834</v>
      </c>
      <c r="I130">
        <v>27874</v>
      </c>
      <c r="J130">
        <v>28886</v>
      </c>
      <c r="K130">
        <v>28825</v>
      </c>
      <c r="L130">
        <v>28502</v>
      </c>
      <c r="M130">
        <v>29855</v>
      </c>
      <c r="N130">
        <v>31354</v>
      </c>
      <c r="O130">
        <v>35502</v>
      </c>
      <c r="P130">
        <v>39011</v>
      </c>
      <c r="Q130">
        <v>38396</v>
      </c>
      <c r="R130">
        <v>40299</v>
      </c>
    </row>
    <row r="131" spans="1:18">
      <c r="A131">
        <v>19760</v>
      </c>
      <c r="B131" t="s">
        <v>822</v>
      </c>
      <c r="C131" t="s">
        <v>1448</v>
      </c>
      <c r="D131" t="s">
        <v>1449</v>
      </c>
      <c r="E131">
        <v>35567</v>
      </c>
      <c r="F131">
        <v>37697</v>
      </c>
      <c r="G131">
        <v>37751</v>
      </c>
      <c r="H131">
        <v>38060</v>
      </c>
      <c r="I131">
        <v>39185</v>
      </c>
      <c r="J131">
        <v>40007</v>
      </c>
      <c r="K131">
        <v>39967</v>
      </c>
      <c r="L131">
        <v>42023</v>
      </c>
      <c r="M131">
        <v>43278</v>
      </c>
      <c r="N131">
        <v>44025</v>
      </c>
      <c r="O131">
        <v>47672</v>
      </c>
      <c r="P131">
        <v>50417</v>
      </c>
      <c r="Q131">
        <v>50633</v>
      </c>
      <c r="R131">
        <v>52717</v>
      </c>
    </row>
    <row r="132" spans="1:18">
      <c r="A132">
        <v>19860</v>
      </c>
      <c r="B132" t="s">
        <v>823</v>
      </c>
      <c r="C132" t="s">
        <v>1448</v>
      </c>
      <c r="D132" t="s">
        <v>1449</v>
      </c>
      <c r="E132">
        <v>51480</v>
      </c>
      <c r="F132">
        <v>63589</v>
      </c>
      <c r="G132">
        <v>76647</v>
      </c>
      <c r="H132">
        <v>77592</v>
      </c>
      <c r="I132">
        <v>85215</v>
      </c>
      <c r="J132">
        <v>69109</v>
      </c>
      <c r="K132">
        <v>57206</v>
      </c>
      <c r="L132">
        <v>57721</v>
      </c>
      <c r="M132">
        <v>59735</v>
      </c>
      <c r="N132">
        <v>63301</v>
      </c>
      <c r="O132">
        <v>61758</v>
      </c>
      <c r="P132">
        <v>63848</v>
      </c>
      <c r="Q132">
        <v>68920</v>
      </c>
      <c r="R132">
        <v>72190</v>
      </c>
    </row>
    <row r="133" spans="1:18">
      <c r="A133">
        <v>19940</v>
      </c>
      <c r="B133" t="s">
        <v>824</v>
      </c>
      <c r="C133" t="s">
        <v>1448</v>
      </c>
      <c r="D133" t="s">
        <v>1449</v>
      </c>
      <c r="E133">
        <v>32987</v>
      </c>
      <c r="F133">
        <v>36410</v>
      </c>
      <c r="G133">
        <v>35492</v>
      </c>
      <c r="H133">
        <v>39739</v>
      </c>
      <c r="I133">
        <v>38276</v>
      </c>
      <c r="J133">
        <v>37977</v>
      </c>
      <c r="K133">
        <v>38756</v>
      </c>
      <c r="L133">
        <v>38924</v>
      </c>
      <c r="M133">
        <v>40600</v>
      </c>
      <c r="N133">
        <v>42132</v>
      </c>
      <c r="O133">
        <v>46715</v>
      </c>
      <c r="P133">
        <v>51406</v>
      </c>
      <c r="Q133">
        <v>52132</v>
      </c>
      <c r="R133">
        <v>53618</v>
      </c>
    </row>
    <row r="134" spans="1:18">
      <c r="A134">
        <v>19980</v>
      </c>
      <c r="B134" t="s">
        <v>825</v>
      </c>
      <c r="C134" t="s">
        <v>1448</v>
      </c>
      <c r="D134" t="s">
        <v>1449</v>
      </c>
      <c r="E134">
        <v>31991</v>
      </c>
      <c r="F134">
        <v>32748</v>
      </c>
      <c r="G134">
        <v>34201</v>
      </c>
      <c r="H134">
        <v>34541</v>
      </c>
      <c r="I134">
        <v>32702</v>
      </c>
      <c r="J134">
        <v>33470</v>
      </c>
      <c r="K134">
        <v>35908</v>
      </c>
      <c r="L134">
        <v>36150</v>
      </c>
      <c r="M134">
        <v>37509</v>
      </c>
      <c r="N134">
        <v>38644</v>
      </c>
      <c r="O134">
        <v>44320</v>
      </c>
      <c r="P134">
        <v>47406</v>
      </c>
      <c r="Q134">
        <v>47691</v>
      </c>
      <c r="R134">
        <v>48219</v>
      </c>
    </row>
    <row r="135" spans="1:18">
      <c r="A135">
        <v>20060</v>
      </c>
      <c r="B135" t="s">
        <v>826</v>
      </c>
      <c r="C135" t="s">
        <v>1448</v>
      </c>
      <c r="D135" t="s">
        <v>1449</v>
      </c>
      <c r="E135">
        <v>24304</v>
      </c>
      <c r="F135">
        <v>25697</v>
      </c>
      <c r="G135">
        <v>25535</v>
      </c>
      <c r="H135">
        <v>26514</v>
      </c>
      <c r="I135">
        <v>27747</v>
      </c>
      <c r="J135">
        <v>28920</v>
      </c>
      <c r="K135">
        <v>28903</v>
      </c>
      <c r="L135">
        <v>30820</v>
      </c>
      <c r="M135">
        <v>31385</v>
      </c>
      <c r="N135">
        <v>32327</v>
      </c>
      <c r="O135">
        <v>35020</v>
      </c>
      <c r="P135">
        <v>40099</v>
      </c>
      <c r="Q135">
        <v>39105</v>
      </c>
      <c r="R135">
        <v>39740</v>
      </c>
    </row>
    <row r="136" spans="1:18">
      <c r="A136">
        <v>20140</v>
      </c>
      <c r="B136" t="s">
        <v>827</v>
      </c>
      <c r="C136" t="s">
        <v>1448</v>
      </c>
      <c r="D136" t="s">
        <v>1449</v>
      </c>
      <c r="E136">
        <v>27789</v>
      </c>
      <c r="F136">
        <v>28764</v>
      </c>
      <c r="G136">
        <v>28281</v>
      </c>
      <c r="H136">
        <v>28681</v>
      </c>
      <c r="I136">
        <v>29411</v>
      </c>
      <c r="J136">
        <v>30697</v>
      </c>
      <c r="K136">
        <v>31903</v>
      </c>
      <c r="L136">
        <v>32833</v>
      </c>
      <c r="M136">
        <v>34061</v>
      </c>
      <c r="N136">
        <v>34983</v>
      </c>
      <c r="O136">
        <v>38307</v>
      </c>
      <c r="P136">
        <v>42072</v>
      </c>
      <c r="Q136">
        <v>41300</v>
      </c>
      <c r="R136">
        <v>43770</v>
      </c>
    </row>
    <row r="137" spans="1:18">
      <c r="A137">
        <v>20180</v>
      </c>
      <c r="B137" t="s">
        <v>828</v>
      </c>
      <c r="C137" t="s">
        <v>1448</v>
      </c>
      <c r="D137" t="s">
        <v>1449</v>
      </c>
      <c r="E137">
        <v>35124</v>
      </c>
      <c r="F137">
        <v>36903</v>
      </c>
      <c r="G137">
        <v>36906</v>
      </c>
      <c r="H137">
        <v>36976</v>
      </c>
      <c r="I137">
        <v>38488</v>
      </c>
      <c r="J137">
        <v>40082</v>
      </c>
      <c r="K137">
        <v>41051</v>
      </c>
      <c r="L137">
        <v>42058</v>
      </c>
      <c r="M137">
        <v>44378</v>
      </c>
      <c r="N137">
        <v>44968</v>
      </c>
      <c r="O137">
        <v>49205</v>
      </c>
      <c r="P137">
        <v>53641</v>
      </c>
      <c r="Q137">
        <v>54951</v>
      </c>
      <c r="R137">
        <v>57841</v>
      </c>
    </row>
    <row r="138" spans="1:18">
      <c r="A138">
        <v>20300</v>
      </c>
      <c r="B138" t="s">
        <v>829</v>
      </c>
      <c r="C138" t="s">
        <v>1448</v>
      </c>
      <c r="D138" t="s">
        <v>1449</v>
      </c>
      <c r="E138">
        <v>30051</v>
      </c>
      <c r="F138">
        <v>32914</v>
      </c>
      <c r="G138">
        <v>33868</v>
      </c>
      <c r="H138">
        <v>34676</v>
      </c>
      <c r="I138">
        <v>38668</v>
      </c>
      <c r="J138">
        <v>42301</v>
      </c>
      <c r="K138">
        <v>40112</v>
      </c>
      <c r="L138">
        <v>42311</v>
      </c>
      <c r="M138">
        <v>42890</v>
      </c>
      <c r="N138">
        <v>47208</v>
      </c>
      <c r="O138">
        <v>50259</v>
      </c>
      <c r="P138">
        <v>55525</v>
      </c>
      <c r="Q138">
        <v>58914</v>
      </c>
      <c r="R138">
        <v>61988</v>
      </c>
    </row>
    <row r="139" spans="1:18">
      <c r="A139">
        <v>20340</v>
      </c>
      <c r="B139" t="s">
        <v>830</v>
      </c>
      <c r="C139" t="s">
        <v>1448</v>
      </c>
      <c r="D139" t="s">
        <v>1449</v>
      </c>
      <c r="E139">
        <v>37669</v>
      </c>
      <c r="F139">
        <v>40551</v>
      </c>
      <c r="G139">
        <v>44463</v>
      </c>
      <c r="H139">
        <v>43642</v>
      </c>
      <c r="I139">
        <v>48043</v>
      </c>
      <c r="J139">
        <v>42347</v>
      </c>
      <c r="K139">
        <v>38443</v>
      </c>
      <c r="L139">
        <v>39103</v>
      </c>
      <c r="M139">
        <v>42100</v>
      </c>
      <c r="N139">
        <v>43692</v>
      </c>
      <c r="O139">
        <v>45380</v>
      </c>
      <c r="P139">
        <v>47386</v>
      </c>
      <c r="Q139">
        <v>50608</v>
      </c>
      <c r="R139">
        <v>53673</v>
      </c>
    </row>
    <row r="140" spans="1:18">
      <c r="A140">
        <v>20420</v>
      </c>
      <c r="B140" t="s">
        <v>831</v>
      </c>
      <c r="C140" t="s">
        <v>1448</v>
      </c>
      <c r="D140" t="s">
        <v>1449</v>
      </c>
      <c r="E140">
        <v>42040</v>
      </c>
      <c r="F140">
        <v>43370</v>
      </c>
      <c r="G140">
        <v>45631</v>
      </c>
      <c r="H140">
        <v>51182</v>
      </c>
      <c r="I140">
        <v>53478</v>
      </c>
      <c r="J140">
        <v>53757</v>
      </c>
      <c r="K140">
        <v>52673</v>
      </c>
      <c r="L140">
        <v>52537</v>
      </c>
      <c r="M140">
        <v>56398</v>
      </c>
      <c r="N140">
        <v>58999</v>
      </c>
      <c r="O140">
        <v>60684</v>
      </c>
      <c r="P140">
        <v>65107</v>
      </c>
      <c r="Q140">
        <v>71568</v>
      </c>
      <c r="R140">
        <v>76558</v>
      </c>
    </row>
    <row r="141" spans="1:18">
      <c r="A141">
        <v>20460</v>
      </c>
      <c r="B141" t="s">
        <v>832</v>
      </c>
      <c r="C141" t="s">
        <v>1448</v>
      </c>
      <c r="D141" t="s">
        <v>1449</v>
      </c>
      <c r="E141">
        <v>27438</v>
      </c>
      <c r="F141">
        <v>27966</v>
      </c>
      <c r="G141">
        <v>29307</v>
      </c>
      <c r="H141">
        <v>29995</v>
      </c>
      <c r="I141">
        <v>31897</v>
      </c>
      <c r="J141">
        <v>32363</v>
      </c>
      <c r="K141">
        <v>33735</v>
      </c>
      <c r="L141">
        <v>34883</v>
      </c>
      <c r="M141">
        <v>35563</v>
      </c>
      <c r="N141">
        <v>37709</v>
      </c>
      <c r="O141">
        <v>40421</v>
      </c>
      <c r="P141">
        <v>44460</v>
      </c>
      <c r="Q141">
        <v>44252</v>
      </c>
      <c r="R141">
        <v>46331</v>
      </c>
    </row>
    <row r="142" spans="1:18">
      <c r="A142">
        <v>20540</v>
      </c>
      <c r="B142" t="s">
        <v>833</v>
      </c>
      <c r="C142" t="s">
        <v>1448</v>
      </c>
      <c r="D142" t="s">
        <v>1449</v>
      </c>
      <c r="E142">
        <v>32954</v>
      </c>
      <c r="F142">
        <v>35128</v>
      </c>
      <c r="G142">
        <v>35604</v>
      </c>
      <c r="H142">
        <v>36366</v>
      </c>
      <c r="I142">
        <v>36793</v>
      </c>
      <c r="J142">
        <v>37054</v>
      </c>
      <c r="K142">
        <v>37018</v>
      </c>
      <c r="L142">
        <v>37984</v>
      </c>
      <c r="M142">
        <v>39297</v>
      </c>
      <c r="N142">
        <v>42021</v>
      </c>
      <c r="O142">
        <v>46401</v>
      </c>
      <c r="P142">
        <v>52049</v>
      </c>
      <c r="Q142">
        <v>51006</v>
      </c>
      <c r="R142">
        <v>53828</v>
      </c>
    </row>
    <row r="143" spans="1:18">
      <c r="A143">
        <v>20580</v>
      </c>
      <c r="B143" t="s">
        <v>834</v>
      </c>
      <c r="C143" t="s">
        <v>1448</v>
      </c>
      <c r="D143" t="s">
        <v>1449</v>
      </c>
      <c r="E143">
        <v>23584</v>
      </c>
      <c r="F143">
        <v>24942</v>
      </c>
      <c r="G143">
        <v>25611</v>
      </c>
      <c r="H143">
        <v>26206</v>
      </c>
      <c r="I143">
        <v>27294</v>
      </c>
      <c r="J143">
        <v>27979</v>
      </c>
      <c r="K143">
        <v>27685</v>
      </c>
      <c r="L143">
        <v>29046</v>
      </c>
      <c r="M143">
        <v>30895</v>
      </c>
      <c r="N143">
        <v>32521</v>
      </c>
      <c r="O143">
        <v>35399</v>
      </c>
      <c r="P143">
        <v>38919</v>
      </c>
      <c r="Q143">
        <v>38293</v>
      </c>
      <c r="R143">
        <v>41009</v>
      </c>
    </row>
    <row r="144" spans="1:18">
      <c r="A144">
        <v>20660</v>
      </c>
      <c r="B144" t="s">
        <v>835</v>
      </c>
      <c r="C144" t="s">
        <v>1448</v>
      </c>
      <c r="D144" t="s">
        <v>1449</v>
      </c>
      <c r="E144">
        <v>56007</v>
      </c>
      <c r="F144">
        <v>58512</v>
      </c>
      <c r="G144">
        <v>58681</v>
      </c>
      <c r="H144">
        <v>59495</v>
      </c>
      <c r="I144">
        <v>61431</v>
      </c>
      <c r="J144">
        <v>63704</v>
      </c>
      <c r="K144">
        <v>65325</v>
      </c>
      <c r="L144">
        <v>66408</v>
      </c>
      <c r="M144">
        <v>68562</v>
      </c>
      <c r="N144">
        <v>73957</v>
      </c>
      <c r="O144">
        <v>78501</v>
      </c>
      <c r="P144">
        <v>84902</v>
      </c>
      <c r="Q144">
        <v>91670</v>
      </c>
      <c r="R144">
        <v>98166</v>
      </c>
    </row>
    <row r="145" spans="1:18">
      <c r="A145">
        <v>20780</v>
      </c>
      <c r="B145" t="s">
        <v>836</v>
      </c>
      <c r="C145" t="s">
        <v>1448</v>
      </c>
      <c r="D145" t="s">
        <v>1449</v>
      </c>
      <c r="E145">
        <v>43781</v>
      </c>
      <c r="F145">
        <v>46392</v>
      </c>
      <c r="G145">
        <v>47577</v>
      </c>
      <c r="H145">
        <v>55781</v>
      </c>
      <c r="I145">
        <v>59998</v>
      </c>
      <c r="J145">
        <v>65425</v>
      </c>
      <c r="K145">
        <v>66882</v>
      </c>
      <c r="L145">
        <v>71470</v>
      </c>
      <c r="M145">
        <v>80075</v>
      </c>
      <c r="N145">
        <v>82517</v>
      </c>
      <c r="O145">
        <v>88991</v>
      </c>
      <c r="P145">
        <v>102019</v>
      </c>
      <c r="Q145">
        <v>117317</v>
      </c>
      <c r="R145">
        <v>128041</v>
      </c>
    </row>
    <row r="146" spans="1:18">
      <c r="A146">
        <v>20820</v>
      </c>
      <c r="B146" t="s">
        <v>837</v>
      </c>
      <c r="C146" t="s">
        <v>1448</v>
      </c>
      <c r="D146" t="s">
        <v>1449</v>
      </c>
      <c r="E146">
        <v>38744</v>
      </c>
      <c r="F146">
        <v>40841</v>
      </c>
      <c r="G146">
        <v>40988</v>
      </c>
      <c r="H146">
        <v>40963</v>
      </c>
      <c r="I146">
        <v>41933</v>
      </c>
      <c r="J146">
        <v>42104</v>
      </c>
      <c r="K146">
        <v>44196</v>
      </c>
      <c r="L146">
        <v>46807</v>
      </c>
      <c r="M146">
        <v>48577</v>
      </c>
      <c r="N146">
        <v>49898</v>
      </c>
      <c r="O146">
        <v>55210</v>
      </c>
      <c r="P146">
        <v>60494</v>
      </c>
      <c r="Q146">
        <v>64480</v>
      </c>
      <c r="R146">
        <v>67028</v>
      </c>
    </row>
    <row r="147" spans="1:18">
      <c r="A147">
        <v>20900</v>
      </c>
      <c r="B147" t="s">
        <v>838</v>
      </c>
      <c r="C147" t="s">
        <v>1448</v>
      </c>
      <c r="D147" t="s">
        <v>1449</v>
      </c>
      <c r="E147">
        <v>34876</v>
      </c>
      <c r="F147">
        <v>36197</v>
      </c>
      <c r="G147">
        <v>38554</v>
      </c>
      <c r="H147">
        <v>40475</v>
      </c>
      <c r="I147">
        <v>41240</v>
      </c>
      <c r="J147">
        <v>41561</v>
      </c>
      <c r="K147">
        <v>40415</v>
      </c>
      <c r="L147">
        <v>41594</v>
      </c>
      <c r="M147">
        <v>43340</v>
      </c>
      <c r="N147">
        <v>46546</v>
      </c>
      <c r="O147">
        <v>48537</v>
      </c>
      <c r="P147">
        <v>53164</v>
      </c>
      <c r="Q147">
        <v>52426</v>
      </c>
      <c r="R147">
        <v>55902</v>
      </c>
    </row>
    <row r="148" spans="1:18">
      <c r="A148">
        <v>20980</v>
      </c>
      <c r="B148" t="s">
        <v>839</v>
      </c>
      <c r="C148" t="s">
        <v>1448</v>
      </c>
      <c r="D148" t="s">
        <v>1449</v>
      </c>
      <c r="E148">
        <v>37794</v>
      </c>
      <c r="F148">
        <v>40526</v>
      </c>
      <c r="G148">
        <v>44553</v>
      </c>
      <c r="H148">
        <v>42491</v>
      </c>
      <c r="I148">
        <v>43566</v>
      </c>
      <c r="J148">
        <v>40765</v>
      </c>
      <c r="K148">
        <v>38738</v>
      </c>
      <c r="L148">
        <v>41897</v>
      </c>
      <c r="M148">
        <v>42677</v>
      </c>
      <c r="N148">
        <v>44888</v>
      </c>
      <c r="O148">
        <v>50452</v>
      </c>
      <c r="P148">
        <v>51839</v>
      </c>
      <c r="Q148">
        <v>53759</v>
      </c>
      <c r="R148">
        <v>56838</v>
      </c>
    </row>
    <row r="149" spans="1:18">
      <c r="A149">
        <v>21020</v>
      </c>
      <c r="B149" t="s">
        <v>840</v>
      </c>
      <c r="C149" t="s">
        <v>1448</v>
      </c>
      <c r="D149" t="s">
        <v>1449</v>
      </c>
      <c r="E149">
        <v>32874</v>
      </c>
      <c r="F149">
        <v>33322</v>
      </c>
      <c r="G149">
        <v>34332</v>
      </c>
      <c r="H149">
        <v>34121</v>
      </c>
      <c r="I149">
        <v>34928</v>
      </c>
      <c r="J149">
        <v>35899</v>
      </c>
      <c r="K149">
        <v>37207</v>
      </c>
      <c r="L149">
        <v>38537</v>
      </c>
      <c r="M149">
        <v>38238</v>
      </c>
      <c r="N149">
        <v>40522</v>
      </c>
      <c r="O149">
        <v>43636</v>
      </c>
      <c r="P149">
        <v>48641</v>
      </c>
      <c r="Q149">
        <v>49225</v>
      </c>
      <c r="R149">
        <v>52326</v>
      </c>
    </row>
    <row r="150" spans="1:18">
      <c r="A150">
        <v>21120</v>
      </c>
      <c r="B150" t="s">
        <v>841</v>
      </c>
      <c r="C150" t="s">
        <v>1448</v>
      </c>
      <c r="D150" t="s">
        <v>1449</v>
      </c>
      <c r="E150">
        <v>32338</v>
      </c>
      <c r="F150">
        <v>37707</v>
      </c>
      <c r="G150">
        <v>40800</v>
      </c>
      <c r="H150">
        <v>42055</v>
      </c>
      <c r="I150">
        <v>44433</v>
      </c>
      <c r="J150">
        <v>36417</v>
      </c>
      <c r="K150">
        <v>32618</v>
      </c>
      <c r="L150">
        <v>34722</v>
      </c>
      <c r="M150">
        <v>37195</v>
      </c>
      <c r="N150">
        <v>36922</v>
      </c>
      <c r="O150">
        <v>37340</v>
      </c>
      <c r="P150">
        <v>39067</v>
      </c>
      <c r="Q150">
        <v>39306</v>
      </c>
      <c r="R150">
        <v>42510</v>
      </c>
    </row>
    <row r="151" spans="1:18">
      <c r="A151">
        <v>21180</v>
      </c>
      <c r="B151" t="s">
        <v>842</v>
      </c>
      <c r="C151" t="s">
        <v>1448</v>
      </c>
      <c r="D151" t="s">
        <v>1449</v>
      </c>
      <c r="E151">
        <v>29523</v>
      </c>
      <c r="F151">
        <v>30501</v>
      </c>
      <c r="G151">
        <v>31903</v>
      </c>
      <c r="H151">
        <v>31902</v>
      </c>
      <c r="I151">
        <v>33054</v>
      </c>
      <c r="J151">
        <v>34309</v>
      </c>
      <c r="K151">
        <v>34515</v>
      </c>
      <c r="L151">
        <v>35902</v>
      </c>
      <c r="M151">
        <v>37256</v>
      </c>
      <c r="N151">
        <v>39138</v>
      </c>
      <c r="O151">
        <v>42263</v>
      </c>
      <c r="P151">
        <v>45461</v>
      </c>
      <c r="Q151">
        <v>45739</v>
      </c>
      <c r="R151">
        <v>48669</v>
      </c>
    </row>
    <row r="152" spans="1:18">
      <c r="A152">
        <v>21220</v>
      </c>
      <c r="B152" t="s">
        <v>843</v>
      </c>
      <c r="C152" t="s">
        <v>1448</v>
      </c>
      <c r="D152" t="s">
        <v>1449</v>
      </c>
      <c r="E152">
        <v>39930</v>
      </c>
      <c r="F152">
        <v>42419</v>
      </c>
      <c r="G152">
        <v>42196</v>
      </c>
      <c r="H152">
        <v>41295</v>
      </c>
      <c r="I152">
        <v>41236</v>
      </c>
      <c r="J152">
        <v>41399</v>
      </c>
      <c r="K152">
        <v>41699</v>
      </c>
      <c r="L152">
        <v>43559</v>
      </c>
      <c r="M152">
        <v>45685</v>
      </c>
      <c r="N152">
        <v>47271</v>
      </c>
      <c r="O152">
        <v>50221</v>
      </c>
      <c r="P152">
        <v>53681</v>
      </c>
      <c r="Q152">
        <v>54836</v>
      </c>
      <c r="R152">
        <v>56750</v>
      </c>
    </row>
    <row r="153" spans="1:18">
      <c r="A153">
        <v>21260</v>
      </c>
      <c r="B153" t="s">
        <v>844</v>
      </c>
      <c r="C153" t="s">
        <v>1448</v>
      </c>
      <c r="D153" t="s">
        <v>1449</v>
      </c>
      <c r="E153">
        <v>31835</v>
      </c>
      <c r="F153">
        <v>33395</v>
      </c>
      <c r="G153">
        <v>35463</v>
      </c>
      <c r="H153">
        <v>36583</v>
      </c>
      <c r="I153">
        <v>37564</v>
      </c>
      <c r="J153">
        <v>39181</v>
      </c>
      <c r="K153">
        <v>40433</v>
      </c>
      <c r="L153">
        <v>42163</v>
      </c>
      <c r="M153">
        <v>43500</v>
      </c>
      <c r="N153">
        <v>46441</v>
      </c>
      <c r="O153">
        <v>50890</v>
      </c>
      <c r="P153">
        <v>54946</v>
      </c>
      <c r="Q153">
        <v>56078</v>
      </c>
      <c r="R153">
        <v>60053</v>
      </c>
    </row>
    <row r="154" spans="1:18">
      <c r="A154">
        <v>21380</v>
      </c>
      <c r="B154" t="s">
        <v>845</v>
      </c>
      <c r="C154" t="s">
        <v>1448</v>
      </c>
      <c r="D154" t="s">
        <v>1449</v>
      </c>
      <c r="E154">
        <v>30156</v>
      </c>
      <c r="F154">
        <v>31554</v>
      </c>
      <c r="G154">
        <v>32120</v>
      </c>
      <c r="H154">
        <v>32683</v>
      </c>
      <c r="I154">
        <v>34177</v>
      </c>
      <c r="J154">
        <v>35193</v>
      </c>
      <c r="K154">
        <v>36429</v>
      </c>
      <c r="L154">
        <v>37653</v>
      </c>
      <c r="M154">
        <v>39655</v>
      </c>
      <c r="N154">
        <v>40611</v>
      </c>
      <c r="O154">
        <v>45145</v>
      </c>
      <c r="P154">
        <v>48151</v>
      </c>
      <c r="Q154">
        <v>48294</v>
      </c>
      <c r="R154">
        <v>50790</v>
      </c>
    </row>
    <row r="155" spans="1:18">
      <c r="A155">
        <v>21460</v>
      </c>
      <c r="B155" t="s">
        <v>846</v>
      </c>
      <c r="C155" t="s">
        <v>1448</v>
      </c>
      <c r="D155" t="s">
        <v>1449</v>
      </c>
      <c r="E155">
        <v>35419</v>
      </c>
      <c r="F155">
        <v>36016</v>
      </c>
      <c r="G155">
        <v>35949</v>
      </c>
      <c r="H155">
        <v>36853</v>
      </c>
      <c r="I155">
        <v>37630</v>
      </c>
      <c r="J155">
        <v>39198</v>
      </c>
      <c r="K155">
        <v>39551</v>
      </c>
      <c r="L155">
        <v>40220</v>
      </c>
      <c r="M155">
        <v>41610</v>
      </c>
      <c r="N155">
        <v>42781</v>
      </c>
      <c r="O155">
        <v>45162</v>
      </c>
      <c r="P155">
        <v>50369</v>
      </c>
      <c r="Q155">
        <v>51776</v>
      </c>
      <c r="R155">
        <v>53573</v>
      </c>
    </row>
    <row r="156" spans="1:18">
      <c r="A156">
        <v>21540</v>
      </c>
      <c r="B156" t="s">
        <v>847</v>
      </c>
      <c r="C156" t="s">
        <v>1448</v>
      </c>
      <c r="D156" t="s">
        <v>1449</v>
      </c>
      <c r="E156">
        <v>32319</v>
      </c>
      <c r="F156">
        <v>32971</v>
      </c>
      <c r="G156">
        <v>33309</v>
      </c>
      <c r="H156">
        <v>32917</v>
      </c>
      <c r="I156">
        <v>34332</v>
      </c>
      <c r="J156">
        <v>35307</v>
      </c>
      <c r="K156">
        <v>36142</v>
      </c>
      <c r="L156">
        <v>37092</v>
      </c>
      <c r="M156">
        <v>38192</v>
      </c>
      <c r="N156">
        <v>39568</v>
      </c>
      <c r="O156">
        <v>43599</v>
      </c>
      <c r="P156">
        <v>46521</v>
      </c>
      <c r="Q156">
        <v>45309</v>
      </c>
      <c r="R156">
        <v>47667</v>
      </c>
    </row>
    <row r="157" spans="1:18">
      <c r="A157">
        <v>21580</v>
      </c>
      <c r="B157" t="s">
        <v>848</v>
      </c>
      <c r="C157" t="s">
        <v>1448</v>
      </c>
      <c r="D157" t="s">
        <v>1449</v>
      </c>
      <c r="E157">
        <v>30301</v>
      </c>
      <c r="F157">
        <v>30935</v>
      </c>
      <c r="G157">
        <v>31132</v>
      </c>
      <c r="H157">
        <v>28978</v>
      </c>
      <c r="I157">
        <v>30387</v>
      </c>
      <c r="J157">
        <v>32109</v>
      </c>
      <c r="K157">
        <v>32298</v>
      </c>
      <c r="L157">
        <v>32419</v>
      </c>
      <c r="M157">
        <v>33771</v>
      </c>
      <c r="N157">
        <v>35012</v>
      </c>
      <c r="O157">
        <v>38631</v>
      </c>
      <c r="P157">
        <v>42679</v>
      </c>
      <c r="Q157">
        <v>44598</v>
      </c>
      <c r="R157">
        <v>45521</v>
      </c>
    </row>
    <row r="158" spans="1:18">
      <c r="A158">
        <v>21640</v>
      </c>
      <c r="B158" t="s">
        <v>849</v>
      </c>
      <c r="C158" t="s">
        <v>1448</v>
      </c>
      <c r="D158" t="s">
        <v>1449</v>
      </c>
      <c r="E158">
        <v>27364</v>
      </c>
      <c r="F158">
        <v>27669</v>
      </c>
      <c r="G158">
        <v>27481</v>
      </c>
      <c r="H158">
        <v>29155</v>
      </c>
      <c r="I158">
        <v>29223</v>
      </c>
      <c r="J158">
        <v>30772</v>
      </c>
      <c r="K158">
        <v>30788</v>
      </c>
      <c r="L158">
        <v>31713</v>
      </c>
      <c r="M158">
        <v>33056</v>
      </c>
      <c r="N158">
        <v>34503</v>
      </c>
      <c r="O158">
        <v>37289</v>
      </c>
      <c r="P158">
        <v>40742</v>
      </c>
      <c r="Q158">
        <v>40791</v>
      </c>
      <c r="R158">
        <v>41379</v>
      </c>
    </row>
    <row r="159" spans="1:18">
      <c r="A159">
        <v>21700</v>
      </c>
      <c r="B159" t="s">
        <v>850</v>
      </c>
      <c r="C159" t="s">
        <v>1448</v>
      </c>
      <c r="D159" t="s">
        <v>1449</v>
      </c>
      <c r="E159">
        <v>35490</v>
      </c>
      <c r="F159">
        <v>35892</v>
      </c>
      <c r="G159">
        <v>36182</v>
      </c>
      <c r="H159">
        <v>36739</v>
      </c>
      <c r="I159">
        <v>38324</v>
      </c>
      <c r="J159">
        <v>40594</v>
      </c>
      <c r="K159">
        <v>41584</v>
      </c>
      <c r="L159">
        <v>42818</v>
      </c>
      <c r="M159">
        <v>43823</v>
      </c>
      <c r="N159">
        <v>45720</v>
      </c>
      <c r="O159">
        <v>50120</v>
      </c>
      <c r="P159">
        <v>53997</v>
      </c>
      <c r="Q159">
        <v>53540</v>
      </c>
      <c r="R159">
        <v>57264</v>
      </c>
    </row>
    <row r="160" spans="1:18">
      <c r="A160">
        <v>21740</v>
      </c>
      <c r="B160" t="s">
        <v>851</v>
      </c>
      <c r="C160" t="s">
        <v>1448</v>
      </c>
      <c r="D160" t="s">
        <v>1449</v>
      </c>
      <c r="E160">
        <v>38799</v>
      </c>
      <c r="F160">
        <v>40571</v>
      </c>
      <c r="G160">
        <v>39936</v>
      </c>
      <c r="H160">
        <v>39376</v>
      </c>
      <c r="I160">
        <v>39107</v>
      </c>
      <c r="J160">
        <v>38836</v>
      </c>
      <c r="K160">
        <v>37430</v>
      </c>
      <c r="L160">
        <v>38191</v>
      </c>
      <c r="M160">
        <v>39688</v>
      </c>
      <c r="N160">
        <v>40767</v>
      </c>
      <c r="O160">
        <v>42144</v>
      </c>
      <c r="P160">
        <v>44685</v>
      </c>
      <c r="Q160">
        <v>46401</v>
      </c>
      <c r="R160">
        <v>49350</v>
      </c>
    </row>
    <row r="161" spans="1:18">
      <c r="A161">
        <v>21840</v>
      </c>
      <c r="B161" t="s">
        <v>852</v>
      </c>
      <c r="C161" t="s">
        <v>1448</v>
      </c>
      <c r="D161" t="s">
        <v>1449</v>
      </c>
      <c r="E161">
        <v>32384</v>
      </c>
      <c r="F161">
        <v>34581</v>
      </c>
      <c r="G161">
        <v>36734</v>
      </c>
      <c r="H161">
        <v>36570</v>
      </c>
      <c r="I161">
        <v>38519</v>
      </c>
      <c r="J161">
        <v>39916</v>
      </c>
      <c r="K161">
        <v>41169</v>
      </c>
      <c r="L161">
        <v>42435</v>
      </c>
      <c r="M161">
        <v>45057</v>
      </c>
      <c r="N161">
        <v>46789</v>
      </c>
      <c r="O161">
        <v>48609</v>
      </c>
      <c r="P161">
        <v>53205</v>
      </c>
      <c r="Q161">
        <v>56925</v>
      </c>
      <c r="R161">
        <v>57961</v>
      </c>
    </row>
    <row r="162" spans="1:18">
      <c r="A162">
        <v>21860</v>
      </c>
      <c r="B162" t="s">
        <v>853</v>
      </c>
      <c r="C162" t="s">
        <v>1448</v>
      </c>
      <c r="D162" t="s">
        <v>1449</v>
      </c>
      <c r="E162">
        <v>40094</v>
      </c>
      <c r="F162">
        <v>42983</v>
      </c>
      <c r="G162">
        <v>46226</v>
      </c>
      <c r="H162">
        <v>44625</v>
      </c>
      <c r="I162">
        <v>45693</v>
      </c>
      <c r="J162">
        <v>46611</v>
      </c>
      <c r="K162">
        <v>44614</v>
      </c>
      <c r="L162">
        <v>46843</v>
      </c>
      <c r="M162">
        <v>49686</v>
      </c>
      <c r="N162">
        <v>50730</v>
      </c>
      <c r="O162">
        <v>54145</v>
      </c>
      <c r="P162">
        <v>62121</v>
      </c>
      <c r="Q162">
        <v>64817</v>
      </c>
      <c r="R162">
        <v>60933</v>
      </c>
    </row>
    <row r="163" spans="1:18">
      <c r="A163">
        <v>21900</v>
      </c>
      <c r="B163" t="s">
        <v>854</v>
      </c>
      <c r="C163" t="s">
        <v>1448</v>
      </c>
      <c r="D163" t="s">
        <v>1449</v>
      </c>
      <c r="E163">
        <v>35068</v>
      </c>
      <c r="F163">
        <v>36528</v>
      </c>
      <c r="G163">
        <v>37736</v>
      </c>
      <c r="H163">
        <v>37725</v>
      </c>
      <c r="I163">
        <v>38323</v>
      </c>
      <c r="J163">
        <v>38702</v>
      </c>
      <c r="K163">
        <v>38209</v>
      </c>
      <c r="L163">
        <v>40473</v>
      </c>
      <c r="M163">
        <v>41988</v>
      </c>
      <c r="N163">
        <v>42942</v>
      </c>
      <c r="O163">
        <v>45480</v>
      </c>
      <c r="P163">
        <v>48615</v>
      </c>
      <c r="Q163">
        <v>49990</v>
      </c>
      <c r="R163">
        <v>51911</v>
      </c>
    </row>
    <row r="164" spans="1:18">
      <c r="A164">
        <v>21980</v>
      </c>
      <c r="B164" t="s">
        <v>855</v>
      </c>
      <c r="C164" t="s">
        <v>1448</v>
      </c>
      <c r="D164" t="s">
        <v>1449</v>
      </c>
      <c r="E164">
        <v>33673</v>
      </c>
      <c r="F164">
        <v>35605</v>
      </c>
      <c r="G164">
        <v>35762</v>
      </c>
      <c r="H164">
        <v>36401</v>
      </c>
      <c r="I164">
        <v>38004</v>
      </c>
      <c r="J164">
        <v>39242</v>
      </c>
      <c r="K164">
        <v>40754</v>
      </c>
      <c r="L164">
        <v>43465</v>
      </c>
      <c r="M164">
        <v>44422</v>
      </c>
      <c r="N164">
        <v>45534</v>
      </c>
      <c r="O164">
        <v>49933</v>
      </c>
      <c r="P164">
        <v>55300</v>
      </c>
      <c r="Q164">
        <v>54520</v>
      </c>
      <c r="R164">
        <v>56685</v>
      </c>
    </row>
    <row r="165" spans="1:18">
      <c r="A165">
        <v>22060</v>
      </c>
      <c r="B165" t="s">
        <v>856</v>
      </c>
      <c r="C165" t="s">
        <v>1448</v>
      </c>
      <c r="D165" t="s">
        <v>1449</v>
      </c>
      <c r="E165">
        <v>33566</v>
      </c>
      <c r="F165">
        <v>35296</v>
      </c>
      <c r="G165">
        <v>36878</v>
      </c>
      <c r="H165">
        <v>37102</v>
      </c>
      <c r="I165">
        <v>38601</v>
      </c>
      <c r="J165">
        <v>39881</v>
      </c>
      <c r="K165">
        <v>40079</v>
      </c>
      <c r="L165">
        <v>41834</v>
      </c>
      <c r="M165">
        <v>43513</v>
      </c>
      <c r="N165">
        <v>44449</v>
      </c>
      <c r="O165">
        <v>47608</v>
      </c>
      <c r="P165">
        <v>53012</v>
      </c>
      <c r="Q165">
        <v>53861</v>
      </c>
      <c r="R165">
        <v>55702</v>
      </c>
    </row>
    <row r="166" spans="1:18">
      <c r="A166">
        <v>22100</v>
      </c>
      <c r="B166" t="s">
        <v>857</v>
      </c>
      <c r="C166" t="s">
        <v>1448</v>
      </c>
      <c r="D166" t="s">
        <v>1449</v>
      </c>
      <c r="E166">
        <v>27265</v>
      </c>
      <c r="F166">
        <v>27944</v>
      </c>
      <c r="G166">
        <v>28920</v>
      </c>
      <c r="H166">
        <v>29106</v>
      </c>
      <c r="I166">
        <v>30168</v>
      </c>
      <c r="J166">
        <v>30922</v>
      </c>
      <c r="K166">
        <v>31441</v>
      </c>
      <c r="L166">
        <v>32303</v>
      </c>
      <c r="M166">
        <v>33689</v>
      </c>
      <c r="N166">
        <v>34991</v>
      </c>
      <c r="O166">
        <v>38149</v>
      </c>
      <c r="P166">
        <v>41360</v>
      </c>
      <c r="Q166">
        <v>42680</v>
      </c>
      <c r="R166">
        <v>45576</v>
      </c>
    </row>
    <row r="167" spans="1:18">
      <c r="A167">
        <v>22260</v>
      </c>
      <c r="B167" t="s">
        <v>858</v>
      </c>
      <c r="C167" t="s">
        <v>1448</v>
      </c>
      <c r="D167" t="s">
        <v>1449</v>
      </c>
      <c r="E167">
        <v>34832</v>
      </c>
      <c r="F167">
        <v>37875</v>
      </c>
      <c r="G167">
        <v>39445</v>
      </c>
      <c r="H167">
        <v>40295</v>
      </c>
      <c r="I167">
        <v>42681</v>
      </c>
      <c r="J167">
        <v>43026</v>
      </c>
      <c r="K167">
        <v>42946</v>
      </c>
      <c r="L167">
        <v>44787</v>
      </c>
      <c r="M167">
        <v>45862</v>
      </c>
      <c r="N167">
        <v>46994</v>
      </c>
      <c r="O167">
        <v>53042</v>
      </c>
      <c r="P167">
        <v>56504</v>
      </c>
      <c r="Q167">
        <v>58125</v>
      </c>
      <c r="R167">
        <v>59478</v>
      </c>
    </row>
    <row r="168" spans="1:18">
      <c r="A168">
        <v>22280</v>
      </c>
      <c r="B168" t="s">
        <v>859</v>
      </c>
      <c r="C168" t="s">
        <v>1448</v>
      </c>
      <c r="D168" t="s">
        <v>1449</v>
      </c>
      <c r="E168">
        <v>28438</v>
      </c>
      <c r="F168">
        <v>29829</v>
      </c>
      <c r="G168">
        <v>30238</v>
      </c>
      <c r="H168">
        <v>30842</v>
      </c>
      <c r="I168">
        <v>32455</v>
      </c>
      <c r="J168">
        <v>33646</v>
      </c>
      <c r="K168">
        <v>35326</v>
      </c>
      <c r="L168">
        <v>37184</v>
      </c>
      <c r="M168">
        <v>38442</v>
      </c>
      <c r="N168">
        <v>40136</v>
      </c>
      <c r="O168">
        <v>43687</v>
      </c>
      <c r="P168">
        <v>46779</v>
      </c>
      <c r="Q168">
        <v>48096</v>
      </c>
      <c r="R168">
        <v>50379</v>
      </c>
    </row>
    <row r="169" spans="1:18">
      <c r="A169">
        <v>22300</v>
      </c>
      <c r="B169" t="s">
        <v>860</v>
      </c>
      <c r="C169" t="s">
        <v>1448</v>
      </c>
      <c r="D169" t="s">
        <v>1449</v>
      </c>
      <c r="E169">
        <v>36655</v>
      </c>
      <c r="F169">
        <v>40209</v>
      </c>
      <c r="G169">
        <v>41077</v>
      </c>
      <c r="H169">
        <v>41415</v>
      </c>
      <c r="I169">
        <v>47410</v>
      </c>
      <c r="J169">
        <v>56704</v>
      </c>
      <c r="K169">
        <v>50654</v>
      </c>
      <c r="L169">
        <v>48335</v>
      </c>
      <c r="M169">
        <v>50329</v>
      </c>
      <c r="N169">
        <v>50911</v>
      </c>
      <c r="O169">
        <v>55589</v>
      </c>
      <c r="P169">
        <v>56957</v>
      </c>
      <c r="Q169">
        <v>59676</v>
      </c>
      <c r="R169">
        <v>62204</v>
      </c>
    </row>
    <row r="170" spans="1:18">
      <c r="A170">
        <v>22340</v>
      </c>
      <c r="B170" t="s">
        <v>861</v>
      </c>
      <c r="C170" t="s">
        <v>1448</v>
      </c>
      <c r="D170" t="s">
        <v>1449</v>
      </c>
      <c r="E170">
        <v>24909</v>
      </c>
      <c r="F170">
        <v>27254</v>
      </c>
      <c r="G170">
        <v>26449</v>
      </c>
      <c r="H170">
        <v>27108</v>
      </c>
      <c r="I170">
        <v>28032</v>
      </c>
      <c r="J170">
        <v>29314</v>
      </c>
      <c r="K170">
        <v>28471</v>
      </c>
      <c r="L170">
        <v>28784</v>
      </c>
      <c r="M170">
        <v>30300</v>
      </c>
      <c r="N170">
        <v>31676</v>
      </c>
      <c r="O170">
        <v>34856</v>
      </c>
      <c r="P170">
        <v>39268</v>
      </c>
      <c r="Q170">
        <v>40383</v>
      </c>
      <c r="R170">
        <v>42217</v>
      </c>
    </row>
    <row r="171" spans="1:18">
      <c r="A171">
        <v>22580</v>
      </c>
      <c r="B171" t="s">
        <v>862</v>
      </c>
      <c r="C171" t="s">
        <v>1448</v>
      </c>
      <c r="D171" t="s">
        <v>1449</v>
      </c>
      <c r="E171">
        <v>25711</v>
      </c>
      <c r="F171">
        <v>26974</v>
      </c>
      <c r="G171">
        <v>28077</v>
      </c>
      <c r="H171">
        <v>28253</v>
      </c>
      <c r="I171">
        <v>29479</v>
      </c>
      <c r="J171">
        <v>30331</v>
      </c>
      <c r="K171">
        <v>30833</v>
      </c>
      <c r="L171">
        <v>31851</v>
      </c>
      <c r="M171">
        <v>33039</v>
      </c>
      <c r="N171">
        <v>35429</v>
      </c>
      <c r="O171">
        <v>38340</v>
      </c>
      <c r="P171">
        <v>42177</v>
      </c>
      <c r="Q171">
        <v>42656</v>
      </c>
      <c r="R171">
        <v>44091</v>
      </c>
    </row>
    <row r="172" spans="1:18">
      <c r="A172">
        <v>22620</v>
      </c>
      <c r="B172" t="s">
        <v>863</v>
      </c>
      <c r="C172" t="s">
        <v>1448</v>
      </c>
      <c r="D172" t="s">
        <v>1449</v>
      </c>
      <c r="E172">
        <v>22938</v>
      </c>
      <c r="F172">
        <v>24758</v>
      </c>
      <c r="G172">
        <v>24270</v>
      </c>
      <c r="H172">
        <v>25902</v>
      </c>
      <c r="I172">
        <v>26190</v>
      </c>
      <c r="J172">
        <v>26077</v>
      </c>
      <c r="K172">
        <v>26737</v>
      </c>
      <c r="L172">
        <v>27865</v>
      </c>
      <c r="M172">
        <v>28688</v>
      </c>
      <c r="N172">
        <v>30289</v>
      </c>
      <c r="O172">
        <v>33350</v>
      </c>
      <c r="P172">
        <v>36737</v>
      </c>
      <c r="Q172">
        <v>36624</v>
      </c>
      <c r="R172">
        <v>37401</v>
      </c>
    </row>
    <row r="173" spans="1:18">
      <c r="A173">
        <v>22700</v>
      </c>
      <c r="B173" t="s">
        <v>864</v>
      </c>
      <c r="C173" t="s">
        <v>1448</v>
      </c>
      <c r="D173" t="s">
        <v>1449</v>
      </c>
      <c r="E173">
        <v>34384</v>
      </c>
      <c r="F173">
        <v>37850</v>
      </c>
      <c r="G173">
        <v>38910</v>
      </c>
      <c r="H173">
        <v>40497</v>
      </c>
      <c r="I173">
        <v>41420</v>
      </c>
      <c r="J173">
        <v>41781</v>
      </c>
      <c r="K173">
        <v>42780</v>
      </c>
      <c r="L173">
        <v>41842</v>
      </c>
      <c r="M173">
        <v>43533</v>
      </c>
      <c r="N173">
        <v>45138</v>
      </c>
      <c r="O173">
        <v>46818</v>
      </c>
      <c r="P173">
        <v>51436</v>
      </c>
      <c r="Q173">
        <v>53727</v>
      </c>
      <c r="R173">
        <v>53213</v>
      </c>
    </row>
    <row r="174" spans="1:18">
      <c r="A174">
        <v>22780</v>
      </c>
      <c r="B174" t="s">
        <v>865</v>
      </c>
      <c r="C174" t="s">
        <v>1448</v>
      </c>
      <c r="D174" t="s">
        <v>1449</v>
      </c>
      <c r="E174">
        <v>39468</v>
      </c>
      <c r="F174">
        <v>41256</v>
      </c>
      <c r="G174">
        <v>39762</v>
      </c>
      <c r="H174">
        <v>38511</v>
      </c>
      <c r="I174">
        <v>37158</v>
      </c>
      <c r="J174">
        <v>37714</v>
      </c>
      <c r="K174">
        <v>37300</v>
      </c>
      <c r="L174">
        <v>38418</v>
      </c>
      <c r="M174">
        <v>39014</v>
      </c>
      <c r="N174">
        <v>41041</v>
      </c>
      <c r="O174">
        <v>43805</v>
      </c>
      <c r="P174">
        <v>45207</v>
      </c>
      <c r="Q174">
        <v>44535</v>
      </c>
      <c r="R174">
        <v>48289</v>
      </c>
    </row>
    <row r="175" spans="1:18">
      <c r="A175">
        <v>22800</v>
      </c>
      <c r="B175" t="s">
        <v>866</v>
      </c>
      <c r="C175" t="s">
        <v>1448</v>
      </c>
      <c r="D175" t="s">
        <v>1449</v>
      </c>
      <c r="E175">
        <v>32187</v>
      </c>
      <c r="F175">
        <v>34177</v>
      </c>
      <c r="G175">
        <v>35225</v>
      </c>
      <c r="H175">
        <v>37417</v>
      </c>
      <c r="I175">
        <v>38172</v>
      </c>
      <c r="J175">
        <v>38433</v>
      </c>
      <c r="K175">
        <v>39388</v>
      </c>
      <c r="L175">
        <v>39332</v>
      </c>
      <c r="M175">
        <v>40753</v>
      </c>
      <c r="N175">
        <v>41909</v>
      </c>
      <c r="O175">
        <v>46794</v>
      </c>
      <c r="P175">
        <v>50927</v>
      </c>
      <c r="Q175">
        <v>52262</v>
      </c>
      <c r="R175">
        <v>53543</v>
      </c>
    </row>
    <row r="176" spans="1:18">
      <c r="A176">
        <v>22820</v>
      </c>
      <c r="B176" t="s">
        <v>867</v>
      </c>
      <c r="C176" t="s">
        <v>1448</v>
      </c>
      <c r="D176" t="s">
        <v>1449</v>
      </c>
      <c r="E176">
        <v>30795</v>
      </c>
      <c r="F176">
        <v>33996</v>
      </c>
      <c r="G176">
        <v>35407</v>
      </c>
      <c r="H176">
        <v>36067</v>
      </c>
      <c r="I176">
        <v>39395</v>
      </c>
      <c r="J176">
        <v>40411</v>
      </c>
      <c r="K176">
        <v>41427</v>
      </c>
      <c r="L176">
        <v>40525</v>
      </c>
      <c r="M176">
        <v>44028</v>
      </c>
      <c r="N176">
        <v>44532</v>
      </c>
      <c r="O176">
        <v>46876</v>
      </c>
      <c r="P176">
        <v>52132</v>
      </c>
      <c r="Q176">
        <v>53164</v>
      </c>
      <c r="R176">
        <v>53136</v>
      </c>
    </row>
    <row r="177" spans="1:18">
      <c r="A177">
        <v>22840</v>
      </c>
      <c r="B177" t="s">
        <v>868</v>
      </c>
      <c r="C177" t="s">
        <v>1448</v>
      </c>
      <c r="D177" t="s">
        <v>1449</v>
      </c>
      <c r="E177">
        <v>26872</v>
      </c>
      <c r="F177">
        <v>25826</v>
      </c>
      <c r="G177">
        <v>26840</v>
      </c>
      <c r="H177">
        <v>27835</v>
      </c>
      <c r="I177">
        <v>28748</v>
      </c>
      <c r="J177">
        <v>30370</v>
      </c>
      <c r="K177">
        <v>29773</v>
      </c>
      <c r="L177">
        <v>30965</v>
      </c>
      <c r="M177">
        <v>32114</v>
      </c>
      <c r="N177">
        <v>32856</v>
      </c>
      <c r="O177">
        <v>34941</v>
      </c>
      <c r="P177">
        <v>40075</v>
      </c>
      <c r="Q177">
        <v>42093</v>
      </c>
      <c r="R177">
        <v>41750</v>
      </c>
    </row>
    <row r="178" spans="1:18">
      <c r="A178">
        <v>22860</v>
      </c>
      <c r="B178" t="s">
        <v>869</v>
      </c>
      <c r="C178" t="s">
        <v>1448</v>
      </c>
      <c r="D178" t="s">
        <v>1449</v>
      </c>
      <c r="E178">
        <v>36336</v>
      </c>
      <c r="F178">
        <v>37962</v>
      </c>
      <c r="G178">
        <v>37115</v>
      </c>
      <c r="H178">
        <v>36461</v>
      </c>
      <c r="I178">
        <v>36355</v>
      </c>
      <c r="J178">
        <v>37138</v>
      </c>
      <c r="K178">
        <v>36701</v>
      </c>
      <c r="L178">
        <v>38482</v>
      </c>
      <c r="M178">
        <v>39886</v>
      </c>
      <c r="N178">
        <v>41208</v>
      </c>
      <c r="O178">
        <v>44104</v>
      </c>
      <c r="P178">
        <v>47998</v>
      </c>
      <c r="Q178">
        <v>48984</v>
      </c>
      <c r="R178">
        <v>50611</v>
      </c>
    </row>
    <row r="179" spans="1:18">
      <c r="A179">
        <v>23140</v>
      </c>
      <c r="B179" t="s">
        <v>870</v>
      </c>
      <c r="C179" t="s">
        <v>1448</v>
      </c>
      <c r="D179" t="s">
        <v>1449</v>
      </c>
      <c r="E179">
        <v>29937</v>
      </c>
      <c r="F179">
        <v>31917</v>
      </c>
      <c r="G179">
        <v>32717</v>
      </c>
      <c r="H179">
        <v>33933</v>
      </c>
      <c r="I179">
        <v>34771</v>
      </c>
      <c r="J179">
        <v>34272</v>
      </c>
      <c r="K179">
        <v>35085</v>
      </c>
      <c r="L179">
        <v>35561</v>
      </c>
      <c r="M179">
        <v>37717</v>
      </c>
      <c r="N179">
        <v>38204</v>
      </c>
      <c r="O179">
        <v>41357</v>
      </c>
      <c r="P179">
        <v>45885</v>
      </c>
      <c r="Q179">
        <v>47013</v>
      </c>
      <c r="R179">
        <v>48728</v>
      </c>
    </row>
    <row r="180" spans="1:18">
      <c r="A180">
        <v>23180</v>
      </c>
      <c r="B180" t="s">
        <v>871</v>
      </c>
      <c r="C180" t="s">
        <v>1448</v>
      </c>
      <c r="D180" t="s">
        <v>1449</v>
      </c>
      <c r="E180">
        <v>33971</v>
      </c>
      <c r="F180">
        <v>35078</v>
      </c>
      <c r="G180">
        <v>35852</v>
      </c>
      <c r="H180">
        <v>36250</v>
      </c>
      <c r="I180">
        <v>37471</v>
      </c>
      <c r="J180">
        <v>38719</v>
      </c>
      <c r="K180">
        <v>39446</v>
      </c>
      <c r="L180">
        <v>39124</v>
      </c>
      <c r="M180">
        <v>40189</v>
      </c>
      <c r="N180">
        <v>41834</v>
      </c>
      <c r="O180">
        <v>45030</v>
      </c>
      <c r="P180">
        <v>48234</v>
      </c>
      <c r="Q180">
        <v>48600</v>
      </c>
      <c r="R180">
        <v>51235</v>
      </c>
    </row>
    <row r="181" spans="1:18">
      <c r="A181">
        <v>23240</v>
      </c>
      <c r="B181" t="s">
        <v>872</v>
      </c>
      <c r="C181" t="s">
        <v>1448</v>
      </c>
      <c r="D181" t="s">
        <v>1449</v>
      </c>
      <c r="E181">
        <v>43210</v>
      </c>
      <c r="F181">
        <v>45889</v>
      </c>
      <c r="G181">
        <v>51174</v>
      </c>
      <c r="H181">
        <v>50453</v>
      </c>
      <c r="I181">
        <v>54379</v>
      </c>
      <c r="J181">
        <v>55832</v>
      </c>
      <c r="K181">
        <v>55676</v>
      </c>
      <c r="L181">
        <v>59772</v>
      </c>
      <c r="M181">
        <v>62968</v>
      </c>
      <c r="N181">
        <v>67659</v>
      </c>
      <c r="O181">
        <v>76636</v>
      </c>
      <c r="P181">
        <v>79692</v>
      </c>
      <c r="Q181">
        <v>86589</v>
      </c>
      <c r="R181">
        <v>93310</v>
      </c>
    </row>
    <row r="182" spans="1:18">
      <c r="A182">
        <v>23300</v>
      </c>
      <c r="B182" t="s">
        <v>873</v>
      </c>
      <c r="C182" t="s">
        <v>1448</v>
      </c>
      <c r="D182" t="s">
        <v>1449</v>
      </c>
      <c r="E182">
        <v>33264</v>
      </c>
      <c r="F182">
        <v>35710</v>
      </c>
      <c r="G182">
        <v>36084</v>
      </c>
      <c r="H182">
        <v>36695</v>
      </c>
      <c r="I182">
        <v>36331</v>
      </c>
      <c r="J182">
        <v>37602</v>
      </c>
      <c r="K182">
        <v>38394</v>
      </c>
      <c r="L182">
        <v>39419</v>
      </c>
      <c r="M182">
        <v>41073</v>
      </c>
      <c r="N182">
        <v>42666</v>
      </c>
      <c r="O182">
        <v>46787</v>
      </c>
      <c r="P182">
        <v>51950</v>
      </c>
      <c r="Q182">
        <v>53010</v>
      </c>
      <c r="R182">
        <v>54743</v>
      </c>
    </row>
    <row r="183" spans="1:18">
      <c r="A183">
        <v>23340</v>
      </c>
      <c r="B183" t="s">
        <v>874</v>
      </c>
      <c r="C183" t="s">
        <v>1448</v>
      </c>
      <c r="D183" t="s">
        <v>1449</v>
      </c>
      <c r="E183">
        <v>36451</v>
      </c>
      <c r="F183">
        <v>39903</v>
      </c>
      <c r="G183">
        <v>39390</v>
      </c>
      <c r="H183">
        <v>40605</v>
      </c>
      <c r="I183">
        <v>40904</v>
      </c>
      <c r="J183">
        <v>44448</v>
      </c>
      <c r="K183">
        <v>42571</v>
      </c>
      <c r="L183">
        <v>43814</v>
      </c>
      <c r="M183">
        <v>45081</v>
      </c>
      <c r="N183">
        <v>47354</v>
      </c>
      <c r="O183">
        <v>50383</v>
      </c>
      <c r="P183">
        <v>57095</v>
      </c>
      <c r="Q183">
        <v>62279</v>
      </c>
      <c r="R183">
        <v>65594</v>
      </c>
    </row>
    <row r="184" spans="1:18">
      <c r="A184">
        <v>23380</v>
      </c>
      <c r="B184" t="s">
        <v>875</v>
      </c>
      <c r="C184" t="s">
        <v>1448</v>
      </c>
      <c r="D184" t="s">
        <v>1449</v>
      </c>
      <c r="E184">
        <v>32503</v>
      </c>
      <c r="F184">
        <v>34057</v>
      </c>
      <c r="G184">
        <v>34418</v>
      </c>
      <c r="H184">
        <v>35671</v>
      </c>
      <c r="I184">
        <v>36376</v>
      </c>
      <c r="J184">
        <v>37869</v>
      </c>
      <c r="K184">
        <v>38109</v>
      </c>
      <c r="L184">
        <v>39686</v>
      </c>
      <c r="M184">
        <v>40876</v>
      </c>
      <c r="N184">
        <v>41851</v>
      </c>
      <c r="O184">
        <v>45385</v>
      </c>
      <c r="P184">
        <v>49354</v>
      </c>
      <c r="Q184">
        <v>49522</v>
      </c>
      <c r="R184">
        <v>52046</v>
      </c>
    </row>
    <row r="185" spans="1:18">
      <c r="A185">
        <v>23500</v>
      </c>
      <c r="B185" t="s">
        <v>876</v>
      </c>
      <c r="C185" t="s">
        <v>1448</v>
      </c>
      <c r="D185" t="s">
        <v>1449</v>
      </c>
      <c r="E185">
        <v>27066</v>
      </c>
      <c r="F185">
        <v>27623</v>
      </c>
      <c r="G185">
        <v>28011</v>
      </c>
      <c r="H185">
        <v>27426</v>
      </c>
      <c r="I185">
        <v>28430</v>
      </c>
      <c r="J185">
        <v>29980</v>
      </c>
      <c r="K185">
        <v>30888</v>
      </c>
      <c r="L185">
        <v>32348</v>
      </c>
      <c r="M185">
        <v>32903</v>
      </c>
      <c r="N185">
        <v>34439</v>
      </c>
      <c r="O185">
        <v>36598</v>
      </c>
      <c r="P185">
        <v>39216</v>
      </c>
      <c r="Q185">
        <v>40508</v>
      </c>
      <c r="R185">
        <v>41896</v>
      </c>
    </row>
    <row r="186" spans="1:18">
      <c r="A186">
        <v>23620</v>
      </c>
      <c r="B186" t="s">
        <v>877</v>
      </c>
      <c r="C186" t="s">
        <v>1448</v>
      </c>
      <c r="D186" t="s">
        <v>1449</v>
      </c>
      <c r="E186">
        <v>39690</v>
      </c>
      <c r="F186">
        <v>43124</v>
      </c>
      <c r="G186">
        <v>45813</v>
      </c>
      <c r="H186">
        <v>49063</v>
      </c>
      <c r="I186">
        <v>52281</v>
      </c>
      <c r="J186">
        <v>48545</v>
      </c>
      <c r="K186">
        <v>45774</v>
      </c>
      <c r="L186">
        <v>49610</v>
      </c>
      <c r="M186">
        <v>50686</v>
      </c>
      <c r="N186">
        <v>52304</v>
      </c>
      <c r="O186">
        <v>54512</v>
      </c>
      <c r="P186">
        <v>58615</v>
      </c>
      <c r="Q186">
        <v>59366</v>
      </c>
      <c r="R186">
        <v>62126</v>
      </c>
    </row>
    <row r="187" spans="1:18">
      <c r="A187">
        <v>23660</v>
      </c>
      <c r="B187" t="s">
        <v>878</v>
      </c>
      <c r="C187" t="s">
        <v>1448</v>
      </c>
      <c r="D187" t="s">
        <v>1449</v>
      </c>
      <c r="E187">
        <v>33658</v>
      </c>
      <c r="F187">
        <v>35292</v>
      </c>
      <c r="G187">
        <v>35464</v>
      </c>
      <c r="H187">
        <v>36947</v>
      </c>
      <c r="I187">
        <v>36195</v>
      </c>
      <c r="J187">
        <v>36500</v>
      </c>
      <c r="K187">
        <v>36518</v>
      </c>
      <c r="L187">
        <v>36699</v>
      </c>
      <c r="M187">
        <v>38377</v>
      </c>
      <c r="N187">
        <v>38760</v>
      </c>
      <c r="O187">
        <v>43239</v>
      </c>
      <c r="P187">
        <v>47549</v>
      </c>
      <c r="Q187">
        <v>47847</v>
      </c>
      <c r="R187">
        <v>49682</v>
      </c>
    </row>
    <row r="188" spans="1:18">
      <c r="A188">
        <v>23700</v>
      </c>
      <c r="B188" t="s">
        <v>879</v>
      </c>
      <c r="C188" t="s">
        <v>1448</v>
      </c>
      <c r="D188" t="s">
        <v>1449</v>
      </c>
      <c r="E188">
        <v>23608</v>
      </c>
      <c r="F188">
        <v>24080</v>
      </c>
      <c r="G188">
        <v>24027</v>
      </c>
      <c r="H188">
        <v>23335</v>
      </c>
      <c r="I188">
        <v>24087</v>
      </c>
      <c r="J188">
        <v>24947</v>
      </c>
      <c r="K188">
        <v>25414</v>
      </c>
      <c r="L188">
        <v>25615</v>
      </c>
      <c r="M188">
        <v>26770</v>
      </c>
      <c r="N188">
        <v>28095</v>
      </c>
      <c r="O188">
        <v>31916</v>
      </c>
      <c r="P188">
        <v>35240</v>
      </c>
      <c r="Q188">
        <v>35415</v>
      </c>
      <c r="R188">
        <v>36133</v>
      </c>
    </row>
    <row r="189" spans="1:18">
      <c r="A189">
        <v>23780</v>
      </c>
      <c r="B189" t="s">
        <v>880</v>
      </c>
      <c r="C189" t="s">
        <v>1448</v>
      </c>
      <c r="D189" t="s">
        <v>1449</v>
      </c>
      <c r="E189">
        <v>36035</v>
      </c>
      <c r="F189">
        <v>38253</v>
      </c>
      <c r="G189">
        <v>38830</v>
      </c>
      <c r="H189">
        <v>40631</v>
      </c>
      <c r="I189">
        <v>39329</v>
      </c>
      <c r="J189">
        <v>38777</v>
      </c>
      <c r="K189">
        <v>39845</v>
      </c>
      <c r="L189">
        <v>39659</v>
      </c>
      <c r="M189">
        <v>41134</v>
      </c>
      <c r="N189">
        <v>41907</v>
      </c>
      <c r="O189">
        <v>46640</v>
      </c>
      <c r="P189">
        <v>50841</v>
      </c>
      <c r="Q189">
        <v>51497</v>
      </c>
      <c r="R189">
        <v>54478</v>
      </c>
    </row>
    <row r="190" spans="1:18">
      <c r="A190">
        <v>23820</v>
      </c>
      <c r="B190" t="s">
        <v>881</v>
      </c>
      <c r="C190" t="s">
        <v>1448</v>
      </c>
      <c r="D190" t="s">
        <v>1449</v>
      </c>
      <c r="E190">
        <v>50835</v>
      </c>
      <c r="F190">
        <v>52199</v>
      </c>
      <c r="G190">
        <v>54750</v>
      </c>
      <c r="H190">
        <v>54637</v>
      </c>
      <c r="I190">
        <v>56870</v>
      </c>
      <c r="J190">
        <v>63812</v>
      </c>
      <c r="K190">
        <v>63699</v>
      </c>
      <c r="L190">
        <v>68957</v>
      </c>
      <c r="M190">
        <v>71219</v>
      </c>
      <c r="N190">
        <v>75776</v>
      </c>
      <c r="O190">
        <v>83914</v>
      </c>
      <c r="P190">
        <v>94065</v>
      </c>
      <c r="Q190">
        <v>94710</v>
      </c>
      <c r="R190">
        <v>100931</v>
      </c>
    </row>
    <row r="191" spans="1:18">
      <c r="A191">
        <v>23860</v>
      </c>
      <c r="B191" t="s">
        <v>882</v>
      </c>
      <c r="C191" t="s">
        <v>1448</v>
      </c>
      <c r="D191" t="s">
        <v>1449</v>
      </c>
      <c r="E191">
        <v>35281</v>
      </c>
      <c r="F191">
        <v>37117</v>
      </c>
      <c r="G191">
        <v>37776</v>
      </c>
      <c r="H191">
        <v>37179</v>
      </c>
      <c r="I191">
        <v>39213</v>
      </c>
      <c r="J191">
        <v>41739</v>
      </c>
      <c r="K191">
        <v>42575</v>
      </c>
      <c r="L191">
        <v>44706</v>
      </c>
      <c r="M191">
        <v>46370</v>
      </c>
      <c r="N191">
        <v>49606</v>
      </c>
      <c r="O191">
        <v>52640</v>
      </c>
      <c r="P191">
        <v>57506</v>
      </c>
      <c r="Q191">
        <v>59303</v>
      </c>
      <c r="R191">
        <v>61924</v>
      </c>
    </row>
    <row r="192" spans="1:18">
      <c r="A192">
        <v>23940</v>
      </c>
      <c r="B192" t="s">
        <v>883</v>
      </c>
      <c r="C192" t="s">
        <v>1448</v>
      </c>
      <c r="D192" t="s">
        <v>1449</v>
      </c>
      <c r="E192">
        <v>47577</v>
      </c>
      <c r="F192">
        <v>53380</v>
      </c>
      <c r="G192">
        <v>53104</v>
      </c>
      <c r="H192">
        <v>51284</v>
      </c>
      <c r="I192">
        <v>54849</v>
      </c>
      <c r="J192">
        <v>51458</v>
      </c>
      <c r="K192">
        <v>45996</v>
      </c>
      <c r="L192">
        <v>48468</v>
      </c>
      <c r="M192">
        <v>51198</v>
      </c>
      <c r="N192">
        <v>51881</v>
      </c>
      <c r="O192">
        <v>52965</v>
      </c>
      <c r="P192">
        <v>55412</v>
      </c>
      <c r="Q192">
        <v>58325</v>
      </c>
      <c r="R192">
        <v>61494</v>
      </c>
    </row>
    <row r="193" spans="1:18">
      <c r="A193">
        <v>23980</v>
      </c>
      <c r="B193" t="s">
        <v>884</v>
      </c>
      <c r="C193" t="s">
        <v>1448</v>
      </c>
      <c r="D193" t="s">
        <v>1449</v>
      </c>
      <c r="E193">
        <v>27776</v>
      </c>
      <c r="F193">
        <v>29119</v>
      </c>
      <c r="G193">
        <v>30511</v>
      </c>
      <c r="H193">
        <v>30450</v>
      </c>
      <c r="I193">
        <v>32176</v>
      </c>
      <c r="J193">
        <v>33376</v>
      </c>
      <c r="K193">
        <v>32765</v>
      </c>
      <c r="L193">
        <v>33881</v>
      </c>
      <c r="M193">
        <v>34687</v>
      </c>
      <c r="N193">
        <v>35980</v>
      </c>
      <c r="O193">
        <v>39089</v>
      </c>
      <c r="P193">
        <v>42502</v>
      </c>
      <c r="Q193">
        <v>42086</v>
      </c>
      <c r="R193">
        <v>43357</v>
      </c>
    </row>
    <row r="194" spans="1:18">
      <c r="A194">
        <v>24060</v>
      </c>
      <c r="B194" t="s">
        <v>885</v>
      </c>
      <c r="C194" t="s">
        <v>1448</v>
      </c>
      <c r="D194" t="s">
        <v>1449</v>
      </c>
      <c r="E194">
        <v>49364</v>
      </c>
      <c r="F194">
        <v>52466</v>
      </c>
      <c r="G194">
        <v>57590</v>
      </c>
      <c r="H194">
        <v>57683</v>
      </c>
      <c r="I194">
        <v>66567</v>
      </c>
      <c r="J194">
        <v>71638</v>
      </c>
      <c r="K194">
        <v>70968</v>
      </c>
      <c r="L194">
        <v>72920</v>
      </c>
      <c r="M194">
        <v>77706</v>
      </c>
      <c r="N194">
        <v>84096</v>
      </c>
      <c r="O194">
        <v>81816</v>
      </c>
      <c r="P194">
        <v>89880</v>
      </c>
      <c r="Q194">
        <v>102069</v>
      </c>
      <c r="R194">
        <v>110260</v>
      </c>
    </row>
    <row r="195" spans="1:18">
      <c r="A195">
        <v>24100</v>
      </c>
      <c r="B195" t="s">
        <v>886</v>
      </c>
      <c r="C195" t="s">
        <v>1448</v>
      </c>
      <c r="D195" t="s">
        <v>1449</v>
      </c>
      <c r="E195">
        <v>33546</v>
      </c>
      <c r="F195">
        <v>34189</v>
      </c>
      <c r="G195">
        <v>34726</v>
      </c>
      <c r="H195">
        <v>35531</v>
      </c>
      <c r="I195">
        <v>36148</v>
      </c>
      <c r="J195">
        <v>37863</v>
      </c>
      <c r="K195">
        <v>39268</v>
      </c>
      <c r="L195">
        <v>41090</v>
      </c>
      <c r="M195">
        <v>42073</v>
      </c>
      <c r="N195">
        <v>43758</v>
      </c>
      <c r="O195">
        <v>48621</v>
      </c>
      <c r="P195">
        <v>50944</v>
      </c>
      <c r="Q195">
        <v>51207</v>
      </c>
      <c r="R195">
        <v>53781</v>
      </c>
    </row>
    <row r="196" spans="1:18">
      <c r="A196">
        <v>24180</v>
      </c>
      <c r="B196" t="s">
        <v>887</v>
      </c>
      <c r="C196" t="s">
        <v>1448</v>
      </c>
      <c r="D196" t="s">
        <v>1449</v>
      </c>
      <c r="E196">
        <v>39538</v>
      </c>
      <c r="F196">
        <v>43218</v>
      </c>
      <c r="G196">
        <v>45208</v>
      </c>
      <c r="H196">
        <v>45808</v>
      </c>
      <c r="I196">
        <v>47365</v>
      </c>
      <c r="J196">
        <v>47214</v>
      </c>
      <c r="K196">
        <v>47729</v>
      </c>
      <c r="L196">
        <v>50969</v>
      </c>
      <c r="M196">
        <v>51670</v>
      </c>
      <c r="N196">
        <v>54763</v>
      </c>
      <c r="O196">
        <v>58531</v>
      </c>
      <c r="P196">
        <v>60988</v>
      </c>
      <c r="Q196">
        <v>62433</v>
      </c>
      <c r="R196">
        <v>66521</v>
      </c>
    </row>
    <row r="197" spans="1:18">
      <c r="A197">
        <v>24330</v>
      </c>
      <c r="B197" t="s">
        <v>888</v>
      </c>
      <c r="C197" t="s">
        <v>1448</v>
      </c>
      <c r="D197" t="s">
        <v>1449</v>
      </c>
      <c r="E197">
        <v>32352</v>
      </c>
      <c r="F197">
        <v>33939</v>
      </c>
      <c r="G197">
        <v>35150</v>
      </c>
      <c r="H197">
        <v>35340</v>
      </c>
      <c r="I197">
        <v>37095</v>
      </c>
      <c r="J197">
        <v>40032</v>
      </c>
      <c r="K197">
        <v>39735</v>
      </c>
      <c r="L197">
        <v>40870</v>
      </c>
      <c r="M197">
        <v>43854</v>
      </c>
      <c r="N197">
        <v>44447</v>
      </c>
      <c r="O197">
        <v>48343</v>
      </c>
      <c r="P197">
        <v>52777</v>
      </c>
      <c r="Q197">
        <v>52461</v>
      </c>
      <c r="R197">
        <v>54574</v>
      </c>
    </row>
    <row r="198" spans="1:18">
      <c r="A198">
        <v>24380</v>
      </c>
      <c r="B198" t="s">
        <v>889</v>
      </c>
      <c r="C198" t="s">
        <v>1448</v>
      </c>
      <c r="D198" t="s">
        <v>1449</v>
      </c>
      <c r="E198">
        <v>22993</v>
      </c>
      <c r="F198">
        <v>23400</v>
      </c>
      <c r="G198">
        <v>23646</v>
      </c>
      <c r="H198">
        <v>23637</v>
      </c>
      <c r="I198">
        <v>24542</v>
      </c>
      <c r="J198">
        <v>26014</v>
      </c>
      <c r="K198">
        <v>26012</v>
      </c>
      <c r="L198">
        <v>26093</v>
      </c>
      <c r="M198">
        <v>27149</v>
      </c>
      <c r="N198">
        <v>28259</v>
      </c>
      <c r="O198">
        <v>31962</v>
      </c>
      <c r="P198">
        <v>34108</v>
      </c>
      <c r="Q198">
        <v>34933</v>
      </c>
      <c r="R198">
        <v>35144</v>
      </c>
    </row>
    <row r="199" spans="1:18">
      <c r="A199">
        <v>24460</v>
      </c>
      <c r="B199" t="s">
        <v>890</v>
      </c>
      <c r="C199" t="s">
        <v>1448</v>
      </c>
      <c r="D199" t="s">
        <v>1449</v>
      </c>
      <c r="E199">
        <v>39637</v>
      </c>
      <c r="F199">
        <v>44364</v>
      </c>
      <c r="G199">
        <v>47148</v>
      </c>
      <c r="H199">
        <v>46967</v>
      </c>
      <c r="I199">
        <v>50091</v>
      </c>
      <c r="J199">
        <v>45618</v>
      </c>
      <c r="K199">
        <v>43977</v>
      </c>
      <c r="L199">
        <v>43891</v>
      </c>
      <c r="M199">
        <v>44399</v>
      </c>
      <c r="N199">
        <v>48519</v>
      </c>
      <c r="O199">
        <v>50907</v>
      </c>
      <c r="P199">
        <v>53256</v>
      </c>
      <c r="Q199">
        <v>56098</v>
      </c>
      <c r="R199">
        <v>59485</v>
      </c>
    </row>
    <row r="200" spans="1:18">
      <c r="A200">
        <v>24620</v>
      </c>
      <c r="B200" t="s">
        <v>891</v>
      </c>
      <c r="C200" t="s">
        <v>1448</v>
      </c>
      <c r="D200" t="s">
        <v>1449</v>
      </c>
      <c r="E200">
        <v>32294</v>
      </c>
      <c r="F200">
        <v>33231</v>
      </c>
      <c r="G200">
        <v>33995</v>
      </c>
      <c r="H200">
        <v>34851</v>
      </c>
      <c r="I200">
        <v>34937</v>
      </c>
      <c r="J200">
        <v>34840</v>
      </c>
      <c r="K200">
        <v>33675</v>
      </c>
      <c r="L200">
        <v>34638</v>
      </c>
      <c r="M200">
        <v>35478</v>
      </c>
      <c r="N200">
        <v>37218</v>
      </c>
      <c r="O200">
        <v>39450</v>
      </c>
      <c r="P200">
        <v>42456</v>
      </c>
      <c r="Q200">
        <v>43721</v>
      </c>
      <c r="R200">
        <v>44945</v>
      </c>
    </row>
    <row r="201" spans="1:18">
      <c r="A201">
        <v>24700</v>
      </c>
      <c r="B201" t="s">
        <v>892</v>
      </c>
      <c r="C201" t="s">
        <v>1448</v>
      </c>
      <c r="D201" t="s">
        <v>1449</v>
      </c>
      <c r="E201">
        <v>33427</v>
      </c>
      <c r="F201">
        <v>34561</v>
      </c>
      <c r="G201">
        <v>36138</v>
      </c>
      <c r="H201">
        <v>37291</v>
      </c>
      <c r="I201">
        <v>37808</v>
      </c>
      <c r="J201">
        <v>37971</v>
      </c>
      <c r="K201">
        <v>39102</v>
      </c>
      <c r="L201">
        <v>40597</v>
      </c>
      <c r="M201">
        <v>42156</v>
      </c>
      <c r="N201">
        <v>44952</v>
      </c>
      <c r="O201">
        <v>49179</v>
      </c>
      <c r="P201">
        <v>52658</v>
      </c>
      <c r="Q201">
        <v>53573</v>
      </c>
      <c r="R201">
        <v>55366</v>
      </c>
    </row>
    <row r="202" spans="1:18">
      <c r="A202">
        <v>24740</v>
      </c>
      <c r="B202" t="s">
        <v>893</v>
      </c>
      <c r="C202" t="s">
        <v>1448</v>
      </c>
      <c r="D202" t="s">
        <v>1449</v>
      </c>
      <c r="E202">
        <v>30038</v>
      </c>
      <c r="F202">
        <v>31066</v>
      </c>
      <c r="G202">
        <v>33093</v>
      </c>
      <c r="H202">
        <v>33445</v>
      </c>
      <c r="I202">
        <v>32575</v>
      </c>
      <c r="J202">
        <v>32922</v>
      </c>
      <c r="K202">
        <v>33852</v>
      </c>
      <c r="L202">
        <v>34252</v>
      </c>
      <c r="M202">
        <v>35348</v>
      </c>
      <c r="N202">
        <v>36575</v>
      </c>
      <c r="O202">
        <v>41171</v>
      </c>
      <c r="P202">
        <v>45860</v>
      </c>
      <c r="Q202">
        <v>45608</v>
      </c>
      <c r="R202">
        <v>48299</v>
      </c>
    </row>
    <row r="203" spans="1:18">
      <c r="A203">
        <v>24820</v>
      </c>
      <c r="B203" t="s">
        <v>894</v>
      </c>
      <c r="C203" t="s">
        <v>1448</v>
      </c>
      <c r="D203" t="s">
        <v>1449</v>
      </c>
      <c r="E203">
        <v>32372</v>
      </c>
      <c r="F203">
        <v>34411</v>
      </c>
      <c r="G203">
        <v>35221</v>
      </c>
      <c r="H203">
        <v>36718</v>
      </c>
      <c r="I203">
        <v>38215</v>
      </c>
      <c r="J203">
        <v>38277</v>
      </c>
      <c r="K203">
        <v>38762</v>
      </c>
      <c r="L203">
        <v>40694</v>
      </c>
      <c r="M203">
        <v>43042</v>
      </c>
      <c r="N203">
        <v>43219</v>
      </c>
      <c r="O203">
        <v>47691</v>
      </c>
      <c r="P203">
        <v>52601</v>
      </c>
      <c r="Q203">
        <v>52754</v>
      </c>
      <c r="R203">
        <v>56920</v>
      </c>
    </row>
    <row r="204" spans="1:18">
      <c r="A204">
        <v>24900</v>
      </c>
      <c r="B204" t="s">
        <v>895</v>
      </c>
      <c r="C204" t="s">
        <v>1448</v>
      </c>
      <c r="D204" t="s">
        <v>1449</v>
      </c>
      <c r="E204">
        <v>28452</v>
      </c>
      <c r="F204">
        <v>30580</v>
      </c>
      <c r="G204">
        <v>32315</v>
      </c>
      <c r="H204">
        <v>33354</v>
      </c>
      <c r="I204">
        <v>32060</v>
      </c>
      <c r="J204">
        <v>32463</v>
      </c>
      <c r="K204">
        <v>34073</v>
      </c>
      <c r="L204">
        <v>35492</v>
      </c>
      <c r="M204">
        <v>36475</v>
      </c>
      <c r="N204">
        <v>38162</v>
      </c>
      <c r="O204">
        <v>41948</v>
      </c>
      <c r="P204">
        <v>49029</v>
      </c>
      <c r="Q204">
        <v>47583</v>
      </c>
      <c r="R204">
        <v>49748</v>
      </c>
    </row>
    <row r="205" spans="1:18">
      <c r="A205">
        <v>24940</v>
      </c>
      <c r="B205" t="s">
        <v>896</v>
      </c>
      <c r="C205" t="s">
        <v>1448</v>
      </c>
      <c r="D205" t="s">
        <v>1449</v>
      </c>
      <c r="E205">
        <v>30090</v>
      </c>
      <c r="F205">
        <v>31223</v>
      </c>
      <c r="G205">
        <v>31033</v>
      </c>
      <c r="H205">
        <v>31664</v>
      </c>
      <c r="I205">
        <v>32943</v>
      </c>
      <c r="J205">
        <v>34242</v>
      </c>
      <c r="K205">
        <v>34747</v>
      </c>
      <c r="L205">
        <v>36106</v>
      </c>
      <c r="M205">
        <v>36738</v>
      </c>
      <c r="N205">
        <v>38215</v>
      </c>
      <c r="O205">
        <v>41213</v>
      </c>
      <c r="P205">
        <v>44181</v>
      </c>
      <c r="Q205">
        <v>44376</v>
      </c>
      <c r="R205">
        <v>46153</v>
      </c>
    </row>
    <row r="206" spans="1:18">
      <c r="A206">
        <v>24980</v>
      </c>
      <c r="B206" t="s">
        <v>897</v>
      </c>
      <c r="C206" t="s">
        <v>1448</v>
      </c>
      <c r="D206" t="s">
        <v>1449</v>
      </c>
      <c r="E206">
        <v>29769</v>
      </c>
      <c r="F206">
        <v>31511</v>
      </c>
      <c r="G206">
        <v>30910</v>
      </c>
      <c r="H206">
        <v>30199</v>
      </c>
      <c r="I206">
        <v>30589</v>
      </c>
      <c r="J206">
        <v>31539</v>
      </c>
      <c r="K206">
        <v>32502</v>
      </c>
      <c r="L206">
        <v>33067</v>
      </c>
      <c r="M206">
        <v>34134</v>
      </c>
      <c r="N206">
        <v>35462</v>
      </c>
      <c r="O206">
        <v>38847</v>
      </c>
      <c r="P206">
        <v>43450</v>
      </c>
      <c r="Q206">
        <v>42405</v>
      </c>
      <c r="R206">
        <v>44304</v>
      </c>
    </row>
    <row r="207" spans="1:18">
      <c r="A207">
        <v>25100</v>
      </c>
      <c r="B207" t="s">
        <v>898</v>
      </c>
      <c r="C207" t="s">
        <v>1448</v>
      </c>
      <c r="D207" t="s">
        <v>1449</v>
      </c>
      <c r="E207">
        <v>35504</v>
      </c>
      <c r="F207">
        <v>40926</v>
      </c>
      <c r="G207">
        <v>43252</v>
      </c>
      <c r="H207">
        <v>54944</v>
      </c>
      <c r="I207">
        <v>52668</v>
      </c>
      <c r="J207">
        <v>54970</v>
      </c>
      <c r="K207">
        <v>48623</v>
      </c>
      <c r="L207">
        <v>50836</v>
      </c>
      <c r="M207">
        <v>49278</v>
      </c>
      <c r="N207">
        <v>52044</v>
      </c>
      <c r="O207">
        <v>50109</v>
      </c>
      <c r="P207">
        <v>61627</v>
      </c>
      <c r="Q207">
        <v>58226</v>
      </c>
      <c r="R207">
        <v>62433</v>
      </c>
    </row>
    <row r="208" spans="1:18">
      <c r="A208">
        <v>25200</v>
      </c>
      <c r="B208" t="s">
        <v>899</v>
      </c>
      <c r="C208" t="s">
        <v>1448</v>
      </c>
      <c r="D208" t="s">
        <v>1449</v>
      </c>
      <c r="E208">
        <v>59195</v>
      </c>
      <c r="F208">
        <v>65189</v>
      </c>
      <c r="G208">
        <v>74298</v>
      </c>
      <c r="H208">
        <v>76021</v>
      </c>
      <c r="I208">
        <v>80955</v>
      </c>
      <c r="J208">
        <v>87442</v>
      </c>
      <c r="K208">
        <v>89022</v>
      </c>
      <c r="L208">
        <v>96994</v>
      </c>
      <c r="M208">
        <v>102811</v>
      </c>
      <c r="N208">
        <v>115286</v>
      </c>
      <c r="O208">
        <v>121645</v>
      </c>
      <c r="P208">
        <v>160254</v>
      </c>
      <c r="Q208">
        <v>169966</v>
      </c>
      <c r="R208">
        <v>181307</v>
      </c>
    </row>
    <row r="209" spans="1:18">
      <c r="A209">
        <v>25300</v>
      </c>
      <c r="B209" t="s">
        <v>900</v>
      </c>
      <c r="C209" t="s">
        <v>1448</v>
      </c>
      <c r="D209" t="s">
        <v>1449</v>
      </c>
      <c r="E209">
        <v>33277</v>
      </c>
      <c r="F209">
        <v>34540</v>
      </c>
      <c r="G209">
        <v>35245</v>
      </c>
      <c r="H209">
        <v>35970</v>
      </c>
      <c r="I209">
        <v>35811</v>
      </c>
      <c r="J209">
        <v>36007</v>
      </c>
      <c r="K209">
        <v>37112</v>
      </c>
      <c r="L209">
        <v>38145</v>
      </c>
      <c r="M209">
        <v>39223</v>
      </c>
      <c r="N209">
        <v>40651</v>
      </c>
      <c r="O209">
        <v>44524</v>
      </c>
      <c r="P209">
        <v>47746</v>
      </c>
      <c r="Q209">
        <v>49438</v>
      </c>
      <c r="R209">
        <v>52724</v>
      </c>
    </row>
    <row r="210" spans="1:18">
      <c r="A210">
        <v>25460</v>
      </c>
      <c r="B210" t="s">
        <v>901</v>
      </c>
      <c r="C210" t="s">
        <v>1448</v>
      </c>
      <c r="D210" t="s">
        <v>1449</v>
      </c>
      <c r="E210">
        <v>27568</v>
      </c>
      <c r="F210">
        <v>28592</v>
      </c>
      <c r="G210">
        <v>29616</v>
      </c>
      <c r="H210">
        <v>29750</v>
      </c>
      <c r="I210">
        <v>31598</v>
      </c>
      <c r="J210">
        <v>31952</v>
      </c>
      <c r="K210">
        <v>32368</v>
      </c>
      <c r="L210">
        <v>33157</v>
      </c>
      <c r="M210">
        <v>34580</v>
      </c>
      <c r="N210">
        <v>35754</v>
      </c>
      <c r="O210">
        <v>38114</v>
      </c>
      <c r="P210">
        <v>42358</v>
      </c>
      <c r="Q210">
        <v>42807</v>
      </c>
      <c r="R210">
        <v>43780</v>
      </c>
    </row>
    <row r="211" spans="1:18">
      <c r="A211">
        <v>25580</v>
      </c>
      <c r="B211" t="s">
        <v>902</v>
      </c>
      <c r="C211" t="s">
        <v>1448</v>
      </c>
      <c r="D211" t="s">
        <v>1449</v>
      </c>
      <c r="E211">
        <v>36867</v>
      </c>
      <c r="F211">
        <v>41089</v>
      </c>
      <c r="G211">
        <v>43039</v>
      </c>
      <c r="H211">
        <v>44087</v>
      </c>
      <c r="I211">
        <v>45618</v>
      </c>
      <c r="J211">
        <v>46233</v>
      </c>
      <c r="K211">
        <v>45394</v>
      </c>
      <c r="L211">
        <v>45307</v>
      </c>
      <c r="M211">
        <v>47538</v>
      </c>
      <c r="N211">
        <v>50077</v>
      </c>
      <c r="O211">
        <v>52925</v>
      </c>
      <c r="P211">
        <v>59338</v>
      </c>
      <c r="Q211">
        <v>63874</v>
      </c>
      <c r="R211">
        <v>68330</v>
      </c>
    </row>
    <row r="212" spans="1:18">
      <c r="A212">
        <v>25700</v>
      </c>
      <c r="B212" t="s">
        <v>903</v>
      </c>
      <c r="C212" t="s">
        <v>1448</v>
      </c>
      <c r="D212" t="s">
        <v>1449</v>
      </c>
      <c r="E212">
        <v>39309</v>
      </c>
      <c r="F212">
        <v>43707</v>
      </c>
      <c r="G212">
        <v>45411</v>
      </c>
      <c r="H212">
        <v>44459</v>
      </c>
      <c r="I212">
        <v>45969</v>
      </c>
      <c r="J212">
        <v>42720</v>
      </c>
      <c r="K212">
        <v>41343</v>
      </c>
      <c r="L212">
        <v>42160</v>
      </c>
      <c r="M212">
        <v>44423</v>
      </c>
      <c r="N212">
        <v>46276</v>
      </c>
      <c r="O212">
        <v>50913</v>
      </c>
      <c r="P212">
        <v>54688</v>
      </c>
      <c r="Q212">
        <v>54959</v>
      </c>
      <c r="R212">
        <v>58661</v>
      </c>
    </row>
    <row r="213" spans="1:18">
      <c r="A213">
        <v>25720</v>
      </c>
      <c r="B213" t="s">
        <v>904</v>
      </c>
      <c r="C213" t="s">
        <v>1448</v>
      </c>
      <c r="D213" t="s">
        <v>1449</v>
      </c>
      <c r="E213">
        <v>55484</v>
      </c>
      <c r="F213">
        <v>61677</v>
      </c>
      <c r="G213">
        <v>69442</v>
      </c>
      <c r="H213">
        <v>70160</v>
      </c>
      <c r="I213">
        <v>72313</v>
      </c>
      <c r="J213">
        <v>81161</v>
      </c>
      <c r="K213">
        <v>85710</v>
      </c>
      <c r="L213">
        <v>90625</v>
      </c>
      <c r="M213">
        <v>102441</v>
      </c>
      <c r="N213">
        <v>116322</v>
      </c>
      <c r="O213">
        <v>120957</v>
      </c>
      <c r="P213">
        <v>154250</v>
      </c>
      <c r="Q213">
        <v>170041</v>
      </c>
      <c r="R213">
        <v>182064</v>
      </c>
    </row>
    <row r="214" spans="1:18">
      <c r="A214">
        <v>25740</v>
      </c>
      <c r="B214" t="s">
        <v>905</v>
      </c>
      <c r="C214" t="s">
        <v>1448</v>
      </c>
      <c r="D214" t="s">
        <v>1449</v>
      </c>
      <c r="E214">
        <v>39802</v>
      </c>
      <c r="F214">
        <v>41303</v>
      </c>
      <c r="G214">
        <v>42052</v>
      </c>
      <c r="H214">
        <v>41669</v>
      </c>
      <c r="I214">
        <v>43656</v>
      </c>
      <c r="J214">
        <v>44244</v>
      </c>
      <c r="K214">
        <v>45181</v>
      </c>
      <c r="L214">
        <v>46990</v>
      </c>
      <c r="M214">
        <v>47660</v>
      </c>
      <c r="N214">
        <v>50066</v>
      </c>
      <c r="O214">
        <v>53798</v>
      </c>
      <c r="P214">
        <v>58639</v>
      </c>
      <c r="Q214">
        <v>58964</v>
      </c>
      <c r="R214">
        <v>62461</v>
      </c>
    </row>
    <row r="215" spans="1:18">
      <c r="A215">
        <v>25760</v>
      </c>
      <c r="B215" t="s">
        <v>906</v>
      </c>
      <c r="C215" t="s">
        <v>1448</v>
      </c>
      <c r="D215" t="s">
        <v>1449</v>
      </c>
      <c r="E215">
        <v>26369</v>
      </c>
      <c r="F215">
        <v>28519</v>
      </c>
      <c r="G215">
        <v>28352</v>
      </c>
      <c r="H215">
        <v>30189</v>
      </c>
      <c r="I215">
        <v>29308</v>
      </c>
      <c r="J215">
        <v>28921</v>
      </c>
      <c r="K215">
        <v>30258</v>
      </c>
      <c r="L215">
        <v>32277</v>
      </c>
      <c r="M215">
        <v>33059</v>
      </c>
      <c r="N215">
        <v>35403</v>
      </c>
      <c r="O215">
        <v>40173</v>
      </c>
      <c r="P215">
        <v>46103</v>
      </c>
      <c r="Q215">
        <v>45580</v>
      </c>
      <c r="R215">
        <v>46576</v>
      </c>
    </row>
    <row r="216" spans="1:18">
      <c r="A216">
        <v>25780</v>
      </c>
      <c r="B216" t="s">
        <v>907</v>
      </c>
      <c r="C216" t="s">
        <v>1448</v>
      </c>
      <c r="D216" t="s">
        <v>1449</v>
      </c>
      <c r="E216">
        <v>30199</v>
      </c>
      <c r="F216">
        <v>30301</v>
      </c>
      <c r="G216">
        <v>30339</v>
      </c>
      <c r="H216">
        <v>30256</v>
      </c>
      <c r="I216">
        <v>31468</v>
      </c>
      <c r="J216">
        <v>32406</v>
      </c>
      <c r="K216">
        <v>33045</v>
      </c>
      <c r="L216">
        <v>33933</v>
      </c>
      <c r="M216">
        <v>34764</v>
      </c>
      <c r="N216">
        <v>36458</v>
      </c>
      <c r="O216">
        <v>39748</v>
      </c>
      <c r="P216">
        <v>44845</v>
      </c>
      <c r="Q216">
        <v>43878</v>
      </c>
      <c r="R216">
        <v>45762</v>
      </c>
    </row>
    <row r="217" spans="1:18">
      <c r="A217">
        <v>25820</v>
      </c>
      <c r="B217" t="s">
        <v>908</v>
      </c>
      <c r="C217" t="s">
        <v>1448</v>
      </c>
      <c r="D217" t="s">
        <v>1449</v>
      </c>
      <c r="E217">
        <v>35449</v>
      </c>
      <c r="F217">
        <v>40589</v>
      </c>
      <c r="G217">
        <v>37276</v>
      </c>
      <c r="H217">
        <v>37208</v>
      </c>
      <c r="I217">
        <v>47900</v>
      </c>
      <c r="J217">
        <v>54660</v>
      </c>
      <c r="K217">
        <v>46047</v>
      </c>
      <c r="L217">
        <v>49508</v>
      </c>
      <c r="M217">
        <v>46725</v>
      </c>
      <c r="N217">
        <v>50708</v>
      </c>
      <c r="O217">
        <v>57083</v>
      </c>
      <c r="P217">
        <v>62875</v>
      </c>
      <c r="Q217">
        <v>66644</v>
      </c>
      <c r="R217">
        <v>75549</v>
      </c>
    </row>
    <row r="218" spans="1:18">
      <c r="A218">
        <v>25840</v>
      </c>
      <c r="B218" t="s">
        <v>909</v>
      </c>
      <c r="C218" t="s">
        <v>1448</v>
      </c>
      <c r="D218" t="s">
        <v>1449</v>
      </c>
      <c r="E218">
        <v>30261</v>
      </c>
      <c r="F218">
        <v>31147</v>
      </c>
      <c r="G218">
        <v>32068</v>
      </c>
      <c r="H218">
        <v>32544</v>
      </c>
      <c r="I218">
        <v>34560</v>
      </c>
      <c r="J218">
        <v>36128</v>
      </c>
      <c r="K218">
        <v>37199</v>
      </c>
      <c r="L218">
        <v>37206</v>
      </c>
      <c r="M218">
        <v>39407</v>
      </c>
      <c r="N218">
        <v>40883</v>
      </c>
      <c r="O218">
        <v>45551</v>
      </c>
      <c r="P218">
        <v>49316</v>
      </c>
      <c r="Q218">
        <v>51694</v>
      </c>
      <c r="R218">
        <v>53949</v>
      </c>
    </row>
    <row r="219" spans="1:18">
      <c r="A219">
        <v>25880</v>
      </c>
      <c r="B219" t="s">
        <v>910</v>
      </c>
      <c r="C219" t="s">
        <v>1448</v>
      </c>
      <c r="D219" t="s">
        <v>1449</v>
      </c>
      <c r="E219">
        <v>28262</v>
      </c>
      <c r="F219">
        <v>29390</v>
      </c>
      <c r="G219">
        <v>29502</v>
      </c>
      <c r="H219">
        <v>30028</v>
      </c>
      <c r="I219">
        <v>30635</v>
      </c>
      <c r="J219">
        <v>32188</v>
      </c>
      <c r="K219">
        <v>33216</v>
      </c>
      <c r="L219">
        <v>33733</v>
      </c>
      <c r="M219">
        <v>35187</v>
      </c>
      <c r="N219">
        <v>35742</v>
      </c>
      <c r="O219">
        <v>39678</v>
      </c>
      <c r="P219">
        <v>42909</v>
      </c>
      <c r="Q219">
        <v>42800</v>
      </c>
      <c r="R219">
        <v>44820</v>
      </c>
    </row>
    <row r="220" spans="1:18">
      <c r="A220">
        <v>25900</v>
      </c>
      <c r="B220" t="s">
        <v>911</v>
      </c>
      <c r="C220" t="s">
        <v>1448</v>
      </c>
      <c r="D220" t="s">
        <v>1449</v>
      </c>
      <c r="E220">
        <v>31211</v>
      </c>
      <c r="F220">
        <v>32099</v>
      </c>
      <c r="G220">
        <v>32480</v>
      </c>
      <c r="H220">
        <v>32948</v>
      </c>
      <c r="I220">
        <v>34621</v>
      </c>
      <c r="J220">
        <v>36625</v>
      </c>
      <c r="K220">
        <v>37718</v>
      </c>
      <c r="L220">
        <v>39698</v>
      </c>
      <c r="M220">
        <v>40716</v>
      </c>
      <c r="N220">
        <v>43005</v>
      </c>
      <c r="O220">
        <v>45465</v>
      </c>
      <c r="P220">
        <v>50333</v>
      </c>
      <c r="Q220">
        <v>50559</v>
      </c>
      <c r="R220">
        <v>52866</v>
      </c>
    </row>
    <row r="221" spans="1:18">
      <c r="A221">
        <v>26020</v>
      </c>
      <c r="B221" t="s">
        <v>912</v>
      </c>
      <c r="C221" t="s">
        <v>1448</v>
      </c>
      <c r="D221" t="s">
        <v>1449</v>
      </c>
      <c r="E221">
        <v>33990</v>
      </c>
      <c r="F221">
        <v>38541</v>
      </c>
      <c r="G221">
        <v>42807</v>
      </c>
      <c r="H221">
        <v>39133</v>
      </c>
      <c r="I221">
        <v>40260</v>
      </c>
      <c r="J221">
        <v>39573</v>
      </c>
      <c r="K221">
        <v>36518</v>
      </c>
      <c r="L221">
        <v>38857</v>
      </c>
      <c r="M221">
        <v>45531</v>
      </c>
      <c r="N221">
        <v>47926</v>
      </c>
      <c r="O221">
        <v>45506</v>
      </c>
      <c r="P221">
        <v>47584</v>
      </c>
      <c r="Q221">
        <v>54772</v>
      </c>
      <c r="R221">
        <v>58422</v>
      </c>
    </row>
    <row r="222" spans="1:18">
      <c r="A222">
        <v>26090</v>
      </c>
      <c r="B222" t="s">
        <v>913</v>
      </c>
      <c r="C222" t="s">
        <v>1448</v>
      </c>
      <c r="D222" t="s">
        <v>1449</v>
      </c>
      <c r="E222">
        <v>33628</v>
      </c>
      <c r="F222">
        <v>36144</v>
      </c>
      <c r="G222">
        <v>36459</v>
      </c>
      <c r="H222">
        <v>37523</v>
      </c>
      <c r="I222">
        <v>37933</v>
      </c>
      <c r="J222">
        <v>39746</v>
      </c>
      <c r="K222">
        <v>40788</v>
      </c>
      <c r="L222">
        <v>42230</v>
      </c>
      <c r="M222">
        <v>44303</v>
      </c>
      <c r="N222">
        <v>45212</v>
      </c>
      <c r="O222">
        <v>50120</v>
      </c>
      <c r="P222">
        <v>54528</v>
      </c>
      <c r="Q222">
        <v>55197</v>
      </c>
      <c r="R222">
        <v>58048</v>
      </c>
    </row>
    <row r="223" spans="1:18">
      <c r="A223">
        <v>26220</v>
      </c>
      <c r="B223" t="s">
        <v>914</v>
      </c>
      <c r="C223" t="s">
        <v>1448</v>
      </c>
      <c r="D223" t="s">
        <v>1449</v>
      </c>
      <c r="E223">
        <v>34806</v>
      </c>
      <c r="F223">
        <v>37003</v>
      </c>
      <c r="G223">
        <v>39872</v>
      </c>
      <c r="H223">
        <v>40009</v>
      </c>
      <c r="I223">
        <v>42790</v>
      </c>
      <c r="J223">
        <v>45630</v>
      </c>
      <c r="K223">
        <v>47552</v>
      </c>
      <c r="L223">
        <v>50763</v>
      </c>
      <c r="M223">
        <v>53295</v>
      </c>
      <c r="N223">
        <v>54788</v>
      </c>
      <c r="O223">
        <v>59733</v>
      </c>
      <c r="P223">
        <v>66079</v>
      </c>
      <c r="Q223">
        <v>66905</v>
      </c>
      <c r="R223">
        <v>71946</v>
      </c>
    </row>
    <row r="224" spans="1:18">
      <c r="A224">
        <v>26260</v>
      </c>
      <c r="B224" t="s">
        <v>915</v>
      </c>
      <c r="C224" t="s">
        <v>1448</v>
      </c>
      <c r="D224" t="s">
        <v>1449</v>
      </c>
      <c r="E224">
        <v>25805</v>
      </c>
      <c r="F224">
        <v>26931</v>
      </c>
      <c r="G224">
        <v>27995</v>
      </c>
      <c r="H224">
        <v>27835</v>
      </c>
      <c r="I224">
        <v>29802</v>
      </c>
      <c r="J224">
        <v>30062</v>
      </c>
      <c r="K224">
        <v>30297</v>
      </c>
      <c r="L224">
        <v>31998</v>
      </c>
      <c r="M224">
        <v>33095</v>
      </c>
      <c r="N224">
        <v>33395</v>
      </c>
      <c r="O224">
        <v>35476</v>
      </c>
      <c r="P224">
        <v>40504</v>
      </c>
      <c r="Q224">
        <v>43220</v>
      </c>
      <c r="R224">
        <v>41391</v>
      </c>
    </row>
    <row r="225" spans="1:18">
      <c r="A225">
        <v>26340</v>
      </c>
      <c r="B225" t="s">
        <v>916</v>
      </c>
      <c r="C225" t="s">
        <v>1448</v>
      </c>
      <c r="D225" t="s">
        <v>1449</v>
      </c>
      <c r="E225">
        <v>29133</v>
      </c>
      <c r="F225">
        <v>29978</v>
      </c>
      <c r="G225">
        <v>30718</v>
      </c>
      <c r="H225">
        <v>30911</v>
      </c>
      <c r="I225">
        <v>31736</v>
      </c>
      <c r="J225">
        <v>33461</v>
      </c>
      <c r="K225">
        <v>33961</v>
      </c>
      <c r="L225">
        <v>34349</v>
      </c>
      <c r="M225">
        <v>35921</v>
      </c>
      <c r="N225">
        <v>37364</v>
      </c>
      <c r="O225">
        <v>40520</v>
      </c>
      <c r="P225">
        <v>44069</v>
      </c>
      <c r="Q225">
        <v>43834</v>
      </c>
      <c r="R225">
        <v>45932</v>
      </c>
    </row>
    <row r="226" spans="1:18">
      <c r="A226">
        <v>26460</v>
      </c>
      <c r="B226" t="s">
        <v>917</v>
      </c>
      <c r="C226" t="s">
        <v>1448</v>
      </c>
      <c r="D226" t="s">
        <v>1449</v>
      </c>
      <c r="E226">
        <v>42045</v>
      </c>
      <c r="F226">
        <v>43697</v>
      </c>
      <c r="G226">
        <v>45446</v>
      </c>
      <c r="H226">
        <v>45704</v>
      </c>
      <c r="I226">
        <v>47602</v>
      </c>
      <c r="J226">
        <v>49067</v>
      </c>
      <c r="K226">
        <v>50300</v>
      </c>
      <c r="L226">
        <v>52574</v>
      </c>
      <c r="M226">
        <v>53078</v>
      </c>
      <c r="N226">
        <v>57237</v>
      </c>
      <c r="O226">
        <v>63276</v>
      </c>
      <c r="P226">
        <v>68069</v>
      </c>
      <c r="Q226">
        <v>70258</v>
      </c>
      <c r="R226">
        <v>74642</v>
      </c>
    </row>
    <row r="227" spans="1:18">
      <c r="A227">
        <v>26500</v>
      </c>
      <c r="B227" t="s">
        <v>918</v>
      </c>
      <c r="C227" t="s">
        <v>1448</v>
      </c>
      <c r="D227" t="s">
        <v>1449</v>
      </c>
      <c r="E227">
        <v>30490</v>
      </c>
      <c r="F227">
        <v>31811</v>
      </c>
      <c r="G227">
        <v>31450</v>
      </c>
      <c r="H227">
        <v>31187</v>
      </c>
      <c r="I227">
        <v>32267</v>
      </c>
      <c r="J227">
        <v>33747</v>
      </c>
      <c r="K227">
        <v>34450</v>
      </c>
      <c r="L227">
        <v>35834</v>
      </c>
      <c r="M227">
        <v>37652</v>
      </c>
      <c r="N227">
        <v>39334</v>
      </c>
      <c r="O227">
        <v>43572</v>
      </c>
      <c r="P227">
        <v>45635</v>
      </c>
      <c r="Q227">
        <v>45444</v>
      </c>
      <c r="R227">
        <v>46957</v>
      </c>
    </row>
    <row r="228" spans="1:18">
      <c r="A228">
        <v>26540</v>
      </c>
      <c r="B228" t="s">
        <v>919</v>
      </c>
      <c r="C228" t="s">
        <v>1448</v>
      </c>
      <c r="D228" t="s">
        <v>1449</v>
      </c>
      <c r="E228">
        <v>31967</v>
      </c>
      <c r="F228">
        <v>34019</v>
      </c>
      <c r="G228">
        <v>35175</v>
      </c>
      <c r="H228">
        <v>36065</v>
      </c>
      <c r="I228">
        <v>36748</v>
      </c>
      <c r="J228">
        <v>37603</v>
      </c>
      <c r="K228">
        <v>38112</v>
      </c>
      <c r="L228">
        <v>39402</v>
      </c>
      <c r="M228">
        <v>41083</v>
      </c>
      <c r="N228">
        <v>41631</v>
      </c>
      <c r="O228">
        <v>45261</v>
      </c>
      <c r="P228">
        <v>50551</v>
      </c>
      <c r="Q228">
        <v>51055</v>
      </c>
      <c r="R228">
        <v>52450</v>
      </c>
    </row>
    <row r="229" spans="1:18">
      <c r="A229">
        <v>26660</v>
      </c>
      <c r="B229" t="s">
        <v>920</v>
      </c>
      <c r="C229" t="s">
        <v>1448</v>
      </c>
      <c r="D229" t="s">
        <v>1449</v>
      </c>
      <c r="E229">
        <v>22580</v>
      </c>
      <c r="F229">
        <v>23316</v>
      </c>
      <c r="G229">
        <v>23824</v>
      </c>
      <c r="H229">
        <v>24571</v>
      </c>
      <c r="I229">
        <v>25646</v>
      </c>
      <c r="J229">
        <v>25771</v>
      </c>
      <c r="K229">
        <v>25966</v>
      </c>
      <c r="L229">
        <v>25981</v>
      </c>
      <c r="M229">
        <v>27563</v>
      </c>
      <c r="N229">
        <v>30053</v>
      </c>
      <c r="O229">
        <v>30669</v>
      </c>
      <c r="P229">
        <v>33331</v>
      </c>
      <c r="Q229">
        <v>33731</v>
      </c>
      <c r="R229">
        <v>35913</v>
      </c>
    </row>
    <row r="230" spans="1:18">
      <c r="A230">
        <v>26700</v>
      </c>
      <c r="B230" t="s">
        <v>921</v>
      </c>
      <c r="C230" t="s">
        <v>1448</v>
      </c>
      <c r="D230" t="s">
        <v>1449</v>
      </c>
      <c r="E230">
        <v>38793</v>
      </c>
      <c r="F230">
        <v>48388</v>
      </c>
      <c r="G230">
        <v>42741</v>
      </c>
      <c r="H230">
        <v>44125</v>
      </c>
      <c r="I230">
        <v>45504</v>
      </c>
      <c r="J230">
        <v>47396</v>
      </c>
      <c r="K230">
        <v>47412</v>
      </c>
      <c r="L230">
        <v>45276</v>
      </c>
      <c r="M230">
        <v>45813</v>
      </c>
      <c r="N230">
        <v>47451</v>
      </c>
      <c r="O230">
        <v>52058</v>
      </c>
      <c r="P230">
        <v>58340</v>
      </c>
      <c r="Q230">
        <v>61013</v>
      </c>
      <c r="R230">
        <v>63867</v>
      </c>
    </row>
    <row r="231" spans="1:18">
      <c r="A231">
        <v>26740</v>
      </c>
      <c r="B231" t="s">
        <v>922</v>
      </c>
      <c r="C231" t="s">
        <v>1448</v>
      </c>
      <c r="D231" t="s">
        <v>1449</v>
      </c>
      <c r="E231">
        <v>33808</v>
      </c>
      <c r="F231">
        <v>34558</v>
      </c>
      <c r="G231">
        <v>35055</v>
      </c>
      <c r="H231">
        <v>35331</v>
      </c>
      <c r="I231">
        <v>35634</v>
      </c>
      <c r="J231">
        <v>36409</v>
      </c>
      <c r="K231">
        <v>36244</v>
      </c>
      <c r="L231">
        <v>38519</v>
      </c>
      <c r="M231">
        <v>39271</v>
      </c>
      <c r="N231">
        <v>41040</v>
      </c>
      <c r="O231">
        <v>45624</v>
      </c>
      <c r="P231">
        <v>47704</v>
      </c>
      <c r="Q231">
        <v>48046</v>
      </c>
      <c r="R231">
        <v>51423</v>
      </c>
    </row>
    <row r="232" spans="1:18">
      <c r="A232">
        <v>26780</v>
      </c>
      <c r="B232" t="s">
        <v>923</v>
      </c>
      <c r="C232" t="s">
        <v>1448</v>
      </c>
      <c r="D232" t="s">
        <v>1449</v>
      </c>
      <c r="E232">
        <v>35444</v>
      </c>
      <c r="F232">
        <v>38257</v>
      </c>
      <c r="G232">
        <v>40394</v>
      </c>
      <c r="H232">
        <v>40537</v>
      </c>
      <c r="I232">
        <v>42731</v>
      </c>
      <c r="J232">
        <v>43326</v>
      </c>
      <c r="K232">
        <v>43792</v>
      </c>
      <c r="L232">
        <v>44628</v>
      </c>
      <c r="M232">
        <v>46984</v>
      </c>
      <c r="N232">
        <v>47479</v>
      </c>
      <c r="O232">
        <v>51613</v>
      </c>
      <c r="P232">
        <v>57410</v>
      </c>
      <c r="Q232">
        <v>59748</v>
      </c>
      <c r="R232">
        <v>61496</v>
      </c>
    </row>
    <row r="233" spans="1:18">
      <c r="A233">
        <v>26860</v>
      </c>
      <c r="B233" t="s">
        <v>924</v>
      </c>
      <c r="C233" t="s">
        <v>1448</v>
      </c>
      <c r="D233" t="s">
        <v>1449</v>
      </c>
      <c r="E233">
        <v>31503</v>
      </c>
      <c r="F233">
        <v>33207</v>
      </c>
      <c r="G233">
        <v>33555</v>
      </c>
      <c r="H233">
        <v>33519</v>
      </c>
      <c r="I233">
        <v>34620</v>
      </c>
      <c r="J233">
        <v>35160</v>
      </c>
      <c r="K233">
        <v>35804</v>
      </c>
      <c r="L233">
        <v>36839</v>
      </c>
      <c r="M233">
        <v>39304</v>
      </c>
      <c r="N233">
        <v>40934</v>
      </c>
      <c r="O233">
        <v>44436</v>
      </c>
      <c r="P233">
        <v>46462</v>
      </c>
      <c r="Q233">
        <v>45910</v>
      </c>
      <c r="R233">
        <v>48336</v>
      </c>
    </row>
    <row r="234" spans="1:18">
      <c r="A234">
        <v>26940</v>
      </c>
      <c r="B234" t="s">
        <v>925</v>
      </c>
      <c r="C234" t="s">
        <v>1448</v>
      </c>
      <c r="D234" t="s">
        <v>1449</v>
      </c>
      <c r="E234">
        <v>24438</v>
      </c>
      <c r="F234">
        <v>24871</v>
      </c>
      <c r="G234">
        <v>26380</v>
      </c>
      <c r="H234">
        <v>27261</v>
      </c>
      <c r="I234">
        <v>26284</v>
      </c>
      <c r="J234">
        <v>25997</v>
      </c>
      <c r="K234">
        <v>27805</v>
      </c>
      <c r="L234">
        <v>28701</v>
      </c>
      <c r="M234">
        <v>28926</v>
      </c>
      <c r="N234">
        <v>29673</v>
      </c>
      <c r="O234">
        <v>33676</v>
      </c>
      <c r="P234">
        <v>38008</v>
      </c>
      <c r="Q234">
        <v>36927</v>
      </c>
      <c r="R234">
        <v>39498</v>
      </c>
    </row>
    <row r="235" spans="1:18">
      <c r="A235">
        <v>27020</v>
      </c>
      <c r="B235" t="s">
        <v>926</v>
      </c>
      <c r="C235" t="s">
        <v>1448</v>
      </c>
      <c r="D235" t="s">
        <v>1449</v>
      </c>
      <c r="E235">
        <v>36516</v>
      </c>
      <c r="F235">
        <v>38785</v>
      </c>
      <c r="G235">
        <v>39126</v>
      </c>
      <c r="H235">
        <v>39417</v>
      </c>
      <c r="I235">
        <v>40665</v>
      </c>
      <c r="J235">
        <v>42505</v>
      </c>
      <c r="K235">
        <v>43518</v>
      </c>
      <c r="L235">
        <v>45211</v>
      </c>
      <c r="M235">
        <v>47200</v>
      </c>
      <c r="N235">
        <v>47604</v>
      </c>
      <c r="O235">
        <v>51362</v>
      </c>
      <c r="P235">
        <v>57109</v>
      </c>
      <c r="Q235">
        <v>55491</v>
      </c>
      <c r="R235">
        <v>58537</v>
      </c>
    </row>
    <row r="236" spans="1:18">
      <c r="A236">
        <v>27160</v>
      </c>
      <c r="B236" t="s">
        <v>927</v>
      </c>
      <c r="C236" t="s">
        <v>1448</v>
      </c>
      <c r="D236" t="s">
        <v>1449</v>
      </c>
      <c r="E236">
        <v>28974</v>
      </c>
      <c r="F236">
        <v>30140</v>
      </c>
      <c r="G236">
        <v>30503</v>
      </c>
      <c r="H236">
        <v>31288</v>
      </c>
      <c r="I236">
        <v>32361</v>
      </c>
      <c r="J236">
        <v>33397</v>
      </c>
      <c r="K236">
        <v>33690</v>
      </c>
      <c r="L236">
        <v>34407</v>
      </c>
      <c r="M236">
        <v>35102</v>
      </c>
      <c r="N236">
        <v>36270</v>
      </c>
      <c r="O236">
        <v>40243</v>
      </c>
      <c r="P236">
        <v>42194</v>
      </c>
      <c r="Q236">
        <v>41551</v>
      </c>
      <c r="R236">
        <v>43799</v>
      </c>
    </row>
    <row r="237" spans="1:18">
      <c r="A237">
        <v>27220</v>
      </c>
      <c r="B237" t="s">
        <v>928</v>
      </c>
      <c r="C237" t="s">
        <v>1448</v>
      </c>
      <c r="D237" t="s">
        <v>1449</v>
      </c>
      <c r="E237">
        <v>104007</v>
      </c>
      <c r="F237">
        <v>111514</v>
      </c>
      <c r="G237">
        <v>139404</v>
      </c>
      <c r="H237">
        <v>126395</v>
      </c>
      <c r="I237">
        <v>141614</v>
      </c>
      <c r="J237">
        <v>139760</v>
      </c>
      <c r="K237">
        <v>145552</v>
      </c>
      <c r="L237">
        <v>162309</v>
      </c>
      <c r="M237">
        <v>158571</v>
      </c>
      <c r="N237">
        <v>189044</v>
      </c>
      <c r="O237">
        <v>215172</v>
      </c>
      <c r="P237">
        <v>252686</v>
      </c>
      <c r="Q237">
        <v>294952</v>
      </c>
      <c r="R237">
        <v>330710</v>
      </c>
    </row>
    <row r="238" spans="1:18">
      <c r="A238">
        <v>27300</v>
      </c>
      <c r="B238" t="s">
        <v>929</v>
      </c>
      <c r="C238" t="s">
        <v>1448</v>
      </c>
      <c r="D238" t="s">
        <v>1449</v>
      </c>
      <c r="E238">
        <v>33710</v>
      </c>
      <c r="F238">
        <v>35581</v>
      </c>
      <c r="G238">
        <v>35229</v>
      </c>
      <c r="H238">
        <v>37225</v>
      </c>
      <c r="I238">
        <v>36325</v>
      </c>
      <c r="J238">
        <v>36466</v>
      </c>
      <c r="K238">
        <v>37653</v>
      </c>
      <c r="L238">
        <v>38269</v>
      </c>
      <c r="M238">
        <v>39637</v>
      </c>
      <c r="N238">
        <v>40629</v>
      </c>
      <c r="O238">
        <v>45180</v>
      </c>
      <c r="P238">
        <v>50589</v>
      </c>
      <c r="Q238">
        <v>51715</v>
      </c>
      <c r="R238">
        <v>53345</v>
      </c>
    </row>
    <row r="239" spans="1:18">
      <c r="A239">
        <v>27380</v>
      </c>
      <c r="B239" t="s">
        <v>930</v>
      </c>
      <c r="C239" t="s">
        <v>1448</v>
      </c>
      <c r="D239" t="s">
        <v>1449</v>
      </c>
      <c r="E239">
        <v>28345</v>
      </c>
      <c r="F239">
        <v>29252</v>
      </c>
      <c r="G239">
        <v>30528</v>
      </c>
      <c r="H239">
        <v>31347</v>
      </c>
      <c r="I239">
        <v>32578</v>
      </c>
      <c r="J239">
        <v>33383</v>
      </c>
      <c r="K239">
        <v>33742</v>
      </c>
      <c r="L239">
        <v>34373</v>
      </c>
      <c r="M239">
        <v>35769</v>
      </c>
      <c r="N239">
        <v>37381</v>
      </c>
      <c r="O239">
        <v>40863</v>
      </c>
      <c r="P239">
        <v>43362</v>
      </c>
      <c r="Q239">
        <v>44284</v>
      </c>
      <c r="R239">
        <v>46221</v>
      </c>
    </row>
    <row r="240" spans="1:18">
      <c r="A240">
        <v>27420</v>
      </c>
      <c r="B240" t="s">
        <v>931</v>
      </c>
      <c r="C240" t="s">
        <v>1448</v>
      </c>
      <c r="D240" t="s">
        <v>1449</v>
      </c>
      <c r="E240">
        <v>40897</v>
      </c>
      <c r="F240">
        <v>43860</v>
      </c>
      <c r="G240">
        <v>50090</v>
      </c>
      <c r="H240">
        <v>46136</v>
      </c>
      <c r="I240">
        <v>47756</v>
      </c>
      <c r="J240">
        <v>46650</v>
      </c>
      <c r="K240">
        <v>47661</v>
      </c>
      <c r="L240">
        <v>46965</v>
      </c>
      <c r="M240">
        <v>49252</v>
      </c>
      <c r="N240">
        <v>51009</v>
      </c>
      <c r="O240">
        <v>57586</v>
      </c>
      <c r="P240">
        <v>61487</v>
      </c>
      <c r="Q240">
        <v>67769</v>
      </c>
      <c r="R240">
        <v>68370</v>
      </c>
    </row>
    <row r="241" spans="1:18">
      <c r="A241">
        <v>27460</v>
      </c>
      <c r="B241" t="s">
        <v>932</v>
      </c>
      <c r="C241" t="s">
        <v>1448</v>
      </c>
      <c r="D241" t="s">
        <v>1449</v>
      </c>
      <c r="E241">
        <v>31373</v>
      </c>
      <c r="F241">
        <v>32760</v>
      </c>
      <c r="G241">
        <v>33756</v>
      </c>
      <c r="H241">
        <v>34211</v>
      </c>
      <c r="I241">
        <v>35181</v>
      </c>
      <c r="J241">
        <v>36330</v>
      </c>
      <c r="K241">
        <v>36701</v>
      </c>
      <c r="L241">
        <v>38836</v>
      </c>
      <c r="M241">
        <v>39161</v>
      </c>
      <c r="N241">
        <v>40870</v>
      </c>
      <c r="O241">
        <v>44709</v>
      </c>
      <c r="P241">
        <v>47702</v>
      </c>
      <c r="Q241">
        <v>47471</v>
      </c>
      <c r="R241">
        <v>49640</v>
      </c>
    </row>
    <row r="242" spans="1:18">
      <c r="A242">
        <v>27530</v>
      </c>
      <c r="B242" t="s">
        <v>933</v>
      </c>
      <c r="C242" t="s">
        <v>1448</v>
      </c>
      <c r="D242" t="s">
        <v>1449</v>
      </c>
      <c r="E242">
        <v>33037</v>
      </c>
      <c r="F242">
        <v>34200</v>
      </c>
      <c r="G242">
        <v>34369</v>
      </c>
      <c r="H242">
        <v>34060</v>
      </c>
      <c r="I242">
        <v>35321</v>
      </c>
      <c r="J242">
        <v>36560</v>
      </c>
      <c r="K242">
        <v>36174</v>
      </c>
      <c r="L242">
        <v>37751</v>
      </c>
      <c r="M242">
        <v>38973</v>
      </c>
      <c r="N242">
        <v>41031</v>
      </c>
      <c r="O242">
        <v>42754</v>
      </c>
      <c r="P242">
        <v>46956</v>
      </c>
      <c r="Q242">
        <v>49274</v>
      </c>
      <c r="R242">
        <v>51485</v>
      </c>
    </row>
    <row r="243" spans="1:18">
      <c r="A243">
        <v>27540</v>
      </c>
      <c r="B243" t="s">
        <v>934</v>
      </c>
      <c r="C243" t="s">
        <v>1448</v>
      </c>
      <c r="D243" t="s">
        <v>1449</v>
      </c>
      <c r="E243">
        <v>38211</v>
      </c>
      <c r="F243">
        <v>41495</v>
      </c>
      <c r="G243">
        <v>42957</v>
      </c>
      <c r="H243">
        <v>43490</v>
      </c>
      <c r="I243">
        <v>46461</v>
      </c>
      <c r="J243">
        <v>47568</v>
      </c>
      <c r="K243">
        <v>47043</v>
      </c>
      <c r="L243">
        <v>49439</v>
      </c>
      <c r="M243">
        <v>50553</v>
      </c>
      <c r="N243">
        <v>51462</v>
      </c>
      <c r="O243">
        <v>55043</v>
      </c>
      <c r="P243">
        <v>59855</v>
      </c>
      <c r="Q243">
        <v>62112</v>
      </c>
      <c r="R243">
        <v>64701</v>
      </c>
    </row>
    <row r="244" spans="1:18">
      <c r="A244">
        <v>27600</v>
      </c>
      <c r="B244" t="s">
        <v>935</v>
      </c>
      <c r="C244" t="s">
        <v>1448</v>
      </c>
      <c r="D244" t="s">
        <v>1449</v>
      </c>
      <c r="E244">
        <v>29239</v>
      </c>
      <c r="F244">
        <v>30490</v>
      </c>
      <c r="G244">
        <v>32359</v>
      </c>
      <c r="H244">
        <v>33277</v>
      </c>
      <c r="I244">
        <v>34562</v>
      </c>
      <c r="J244">
        <v>36455</v>
      </c>
      <c r="K244">
        <v>39400</v>
      </c>
      <c r="L244">
        <v>40982</v>
      </c>
      <c r="M244">
        <v>42791</v>
      </c>
      <c r="N244">
        <v>44001</v>
      </c>
      <c r="O244">
        <v>46597</v>
      </c>
      <c r="P244">
        <v>52143</v>
      </c>
      <c r="Q244">
        <v>56230</v>
      </c>
      <c r="R244">
        <v>58834</v>
      </c>
    </row>
    <row r="245" spans="1:18">
      <c r="A245">
        <v>27660</v>
      </c>
      <c r="B245" t="s">
        <v>936</v>
      </c>
      <c r="C245" t="s">
        <v>1448</v>
      </c>
      <c r="D245" t="s">
        <v>1449</v>
      </c>
      <c r="E245">
        <v>32145</v>
      </c>
      <c r="F245">
        <v>32999</v>
      </c>
      <c r="G245">
        <v>34514</v>
      </c>
      <c r="H245">
        <v>36126</v>
      </c>
      <c r="I245">
        <v>36860</v>
      </c>
      <c r="J245">
        <v>36610</v>
      </c>
      <c r="K245">
        <v>36855</v>
      </c>
      <c r="L245">
        <v>38950</v>
      </c>
      <c r="M245">
        <v>40189</v>
      </c>
      <c r="N245">
        <v>42018</v>
      </c>
      <c r="O245">
        <v>44424</v>
      </c>
      <c r="P245">
        <v>46977</v>
      </c>
      <c r="Q245">
        <v>46922</v>
      </c>
      <c r="R245">
        <v>48106</v>
      </c>
    </row>
    <row r="246" spans="1:18">
      <c r="A246">
        <v>27700</v>
      </c>
      <c r="B246" t="s">
        <v>937</v>
      </c>
      <c r="C246" t="s">
        <v>1448</v>
      </c>
      <c r="D246" t="s">
        <v>1449</v>
      </c>
      <c r="E246">
        <v>27599</v>
      </c>
      <c r="F246">
        <v>28466</v>
      </c>
      <c r="G246">
        <v>27495</v>
      </c>
      <c r="H246">
        <v>27306</v>
      </c>
      <c r="I246">
        <v>28138</v>
      </c>
      <c r="J246">
        <v>29362</v>
      </c>
      <c r="K246">
        <v>28526</v>
      </c>
      <c r="L246">
        <v>29682</v>
      </c>
      <c r="M246">
        <v>31165</v>
      </c>
      <c r="N246">
        <v>32359</v>
      </c>
      <c r="O246">
        <v>34891</v>
      </c>
      <c r="P246">
        <v>39037</v>
      </c>
      <c r="Q246">
        <v>38345</v>
      </c>
      <c r="R246">
        <v>39274</v>
      </c>
    </row>
    <row r="247" spans="1:18">
      <c r="A247">
        <v>27940</v>
      </c>
      <c r="B247" t="s">
        <v>938</v>
      </c>
      <c r="C247" t="s">
        <v>1448</v>
      </c>
      <c r="D247" t="s">
        <v>1449</v>
      </c>
      <c r="E247">
        <v>55006</v>
      </c>
      <c r="F247">
        <v>58152</v>
      </c>
      <c r="G247">
        <v>60615</v>
      </c>
      <c r="H247">
        <v>59538</v>
      </c>
      <c r="I247">
        <v>61345</v>
      </c>
      <c r="J247">
        <v>62186</v>
      </c>
      <c r="K247">
        <v>63075</v>
      </c>
      <c r="L247">
        <v>65221</v>
      </c>
      <c r="M247">
        <v>68368</v>
      </c>
      <c r="N247">
        <v>69918</v>
      </c>
      <c r="O247">
        <v>70536</v>
      </c>
      <c r="P247">
        <v>74274</v>
      </c>
      <c r="Q247">
        <v>78743</v>
      </c>
      <c r="R247">
        <v>82234</v>
      </c>
    </row>
    <row r="248" spans="1:18">
      <c r="A248">
        <v>28060</v>
      </c>
      <c r="B248" t="s">
        <v>939</v>
      </c>
      <c r="C248" t="s">
        <v>1448</v>
      </c>
      <c r="D248" t="s">
        <v>1449</v>
      </c>
      <c r="E248">
        <v>35489</v>
      </c>
      <c r="F248">
        <v>36309</v>
      </c>
      <c r="G248">
        <v>38652</v>
      </c>
      <c r="H248">
        <v>38999</v>
      </c>
      <c r="I248">
        <v>40846</v>
      </c>
      <c r="J248">
        <v>43264</v>
      </c>
      <c r="K248">
        <v>44626</v>
      </c>
      <c r="L248">
        <v>46408</v>
      </c>
      <c r="M248">
        <v>48083</v>
      </c>
      <c r="N248">
        <v>50585</v>
      </c>
      <c r="O248">
        <v>55503</v>
      </c>
      <c r="P248">
        <v>61756</v>
      </c>
      <c r="Q248">
        <v>64741</v>
      </c>
      <c r="R248">
        <v>68725</v>
      </c>
    </row>
    <row r="249" spans="1:18">
      <c r="A249">
        <v>28180</v>
      </c>
      <c r="B249" t="s">
        <v>940</v>
      </c>
      <c r="C249" t="s">
        <v>1448</v>
      </c>
      <c r="D249" t="s">
        <v>1449</v>
      </c>
      <c r="E249">
        <v>35001</v>
      </c>
      <c r="F249">
        <v>35870</v>
      </c>
      <c r="G249">
        <v>36596</v>
      </c>
      <c r="H249">
        <v>37775</v>
      </c>
      <c r="I249">
        <v>39603</v>
      </c>
      <c r="J249">
        <v>41380</v>
      </c>
      <c r="K249">
        <v>42689</v>
      </c>
      <c r="L249">
        <v>44800</v>
      </c>
      <c r="M249">
        <v>46993</v>
      </c>
      <c r="N249">
        <v>50131</v>
      </c>
      <c r="O249">
        <v>52982</v>
      </c>
      <c r="P249">
        <v>56643</v>
      </c>
      <c r="Q249">
        <v>58335</v>
      </c>
      <c r="R249">
        <v>61257</v>
      </c>
    </row>
    <row r="250" spans="1:18">
      <c r="A250">
        <v>28260</v>
      </c>
      <c r="B250" t="s">
        <v>941</v>
      </c>
      <c r="C250" t="s">
        <v>1448</v>
      </c>
      <c r="D250" t="s">
        <v>1449</v>
      </c>
      <c r="E250">
        <v>38952</v>
      </c>
      <c r="F250">
        <v>44190</v>
      </c>
      <c r="G250">
        <v>49056</v>
      </c>
      <c r="H250">
        <v>47269</v>
      </c>
      <c r="I250">
        <v>51076</v>
      </c>
      <c r="J250">
        <v>54905</v>
      </c>
      <c r="K250">
        <v>50872</v>
      </c>
      <c r="L250">
        <v>50597</v>
      </c>
      <c r="M250">
        <v>54235</v>
      </c>
      <c r="N250">
        <v>55644</v>
      </c>
      <c r="O250">
        <v>61227</v>
      </c>
      <c r="P250">
        <v>76790</v>
      </c>
      <c r="Q250">
        <v>70687</v>
      </c>
      <c r="R250">
        <v>76954</v>
      </c>
    </row>
    <row r="251" spans="1:18">
      <c r="A251">
        <v>28300</v>
      </c>
      <c r="B251" t="s">
        <v>942</v>
      </c>
      <c r="C251" t="s">
        <v>1448</v>
      </c>
      <c r="D251" t="s">
        <v>1449</v>
      </c>
      <c r="E251">
        <v>40439</v>
      </c>
      <c r="F251">
        <v>42376</v>
      </c>
      <c r="G251">
        <v>43481</v>
      </c>
      <c r="H251">
        <v>43181</v>
      </c>
      <c r="I251">
        <v>44893</v>
      </c>
      <c r="J251">
        <v>47254</v>
      </c>
      <c r="K251">
        <v>47917</v>
      </c>
      <c r="L251">
        <v>49219</v>
      </c>
      <c r="M251">
        <v>51194</v>
      </c>
      <c r="N251">
        <v>52963</v>
      </c>
      <c r="O251">
        <v>57505</v>
      </c>
      <c r="P251">
        <v>65257</v>
      </c>
      <c r="Q251">
        <v>63605</v>
      </c>
      <c r="R251">
        <v>67094</v>
      </c>
    </row>
    <row r="252" spans="1:18">
      <c r="A252">
        <v>28340</v>
      </c>
      <c r="B252" t="s">
        <v>943</v>
      </c>
      <c r="C252" t="s">
        <v>1448</v>
      </c>
      <c r="D252" t="s">
        <v>1449</v>
      </c>
      <c r="E252">
        <v>28705</v>
      </c>
      <c r="F252">
        <v>31144</v>
      </c>
      <c r="G252">
        <v>32715</v>
      </c>
      <c r="H252">
        <v>33677</v>
      </c>
      <c r="I252">
        <v>35280</v>
      </c>
      <c r="J252">
        <v>35969</v>
      </c>
      <c r="K252">
        <v>36650</v>
      </c>
      <c r="L252">
        <v>38565</v>
      </c>
      <c r="M252">
        <v>40133</v>
      </c>
      <c r="N252">
        <v>40857</v>
      </c>
      <c r="O252">
        <v>44045</v>
      </c>
      <c r="P252">
        <v>49008</v>
      </c>
      <c r="Q252">
        <v>51131</v>
      </c>
      <c r="R252">
        <v>52042</v>
      </c>
    </row>
    <row r="253" spans="1:18">
      <c r="A253">
        <v>28380</v>
      </c>
      <c r="B253" t="s">
        <v>944</v>
      </c>
      <c r="C253" t="s">
        <v>1448</v>
      </c>
      <c r="D253" t="s">
        <v>1449</v>
      </c>
      <c r="E253">
        <v>30057</v>
      </c>
      <c r="F253">
        <v>32337</v>
      </c>
      <c r="G253">
        <v>30213</v>
      </c>
      <c r="H253">
        <v>32571</v>
      </c>
      <c r="I253">
        <v>31657</v>
      </c>
      <c r="J253">
        <v>31882</v>
      </c>
      <c r="K253">
        <v>32253</v>
      </c>
      <c r="L253">
        <v>33137</v>
      </c>
      <c r="M253">
        <v>34584</v>
      </c>
      <c r="N253">
        <v>36217</v>
      </c>
      <c r="O253">
        <v>38633</v>
      </c>
      <c r="P253">
        <v>43924</v>
      </c>
      <c r="Q253">
        <v>44713</v>
      </c>
      <c r="R253">
        <v>46434</v>
      </c>
    </row>
    <row r="254" spans="1:18">
      <c r="A254">
        <v>28500</v>
      </c>
      <c r="B254" t="s">
        <v>945</v>
      </c>
      <c r="C254" t="s">
        <v>1448</v>
      </c>
      <c r="D254" t="s">
        <v>1449</v>
      </c>
      <c r="E254">
        <v>39697</v>
      </c>
      <c r="F254">
        <v>40963</v>
      </c>
      <c r="G254">
        <v>43422</v>
      </c>
      <c r="H254">
        <v>44494</v>
      </c>
      <c r="I254">
        <v>46611</v>
      </c>
      <c r="J254">
        <v>46632</v>
      </c>
      <c r="K254">
        <v>46216</v>
      </c>
      <c r="L254">
        <v>49479</v>
      </c>
      <c r="M254">
        <v>51178</v>
      </c>
      <c r="N254">
        <v>53600</v>
      </c>
      <c r="O254">
        <v>57656</v>
      </c>
      <c r="P254">
        <v>61637</v>
      </c>
      <c r="Q254">
        <v>63913</v>
      </c>
      <c r="R254">
        <v>69038</v>
      </c>
    </row>
    <row r="255" spans="1:18">
      <c r="A255">
        <v>28540</v>
      </c>
      <c r="B255" t="s">
        <v>946</v>
      </c>
      <c r="C255" t="s">
        <v>1448</v>
      </c>
      <c r="D255" t="s">
        <v>1449</v>
      </c>
      <c r="E255">
        <v>54710</v>
      </c>
      <c r="F255">
        <v>57137</v>
      </c>
      <c r="G255">
        <v>58426</v>
      </c>
      <c r="H255">
        <v>58395</v>
      </c>
      <c r="I255">
        <v>60771</v>
      </c>
      <c r="J255">
        <v>62922</v>
      </c>
      <c r="K255">
        <v>62502</v>
      </c>
      <c r="L255">
        <v>63808</v>
      </c>
      <c r="M255">
        <v>66013</v>
      </c>
      <c r="N255">
        <v>68111</v>
      </c>
      <c r="O255">
        <v>66116</v>
      </c>
      <c r="P255">
        <v>69518</v>
      </c>
      <c r="Q255">
        <v>73240</v>
      </c>
      <c r="R255">
        <v>76446</v>
      </c>
    </row>
    <row r="256" spans="1:18">
      <c r="A256">
        <v>28580</v>
      </c>
      <c r="B256" t="s">
        <v>947</v>
      </c>
      <c r="C256" t="s">
        <v>1448</v>
      </c>
      <c r="D256" t="s">
        <v>1449</v>
      </c>
      <c r="E256">
        <v>61347</v>
      </c>
      <c r="F256">
        <v>61901</v>
      </c>
      <c r="G256">
        <v>68036</v>
      </c>
      <c r="H256">
        <v>61964</v>
      </c>
      <c r="I256">
        <v>66634</v>
      </c>
      <c r="J256">
        <v>67186</v>
      </c>
      <c r="K256">
        <v>72397</v>
      </c>
      <c r="L256">
        <v>79015</v>
      </c>
      <c r="M256">
        <v>88964</v>
      </c>
      <c r="N256">
        <v>94885</v>
      </c>
      <c r="O256">
        <v>94765</v>
      </c>
      <c r="P256">
        <v>105768</v>
      </c>
      <c r="Q256">
        <v>118434</v>
      </c>
      <c r="R256">
        <v>130525</v>
      </c>
    </row>
    <row r="257" spans="1:18">
      <c r="A257">
        <v>28620</v>
      </c>
      <c r="B257" t="s">
        <v>948</v>
      </c>
      <c r="C257" t="s">
        <v>1448</v>
      </c>
      <c r="D257" t="s">
        <v>1449</v>
      </c>
      <c r="E257">
        <v>41361</v>
      </c>
      <c r="F257">
        <v>42401</v>
      </c>
      <c r="G257">
        <v>44851</v>
      </c>
      <c r="H257">
        <v>45235</v>
      </c>
      <c r="I257">
        <v>47702</v>
      </c>
      <c r="J257">
        <v>48927</v>
      </c>
      <c r="K257">
        <v>51748</v>
      </c>
      <c r="L257">
        <v>53251</v>
      </c>
      <c r="M257">
        <v>54738</v>
      </c>
      <c r="N257">
        <v>59707</v>
      </c>
      <c r="O257">
        <v>63844</v>
      </c>
      <c r="P257">
        <v>72478</v>
      </c>
      <c r="Q257">
        <v>73954</v>
      </c>
      <c r="R257">
        <v>79309</v>
      </c>
    </row>
    <row r="258" spans="1:18">
      <c r="A258">
        <v>28780</v>
      </c>
      <c r="B258" t="s">
        <v>949</v>
      </c>
      <c r="C258" t="s">
        <v>1448</v>
      </c>
      <c r="D258" t="s">
        <v>1449</v>
      </c>
      <c r="E258">
        <v>29769</v>
      </c>
      <c r="F258">
        <v>32312</v>
      </c>
      <c r="G258">
        <v>33881</v>
      </c>
      <c r="H258">
        <v>35341</v>
      </c>
      <c r="I258">
        <v>36912</v>
      </c>
      <c r="J258">
        <v>36741</v>
      </c>
      <c r="K258">
        <v>35495</v>
      </c>
      <c r="L258">
        <v>37603</v>
      </c>
      <c r="M258">
        <v>38697</v>
      </c>
      <c r="N258">
        <v>40234</v>
      </c>
      <c r="O258">
        <v>41271</v>
      </c>
      <c r="P258">
        <v>45322</v>
      </c>
      <c r="Q258">
        <v>45735</v>
      </c>
      <c r="R258">
        <v>49293</v>
      </c>
    </row>
    <row r="259" spans="1:18">
      <c r="A259">
        <v>28820</v>
      </c>
      <c r="B259" t="s">
        <v>950</v>
      </c>
      <c r="C259" t="s">
        <v>1448</v>
      </c>
      <c r="D259" t="s">
        <v>1449</v>
      </c>
      <c r="E259">
        <v>32298</v>
      </c>
      <c r="F259">
        <v>33296</v>
      </c>
      <c r="G259">
        <v>35150</v>
      </c>
      <c r="H259">
        <v>34692</v>
      </c>
      <c r="I259">
        <v>35447</v>
      </c>
      <c r="J259">
        <v>35934</v>
      </c>
      <c r="K259">
        <v>36781</v>
      </c>
      <c r="L259">
        <v>38861</v>
      </c>
      <c r="M259">
        <v>39468</v>
      </c>
      <c r="N259">
        <v>41272</v>
      </c>
      <c r="O259">
        <v>44732</v>
      </c>
      <c r="P259">
        <v>49934</v>
      </c>
      <c r="Q259">
        <v>52017</v>
      </c>
      <c r="R259">
        <v>53456</v>
      </c>
    </row>
    <row r="260" spans="1:18">
      <c r="A260">
        <v>28860</v>
      </c>
      <c r="B260" t="s">
        <v>951</v>
      </c>
      <c r="C260" t="s">
        <v>1448</v>
      </c>
      <c r="D260" t="s">
        <v>1449</v>
      </c>
      <c r="E260">
        <v>27110</v>
      </c>
      <c r="F260">
        <v>28380</v>
      </c>
      <c r="G260">
        <v>28353</v>
      </c>
      <c r="H260">
        <v>29450</v>
      </c>
      <c r="I260">
        <v>30068</v>
      </c>
      <c r="J260">
        <v>30679</v>
      </c>
      <c r="K260">
        <v>30817</v>
      </c>
      <c r="L260">
        <v>31142</v>
      </c>
      <c r="M260">
        <v>31993</v>
      </c>
      <c r="N260">
        <v>32972</v>
      </c>
      <c r="O260">
        <v>35950</v>
      </c>
      <c r="P260">
        <v>38196</v>
      </c>
      <c r="Q260">
        <v>38140</v>
      </c>
      <c r="R260">
        <v>40934</v>
      </c>
    </row>
    <row r="261" spans="1:18">
      <c r="A261">
        <v>28900</v>
      </c>
      <c r="B261" t="s">
        <v>952</v>
      </c>
      <c r="C261" t="s">
        <v>1448</v>
      </c>
      <c r="D261" t="s">
        <v>1449</v>
      </c>
      <c r="E261">
        <v>29459</v>
      </c>
      <c r="F261">
        <v>30075</v>
      </c>
      <c r="G261">
        <v>30887</v>
      </c>
      <c r="H261">
        <v>31367</v>
      </c>
      <c r="I261">
        <v>33443</v>
      </c>
      <c r="J261">
        <v>35129</v>
      </c>
      <c r="K261">
        <v>36439</v>
      </c>
      <c r="L261">
        <v>37789</v>
      </c>
      <c r="M261">
        <v>39257</v>
      </c>
      <c r="N261">
        <v>39914</v>
      </c>
      <c r="O261">
        <v>43338</v>
      </c>
      <c r="P261">
        <v>47688</v>
      </c>
      <c r="Q261">
        <v>48655</v>
      </c>
      <c r="R261">
        <v>51246</v>
      </c>
    </row>
    <row r="262" spans="1:18">
      <c r="A262">
        <v>29060</v>
      </c>
      <c r="B262" t="s">
        <v>953</v>
      </c>
      <c r="C262" t="s">
        <v>1448</v>
      </c>
      <c r="D262" t="s">
        <v>1449</v>
      </c>
      <c r="E262">
        <v>44005</v>
      </c>
      <c r="F262">
        <v>46375</v>
      </c>
      <c r="G262">
        <v>48499</v>
      </c>
      <c r="H262">
        <v>49595</v>
      </c>
      <c r="I262">
        <v>50627</v>
      </c>
      <c r="J262">
        <v>53327</v>
      </c>
      <c r="K262">
        <v>54619</v>
      </c>
      <c r="L262">
        <v>56471</v>
      </c>
      <c r="M262">
        <v>59122</v>
      </c>
      <c r="N262">
        <v>63284</v>
      </c>
      <c r="O262">
        <v>67856</v>
      </c>
      <c r="P262">
        <v>71287</v>
      </c>
      <c r="Q262">
        <v>75351</v>
      </c>
      <c r="R262">
        <v>79465</v>
      </c>
    </row>
    <row r="263" spans="1:18">
      <c r="A263">
        <v>29260</v>
      </c>
      <c r="B263" t="s">
        <v>954</v>
      </c>
      <c r="C263" t="s">
        <v>1448</v>
      </c>
      <c r="D263" t="s">
        <v>1449</v>
      </c>
      <c r="E263">
        <v>30597</v>
      </c>
      <c r="F263">
        <v>31856</v>
      </c>
      <c r="G263">
        <v>32668</v>
      </c>
      <c r="H263">
        <v>33738</v>
      </c>
      <c r="I263">
        <v>35068</v>
      </c>
      <c r="J263">
        <v>36520</v>
      </c>
      <c r="K263">
        <v>36968</v>
      </c>
      <c r="L263">
        <v>38006</v>
      </c>
      <c r="M263">
        <v>40243</v>
      </c>
      <c r="N263">
        <v>41696</v>
      </c>
      <c r="O263">
        <v>45874</v>
      </c>
      <c r="P263">
        <v>49200</v>
      </c>
      <c r="Q263">
        <v>50308</v>
      </c>
      <c r="R263">
        <v>53469</v>
      </c>
    </row>
    <row r="264" spans="1:18">
      <c r="A264">
        <v>29300</v>
      </c>
      <c r="B264" t="s">
        <v>955</v>
      </c>
      <c r="C264" t="s">
        <v>1448</v>
      </c>
      <c r="D264" t="s">
        <v>1449</v>
      </c>
      <c r="E264">
        <v>29093</v>
      </c>
      <c r="F264">
        <v>30624</v>
      </c>
      <c r="G264">
        <v>31042</v>
      </c>
      <c r="H264">
        <v>30951</v>
      </c>
      <c r="I264">
        <v>31812</v>
      </c>
      <c r="J264">
        <v>32818</v>
      </c>
      <c r="K264">
        <v>33420</v>
      </c>
      <c r="L264">
        <v>33539</v>
      </c>
      <c r="M264">
        <v>34579</v>
      </c>
      <c r="N264">
        <v>36081</v>
      </c>
      <c r="O264">
        <v>39500</v>
      </c>
      <c r="P264">
        <v>43058</v>
      </c>
      <c r="Q264">
        <v>43405</v>
      </c>
      <c r="R264">
        <v>45407</v>
      </c>
    </row>
    <row r="265" spans="1:18">
      <c r="A265">
        <v>29380</v>
      </c>
      <c r="B265" t="s">
        <v>956</v>
      </c>
      <c r="C265" t="s">
        <v>1448</v>
      </c>
      <c r="D265" t="s">
        <v>1449</v>
      </c>
      <c r="E265">
        <v>28606</v>
      </c>
      <c r="F265">
        <v>29920</v>
      </c>
      <c r="G265">
        <v>29410</v>
      </c>
      <c r="H265">
        <v>29487</v>
      </c>
      <c r="I265">
        <v>30872</v>
      </c>
      <c r="J265">
        <v>32281</v>
      </c>
      <c r="K265">
        <v>32801</v>
      </c>
      <c r="L265">
        <v>34312</v>
      </c>
      <c r="M265">
        <v>35680</v>
      </c>
      <c r="N265">
        <v>36778</v>
      </c>
      <c r="O265">
        <v>40075</v>
      </c>
      <c r="P265">
        <v>43662</v>
      </c>
      <c r="Q265">
        <v>43339</v>
      </c>
      <c r="R265">
        <v>45995</v>
      </c>
    </row>
    <row r="266" spans="1:18">
      <c r="A266">
        <v>29500</v>
      </c>
      <c r="B266" t="s">
        <v>957</v>
      </c>
      <c r="C266" t="s">
        <v>1448</v>
      </c>
      <c r="D266" t="s">
        <v>1449</v>
      </c>
      <c r="E266">
        <v>32537</v>
      </c>
      <c r="F266">
        <v>30120</v>
      </c>
      <c r="G266">
        <v>31140</v>
      </c>
      <c r="H266">
        <v>40765</v>
      </c>
      <c r="I266">
        <v>35749</v>
      </c>
      <c r="J266">
        <v>33223</v>
      </c>
      <c r="K266">
        <v>33141</v>
      </c>
      <c r="L266">
        <v>37267</v>
      </c>
      <c r="M266">
        <v>42346</v>
      </c>
      <c r="N266">
        <v>40546</v>
      </c>
      <c r="O266">
        <v>43439</v>
      </c>
      <c r="P266">
        <v>45683</v>
      </c>
      <c r="Q266">
        <v>56349</v>
      </c>
      <c r="R266">
        <v>54953</v>
      </c>
    </row>
    <row r="267" spans="1:18">
      <c r="A267">
        <v>29660</v>
      </c>
      <c r="B267" t="s">
        <v>958</v>
      </c>
      <c r="C267" t="s">
        <v>1448</v>
      </c>
      <c r="D267" t="s">
        <v>1449</v>
      </c>
      <c r="E267">
        <v>34496</v>
      </c>
      <c r="F267">
        <v>38029</v>
      </c>
      <c r="G267">
        <v>38723</v>
      </c>
      <c r="H267">
        <v>38524</v>
      </c>
      <c r="I267">
        <v>39863</v>
      </c>
      <c r="J267">
        <v>40601</v>
      </c>
      <c r="K267">
        <v>39983</v>
      </c>
      <c r="L267">
        <v>40283</v>
      </c>
      <c r="M267">
        <v>42143</v>
      </c>
      <c r="N267">
        <v>42432</v>
      </c>
      <c r="O267">
        <v>46137</v>
      </c>
      <c r="P267">
        <v>49618</v>
      </c>
      <c r="Q267">
        <v>50607</v>
      </c>
      <c r="R267">
        <v>54052</v>
      </c>
    </row>
    <row r="268" spans="1:18">
      <c r="A268">
        <v>29780</v>
      </c>
      <c r="B268" t="s">
        <v>959</v>
      </c>
      <c r="C268" t="s">
        <v>1448</v>
      </c>
      <c r="D268" t="s">
        <v>1449</v>
      </c>
      <c r="E268">
        <v>30766</v>
      </c>
      <c r="F268">
        <v>31544</v>
      </c>
      <c r="G268">
        <v>31700</v>
      </c>
      <c r="H268">
        <v>30556</v>
      </c>
      <c r="I268">
        <v>33446</v>
      </c>
      <c r="J268">
        <v>34640</v>
      </c>
      <c r="K268">
        <v>34192</v>
      </c>
      <c r="L268">
        <v>33632</v>
      </c>
      <c r="M268">
        <v>35610</v>
      </c>
      <c r="N268">
        <v>37745</v>
      </c>
      <c r="O268">
        <v>41478</v>
      </c>
      <c r="P268">
        <v>45256</v>
      </c>
      <c r="Q268">
        <v>46941</v>
      </c>
      <c r="R268">
        <v>48323</v>
      </c>
    </row>
    <row r="269" spans="1:18">
      <c r="A269">
        <v>29860</v>
      </c>
      <c r="B269" t="s">
        <v>960</v>
      </c>
      <c r="C269" t="s">
        <v>1448</v>
      </c>
      <c r="D269" t="s">
        <v>1449</v>
      </c>
      <c r="E269">
        <v>32263</v>
      </c>
      <c r="F269">
        <v>32649</v>
      </c>
      <c r="G269">
        <v>34030</v>
      </c>
      <c r="H269">
        <v>34954</v>
      </c>
      <c r="I269">
        <v>37217</v>
      </c>
      <c r="J269">
        <v>36528</v>
      </c>
      <c r="K269">
        <v>35515</v>
      </c>
      <c r="L269">
        <v>37096</v>
      </c>
      <c r="M269">
        <v>38150</v>
      </c>
      <c r="N269">
        <v>39263</v>
      </c>
      <c r="O269">
        <v>41041</v>
      </c>
      <c r="P269">
        <v>44976</v>
      </c>
      <c r="Q269">
        <v>47993</v>
      </c>
      <c r="R269">
        <v>49032</v>
      </c>
    </row>
    <row r="270" spans="1:18">
      <c r="A270">
        <v>29900</v>
      </c>
      <c r="B270" t="s">
        <v>961</v>
      </c>
      <c r="C270" t="s">
        <v>1448</v>
      </c>
      <c r="D270" t="s">
        <v>1449</v>
      </c>
      <c r="E270">
        <v>29496</v>
      </c>
      <c r="F270">
        <v>28437</v>
      </c>
      <c r="G270">
        <v>28662</v>
      </c>
      <c r="H270">
        <v>28097</v>
      </c>
      <c r="I270">
        <v>29194</v>
      </c>
      <c r="J270">
        <v>30162</v>
      </c>
      <c r="K270">
        <v>30072</v>
      </c>
      <c r="L270">
        <v>31345</v>
      </c>
      <c r="M270">
        <v>32633</v>
      </c>
      <c r="N270">
        <v>34549</v>
      </c>
      <c r="O270">
        <v>37837</v>
      </c>
      <c r="P270">
        <v>42198</v>
      </c>
      <c r="Q270">
        <v>41779</v>
      </c>
      <c r="R270">
        <v>42838</v>
      </c>
    </row>
    <row r="271" spans="1:18">
      <c r="A271">
        <v>29980</v>
      </c>
      <c r="B271" t="s">
        <v>962</v>
      </c>
      <c r="C271" t="s">
        <v>1448</v>
      </c>
      <c r="D271" t="s">
        <v>1449</v>
      </c>
      <c r="E271">
        <v>27365</v>
      </c>
      <c r="F271">
        <v>28450</v>
      </c>
      <c r="G271">
        <v>29536</v>
      </c>
      <c r="H271">
        <v>30023</v>
      </c>
      <c r="I271">
        <v>30205</v>
      </c>
      <c r="J271">
        <v>31209</v>
      </c>
      <c r="K271">
        <v>32159</v>
      </c>
      <c r="L271">
        <v>33493</v>
      </c>
      <c r="M271">
        <v>34119</v>
      </c>
      <c r="N271">
        <v>35662</v>
      </c>
      <c r="O271">
        <v>37748</v>
      </c>
      <c r="P271">
        <v>41852</v>
      </c>
      <c r="Q271">
        <v>41698</v>
      </c>
      <c r="R271">
        <v>43273</v>
      </c>
    </row>
    <row r="272" spans="1:18">
      <c r="A272">
        <v>30060</v>
      </c>
      <c r="B272" t="s">
        <v>963</v>
      </c>
      <c r="C272" t="s">
        <v>1448</v>
      </c>
      <c r="D272" t="s">
        <v>1449</v>
      </c>
      <c r="E272">
        <v>27164</v>
      </c>
      <c r="F272">
        <v>28584</v>
      </c>
      <c r="G272">
        <v>29399</v>
      </c>
      <c r="H272">
        <v>29718</v>
      </c>
      <c r="I272">
        <v>30946</v>
      </c>
      <c r="J272">
        <v>31934</v>
      </c>
      <c r="K272">
        <v>32182</v>
      </c>
      <c r="L272">
        <v>34399</v>
      </c>
      <c r="M272">
        <v>35496</v>
      </c>
      <c r="N272">
        <v>35993</v>
      </c>
      <c r="O272">
        <v>39085</v>
      </c>
      <c r="P272">
        <v>42677</v>
      </c>
      <c r="Q272">
        <v>45468</v>
      </c>
      <c r="R272">
        <v>48249</v>
      </c>
    </row>
    <row r="273" spans="1:18">
      <c r="A273">
        <v>30100</v>
      </c>
      <c r="B273" t="s">
        <v>964</v>
      </c>
      <c r="C273" t="s">
        <v>1448</v>
      </c>
      <c r="D273" t="s">
        <v>1449</v>
      </c>
      <c r="E273">
        <v>42775</v>
      </c>
      <c r="F273">
        <v>44343</v>
      </c>
      <c r="G273">
        <v>45833</v>
      </c>
      <c r="H273">
        <v>45808</v>
      </c>
      <c r="I273">
        <v>48489</v>
      </c>
      <c r="J273">
        <v>50428</v>
      </c>
      <c r="K273">
        <v>51094</v>
      </c>
      <c r="L273">
        <v>52534</v>
      </c>
      <c r="M273">
        <v>55348</v>
      </c>
      <c r="N273">
        <v>59336</v>
      </c>
      <c r="O273">
        <v>63215</v>
      </c>
      <c r="P273">
        <v>67461</v>
      </c>
      <c r="Q273">
        <v>68307</v>
      </c>
      <c r="R273">
        <v>72891</v>
      </c>
    </row>
    <row r="274" spans="1:18">
      <c r="A274">
        <v>30220</v>
      </c>
      <c r="B274" t="s">
        <v>965</v>
      </c>
      <c r="C274" t="s">
        <v>1448</v>
      </c>
      <c r="D274" t="s">
        <v>1449</v>
      </c>
      <c r="E274">
        <v>36980</v>
      </c>
      <c r="F274">
        <v>39392</v>
      </c>
      <c r="G274">
        <v>40561</v>
      </c>
      <c r="H274">
        <v>43807</v>
      </c>
      <c r="I274">
        <v>43750</v>
      </c>
      <c r="J274">
        <v>40090</v>
      </c>
      <c r="K274">
        <v>38216</v>
      </c>
      <c r="L274">
        <v>42045</v>
      </c>
      <c r="M274">
        <v>43070</v>
      </c>
      <c r="N274">
        <v>44774</v>
      </c>
      <c r="O274">
        <v>48336</v>
      </c>
      <c r="P274">
        <v>50152</v>
      </c>
      <c r="Q274">
        <v>52411</v>
      </c>
      <c r="R274">
        <v>53348</v>
      </c>
    </row>
    <row r="275" spans="1:18">
      <c r="A275">
        <v>30260</v>
      </c>
      <c r="B275" t="s">
        <v>966</v>
      </c>
      <c r="C275" t="s">
        <v>1448</v>
      </c>
      <c r="D275" t="s">
        <v>1449</v>
      </c>
      <c r="E275">
        <v>30733</v>
      </c>
      <c r="F275">
        <v>32468</v>
      </c>
      <c r="G275">
        <v>33448</v>
      </c>
      <c r="H275">
        <v>34751</v>
      </c>
      <c r="I275">
        <v>35276</v>
      </c>
      <c r="J275">
        <v>35688</v>
      </c>
      <c r="K275">
        <v>36873</v>
      </c>
      <c r="L275">
        <v>39600</v>
      </c>
      <c r="M275">
        <v>40683</v>
      </c>
      <c r="N275">
        <v>43682</v>
      </c>
      <c r="O275">
        <v>47691</v>
      </c>
      <c r="P275">
        <v>50161</v>
      </c>
      <c r="Q275">
        <v>51099</v>
      </c>
      <c r="R275">
        <v>53495</v>
      </c>
    </row>
    <row r="276" spans="1:18">
      <c r="A276">
        <v>30280</v>
      </c>
      <c r="B276" t="s">
        <v>967</v>
      </c>
      <c r="C276" t="s">
        <v>1448</v>
      </c>
      <c r="D276" t="s">
        <v>1449</v>
      </c>
      <c r="E276">
        <v>27290</v>
      </c>
      <c r="F276">
        <v>28393</v>
      </c>
      <c r="G276">
        <v>30071</v>
      </c>
      <c r="H276">
        <v>31206</v>
      </c>
      <c r="I276">
        <v>32406</v>
      </c>
      <c r="J276">
        <v>34137</v>
      </c>
      <c r="K276">
        <v>35701</v>
      </c>
      <c r="L276">
        <v>36737</v>
      </c>
      <c r="M276">
        <v>38024</v>
      </c>
      <c r="N276">
        <v>40315</v>
      </c>
      <c r="O276">
        <v>43249</v>
      </c>
      <c r="P276">
        <v>47372</v>
      </c>
      <c r="Q276">
        <v>49111</v>
      </c>
      <c r="R276">
        <v>50555</v>
      </c>
    </row>
    <row r="277" spans="1:18">
      <c r="A277">
        <v>30380</v>
      </c>
      <c r="B277" t="s">
        <v>968</v>
      </c>
      <c r="C277" t="s">
        <v>1448</v>
      </c>
      <c r="D277" t="s">
        <v>1449</v>
      </c>
      <c r="E277">
        <v>30252</v>
      </c>
      <c r="F277">
        <v>31455</v>
      </c>
      <c r="G277">
        <v>31925</v>
      </c>
      <c r="H277">
        <v>32783</v>
      </c>
      <c r="I277">
        <v>33769</v>
      </c>
      <c r="J277">
        <v>34608</v>
      </c>
      <c r="K277">
        <v>35347</v>
      </c>
      <c r="L277">
        <v>36929</v>
      </c>
      <c r="M277">
        <v>38492</v>
      </c>
      <c r="N277">
        <v>39529</v>
      </c>
      <c r="O277">
        <v>43497</v>
      </c>
      <c r="P277">
        <v>46271</v>
      </c>
      <c r="Q277">
        <v>47383</v>
      </c>
      <c r="R277">
        <v>49197</v>
      </c>
    </row>
    <row r="278" spans="1:18">
      <c r="A278">
        <v>30420</v>
      </c>
      <c r="B278" t="s">
        <v>969</v>
      </c>
      <c r="C278" t="s">
        <v>1448</v>
      </c>
      <c r="D278" t="s">
        <v>1449</v>
      </c>
      <c r="E278">
        <v>31219</v>
      </c>
      <c r="F278">
        <v>36347</v>
      </c>
      <c r="G278">
        <v>37694</v>
      </c>
      <c r="H278">
        <v>41029</v>
      </c>
      <c r="I278">
        <v>42144</v>
      </c>
      <c r="J278">
        <v>43571</v>
      </c>
      <c r="K278">
        <v>42458</v>
      </c>
      <c r="L278">
        <v>40641</v>
      </c>
      <c r="M278">
        <v>41601</v>
      </c>
      <c r="N278">
        <v>44880</v>
      </c>
      <c r="O278">
        <v>48780</v>
      </c>
      <c r="P278">
        <v>54743</v>
      </c>
      <c r="Q278">
        <v>53781</v>
      </c>
      <c r="R278">
        <v>56310</v>
      </c>
    </row>
    <row r="279" spans="1:18">
      <c r="A279">
        <v>30580</v>
      </c>
      <c r="B279" t="s">
        <v>970</v>
      </c>
      <c r="C279" t="s">
        <v>1448</v>
      </c>
      <c r="D279" t="s">
        <v>1449</v>
      </c>
      <c r="E279">
        <v>29938</v>
      </c>
      <c r="F279">
        <v>33146</v>
      </c>
      <c r="G279">
        <v>32087</v>
      </c>
      <c r="H279">
        <v>36278</v>
      </c>
      <c r="I279">
        <v>36828</v>
      </c>
      <c r="J279">
        <v>35571</v>
      </c>
      <c r="K279">
        <v>34863</v>
      </c>
      <c r="L279">
        <v>35056</v>
      </c>
      <c r="M279">
        <v>35882</v>
      </c>
      <c r="N279">
        <v>37070</v>
      </c>
      <c r="O279">
        <v>42451</v>
      </c>
      <c r="P279">
        <v>46431</v>
      </c>
      <c r="Q279">
        <v>46726</v>
      </c>
      <c r="R279">
        <v>47846</v>
      </c>
    </row>
    <row r="280" spans="1:18">
      <c r="A280">
        <v>30660</v>
      </c>
      <c r="B280" t="s">
        <v>971</v>
      </c>
      <c r="C280" t="s">
        <v>1448</v>
      </c>
      <c r="D280" t="s">
        <v>1449</v>
      </c>
      <c r="E280">
        <v>30195</v>
      </c>
      <c r="F280">
        <v>32784</v>
      </c>
      <c r="G280">
        <v>31234</v>
      </c>
      <c r="H280">
        <v>35720</v>
      </c>
      <c r="I280">
        <v>33515</v>
      </c>
      <c r="J280">
        <v>33521</v>
      </c>
      <c r="K280">
        <v>35028</v>
      </c>
      <c r="L280">
        <v>35208</v>
      </c>
      <c r="M280">
        <v>37017</v>
      </c>
      <c r="N280">
        <v>38017</v>
      </c>
      <c r="O280">
        <v>42237</v>
      </c>
      <c r="P280">
        <v>47569</v>
      </c>
      <c r="Q280">
        <v>48722</v>
      </c>
      <c r="R280">
        <v>49419</v>
      </c>
    </row>
    <row r="281" spans="1:18">
      <c r="A281">
        <v>30820</v>
      </c>
      <c r="B281" t="s">
        <v>972</v>
      </c>
      <c r="C281" t="s">
        <v>1448</v>
      </c>
      <c r="D281" t="s">
        <v>1449</v>
      </c>
      <c r="E281">
        <v>29848</v>
      </c>
      <c r="F281">
        <v>32177</v>
      </c>
      <c r="G281">
        <v>33057</v>
      </c>
      <c r="H281">
        <v>33312</v>
      </c>
      <c r="I281">
        <v>35092</v>
      </c>
      <c r="J281">
        <v>36296</v>
      </c>
      <c r="K281">
        <v>36359</v>
      </c>
      <c r="L281">
        <v>37918</v>
      </c>
      <c r="M281">
        <v>39463</v>
      </c>
      <c r="N281">
        <v>41191</v>
      </c>
      <c r="O281">
        <v>45442</v>
      </c>
      <c r="P281">
        <v>46633</v>
      </c>
      <c r="Q281">
        <v>46366</v>
      </c>
      <c r="R281">
        <v>48383</v>
      </c>
    </row>
    <row r="282" spans="1:18">
      <c r="A282">
        <v>30900</v>
      </c>
      <c r="B282" t="s">
        <v>973</v>
      </c>
      <c r="C282" t="s">
        <v>1448</v>
      </c>
      <c r="D282" t="s">
        <v>1449</v>
      </c>
      <c r="E282">
        <v>29943</v>
      </c>
      <c r="F282">
        <v>31442</v>
      </c>
      <c r="G282">
        <v>32530</v>
      </c>
      <c r="H282">
        <v>33579</v>
      </c>
      <c r="I282">
        <v>34333</v>
      </c>
      <c r="J282">
        <v>34624</v>
      </c>
      <c r="K282">
        <v>35287</v>
      </c>
      <c r="L282">
        <v>36582</v>
      </c>
      <c r="M282">
        <v>37839</v>
      </c>
      <c r="N282">
        <v>39569</v>
      </c>
      <c r="O282">
        <v>42886</v>
      </c>
      <c r="P282">
        <v>47770</v>
      </c>
      <c r="Q282">
        <v>47582</v>
      </c>
      <c r="R282">
        <v>49257</v>
      </c>
    </row>
    <row r="283" spans="1:18">
      <c r="A283">
        <v>30940</v>
      </c>
      <c r="B283" t="s">
        <v>974</v>
      </c>
      <c r="C283" t="s">
        <v>1448</v>
      </c>
      <c r="D283" t="s">
        <v>1449</v>
      </c>
      <c r="E283">
        <v>26959</v>
      </c>
      <c r="F283">
        <v>27492</v>
      </c>
      <c r="G283">
        <v>27720</v>
      </c>
      <c r="H283">
        <v>27397</v>
      </c>
      <c r="I283">
        <v>28815</v>
      </c>
      <c r="J283">
        <v>29930</v>
      </c>
      <c r="K283">
        <v>30286</v>
      </c>
      <c r="L283">
        <v>31047</v>
      </c>
      <c r="M283">
        <v>31585</v>
      </c>
      <c r="N283">
        <v>32680</v>
      </c>
      <c r="O283">
        <v>36963</v>
      </c>
      <c r="P283">
        <v>40920</v>
      </c>
      <c r="Q283">
        <v>40079</v>
      </c>
      <c r="R283">
        <v>42133</v>
      </c>
    </row>
    <row r="284" spans="1:18">
      <c r="A284">
        <v>31060</v>
      </c>
      <c r="B284" t="s">
        <v>975</v>
      </c>
      <c r="C284" t="s">
        <v>1448</v>
      </c>
      <c r="D284" t="s">
        <v>1449</v>
      </c>
      <c r="E284">
        <v>61004</v>
      </c>
      <c r="F284">
        <v>63215</v>
      </c>
      <c r="G284">
        <v>62241</v>
      </c>
      <c r="H284">
        <v>59903</v>
      </c>
      <c r="I284">
        <v>62413</v>
      </c>
      <c r="J284">
        <v>63852</v>
      </c>
      <c r="K284">
        <v>66930</v>
      </c>
      <c r="L284">
        <v>67169</v>
      </c>
      <c r="M284">
        <v>70298</v>
      </c>
      <c r="N284">
        <v>71989</v>
      </c>
      <c r="O284">
        <v>74923</v>
      </c>
      <c r="P284">
        <v>81289</v>
      </c>
      <c r="Q284">
        <v>86905</v>
      </c>
      <c r="R284">
        <v>91773</v>
      </c>
    </row>
    <row r="285" spans="1:18">
      <c r="A285">
        <v>31220</v>
      </c>
      <c r="B285" t="s">
        <v>976</v>
      </c>
      <c r="C285" t="s">
        <v>1448</v>
      </c>
      <c r="D285" t="s">
        <v>1449</v>
      </c>
      <c r="E285">
        <v>31922</v>
      </c>
      <c r="F285">
        <v>32873</v>
      </c>
      <c r="G285">
        <v>33774</v>
      </c>
      <c r="H285">
        <v>34287</v>
      </c>
      <c r="I285">
        <v>35822</v>
      </c>
      <c r="J285">
        <v>37296</v>
      </c>
      <c r="K285">
        <v>37752</v>
      </c>
      <c r="L285">
        <v>38711</v>
      </c>
      <c r="M285">
        <v>40234</v>
      </c>
      <c r="N285">
        <v>41167</v>
      </c>
      <c r="O285">
        <v>45611</v>
      </c>
      <c r="P285">
        <v>48622</v>
      </c>
      <c r="Q285">
        <v>47967</v>
      </c>
      <c r="R285">
        <v>50216</v>
      </c>
    </row>
    <row r="286" spans="1:18">
      <c r="A286">
        <v>31260</v>
      </c>
      <c r="B286" t="s">
        <v>977</v>
      </c>
      <c r="C286" t="s">
        <v>1448</v>
      </c>
      <c r="D286" t="s">
        <v>1449</v>
      </c>
      <c r="E286">
        <v>31879</v>
      </c>
      <c r="F286">
        <v>33838</v>
      </c>
      <c r="G286">
        <v>35470</v>
      </c>
      <c r="H286">
        <v>34915</v>
      </c>
      <c r="I286">
        <v>37109</v>
      </c>
      <c r="J286">
        <v>37868</v>
      </c>
      <c r="K286">
        <v>36862</v>
      </c>
      <c r="L286">
        <v>37325</v>
      </c>
      <c r="M286">
        <v>38915</v>
      </c>
      <c r="N286">
        <v>40036</v>
      </c>
      <c r="O286">
        <v>42753</v>
      </c>
      <c r="P286">
        <v>46679</v>
      </c>
      <c r="Q286">
        <v>48246</v>
      </c>
      <c r="R286">
        <v>51080</v>
      </c>
    </row>
    <row r="287" spans="1:18">
      <c r="A287">
        <v>31300</v>
      </c>
      <c r="B287" t="s">
        <v>978</v>
      </c>
      <c r="C287" t="s">
        <v>1448</v>
      </c>
      <c r="D287" t="s">
        <v>1449</v>
      </c>
      <c r="E287">
        <v>25006</v>
      </c>
      <c r="F287">
        <v>25478</v>
      </c>
      <c r="G287">
        <v>26444</v>
      </c>
      <c r="H287">
        <v>26986</v>
      </c>
      <c r="I287">
        <v>28068</v>
      </c>
      <c r="J287">
        <v>28378</v>
      </c>
      <c r="K287">
        <v>29155</v>
      </c>
      <c r="L287">
        <v>29995</v>
      </c>
      <c r="M287">
        <v>31358</v>
      </c>
      <c r="N287">
        <v>33589</v>
      </c>
      <c r="O287">
        <v>36892</v>
      </c>
      <c r="P287">
        <v>41678</v>
      </c>
      <c r="Q287">
        <v>42544</v>
      </c>
      <c r="R287">
        <v>43550</v>
      </c>
    </row>
    <row r="288" spans="1:18">
      <c r="A288">
        <v>31380</v>
      </c>
      <c r="B288" t="s">
        <v>979</v>
      </c>
      <c r="C288" t="s">
        <v>1448</v>
      </c>
      <c r="D288" t="s">
        <v>1449</v>
      </c>
      <c r="E288">
        <v>32122</v>
      </c>
      <c r="F288">
        <v>33796</v>
      </c>
      <c r="G288">
        <v>33781</v>
      </c>
      <c r="H288">
        <v>37031</v>
      </c>
      <c r="I288">
        <v>36828</v>
      </c>
      <c r="J288">
        <v>36463</v>
      </c>
      <c r="K288">
        <v>37711</v>
      </c>
      <c r="L288">
        <v>38574</v>
      </c>
      <c r="M288">
        <v>39886</v>
      </c>
      <c r="N288">
        <v>40259</v>
      </c>
      <c r="O288">
        <v>44505</v>
      </c>
      <c r="P288">
        <v>48373</v>
      </c>
      <c r="Q288">
        <v>49134</v>
      </c>
      <c r="R288">
        <v>50246</v>
      </c>
    </row>
    <row r="289" spans="1:18">
      <c r="A289">
        <v>31500</v>
      </c>
      <c r="B289" t="s">
        <v>980</v>
      </c>
      <c r="C289" t="s">
        <v>1448</v>
      </c>
      <c r="D289" t="s">
        <v>1449</v>
      </c>
      <c r="E289">
        <v>32917</v>
      </c>
      <c r="F289">
        <v>34513</v>
      </c>
      <c r="G289">
        <v>35507</v>
      </c>
      <c r="H289">
        <v>35510</v>
      </c>
      <c r="I289">
        <v>36325</v>
      </c>
      <c r="J289">
        <v>37947</v>
      </c>
      <c r="K289">
        <v>38089</v>
      </c>
      <c r="L289">
        <v>39101</v>
      </c>
      <c r="M289">
        <v>40880</v>
      </c>
      <c r="N289">
        <v>43337</v>
      </c>
      <c r="O289">
        <v>47155</v>
      </c>
      <c r="P289">
        <v>50437</v>
      </c>
      <c r="Q289">
        <v>52647</v>
      </c>
      <c r="R289">
        <v>54925</v>
      </c>
    </row>
    <row r="290" spans="1:18">
      <c r="A290">
        <v>31580</v>
      </c>
      <c r="B290" t="s">
        <v>981</v>
      </c>
      <c r="C290" t="s">
        <v>1448</v>
      </c>
      <c r="D290" t="s">
        <v>1449</v>
      </c>
      <c r="E290">
        <v>31553</v>
      </c>
      <c r="F290">
        <v>33021</v>
      </c>
      <c r="G290">
        <v>34131</v>
      </c>
      <c r="H290">
        <v>34761</v>
      </c>
      <c r="I290">
        <v>36369</v>
      </c>
      <c r="J290">
        <v>37042</v>
      </c>
      <c r="K290">
        <v>36708</v>
      </c>
      <c r="L290">
        <v>38041</v>
      </c>
      <c r="M290">
        <v>38226</v>
      </c>
      <c r="N290">
        <v>39917</v>
      </c>
      <c r="O290">
        <v>42204</v>
      </c>
      <c r="P290">
        <v>46187</v>
      </c>
      <c r="Q290">
        <v>47331</v>
      </c>
      <c r="R290">
        <v>49158</v>
      </c>
    </row>
    <row r="291" spans="1:18">
      <c r="A291">
        <v>31620</v>
      </c>
      <c r="B291" t="s">
        <v>982</v>
      </c>
      <c r="C291" t="s">
        <v>1448</v>
      </c>
      <c r="D291" t="s">
        <v>1449</v>
      </c>
      <c r="E291">
        <v>29963</v>
      </c>
      <c r="F291">
        <v>31683</v>
      </c>
      <c r="G291">
        <v>33712</v>
      </c>
      <c r="H291">
        <v>33493</v>
      </c>
      <c r="I291">
        <v>35674</v>
      </c>
      <c r="J291">
        <v>34716</v>
      </c>
      <c r="K291">
        <v>34771</v>
      </c>
      <c r="L291">
        <v>36894</v>
      </c>
      <c r="M291">
        <v>36961</v>
      </c>
      <c r="N291">
        <v>38072</v>
      </c>
      <c r="O291">
        <v>41308</v>
      </c>
      <c r="P291">
        <v>44543</v>
      </c>
      <c r="Q291">
        <v>45919</v>
      </c>
      <c r="R291">
        <v>48542</v>
      </c>
    </row>
    <row r="292" spans="1:18">
      <c r="A292">
        <v>31660</v>
      </c>
      <c r="B292" t="s">
        <v>983</v>
      </c>
      <c r="C292" t="s">
        <v>1448</v>
      </c>
      <c r="D292" t="s">
        <v>1449</v>
      </c>
      <c r="E292">
        <v>31396</v>
      </c>
      <c r="F292">
        <v>32623</v>
      </c>
      <c r="G292">
        <v>33160</v>
      </c>
      <c r="H292">
        <v>33911</v>
      </c>
      <c r="I292">
        <v>34166</v>
      </c>
      <c r="J292">
        <v>35278</v>
      </c>
      <c r="K292">
        <v>35635</v>
      </c>
      <c r="L292">
        <v>38000</v>
      </c>
      <c r="M292">
        <v>38441</v>
      </c>
      <c r="N292">
        <v>41077</v>
      </c>
      <c r="O292">
        <v>45388</v>
      </c>
      <c r="P292">
        <v>49230</v>
      </c>
      <c r="Q292">
        <v>50094</v>
      </c>
      <c r="R292">
        <v>53153</v>
      </c>
    </row>
    <row r="293" spans="1:18">
      <c r="A293">
        <v>31680</v>
      </c>
      <c r="B293" t="s">
        <v>984</v>
      </c>
      <c r="C293" t="s">
        <v>1448</v>
      </c>
      <c r="D293" t="s">
        <v>1449</v>
      </c>
      <c r="E293">
        <v>25514</v>
      </c>
      <c r="F293">
        <v>26617</v>
      </c>
      <c r="G293">
        <v>27116</v>
      </c>
      <c r="H293">
        <v>26873</v>
      </c>
      <c r="I293">
        <v>28306</v>
      </c>
      <c r="J293">
        <v>28810</v>
      </c>
      <c r="K293">
        <v>29548</v>
      </c>
      <c r="L293">
        <v>30302</v>
      </c>
      <c r="M293">
        <v>31213</v>
      </c>
      <c r="N293">
        <v>32246</v>
      </c>
      <c r="O293">
        <v>35004</v>
      </c>
      <c r="P293">
        <v>37726</v>
      </c>
      <c r="Q293">
        <v>38566</v>
      </c>
      <c r="R293">
        <v>39936</v>
      </c>
    </row>
    <row r="294" spans="1:18">
      <c r="A294">
        <v>31820</v>
      </c>
      <c r="B294" t="s">
        <v>985</v>
      </c>
      <c r="C294" t="s">
        <v>1448</v>
      </c>
      <c r="D294" t="s">
        <v>1449</v>
      </c>
      <c r="E294">
        <v>38248</v>
      </c>
      <c r="F294">
        <v>39982</v>
      </c>
      <c r="G294">
        <v>40725</v>
      </c>
      <c r="H294">
        <v>40104</v>
      </c>
      <c r="I294">
        <v>41392</v>
      </c>
      <c r="J294">
        <v>43011</v>
      </c>
      <c r="K294">
        <v>42904</v>
      </c>
      <c r="L294">
        <v>44194</v>
      </c>
      <c r="M294">
        <v>45365</v>
      </c>
      <c r="N294">
        <v>46757</v>
      </c>
      <c r="O294">
        <v>49331</v>
      </c>
      <c r="P294">
        <v>53664</v>
      </c>
      <c r="Q294">
        <v>55070</v>
      </c>
      <c r="R294">
        <v>57585</v>
      </c>
    </row>
    <row r="295" spans="1:18">
      <c r="A295">
        <v>31930</v>
      </c>
      <c r="B295" t="s">
        <v>986</v>
      </c>
      <c r="C295" t="s">
        <v>1448</v>
      </c>
      <c r="D295" t="s">
        <v>1449</v>
      </c>
      <c r="E295">
        <v>31792</v>
      </c>
      <c r="F295">
        <v>33930</v>
      </c>
      <c r="G295">
        <v>35242</v>
      </c>
      <c r="H295">
        <v>35843</v>
      </c>
      <c r="I295">
        <v>37727</v>
      </c>
      <c r="J295">
        <v>39109</v>
      </c>
      <c r="K295">
        <v>39074</v>
      </c>
      <c r="L295">
        <v>40297</v>
      </c>
      <c r="M295">
        <v>42910</v>
      </c>
      <c r="N295">
        <v>44189</v>
      </c>
      <c r="O295">
        <v>46766</v>
      </c>
      <c r="P295">
        <v>51416</v>
      </c>
      <c r="Q295">
        <v>51493</v>
      </c>
      <c r="R295">
        <v>55168</v>
      </c>
    </row>
    <row r="296" spans="1:18">
      <c r="A296">
        <v>31940</v>
      </c>
      <c r="B296" t="s">
        <v>987</v>
      </c>
      <c r="C296" t="s">
        <v>1448</v>
      </c>
      <c r="D296" t="s">
        <v>1449</v>
      </c>
      <c r="E296">
        <v>33453</v>
      </c>
      <c r="F296">
        <v>35339</v>
      </c>
      <c r="G296">
        <v>36463</v>
      </c>
      <c r="H296">
        <v>36482</v>
      </c>
      <c r="I296">
        <v>37989</v>
      </c>
      <c r="J296">
        <v>38916</v>
      </c>
      <c r="K296">
        <v>39168</v>
      </c>
      <c r="L296">
        <v>40719</v>
      </c>
      <c r="M296">
        <v>42910</v>
      </c>
      <c r="N296">
        <v>43454</v>
      </c>
      <c r="O296">
        <v>46228</v>
      </c>
      <c r="P296">
        <v>50516</v>
      </c>
      <c r="Q296">
        <v>50555</v>
      </c>
      <c r="R296">
        <v>52631</v>
      </c>
    </row>
    <row r="297" spans="1:18">
      <c r="A297">
        <v>31980</v>
      </c>
      <c r="B297" t="s">
        <v>988</v>
      </c>
      <c r="C297" t="s">
        <v>1448</v>
      </c>
      <c r="D297" t="s">
        <v>1449</v>
      </c>
      <c r="E297">
        <v>30563</v>
      </c>
      <c r="F297">
        <v>31721</v>
      </c>
      <c r="G297">
        <v>33529</v>
      </c>
      <c r="H297">
        <v>33991</v>
      </c>
      <c r="I297">
        <v>35036</v>
      </c>
      <c r="J297">
        <v>36365</v>
      </c>
      <c r="K297">
        <v>36664</v>
      </c>
      <c r="L297">
        <v>37123</v>
      </c>
      <c r="M297">
        <v>39077</v>
      </c>
      <c r="N297">
        <v>38827</v>
      </c>
      <c r="O297">
        <v>42460</v>
      </c>
      <c r="P297">
        <v>47161</v>
      </c>
      <c r="Q297">
        <v>47879</v>
      </c>
      <c r="R297">
        <v>49748</v>
      </c>
    </row>
    <row r="298" spans="1:18">
      <c r="A298">
        <v>32000</v>
      </c>
      <c r="B298" t="s">
        <v>989</v>
      </c>
      <c r="C298" t="s">
        <v>1448</v>
      </c>
      <c r="D298" t="s">
        <v>1449</v>
      </c>
      <c r="E298">
        <v>26263</v>
      </c>
      <c r="F298">
        <v>27107</v>
      </c>
      <c r="G298">
        <v>27712</v>
      </c>
      <c r="H298">
        <v>28059</v>
      </c>
      <c r="I298">
        <v>29492</v>
      </c>
      <c r="J298">
        <v>30990</v>
      </c>
      <c r="K298">
        <v>31904</v>
      </c>
      <c r="L298">
        <v>33780</v>
      </c>
      <c r="M298">
        <v>34781</v>
      </c>
      <c r="N298">
        <v>36293</v>
      </c>
      <c r="O298">
        <v>39692</v>
      </c>
      <c r="P298">
        <v>43835</v>
      </c>
      <c r="Q298">
        <v>45094</v>
      </c>
      <c r="R298">
        <v>47124</v>
      </c>
    </row>
    <row r="299" spans="1:18">
      <c r="A299">
        <v>32020</v>
      </c>
      <c r="B299" t="s">
        <v>990</v>
      </c>
      <c r="C299" t="s">
        <v>1448</v>
      </c>
      <c r="D299" t="s">
        <v>1449</v>
      </c>
      <c r="E299">
        <v>29258</v>
      </c>
      <c r="F299">
        <v>30266</v>
      </c>
      <c r="G299">
        <v>30879</v>
      </c>
      <c r="H299">
        <v>31332</v>
      </c>
      <c r="I299">
        <v>31891</v>
      </c>
      <c r="J299">
        <v>32741</v>
      </c>
      <c r="K299">
        <v>34161</v>
      </c>
      <c r="L299">
        <v>35874</v>
      </c>
      <c r="M299">
        <v>36717</v>
      </c>
      <c r="N299">
        <v>36854</v>
      </c>
      <c r="O299">
        <v>40518</v>
      </c>
      <c r="P299">
        <v>42842</v>
      </c>
      <c r="Q299">
        <v>43623</v>
      </c>
      <c r="R299">
        <v>45112</v>
      </c>
    </row>
    <row r="300" spans="1:18">
      <c r="A300">
        <v>32100</v>
      </c>
      <c r="B300" t="s">
        <v>991</v>
      </c>
      <c r="C300" t="s">
        <v>1448</v>
      </c>
      <c r="D300" t="s">
        <v>1449</v>
      </c>
      <c r="E300">
        <v>32364</v>
      </c>
      <c r="F300">
        <v>32997</v>
      </c>
      <c r="G300">
        <v>34240</v>
      </c>
      <c r="H300">
        <v>33839</v>
      </c>
      <c r="I300">
        <v>34740</v>
      </c>
      <c r="J300">
        <v>36009</v>
      </c>
      <c r="K300">
        <v>36862</v>
      </c>
      <c r="L300">
        <v>37456</v>
      </c>
      <c r="M300">
        <v>38820</v>
      </c>
      <c r="N300">
        <v>40021</v>
      </c>
      <c r="O300">
        <v>44168</v>
      </c>
      <c r="P300">
        <v>48207</v>
      </c>
      <c r="Q300">
        <v>46796</v>
      </c>
      <c r="R300">
        <v>49300</v>
      </c>
    </row>
    <row r="301" spans="1:18">
      <c r="A301">
        <v>32140</v>
      </c>
      <c r="B301" t="s">
        <v>992</v>
      </c>
      <c r="C301" t="s">
        <v>1448</v>
      </c>
      <c r="D301" t="s">
        <v>1449</v>
      </c>
      <c r="E301">
        <v>37434</v>
      </c>
      <c r="F301">
        <v>40535</v>
      </c>
      <c r="G301">
        <v>42244</v>
      </c>
      <c r="H301">
        <v>43206</v>
      </c>
      <c r="I301">
        <v>43769</v>
      </c>
      <c r="J301">
        <v>45454</v>
      </c>
      <c r="K301">
        <v>44079</v>
      </c>
      <c r="L301">
        <v>47173</v>
      </c>
      <c r="M301">
        <v>48141</v>
      </c>
      <c r="N301">
        <v>48759</v>
      </c>
      <c r="O301">
        <v>53627</v>
      </c>
      <c r="P301">
        <v>58785</v>
      </c>
      <c r="Q301">
        <v>61858</v>
      </c>
      <c r="R301">
        <v>61228</v>
      </c>
    </row>
    <row r="302" spans="1:18">
      <c r="A302">
        <v>32180</v>
      </c>
      <c r="B302" t="s">
        <v>993</v>
      </c>
      <c r="C302" t="s">
        <v>1448</v>
      </c>
      <c r="D302" t="s">
        <v>1449</v>
      </c>
      <c r="E302">
        <v>32755</v>
      </c>
      <c r="F302">
        <v>36819</v>
      </c>
      <c r="G302">
        <v>35110</v>
      </c>
      <c r="H302">
        <v>38006</v>
      </c>
      <c r="I302">
        <v>37826</v>
      </c>
      <c r="J302">
        <v>35239</v>
      </c>
      <c r="K302">
        <v>36131</v>
      </c>
      <c r="L302">
        <v>36198</v>
      </c>
      <c r="M302">
        <v>35336</v>
      </c>
      <c r="N302">
        <v>37494</v>
      </c>
      <c r="O302">
        <v>41688</v>
      </c>
      <c r="P302">
        <v>45367</v>
      </c>
      <c r="Q302">
        <v>48975</v>
      </c>
      <c r="R302">
        <v>51636</v>
      </c>
    </row>
    <row r="303" spans="1:18">
      <c r="A303">
        <v>32260</v>
      </c>
      <c r="B303" t="s">
        <v>994</v>
      </c>
      <c r="C303" t="s">
        <v>1448</v>
      </c>
      <c r="D303" t="s">
        <v>1449</v>
      </c>
      <c r="E303">
        <v>33753</v>
      </c>
      <c r="F303">
        <v>35819</v>
      </c>
      <c r="G303">
        <v>36954</v>
      </c>
      <c r="H303">
        <v>37385</v>
      </c>
      <c r="I303">
        <v>38124</v>
      </c>
      <c r="J303">
        <v>39946</v>
      </c>
      <c r="K303">
        <v>41042</v>
      </c>
      <c r="L303">
        <v>39786</v>
      </c>
      <c r="M303">
        <v>41423</v>
      </c>
      <c r="N303">
        <v>42835</v>
      </c>
      <c r="O303">
        <v>45572</v>
      </c>
      <c r="P303">
        <v>49988</v>
      </c>
      <c r="Q303">
        <v>49455</v>
      </c>
      <c r="R303">
        <v>49357</v>
      </c>
    </row>
    <row r="304" spans="1:18">
      <c r="A304">
        <v>32280</v>
      </c>
      <c r="B304" t="s">
        <v>995</v>
      </c>
      <c r="C304" t="s">
        <v>1448</v>
      </c>
      <c r="D304" t="s">
        <v>1449</v>
      </c>
      <c r="E304">
        <v>28215</v>
      </c>
      <c r="F304">
        <v>30356</v>
      </c>
      <c r="G304">
        <v>30296</v>
      </c>
      <c r="H304">
        <v>32401</v>
      </c>
      <c r="I304">
        <v>32339</v>
      </c>
      <c r="J304">
        <v>32312</v>
      </c>
      <c r="K304">
        <v>32891</v>
      </c>
      <c r="L304">
        <v>34104</v>
      </c>
      <c r="M304">
        <v>35089</v>
      </c>
      <c r="N304">
        <v>38212</v>
      </c>
      <c r="O304">
        <v>40681</v>
      </c>
      <c r="P304">
        <v>45980</v>
      </c>
      <c r="Q304">
        <v>45740</v>
      </c>
      <c r="R304">
        <v>47451</v>
      </c>
    </row>
    <row r="305" spans="1:18">
      <c r="A305">
        <v>32300</v>
      </c>
      <c r="B305" t="s">
        <v>996</v>
      </c>
      <c r="C305" t="s">
        <v>1448</v>
      </c>
      <c r="D305" t="s">
        <v>1449</v>
      </c>
      <c r="E305">
        <v>30327</v>
      </c>
      <c r="F305">
        <v>31091</v>
      </c>
      <c r="G305">
        <v>31912</v>
      </c>
      <c r="H305">
        <v>31690</v>
      </c>
      <c r="I305">
        <v>32979</v>
      </c>
      <c r="J305">
        <v>34179</v>
      </c>
      <c r="K305">
        <v>34971</v>
      </c>
      <c r="L305">
        <v>35768</v>
      </c>
      <c r="M305">
        <v>36925</v>
      </c>
      <c r="N305">
        <v>38398</v>
      </c>
      <c r="O305">
        <v>41828</v>
      </c>
      <c r="P305">
        <v>45653</v>
      </c>
      <c r="Q305">
        <v>47430</v>
      </c>
      <c r="R305">
        <v>50015</v>
      </c>
    </row>
    <row r="306" spans="1:18">
      <c r="A306">
        <v>32340</v>
      </c>
      <c r="B306" t="s">
        <v>997</v>
      </c>
      <c r="C306" t="s">
        <v>1448</v>
      </c>
      <c r="D306" t="s">
        <v>1449</v>
      </c>
      <c r="E306">
        <v>26568</v>
      </c>
      <c r="F306">
        <v>27519</v>
      </c>
      <c r="G306">
        <v>27509</v>
      </c>
      <c r="H306">
        <v>29394</v>
      </c>
      <c r="I306">
        <v>28840</v>
      </c>
      <c r="J306">
        <v>27652</v>
      </c>
      <c r="K306">
        <v>28872</v>
      </c>
      <c r="L306">
        <v>29784</v>
      </c>
      <c r="M306">
        <v>31168</v>
      </c>
      <c r="N306">
        <v>33122</v>
      </c>
      <c r="O306">
        <v>38111</v>
      </c>
      <c r="P306">
        <v>40139</v>
      </c>
      <c r="Q306">
        <v>42191</v>
      </c>
      <c r="R306">
        <v>44338</v>
      </c>
    </row>
    <row r="307" spans="1:18">
      <c r="A307">
        <v>32380</v>
      </c>
      <c r="B307" t="s">
        <v>998</v>
      </c>
      <c r="C307" t="s">
        <v>1448</v>
      </c>
      <c r="D307" t="s">
        <v>1449</v>
      </c>
      <c r="E307">
        <v>38407</v>
      </c>
      <c r="F307">
        <v>41104</v>
      </c>
      <c r="G307">
        <v>43697</v>
      </c>
      <c r="H307">
        <v>45542</v>
      </c>
      <c r="I307">
        <v>48429</v>
      </c>
      <c r="J307">
        <v>50404</v>
      </c>
      <c r="K307">
        <v>48566</v>
      </c>
      <c r="L307">
        <v>46660</v>
      </c>
      <c r="M307">
        <v>48149</v>
      </c>
      <c r="N307">
        <v>48178</v>
      </c>
      <c r="O307">
        <v>51331</v>
      </c>
      <c r="P307">
        <v>60347</v>
      </c>
      <c r="Q307">
        <v>73608</v>
      </c>
      <c r="R307">
        <v>76045</v>
      </c>
    </row>
    <row r="308" spans="1:18">
      <c r="A308">
        <v>32460</v>
      </c>
      <c r="B308" t="s">
        <v>999</v>
      </c>
      <c r="C308" t="s">
        <v>1448</v>
      </c>
      <c r="D308" t="s">
        <v>1449</v>
      </c>
      <c r="E308">
        <v>30236</v>
      </c>
      <c r="F308">
        <v>31844</v>
      </c>
      <c r="G308">
        <v>31830</v>
      </c>
      <c r="H308">
        <v>34056</v>
      </c>
      <c r="I308">
        <v>34255</v>
      </c>
      <c r="J308">
        <v>35433</v>
      </c>
      <c r="K308">
        <v>35199</v>
      </c>
      <c r="L308">
        <v>36640</v>
      </c>
      <c r="M308">
        <v>37374</v>
      </c>
      <c r="N308">
        <v>39084</v>
      </c>
      <c r="O308">
        <v>42435</v>
      </c>
      <c r="P308">
        <v>48388</v>
      </c>
      <c r="Q308">
        <v>50548</v>
      </c>
      <c r="R308">
        <v>51262</v>
      </c>
    </row>
    <row r="309" spans="1:18">
      <c r="A309">
        <v>32500</v>
      </c>
      <c r="B309" t="s">
        <v>1000</v>
      </c>
      <c r="C309" t="s">
        <v>1448</v>
      </c>
      <c r="D309" t="s">
        <v>1449</v>
      </c>
      <c r="E309">
        <v>31226</v>
      </c>
      <c r="F309">
        <v>32589</v>
      </c>
      <c r="G309">
        <v>33412</v>
      </c>
      <c r="H309">
        <v>33909</v>
      </c>
      <c r="I309">
        <v>35146</v>
      </c>
      <c r="J309">
        <v>36943</v>
      </c>
      <c r="K309">
        <v>37053</v>
      </c>
      <c r="L309">
        <v>38333</v>
      </c>
      <c r="M309">
        <v>38967</v>
      </c>
      <c r="N309">
        <v>40160</v>
      </c>
      <c r="O309">
        <v>44045</v>
      </c>
      <c r="P309">
        <v>49333</v>
      </c>
      <c r="Q309">
        <v>49007</v>
      </c>
      <c r="R309">
        <v>51314</v>
      </c>
    </row>
    <row r="310" spans="1:18">
      <c r="A310">
        <v>32540</v>
      </c>
      <c r="B310" t="s">
        <v>1001</v>
      </c>
      <c r="C310" t="s">
        <v>1448</v>
      </c>
      <c r="D310" t="s">
        <v>1449</v>
      </c>
      <c r="E310">
        <v>32635</v>
      </c>
      <c r="F310">
        <v>33793</v>
      </c>
      <c r="G310">
        <v>35338</v>
      </c>
      <c r="H310">
        <v>33836</v>
      </c>
      <c r="I310">
        <v>35172</v>
      </c>
      <c r="J310">
        <v>35264</v>
      </c>
      <c r="K310">
        <v>35397</v>
      </c>
      <c r="L310">
        <v>36593</v>
      </c>
      <c r="M310">
        <v>38163</v>
      </c>
      <c r="N310">
        <v>39294</v>
      </c>
      <c r="O310">
        <v>40349</v>
      </c>
      <c r="P310">
        <v>42377</v>
      </c>
      <c r="Q310">
        <v>42869</v>
      </c>
      <c r="R310">
        <v>45267</v>
      </c>
    </row>
    <row r="311" spans="1:18">
      <c r="A311">
        <v>32620</v>
      </c>
      <c r="B311" t="s">
        <v>1002</v>
      </c>
      <c r="C311" t="s">
        <v>1448</v>
      </c>
      <c r="D311" t="s">
        <v>1449</v>
      </c>
      <c r="E311">
        <v>27226</v>
      </c>
      <c r="F311">
        <v>27392</v>
      </c>
      <c r="G311">
        <v>28392</v>
      </c>
      <c r="H311">
        <v>28718</v>
      </c>
      <c r="I311">
        <v>29458</v>
      </c>
      <c r="J311">
        <v>29494</v>
      </c>
      <c r="K311">
        <v>29217</v>
      </c>
      <c r="L311">
        <v>29496</v>
      </c>
      <c r="M311">
        <v>29913</v>
      </c>
      <c r="N311">
        <v>31402</v>
      </c>
      <c r="O311">
        <v>33993</v>
      </c>
      <c r="P311">
        <v>38123</v>
      </c>
      <c r="Q311">
        <v>37095</v>
      </c>
      <c r="R311">
        <v>39426</v>
      </c>
    </row>
    <row r="312" spans="1:18">
      <c r="A312">
        <v>32660</v>
      </c>
      <c r="B312" t="s">
        <v>1003</v>
      </c>
      <c r="C312" t="s">
        <v>1448</v>
      </c>
      <c r="D312" t="s">
        <v>1449</v>
      </c>
      <c r="E312">
        <v>27322</v>
      </c>
      <c r="F312">
        <v>28139</v>
      </c>
      <c r="G312">
        <v>30212</v>
      </c>
      <c r="H312">
        <v>30728</v>
      </c>
      <c r="I312">
        <v>31399</v>
      </c>
      <c r="J312">
        <v>32495</v>
      </c>
      <c r="K312">
        <v>33043</v>
      </c>
      <c r="L312">
        <v>33888</v>
      </c>
      <c r="M312">
        <v>34743</v>
      </c>
      <c r="N312">
        <v>36519</v>
      </c>
      <c r="O312">
        <v>39188</v>
      </c>
      <c r="P312">
        <v>42804</v>
      </c>
      <c r="Q312">
        <v>42702</v>
      </c>
      <c r="R312">
        <v>44375</v>
      </c>
    </row>
    <row r="313" spans="1:18">
      <c r="A313">
        <v>32700</v>
      </c>
      <c r="B313" t="s">
        <v>1004</v>
      </c>
      <c r="C313" t="s">
        <v>1448</v>
      </c>
      <c r="D313" t="s">
        <v>1449</v>
      </c>
      <c r="E313">
        <v>40288</v>
      </c>
      <c r="F313">
        <v>43400</v>
      </c>
      <c r="G313">
        <v>45237</v>
      </c>
      <c r="H313">
        <v>44524</v>
      </c>
      <c r="I313">
        <v>45065</v>
      </c>
      <c r="J313">
        <v>46137</v>
      </c>
      <c r="K313">
        <v>43669</v>
      </c>
      <c r="L313">
        <v>44142</v>
      </c>
      <c r="M313">
        <v>47919</v>
      </c>
      <c r="N313">
        <v>52143</v>
      </c>
      <c r="O313">
        <v>55014</v>
      </c>
      <c r="P313">
        <v>57654</v>
      </c>
      <c r="Q313">
        <v>59531</v>
      </c>
      <c r="R313">
        <v>64594</v>
      </c>
    </row>
    <row r="314" spans="1:18">
      <c r="A314">
        <v>32740</v>
      </c>
      <c r="B314" t="s">
        <v>1005</v>
      </c>
      <c r="C314" t="s">
        <v>1448</v>
      </c>
      <c r="D314" t="s">
        <v>1449</v>
      </c>
      <c r="E314">
        <v>31452</v>
      </c>
      <c r="F314">
        <v>33372</v>
      </c>
      <c r="G314">
        <v>33931</v>
      </c>
      <c r="H314">
        <v>34630</v>
      </c>
      <c r="I314">
        <v>35861</v>
      </c>
      <c r="J314">
        <v>36716</v>
      </c>
      <c r="K314">
        <v>36755</v>
      </c>
      <c r="L314">
        <v>37549</v>
      </c>
      <c r="M314">
        <v>39959</v>
      </c>
      <c r="N314">
        <v>41562</v>
      </c>
      <c r="O314">
        <v>45861</v>
      </c>
      <c r="P314">
        <v>48226</v>
      </c>
      <c r="Q314">
        <v>48734</v>
      </c>
      <c r="R314">
        <v>51236</v>
      </c>
    </row>
    <row r="315" spans="1:18">
      <c r="A315">
        <v>32860</v>
      </c>
      <c r="B315" t="s">
        <v>1006</v>
      </c>
      <c r="C315" t="s">
        <v>1448</v>
      </c>
      <c r="D315" t="s">
        <v>1449</v>
      </c>
      <c r="E315">
        <v>31510</v>
      </c>
      <c r="F315">
        <v>33363</v>
      </c>
      <c r="G315">
        <v>35259</v>
      </c>
      <c r="H315">
        <v>35433</v>
      </c>
      <c r="I315">
        <v>36219</v>
      </c>
      <c r="J315">
        <v>36935</v>
      </c>
      <c r="K315">
        <v>37257</v>
      </c>
      <c r="L315">
        <v>38435</v>
      </c>
      <c r="M315">
        <v>39898</v>
      </c>
      <c r="N315">
        <v>41251</v>
      </c>
      <c r="O315">
        <v>44528</v>
      </c>
      <c r="P315">
        <v>49854</v>
      </c>
      <c r="Q315">
        <v>49328</v>
      </c>
      <c r="R315">
        <v>50772</v>
      </c>
    </row>
    <row r="316" spans="1:18">
      <c r="A316">
        <v>32940</v>
      </c>
      <c r="B316" t="s">
        <v>1007</v>
      </c>
      <c r="C316" t="s">
        <v>1448</v>
      </c>
      <c r="D316" t="s">
        <v>1449</v>
      </c>
      <c r="E316">
        <v>29995</v>
      </c>
      <c r="F316">
        <v>31053</v>
      </c>
      <c r="G316">
        <v>33420</v>
      </c>
      <c r="H316">
        <v>34262</v>
      </c>
      <c r="I316">
        <v>34353</v>
      </c>
      <c r="J316">
        <v>34537</v>
      </c>
      <c r="K316">
        <v>35947</v>
      </c>
      <c r="L316">
        <v>36039</v>
      </c>
      <c r="M316">
        <v>37056</v>
      </c>
      <c r="N316">
        <v>39028</v>
      </c>
      <c r="O316">
        <v>42767</v>
      </c>
      <c r="P316">
        <v>45877</v>
      </c>
      <c r="Q316">
        <v>46032</v>
      </c>
      <c r="R316">
        <v>49191</v>
      </c>
    </row>
    <row r="317" spans="1:18">
      <c r="A317">
        <v>33020</v>
      </c>
      <c r="B317" t="s">
        <v>1008</v>
      </c>
      <c r="C317" t="s">
        <v>1448</v>
      </c>
      <c r="D317" t="s">
        <v>1449</v>
      </c>
      <c r="E317">
        <v>32492</v>
      </c>
      <c r="F317">
        <v>33574</v>
      </c>
      <c r="G317">
        <v>32972</v>
      </c>
      <c r="H317">
        <v>34681</v>
      </c>
      <c r="I317">
        <v>35712</v>
      </c>
      <c r="J317">
        <v>37274</v>
      </c>
      <c r="K317">
        <v>36928</v>
      </c>
      <c r="L317">
        <v>36799</v>
      </c>
      <c r="M317">
        <v>36269</v>
      </c>
      <c r="N317">
        <v>37754</v>
      </c>
      <c r="O317">
        <v>41146</v>
      </c>
      <c r="P317">
        <v>43893</v>
      </c>
      <c r="Q317">
        <v>46286</v>
      </c>
      <c r="R317">
        <v>49114</v>
      </c>
    </row>
    <row r="318" spans="1:18">
      <c r="A318">
        <v>33060</v>
      </c>
      <c r="B318" t="s">
        <v>1009</v>
      </c>
      <c r="C318" t="s">
        <v>1448</v>
      </c>
      <c r="D318" t="s">
        <v>1449</v>
      </c>
      <c r="E318">
        <v>30816</v>
      </c>
      <c r="F318">
        <v>32045</v>
      </c>
      <c r="G318">
        <v>32873</v>
      </c>
      <c r="H318">
        <v>33596</v>
      </c>
      <c r="I318">
        <v>33481</v>
      </c>
      <c r="J318">
        <v>35086</v>
      </c>
      <c r="K318">
        <v>34618</v>
      </c>
      <c r="L318">
        <v>35707</v>
      </c>
      <c r="M318">
        <v>36888</v>
      </c>
      <c r="N318">
        <v>38864</v>
      </c>
      <c r="O318">
        <v>42366</v>
      </c>
      <c r="P318">
        <v>46744</v>
      </c>
      <c r="Q318">
        <v>46011</v>
      </c>
      <c r="R318">
        <v>47987</v>
      </c>
    </row>
    <row r="319" spans="1:18">
      <c r="A319">
        <v>33180</v>
      </c>
      <c r="B319" t="s">
        <v>1010</v>
      </c>
      <c r="C319" t="s">
        <v>1448</v>
      </c>
      <c r="D319" t="s">
        <v>1449</v>
      </c>
      <c r="E319">
        <v>25540</v>
      </c>
      <c r="F319">
        <v>25799</v>
      </c>
      <c r="G319">
        <v>25903</v>
      </c>
      <c r="H319">
        <v>25482</v>
      </c>
      <c r="I319">
        <v>27257</v>
      </c>
      <c r="J319">
        <v>27886</v>
      </c>
      <c r="K319">
        <v>27943</v>
      </c>
      <c r="L319">
        <v>29427</v>
      </c>
      <c r="M319">
        <v>30630</v>
      </c>
      <c r="N319">
        <v>32063</v>
      </c>
      <c r="O319">
        <v>36948</v>
      </c>
      <c r="P319">
        <v>40573</v>
      </c>
      <c r="Q319">
        <v>39680</v>
      </c>
      <c r="R319">
        <v>42353</v>
      </c>
    </row>
    <row r="320" spans="1:18">
      <c r="A320">
        <v>33300</v>
      </c>
      <c r="B320" t="s">
        <v>1011</v>
      </c>
      <c r="C320" t="s">
        <v>1448</v>
      </c>
      <c r="D320" t="s">
        <v>1449</v>
      </c>
      <c r="E320">
        <v>25625</v>
      </c>
      <c r="F320">
        <v>26917</v>
      </c>
      <c r="G320">
        <v>26569</v>
      </c>
      <c r="H320">
        <v>27001</v>
      </c>
      <c r="I320">
        <v>28644</v>
      </c>
      <c r="J320">
        <v>29737</v>
      </c>
      <c r="K320">
        <v>30065</v>
      </c>
      <c r="L320">
        <v>31607</v>
      </c>
      <c r="M320">
        <v>32520</v>
      </c>
      <c r="N320">
        <v>33874</v>
      </c>
      <c r="O320">
        <v>36868</v>
      </c>
      <c r="P320">
        <v>40811</v>
      </c>
      <c r="Q320">
        <v>42147</v>
      </c>
      <c r="R320">
        <v>44118</v>
      </c>
    </row>
    <row r="321" spans="1:18">
      <c r="A321">
        <v>33380</v>
      </c>
      <c r="B321" t="s">
        <v>1012</v>
      </c>
      <c r="C321" t="s">
        <v>1448</v>
      </c>
      <c r="D321" t="s">
        <v>1449</v>
      </c>
      <c r="E321">
        <v>33684</v>
      </c>
      <c r="F321">
        <v>34296</v>
      </c>
      <c r="G321">
        <v>35374</v>
      </c>
      <c r="H321">
        <v>35725</v>
      </c>
      <c r="I321">
        <v>35877</v>
      </c>
      <c r="J321">
        <v>36793</v>
      </c>
      <c r="K321">
        <v>37376</v>
      </c>
      <c r="L321">
        <v>38722</v>
      </c>
      <c r="M321">
        <v>40348</v>
      </c>
      <c r="N321">
        <v>41712</v>
      </c>
      <c r="O321">
        <v>46043</v>
      </c>
      <c r="P321">
        <v>49736</v>
      </c>
      <c r="Q321">
        <v>51322</v>
      </c>
      <c r="R321">
        <v>54025</v>
      </c>
    </row>
    <row r="322" spans="1:18">
      <c r="A322">
        <v>33420</v>
      </c>
      <c r="B322" t="s">
        <v>1013</v>
      </c>
      <c r="C322" t="s">
        <v>1448</v>
      </c>
      <c r="D322" t="s">
        <v>1449</v>
      </c>
      <c r="E322">
        <v>31428</v>
      </c>
      <c r="F322">
        <v>33666</v>
      </c>
      <c r="G322">
        <v>36146</v>
      </c>
      <c r="H322">
        <v>36228</v>
      </c>
      <c r="I322">
        <v>37911</v>
      </c>
      <c r="J322">
        <v>37695</v>
      </c>
      <c r="K322">
        <v>37236</v>
      </c>
      <c r="L322">
        <v>39274</v>
      </c>
      <c r="M322">
        <v>41474</v>
      </c>
      <c r="N322">
        <v>44675</v>
      </c>
      <c r="O322">
        <v>46895</v>
      </c>
      <c r="P322">
        <v>51250</v>
      </c>
      <c r="Q322">
        <v>51806</v>
      </c>
      <c r="R322">
        <v>54995</v>
      </c>
    </row>
    <row r="323" spans="1:18">
      <c r="A323">
        <v>33500</v>
      </c>
      <c r="B323" t="s">
        <v>1014</v>
      </c>
      <c r="C323" t="s">
        <v>1448</v>
      </c>
      <c r="D323" t="s">
        <v>1449</v>
      </c>
      <c r="E323">
        <v>44500</v>
      </c>
      <c r="F323">
        <v>49431</v>
      </c>
      <c r="G323">
        <v>57445</v>
      </c>
      <c r="H323">
        <v>57495</v>
      </c>
      <c r="I323">
        <v>57861</v>
      </c>
      <c r="J323">
        <v>53117</v>
      </c>
      <c r="K323">
        <v>50229</v>
      </c>
      <c r="L323">
        <v>49953</v>
      </c>
      <c r="M323">
        <v>53936</v>
      </c>
      <c r="N323">
        <v>55304</v>
      </c>
      <c r="O323">
        <v>58374</v>
      </c>
      <c r="P323">
        <v>61326</v>
      </c>
      <c r="Q323">
        <v>66624</v>
      </c>
      <c r="R323">
        <v>67985</v>
      </c>
    </row>
    <row r="324" spans="1:18">
      <c r="A324">
        <v>33580</v>
      </c>
      <c r="B324" t="s">
        <v>1015</v>
      </c>
      <c r="C324" t="s">
        <v>1448</v>
      </c>
      <c r="D324" t="s">
        <v>1449</v>
      </c>
      <c r="E324">
        <v>41521</v>
      </c>
      <c r="F324">
        <v>45604</v>
      </c>
      <c r="G324">
        <v>44128</v>
      </c>
      <c r="H324">
        <v>44854</v>
      </c>
      <c r="I324">
        <v>46519</v>
      </c>
      <c r="J324">
        <v>49203</v>
      </c>
      <c r="K324">
        <v>48947</v>
      </c>
      <c r="L324">
        <v>49333</v>
      </c>
      <c r="M324">
        <v>51008</v>
      </c>
      <c r="N324">
        <v>53011</v>
      </c>
      <c r="O324">
        <v>57358</v>
      </c>
      <c r="P324">
        <v>62996</v>
      </c>
      <c r="Q324">
        <v>68456</v>
      </c>
      <c r="R324">
        <v>70014</v>
      </c>
    </row>
    <row r="325" spans="1:18">
      <c r="A325">
        <v>33620</v>
      </c>
      <c r="B325" t="s">
        <v>1016</v>
      </c>
      <c r="C325" t="s">
        <v>1448</v>
      </c>
      <c r="D325" t="s">
        <v>1449</v>
      </c>
      <c r="E325">
        <v>29714</v>
      </c>
      <c r="F325">
        <v>30796</v>
      </c>
      <c r="G325">
        <v>33098</v>
      </c>
      <c r="H325">
        <v>33786</v>
      </c>
      <c r="I325">
        <v>34736</v>
      </c>
      <c r="J325">
        <v>34986</v>
      </c>
      <c r="K325">
        <v>36257</v>
      </c>
      <c r="L325">
        <v>37438</v>
      </c>
      <c r="M325">
        <v>38135</v>
      </c>
      <c r="N325">
        <v>38698</v>
      </c>
      <c r="O325">
        <v>44029</v>
      </c>
      <c r="P325">
        <v>48288</v>
      </c>
      <c r="Q325">
        <v>51776</v>
      </c>
      <c r="R325">
        <v>55106</v>
      </c>
    </row>
    <row r="326" spans="1:18">
      <c r="A326">
        <v>33940</v>
      </c>
      <c r="B326" t="s">
        <v>1017</v>
      </c>
      <c r="C326" t="s">
        <v>1448</v>
      </c>
      <c r="D326" t="s">
        <v>1449</v>
      </c>
      <c r="E326">
        <v>30687</v>
      </c>
      <c r="F326">
        <v>32179</v>
      </c>
      <c r="G326">
        <v>33098</v>
      </c>
      <c r="H326">
        <v>33843</v>
      </c>
      <c r="I326">
        <v>36031</v>
      </c>
      <c r="J326">
        <v>38116</v>
      </c>
      <c r="K326">
        <v>38409</v>
      </c>
      <c r="L326">
        <v>39795</v>
      </c>
      <c r="M326">
        <v>43291</v>
      </c>
      <c r="N326">
        <v>45166</v>
      </c>
      <c r="O326">
        <v>48592</v>
      </c>
      <c r="P326">
        <v>53801</v>
      </c>
      <c r="Q326">
        <v>56530</v>
      </c>
      <c r="R326">
        <v>59103</v>
      </c>
    </row>
    <row r="327" spans="1:18">
      <c r="A327">
        <v>33980</v>
      </c>
      <c r="B327" t="s">
        <v>1018</v>
      </c>
      <c r="C327" t="s">
        <v>1448</v>
      </c>
      <c r="D327" t="s">
        <v>1449</v>
      </c>
      <c r="E327">
        <v>40089</v>
      </c>
      <c r="F327">
        <v>40731</v>
      </c>
      <c r="G327">
        <v>42044</v>
      </c>
      <c r="H327">
        <v>41054</v>
      </c>
      <c r="I327">
        <v>43028</v>
      </c>
      <c r="J327">
        <v>44905</v>
      </c>
      <c r="K327">
        <v>46920</v>
      </c>
      <c r="L327">
        <v>47997</v>
      </c>
      <c r="M327">
        <v>49705</v>
      </c>
      <c r="N327">
        <v>52988</v>
      </c>
      <c r="O327">
        <v>56892</v>
      </c>
      <c r="P327">
        <v>62248</v>
      </c>
      <c r="Q327">
        <v>64180</v>
      </c>
      <c r="R327">
        <v>68500</v>
      </c>
    </row>
    <row r="328" spans="1:18">
      <c r="A328">
        <v>34020</v>
      </c>
      <c r="B328" t="s">
        <v>1019</v>
      </c>
      <c r="C328" t="s">
        <v>1448</v>
      </c>
      <c r="D328" t="s">
        <v>1449</v>
      </c>
      <c r="E328">
        <v>36232</v>
      </c>
      <c r="F328">
        <v>36461</v>
      </c>
      <c r="G328">
        <v>39676</v>
      </c>
      <c r="H328">
        <v>38745</v>
      </c>
      <c r="I328">
        <v>38988</v>
      </c>
      <c r="J328">
        <v>39037</v>
      </c>
      <c r="K328">
        <v>35839</v>
      </c>
      <c r="L328">
        <v>36768</v>
      </c>
      <c r="M328">
        <v>38693</v>
      </c>
      <c r="N328">
        <v>40437</v>
      </c>
      <c r="O328">
        <v>44384</v>
      </c>
      <c r="P328">
        <v>48810</v>
      </c>
      <c r="Q328">
        <v>48526</v>
      </c>
      <c r="R328">
        <v>51224</v>
      </c>
    </row>
    <row r="329" spans="1:18">
      <c r="A329">
        <v>34140</v>
      </c>
      <c r="B329" t="s">
        <v>1020</v>
      </c>
      <c r="C329" t="s">
        <v>1448</v>
      </c>
      <c r="D329" t="s">
        <v>1449</v>
      </c>
      <c r="E329">
        <v>32712</v>
      </c>
      <c r="F329">
        <v>33230</v>
      </c>
      <c r="G329">
        <v>33957</v>
      </c>
      <c r="H329">
        <v>34655</v>
      </c>
      <c r="I329">
        <v>35601</v>
      </c>
      <c r="J329">
        <v>37444</v>
      </c>
      <c r="K329">
        <v>38148</v>
      </c>
      <c r="L329">
        <v>39093</v>
      </c>
      <c r="M329">
        <v>40154</v>
      </c>
      <c r="N329">
        <v>44187</v>
      </c>
      <c r="O329">
        <v>47623</v>
      </c>
      <c r="P329">
        <v>52151</v>
      </c>
      <c r="Q329">
        <v>52077</v>
      </c>
      <c r="R329">
        <v>54794</v>
      </c>
    </row>
    <row r="330" spans="1:18">
      <c r="A330">
        <v>34180</v>
      </c>
      <c r="B330" t="s">
        <v>1021</v>
      </c>
      <c r="C330" t="s">
        <v>1448</v>
      </c>
      <c r="D330" t="s">
        <v>1449</v>
      </c>
      <c r="E330">
        <v>29817</v>
      </c>
      <c r="F330">
        <v>31738</v>
      </c>
      <c r="G330">
        <v>32711</v>
      </c>
      <c r="H330">
        <v>33975</v>
      </c>
      <c r="I330">
        <v>33817</v>
      </c>
      <c r="J330">
        <v>37077</v>
      </c>
      <c r="K330">
        <v>36958</v>
      </c>
      <c r="L330">
        <v>37479</v>
      </c>
      <c r="M330">
        <v>37393</v>
      </c>
      <c r="N330">
        <v>40652</v>
      </c>
      <c r="O330">
        <v>45790</v>
      </c>
      <c r="P330">
        <v>49078</v>
      </c>
      <c r="Q330">
        <v>49133</v>
      </c>
      <c r="R330">
        <v>49727</v>
      </c>
    </row>
    <row r="331" spans="1:18">
      <c r="A331">
        <v>34220</v>
      </c>
      <c r="B331" t="s">
        <v>1022</v>
      </c>
      <c r="C331" t="s">
        <v>1448</v>
      </c>
      <c r="D331" t="s">
        <v>1449</v>
      </c>
      <c r="E331">
        <v>26081</v>
      </c>
      <c r="F331">
        <v>27476</v>
      </c>
      <c r="G331">
        <v>27693</v>
      </c>
      <c r="H331">
        <v>26829</v>
      </c>
      <c r="I331">
        <v>27078</v>
      </c>
      <c r="J331">
        <v>29476</v>
      </c>
      <c r="K331">
        <v>29857</v>
      </c>
      <c r="L331">
        <v>31960</v>
      </c>
      <c r="M331">
        <v>32490</v>
      </c>
      <c r="N331">
        <v>33635</v>
      </c>
      <c r="O331">
        <v>37679</v>
      </c>
      <c r="P331">
        <v>40854</v>
      </c>
      <c r="Q331">
        <v>41512</v>
      </c>
      <c r="R331">
        <v>42437</v>
      </c>
    </row>
    <row r="332" spans="1:18">
      <c r="A332">
        <v>34260</v>
      </c>
      <c r="B332" t="s">
        <v>1023</v>
      </c>
      <c r="C332" t="s">
        <v>1448</v>
      </c>
      <c r="D332" t="s">
        <v>1449</v>
      </c>
      <c r="E332">
        <v>29471</v>
      </c>
      <c r="F332">
        <v>30557</v>
      </c>
      <c r="G332">
        <v>32148</v>
      </c>
      <c r="H332">
        <v>32167</v>
      </c>
      <c r="I332">
        <v>34243</v>
      </c>
      <c r="J332">
        <v>34401</v>
      </c>
      <c r="K332">
        <v>34878</v>
      </c>
      <c r="L332">
        <v>36100</v>
      </c>
      <c r="M332">
        <v>36852</v>
      </c>
      <c r="N332">
        <v>38420</v>
      </c>
      <c r="O332">
        <v>41200</v>
      </c>
      <c r="P332">
        <v>44248</v>
      </c>
      <c r="Q332">
        <v>44928</v>
      </c>
      <c r="R332">
        <v>46819</v>
      </c>
    </row>
    <row r="333" spans="1:18">
      <c r="A333">
        <v>34300</v>
      </c>
      <c r="B333" t="s">
        <v>1024</v>
      </c>
      <c r="C333" t="s">
        <v>1448</v>
      </c>
      <c r="D333" t="s">
        <v>1449</v>
      </c>
      <c r="E333">
        <v>28496</v>
      </c>
      <c r="F333">
        <v>29973</v>
      </c>
      <c r="G333">
        <v>30588</v>
      </c>
      <c r="H333">
        <v>32103</v>
      </c>
      <c r="I333">
        <v>33710</v>
      </c>
      <c r="J333">
        <v>35304</v>
      </c>
      <c r="K333">
        <v>35125</v>
      </c>
      <c r="L333">
        <v>34801</v>
      </c>
      <c r="M333">
        <v>34910</v>
      </c>
      <c r="N333">
        <v>36943</v>
      </c>
      <c r="O333">
        <v>38627</v>
      </c>
      <c r="P333">
        <v>42978</v>
      </c>
      <c r="Q333">
        <v>45081</v>
      </c>
      <c r="R333">
        <v>46255</v>
      </c>
    </row>
    <row r="334" spans="1:18">
      <c r="A334">
        <v>34340</v>
      </c>
      <c r="B334" t="s">
        <v>1025</v>
      </c>
      <c r="C334" t="s">
        <v>1448</v>
      </c>
      <c r="D334" t="s">
        <v>1449</v>
      </c>
      <c r="E334">
        <v>29563</v>
      </c>
      <c r="F334">
        <v>30459</v>
      </c>
      <c r="G334">
        <v>31774</v>
      </c>
      <c r="H334">
        <v>31938</v>
      </c>
      <c r="I334">
        <v>33462</v>
      </c>
      <c r="J334">
        <v>35031</v>
      </c>
      <c r="K334">
        <v>35468</v>
      </c>
      <c r="L334">
        <v>36657</v>
      </c>
      <c r="M334">
        <v>37883</v>
      </c>
      <c r="N334">
        <v>39662</v>
      </c>
      <c r="O334">
        <v>42857</v>
      </c>
      <c r="P334">
        <v>48222</v>
      </c>
      <c r="Q334">
        <v>49633</v>
      </c>
      <c r="R334">
        <v>51241</v>
      </c>
    </row>
    <row r="335" spans="1:18">
      <c r="A335">
        <v>34350</v>
      </c>
      <c r="B335" t="s">
        <v>1026</v>
      </c>
      <c r="C335" t="s">
        <v>1448</v>
      </c>
      <c r="D335" t="s">
        <v>1449</v>
      </c>
      <c r="E335">
        <v>31974</v>
      </c>
      <c r="F335">
        <v>34297</v>
      </c>
      <c r="G335">
        <v>33632</v>
      </c>
      <c r="H335">
        <v>32743</v>
      </c>
      <c r="I335">
        <v>32725</v>
      </c>
      <c r="J335">
        <v>32893</v>
      </c>
      <c r="K335">
        <v>32262</v>
      </c>
      <c r="L335">
        <v>34456</v>
      </c>
      <c r="M335">
        <v>36186</v>
      </c>
      <c r="N335">
        <v>37269</v>
      </c>
      <c r="O335">
        <v>39968</v>
      </c>
      <c r="P335">
        <v>42379</v>
      </c>
      <c r="Q335">
        <v>44821</v>
      </c>
      <c r="R335">
        <v>46862</v>
      </c>
    </row>
    <row r="336" spans="1:18">
      <c r="A336">
        <v>34380</v>
      </c>
      <c r="B336" t="s">
        <v>1027</v>
      </c>
      <c r="C336" t="s">
        <v>1448</v>
      </c>
      <c r="D336" t="s">
        <v>1449</v>
      </c>
      <c r="E336">
        <v>27302</v>
      </c>
      <c r="F336">
        <v>28503</v>
      </c>
      <c r="G336">
        <v>29417</v>
      </c>
      <c r="H336">
        <v>30620</v>
      </c>
      <c r="I336">
        <v>31889</v>
      </c>
      <c r="J336">
        <v>33362</v>
      </c>
      <c r="K336">
        <v>34005</v>
      </c>
      <c r="L336">
        <v>35107</v>
      </c>
      <c r="M336">
        <v>36951</v>
      </c>
      <c r="N336">
        <v>38754</v>
      </c>
      <c r="O336">
        <v>43313</v>
      </c>
      <c r="P336">
        <v>45812</v>
      </c>
      <c r="Q336">
        <v>45600</v>
      </c>
      <c r="R336">
        <v>48011</v>
      </c>
    </row>
    <row r="337" spans="1:18">
      <c r="A337">
        <v>34420</v>
      </c>
      <c r="B337" t="s">
        <v>1028</v>
      </c>
      <c r="C337" t="s">
        <v>1448</v>
      </c>
      <c r="D337" t="s">
        <v>1449</v>
      </c>
      <c r="E337">
        <v>29510</v>
      </c>
      <c r="F337">
        <v>30318</v>
      </c>
      <c r="G337">
        <v>31213</v>
      </c>
      <c r="H337">
        <v>32244</v>
      </c>
      <c r="I337">
        <v>34542</v>
      </c>
      <c r="J337">
        <v>36148</v>
      </c>
      <c r="K337">
        <v>34864</v>
      </c>
      <c r="L337">
        <v>36068</v>
      </c>
      <c r="M337">
        <v>37999</v>
      </c>
      <c r="N337">
        <v>39113</v>
      </c>
      <c r="O337">
        <v>43089</v>
      </c>
      <c r="P337">
        <v>48883</v>
      </c>
      <c r="Q337">
        <v>50652</v>
      </c>
      <c r="R337">
        <v>51792</v>
      </c>
    </row>
    <row r="338" spans="1:18">
      <c r="A338">
        <v>34460</v>
      </c>
      <c r="B338" t="s">
        <v>1029</v>
      </c>
      <c r="C338" t="s">
        <v>1448</v>
      </c>
      <c r="D338" t="s">
        <v>1449</v>
      </c>
      <c r="E338">
        <v>27013</v>
      </c>
      <c r="F338">
        <v>27666</v>
      </c>
      <c r="G338">
        <v>28834</v>
      </c>
      <c r="H338">
        <v>29100</v>
      </c>
      <c r="I338">
        <v>30576</v>
      </c>
      <c r="J338">
        <v>31617</v>
      </c>
      <c r="K338">
        <v>31548</v>
      </c>
      <c r="L338">
        <v>32083</v>
      </c>
      <c r="M338">
        <v>32752</v>
      </c>
      <c r="N338">
        <v>34413</v>
      </c>
      <c r="O338">
        <v>37914</v>
      </c>
      <c r="P338">
        <v>41372</v>
      </c>
      <c r="Q338">
        <v>41896</v>
      </c>
      <c r="R338">
        <v>43858</v>
      </c>
    </row>
    <row r="339" spans="1:18">
      <c r="A339">
        <v>34500</v>
      </c>
      <c r="B339" t="s">
        <v>1030</v>
      </c>
      <c r="C339" t="s">
        <v>1448</v>
      </c>
      <c r="D339" t="s">
        <v>1449</v>
      </c>
      <c r="E339">
        <v>32180</v>
      </c>
      <c r="F339">
        <v>33006</v>
      </c>
      <c r="G339">
        <v>34169</v>
      </c>
      <c r="H339">
        <v>34179</v>
      </c>
      <c r="I339">
        <v>35263</v>
      </c>
      <c r="J339">
        <v>36044</v>
      </c>
      <c r="K339">
        <v>36176</v>
      </c>
      <c r="L339">
        <v>37626</v>
      </c>
      <c r="M339">
        <v>39195</v>
      </c>
      <c r="N339">
        <v>40017</v>
      </c>
      <c r="O339">
        <v>44082</v>
      </c>
      <c r="P339">
        <v>47677</v>
      </c>
      <c r="Q339">
        <v>47948</v>
      </c>
      <c r="R339">
        <v>49840</v>
      </c>
    </row>
    <row r="340" spans="1:18">
      <c r="A340">
        <v>34540</v>
      </c>
      <c r="B340" t="s">
        <v>1031</v>
      </c>
      <c r="C340" t="s">
        <v>1448</v>
      </c>
      <c r="D340" t="s">
        <v>1449</v>
      </c>
      <c r="E340">
        <v>31349</v>
      </c>
      <c r="F340">
        <v>33908</v>
      </c>
      <c r="G340">
        <v>35943</v>
      </c>
      <c r="H340">
        <v>36813</v>
      </c>
      <c r="I340">
        <v>38157</v>
      </c>
      <c r="J340">
        <v>38856</v>
      </c>
      <c r="K340">
        <v>39113</v>
      </c>
      <c r="L340">
        <v>40213</v>
      </c>
      <c r="M340">
        <v>42493</v>
      </c>
      <c r="N340">
        <v>44443</v>
      </c>
      <c r="O340">
        <v>48938</v>
      </c>
      <c r="P340">
        <v>51789</v>
      </c>
      <c r="Q340">
        <v>52465</v>
      </c>
      <c r="R340">
        <v>55379</v>
      </c>
    </row>
    <row r="341" spans="1:18">
      <c r="A341">
        <v>34660</v>
      </c>
      <c r="B341" t="s">
        <v>1032</v>
      </c>
      <c r="C341" t="s">
        <v>1448</v>
      </c>
      <c r="D341" t="s">
        <v>1449</v>
      </c>
      <c r="E341">
        <v>30824</v>
      </c>
      <c r="F341">
        <v>31709</v>
      </c>
      <c r="G341">
        <v>31854</v>
      </c>
      <c r="H341">
        <v>32399</v>
      </c>
      <c r="I341">
        <v>33026</v>
      </c>
      <c r="J341">
        <v>34082</v>
      </c>
      <c r="K341">
        <v>34139</v>
      </c>
      <c r="L341">
        <v>35367</v>
      </c>
      <c r="M341">
        <v>36436</v>
      </c>
      <c r="N341">
        <v>38177</v>
      </c>
      <c r="O341">
        <v>41559</v>
      </c>
      <c r="P341">
        <v>44329</v>
      </c>
      <c r="Q341">
        <v>43812</v>
      </c>
      <c r="R341">
        <v>45760</v>
      </c>
    </row>
    <row r="342" spans="1:18">
      <c r="A342">
        <v>34700</v>
      </c>
      <c r="B342" t="s">
        <v>1033</v>
      </c>
      <c r="C342" t="s">
        <v>1448</v>
      </c>
      <c r="D342" t="s">
        <v>1449</v>
      </c>
      <c r="E342">
        <v>36016</v>
      </c>
      <c r="F342">
        <v>38286</v>
      </c>
      <c r="G342">
        <v>39940</v>
      </c>
      <c r="H342">
        <v>39962</v>
      </c>
      <c r="I342">
        <v>41990</v>
      </c>
      <c r="J342">
        <v>42991</v>
      </c>
      <c r="K342">
        <v>43462</v>
      </c>
      <c r="L342">
        <v>44429</v>
      </c>
      <c r="M342">
        <v>45676</v>
      </c>
      <c r="N342">
        <v>47401</v>
      </c>
      <c r="O342">
        <v>50677</v>
      </c>
      <c r="P342">
        <v>53477</v>
      </c>
      <c r="Q342">
        <v>55732</v>
      </c>
      <c r="R342">
        <v>57595</v>
      </c>
    </row>
    <row r="343" spans="1:18">
      <c r="A343">
        <v>34780</v>
      </c>
      <c r="B343" t="s">
        <v>1034</v>
      </c>
      <c r="C343" t="s">
        <v>1448</v>
      </c>
      <c r="D343" t="s">
        <v>1449</v>
      </c>
      <c r="E343">
        <v>30474</v>
      </c>
      <c r="F343">
        <v>31443</v>
      </c>
      <c r="G343">
        <v>32012</v>
      </c>
      <c r="H343">
        <v>32741</v>
      </c>
      <c r="I343">
        <v>33654</v>
      </c>
      <c r="J343">
        <v>35115</v>
      </c>
      <c r="K343">
        <v>35109</v>
      </c>
      <c r="L343">
        <v>35838</v>
      </c>
      <c r="M343">
        <v>36663</v>
      </c>
      <c r="N343">
        <v>38220</v>
      </c>
      <c r="O343">
        <v>41142</v>
      </c>
      <c r="P343">
        <v>44411</v>
      </c>
      <c r="Q343">
        <v>45366</v>
      </c>
      <c r="R343">
        <v>47792</v>
      </c>
    </row>
    <row r="344" spans="1:18">
      <c r="A344">
        <v>34860</v>
      </c>
      <c r="B344" t="s">
        <v>1035</v>
      </c>
      <c r="C344" t="s">
        <v>1448</v>
      </c>
      <c r="D344" t="s">
        <v>1449</v>
      </c>
      <c r="E344">
        <v>31822</v>
      </c>
      <c r="F344">
        <v>32360</v>
      </c>
      <c r="G344">
        <v>32655</v>
      </c>
      <c r="H344">
        <v>33152</v>
      </c>
      <c r="I344">
        <v>34520</v>
      </c>
      <c r="J344">
        <v>35576</v>
      </c>
      <c r="K344">
        <v>34686</v>
      </c>
      <c r="L344">
        <v>36409</v>
      </c>
      <c r="M344">
        <v>38075</v>
      </c>
      <c r="N344">
        <v>39298</v>
      </c>
      <c r="O344">
        <v>41865</v>
      </c>
      <c r="P344">
        <v>45807</v>
      </c>
      <c r="Q344">
        <v>48146</v>
      </c>
      <c r="R344">
        <v>50541</v>
      </c>
    </row>
    <row r="345" spans="1:18">
      <c r="A345">
        <v>35020</v>
      </c>
      <c r="B345" t="s">
        <v>1036</v>
      </c>
      <c r="C345" t="s">
        <v>1448</v>
      </c>
      <c r="D345" t="s">
        <v>1449</v>
      </c>
      <c r="E345">
        <v>30223</v>
      </c>
      <c r="F345">
        <v>31562</v>
      </c>
      <c r="G345">
        <v>32636</v>
      </c>
      <c r="H345">
        <v>32579</v>
      </c>
      <c r="I345">
        <v>32548</v>
      </c>
      <c r="J345">
        <v>31235</v>
      </c>
      <c r="K345">
        <v>31281</v>
      </c>
      <c r="L345">
        <v>32008</v>
      </c>
      <c r="M345">
        <v>33447</v>
      </c>
      <c r="N345">
        <v>35169</v>
      </c>
      <c r="O345">
        <v>39670</v>
      </c>
      <c r="P345">
        <v>44690</v>
      </c>
      <c r="Q345">
        <v>43563</v>
      </c>
      <c r="R345">
        <v>45602</v>
      </c>
    </row>
    <row r="346" spans="1:18">
      <c r="A346">
        <v>35060</v>
      </c>
      <c r="B346" t="s">
        <v>1037</v>
      </c>
      <c r="C346" t="s">
        <v>1448</v>
      </c>
      <c r="D346" t="s">
        <v>1449</v>
      </c>
      <c r="E346">
        <v>32047</v>
      </c>
      <c r="F346">
        <v>32456</v>
      </c>
      <c r="G346">
        <v>32551</v>
      </c>
      <c r="H346">
        <v>32662</v>
      </c>
      <c r="I346">
        <v>33436</v>
      </c>
      <c r="J346">
        <v>35130</v>
      </c>
      <c r="K346">
        <v>35755</v>
      </c>
      <c r="L346">
        <v>37519</v>
      </c>
      <c r="M346">
        <v>39199</v>
      </c>
      <c r="N346">
        <v>40989</v>
      </c>
      <c r="O346">
        <v>44045</v>
      </c>
      <c r="P346">
        <v>48818</v>
      </c>
      <c r="Q346">
        <v>48999</v>
      </c>
      <c r="R346">
        <v>52510</v>
      </c>
    </row>
    <row r="347" spans="1:18">
      <c r="A347">
        <v>35140</v>
      </c>
      <c r="B347" t="s">
        <v>1038</v>
      </c>
      <c r="C347" t="s">
        <v>1448</v>
      </c>
      <c r="D347" t="s">
        <v>1449</v>
      </c>
      <c r="E347">
        <v>30288</v>
      </c>
      <c r="F347">
        <v>31404</v>
      </c>
      <c r="G347">
        <v>32257</v>
      </c>
      <c r="H347">
        <v>33057</v>
      </c>
      <c r="I347">
        <v>33880</v>
      </c>
      <c r="J347">
        <v>35628</v>
      </c>
      <c r="K347">
        <v>36028</v>
      </c>
      <c r="L347">
        <v>37129</v>
      </c>
      <c r="M347">
        <v>37578</v>
      </c>
      <c r="N347">
        <v>40186</v>
      </c>
      <c r="O347">
        <v>42751</v>
      </c>
      <c r="P347">
        <v>47270</v>
      </c>
      <c r="Q347">
        <v>47995</v>
      </c>
      <c r="R347">
        <v>49870</v>
      </c>
    </row>
    <row r="348" spans="1:18">
      <c r="A348">
        <v>35220</v>
      </c>
      <c r="B348" t="s">
        <v>1039</v>
      </c>
      <c r="C348" t="s">
        <v>1448</v>
      </c>
      <c r="D348" t="s">
        <v>1449</v>
      </c>
      <c r="E348">
        <v>28920</v>
      </c>
      <c r="F348">
        <v>30395</v>
      </c>
      <c r="G348">
        <v>31404</v>
      </c>
      <c r="H348">
        <v>32097</v>
      </c>
      <c r="I348">
        <v>32874</v>
      </c>
      <c r="J348">
        <v>33497</v>
      </c>
      <c r="K348">
        <v>34777</v>
      </c>
      <c r="L348">
        <v>35930</v>
      </c>
      <c r="M348">
        <v>37274</v>
      </c>
      <c r="N348">
        <v>38801</v>
      </c>
      <c r="O348">
        <v>42488</v>
      </c>
      <c r="P348">
        <v>46170</v>
      </c>
      <c r="Q348">
        <v>47137</v>
      </c>
      <c r="R348">
        <v>48320</v>
      </c>
    </row>
    <row r="349" spans="1:18">
      <c r="A349">
        <v>35260</v>
      </c>
      <c r="B349" t="s">
        <v>1040</v>
      </c>
      <c r="C349" t="s">
        <v>1448</v>
      </c>
      <c r="D349" t="s">
        <v>1449</v>
      </c>
      <c r="E349">
        <v>34317</v>
      </c>
      <c r="F349">
        <v>36204</v>
      </c>
      <c r="G349">
        <v>37039</v>
      </c>
      <c r="H349">
        <v>37035</v>
      </c>
      <c r="I349">
        <v>37937</v>
      </c>
      <c r="J349">
        <v>38962</v>
      </c>
      <c r="K349">
        <v>39197</v>
      </c>
      <c r="L349">
        <v>40451</v>
      </c>
      <c r="M349">
        <v>42610</v>
      </c>
      <c r="N349">
        <v>43870</v>
      </c>
      <c r="O349">
        <v>48474</v>
      </c>
      <c r="P349">
        <v>51416</v>
      </c>
      <c r="Q349">
        <v>51072</v>
      </c>
      <c r="R349">
        <v>53835</v>
      </c>
    </row>
    <row r="350" spans="1:18">
      <c r="A350">
        <v>35420</v>
      </c>
      <c r="B350" t="s">
        <v>1041</v>
      </c>
      <c r="C350" t="s">
        <v>1448</v>
      </c>
      <c r="D350" t="s">
        <v>1449</v>
      </c>
      <c r="E350">
        <v>32364</v>
      </c>
      <c r="F350">
        <v>35029</v>
      </c>
      <c r="G350">
        <v>35567</v>
      </c>
      <c r="H350">
        <v>36493</v>
      </c>
      <c r="I350">
        <v>38510</v>
      </c>
      <c r="J350">
        <v>39656</v>
      </c>
      <c r="K350">
        <v>39487</v>
      </c>
      <c r="L350">
        <v>41001</v>
      </c>
      <c r="M350">
        <v>43042</v>
      </c>
      <c r="N350">
        <v>43293</v>
      </c>
      <c r="O350">
        <v>45918</v>
      </c>
      <c r="P350">
        <v>50875</v>
      </c>
      <c r="Q350">
        <v>54411</v>
      </c>
      <c r="R350">
        <v>57335</v>
      </c>
    </row>
    <row r="351" spans="1:18">
      <c r="A351">
        <v>35440</v>
      </c>
      <c r="B351" t="s">
        <v>1042</v>
      </c>
      <c r="C351" t="s">
        <v>1448</v>
      </c>
      <c r="D351" t="s">
        <v>1449</v>
      </c>
      <c r="E351">
        <v>33723</v>
      </c>
      <c r="F351">
        <v>34792</v>
      </c>
      <c r="G351">
        <v>35693</v>
      </c>
      <c r="H351">
        <v>35788</v>
      </c>
      <c r="I351">
        <v>37542</v>
      </c>
      <c r="J351">
        <v>39103</v>
      </c>
      <c r="K351">
        <v>39915</v>
      </c>
      <c r="L351">
        <v>41413</v>
      </c>
      <c r="M351">
        <v>43820</v>
      </c>
      <c r="N351">
        <v>45148</v>
      </c>
      <c r="O351">
        <v>49058</v>
      </c>
      <c r="P351">
        <v>54434</v>
      </c>
      <c r="Q351">
        <v>55709</v>
      </c>
      <c r="R351">
        <v>59715</v>
      </c>
    </row>
    <row r="352" spans="1:18">
      <c r="A352">
        <v>35460</v>
      </c>
      <c r="B352" t="s">
        <v>1043</v>
      </c>
      <c r="C352" t="s">
        <v>1448</v>
      </c>
      <c r="D352" t="s">
        <v>1449</v>
      </c>
      <c r="E352">
        <v>25419</v>
      </c>
      <c r="F352">
        <v>27093</v>
      </c>
      <c r="G352">
        <v>27417</v>
      </c>
      <c r="H352">
        <v>27990</v>
      </c>
      <c r="I352">
        <v>28241</v>
      </c>
      <c r="J352">
        <v>29771</v>
      </c>
      <c r="K352">
        <v>30351</v>
      </c>
      <c r="L352">
        <v>31122</v>
      </c>
      <c r="M352">
        <v>32100</v>
      </c>
      <c r="N352">
        <v>34171</v>
      </c>
      <c r="O352">
        <v>37096</v>
      </c>
      <c r="P352">
        <v>40996</v>
      </c>
      <c r="Q352">
        <v>40651</v>
      </c>
      <c r="R352">
        <v>42387</v>
      </c>
    </row>
    <row r="353" spans="1:18">
      <c r="A353">
        <v>35580</v>
      </c>
      <c r="B353" t="s">
        <v>1044</v>
      </c>
      <c r="C353" t="s">
        <v>1448</v>
      </c>
      <c r="D353" t="s">
        <v>1449</v>
      </c>
      <c r="E353">
        <v>38326</v>
      </c>
      <c r="F353">
        <v>42245</v>
      </c>
      <c r="G353">
        <v>44796</v>
      </c>
      <c r="H353">
        <v>43598</v>
      </c>
      <c r="I353">
        <v>44685</v>
      </c>
      <c r="J353">
        <v>46617</v>
      </c>
      <c r="K353">
        <v>46764</v>
      </c>
      <c r="L353">
        <v>48033</v>
      </c>
      <c r="M353">
        <v>50055</v>
      </c>
      <c r="N353">
        <v>52056</v>
      </c>
      <c r="O353">
        <v>56722</v>
      </c>
      <c r="P353">
        <v>62731</v>
      </c>
      <c r="Q353">
        <v>62888</v>
      </c>
      <c r="R353">
        <v>64232</v>
      </c>
    </row>
    <row r="354" spans="1:18">
      <c r="A354">
        <v>35700</v>
      </c>
      <c r="B354" t="s">
        <v>1045</v>
      </c>
      <c r="C354" t="s">
        <v>1448</v>
      </c>
      <c r="D354" t="s">
        <v>1449</v>
      </c>
      <c r="E354">
        <v>28972</v>
      </c>
      <c r="F354">
        <v>30114</v>
      </c>
      <c r="G354">
        <v>30573</v>
      </c>
      <c r="H354">
        <v>30379</v>
      </c>
      <c r="I354">
        <v>31777</v>
      </c>
      <c r="J354">
        <v>32390</v>
      </c>
      <c r="K354">
        <v>33104</v>
      </c>
      <c r="L354">
        <v>35482</v>
      </c>
      <c r="M354">
        <v>36930</v>
      </c>
      <c r="N354">
        <v>38158</v>
      </c>
      <c r="O354">
        <v>43157</v>
      </c>
      <c r="P354">
        <v>47893</v>
      </c>
      <c r="Q354">
        <v>46692</v>
      </c>
      <c r="R354">
        <v>49416</v>
      </c>
    </row>
    <row r="355" spans="1:18">
      <c r="A355">
        <v>35740</v>
      </c>
      <c r="B355" t="s">
        <v>1046</v>
      </c>
      <c r="C355" t="s">
        <v>1448</v>
      </c>
      <c r="D355" t="s">
        <v>1449</v>
      </c>
      <c r="E355">
        <v>36915</v>
      </c>
      <c r="F355">
        <v>41465</v>
      </c>
      <c r="G355">
        <v>41383</v>
      </c>
      <c r="H355">
        <v>41941</v>
      </c>
      <c r="I355">
        <v>43368</v>
      </c>
      <c r="J355">
        <v>46170</v>
      </c>
      <c r="K355">
        <v>44625</v>
      </c>
      <c r="L355">
        <v>45798</v>
      </c>
      <c r="M355">
        <v>47767</v>
      </c>
      <c r="N355">
        <v>51026</v>
      </c>
      <c r="O355">
        <v>54132</v>
      </c>
      <c r="P355">
        <v>63341</v>
      </c>
      <c r="Q355">
        <v>69610</v>
      </c>
      <c r="R355">
        <v>74708</v>
      </c>
    </row>
    <row r="356" spans="1:18">
      <c r="A356">
        <v>35820</v>
      </c>
      <c r="B356" t="s">
        <v>1047</v>
      </c>
      <c r="C356" t="s">
        <v>1448</v>
      </c>
      <c r="D356" t="s">
        <v>1449</v>
      </c>
      <c r="E356">
        <v>37376</v>
      </c>
      <c r="F356">
        <v>42195</v>
      </c>
      <c r="G356">
        <v>44189</v>
      </c>
      <c r="H356">
        <v>44765</v>
      </c>
      <c r="I356">
        <v>49200</v>
      </c>
      <c r="J356">
        <v>50336</v>
      </c>
      <c r="K356">
        <v>47327</v>
      </c>
      <c r="L356">
        <v>46043</v>
      </c>
      <c r="M356">
        <v>47289</v>
      </c>
      <c r="N356">
        <v>49377</v>
      </c>
      <c r="O356">
        <v>53036</v>
      </c>
      <c r="P356">
        <v>62079</v>
      </c>
      <c r="Q356">
        <v>66723</v>
      </c>
      <c r="R356">
        <v>73084</v>
      </c>
    </row>
    <row r="357" spans="1:18">
      <c r="A357">
        <v>35860</v>
      </c>
      <c r="B357" t="s">
        <v>1048</v>
      </c>
      <c r="C357" t="s">
        <v>1448</v>
      </c>
      <c r="D357" t="s">
        <v>1449</v>
      </c>
      <c r="E357">
        <v>28507</v>
      </c>
      <c r="F357">
        <v>30161</v>
      </c>
      <c r="G357">
        <v>32243</v>
      </c>
      <c r="H357">
        <v>32682</v>
      </c>
      <c r="I357">
        <v>34200</v>
      </c>
      <c r="J357">
        <v>35162</v>
      </c>
      <c r="K357">
        <v>35996</v>
      </c>
      <c r="L357">
        <v>37429</v>
      </c>
      <c r="M357">
        <v>39263</v>
      </c>
      <c r="N357">
        <v>41017</v>
      </c>
      <c r="O357">
        <v>44637</v>
      </c>
      <c r="P357">
        <v>49102</v>
      </c>
      <c r="Q357">
        <v>50398</v>
      </c>
      <c r="R357">
        <v>51768</v>
      </c>
    </row>
    <row r="358" spans="1:18">
      <c r="A358">
        <v>35900</v>
      </c>
      <c r="B358" t="s">
        <v>1049</v>
      </c>
      <c r="C358" t="s">
        <v>1448</v>
      </c>
      <c r="D358" t="s">
        <v>1449</v>
      </c>
      <c r="E358">
        <v>28424</v>
      </c>
      <c r="F358">
        <v>29162</v>
      </c>
      <c r="G358">
        <v>30293</v>
      </c>
      <c r="H358">
        <v>30584</v>
      </c>
      <c r="I358">
        <v>32129</v>
      </c>
      <c r="J358">
        <v>34638</v>
      </c>
      <c r="K358">
        <v>34841</v>
      </c>
      <c r="L358">
        <v>36662</v>
      </c>
      <c r="M358">
        <v>37271</v>
      </c>
      <c r="N358">
        <v>38683</v>
      </c>
      <c r="O358">
        <v>41163</v>
      </c>
      <c r="P358">
        <v>45937</v>
      </c>
      <c r="Q358">
        <v>49022</v>
      </c>
      <c r="R358">
        <v>49350</v>
      </c>
    </row>
    <row r="359" spans="1:18">
      <c r="A359">
        <v>35940</v>
      </c>
      <c r="B359" t="s">
        <v>1050</v>
      </c>
      <c r="C359" t="s">
        <v>1448</v>
      </c>
      <c r="D359" t="s">
        <v>1449</v>
      </c>
      <c r="E359">
        <v>31404</v>
      </c>
      <c r="F359">
        <v>33082</v>
      </c>
      <c r="G359">
        <v>33475</v>
      </c>
      <c r="H359">
        <v>34674</v>
      </c>
      <c r="I359">
        <v>35632</v>
      </c>
      <c r="J359">
        <v>36721</v>
      </c>
      <c r="K359">
        <v>37029</v>
      </c>
      <c r="L359">
        <v>38471</v>
      </c>
      <c r="M359">
        <v>39931</v>
      </c>
      <c r="N359">
        <v>40623</v>
      </c>
      <c r="O359">
        <v>44942</v>
      </c>
      <c r="P359">
        <v>48297</v>
      </c>
      <c r="Q359">
        <v>48452</v>
      </c>
      <c r="R359">
        <v>50983</v>
      </c>
    </row>
    <row r="360" spans="1:18">
      <c r="A360">
        <v>36020</v>
      </c>
      <c r="B360" t="s">
        <v>1051</v>
      </c>
      <c r="C360" t="s">
        <v>1448</v>
      </c>
      <c r="D360" t="s">
        <v>1449</v>
      </c>
      <c r="E360">
        <v>40595</v>
      </c>
      <c r="F360">
        <v>42054</v>
      </c>
      <c r="G360">
        <v>43780</v>
      </c>
      <c r="H360">
        <v>45400</v>
      </c>
      <c r="I360">
        <v>46876</v>
      </c>
      <c r="J360">
        <v>48467</v>
      </c>
      <c r="K360">
        <v>49757</v>
      </c>
      <c r="L360">
        <v>51622</v>
      </c>
      <c r="M360">
        <v>52668</v>
      </c>
      <c r="N360">
        <v>55839</v>
      </c>
      <c r="O360">
        <v>59382</v>
      </c>
      <c r="P360">
        <v>63340</v>
      </c>
      <c r="Q360">
        <v>65206</v>
      </c>
      <c r="R360">
        <v>70094</v>
      </c>
    </row>
    <row r="361" spans="1:18">
      <c r="A361">
        <v>36300</v>
      </c>
      <c r="B361" t="s">
        <v>1052</v>
      </c>
      <c r="C361" t="s">
        <v>1448</v>
      </c>
      <c r="D361" t="s">
        <v>1449</v>
      </c>
      <c r="E361">
        <v>29736</v>
      </c>
      <c r="F361">
        <v>30693</v>
      </c>
      <c r="G361">
        <v>31201</v>
      </c>
      <c r="H361">
        <v>32365</v>
      </c>
      <c r="I361">
        <v>33024</v>
      </c>
      <c r="J361">
        <v>33648</v>
      </c>
      <c r="K361">
        <v>34378</v>
      </c>
      <c r="L361">
        <v>36546</v>
      </c>
      <c r="M361">
        <v>37038</v>
      </c>
      <c r="N361">
        <v>38651</v>
      </c>
      <c r="O361">
        <v>42799</v>
      </c>
      <c r="P361">
        <v>45637</v>
      </c>
      <c r="Q361">
        <v>45662</v>
      </c>
      <c r="R361">
        <v>47495</v>
      </c>
    </row>
    <row r="362" spans="1:18">
      <c r="A362">
        <v>36340</v>
      </c>
      <c r="B362" t="s">
        <v>1053</v>
      </c>
      <c r="C362" t="s">
        <v>1448</v>
      </c>
      <c r="D362" t="s">
        <v>1449</v>
      </c>
      <c r="E362">
        <v>33704</v>
      </c>
      <c r="F362">
        <v>35408</v>
      </c>
      <c r="G362">
        <v>35201</v>
      </c>
      <c r="H362">
        <v>35332</v>
      </c>
      <c r="I362">
        <v>36711</v>
      </c>
      <c r="J362">
        <v>37509</v>
      </c>
      <c r="K362">
        <v>37935</v>
      </c>
      <c r="L362">
        <v>38814</v>
      </c>
      <c r="M362">
        <v>41103</v>
      </c>
      <c r="N362">
        <v>42901</v>
      </c>
      <c r="O362">
        <v>46613</v>
      </c>
      <c r="P362">
        <v>49403</v>
      </c>
      <c r="Q362">
        <v>49218</v>
      </c>
      <c r="R362">
        <v>51568</v>
      </c>
    </row>
    <row r="363" spans="1:18">
      <c r="A363">
        <v>36380</v>
      </c>
      <c r="B363" t="s">
        <v>1054</v>
      </c>
      <c r="C363" t="s">
        <v>1448</v>
      </c>
      <c r="D363" t="s">
        <v>1449</v>
      </c>
      <c r="E363">
        <v>25063</v>
      </c>
      <c r="F363">
        <v>26513</v>
      </c>
      <c r="G363">
        <v>26781</v>
      </c>
      <c r="H363">
        <v>26862</v>
      </c>
      <c r="I363">
        <v>29502</v>
      </c>
      <c r="J363">
        <v>31164</v>
      </c>
      <c r="K363">
        <v>30228</v>
      </c>
      <c r="L363">
        <v>32216</v>
      </c>
      <c r="M363">
        <v>32139</v>
      </c>
      <c r="N363">
        <v>33364</v>
      </c>
      <c r="O363">
        <v>35705</v>
      </c>
      <c r="P363">
        <v>39520</v>
      </c>
      <c r="Q363">
        <v>40244</v>
      </c>
      <c r="R363">
        <v>42702</v>
      </c>
    </row>
    <row r="364" spans="1:18">
      <c r="A364">
        <v>36460</v>
      </c>
      <c r="B364" t="s">
        <v>1055</v>
      </c>
      <c r="C364" t="s">
        <v>1448</v>
      </c>
      <c r="D364" t="s">
        <v>1449</v>
      </c>
      <c r="E364">
        <v>33115</v>
      </c>
      <c r="F364">
        <v>33248</v>
      </c>
      <c r="G364">
        <v>33896</v>
      </c>
      <c r="H364">
        <v>33852</v>
      </c>
      <c r="I364">
        <v>34802</v>
      </c>
      <c r="J364">
        <v>35973</v>
      </c>
      <c r="K364">
        <v>35917</v>
      </c>
      <c r="L364">
        <v>38030</v>
      </c>
      <c r="M364">
        <v>38383</v>
      </c>
      <c r="N364">
        <v>40362</v>
      </c>
      <c r="O364">
        <v>44485</v>
      </c>
      <c r="P364">
        <v>46505</v>
      </c>
      <c r="Q364">
        <v>46131</v>
      </c>
      <c r="R364">
        <v>48342</v>
      </c>
    </row>
    <row r="365" spans="1:18">
      <c r="A365">
        <v>36580</v>
      </c>
      <c r="B365" t="s">
        <v>1056</v>
      </c>
      <c r="C365" t="s">
        <v>1448</v>
      </c>
      <c r="D365" t="s">
        <v>1449</v>
      </c>
      <c r="E365">
        <v>33275</v>
      </c>
      <c r="F365">
        <v>34353</v>
      </c>
      <c r="G365">
        <v>35555</v>
      </c>
      <c r="H365">
        <v>36236</v>
      </c>
      <c r="I365">
        <v>37452</v>
      </c>
      <c r="J365">
        <v>39140</v>
      </c>
      <c r="K365">
        <v>39863</v>
      </c>
      <c r="L365">
        <v>42177</v>
      </c>
      <c r="M365">
        <v>43417</v>
      </c>
      <c r="N365">
        <v>45824</v>
      </c>
      <c r="O365">
        <v>50506</v>
      </c>
      <c r="P365">
        <v>50957</v>
      </c>
      <c r="Q365">
        <v>50404</v>
      </c>
      <c r="R365">
        <v>53098</v>
      </c>
    </row>
    <row r="366" spans="1:18">
      <c r="A366">
        <v>36620</v>
      </c>
      <c r="B366" t="s">
        <v>1057</v>
      </c>
      <c r="C366" t="s">
        <v>1448</v>
      </c>
      <c r="D366" t="s">
        <v>1449</v>
      </c>
      <c r="E366">
        <v>25920</v>
      </c>
      <c r="F366">
        <v>26910</v>
      </c>
      <c r="G366">
        <v>28541</v>
      </c>
      <c r="H366">
        <v>29258</v>
      </c>
      <c r="I366">
        <v>30807</v>
      </c>
      <c r="J366">
        <v>32775</v>
      </c>
      <c r="K366">
        <v>32450</v>
      </c>
      <c r="L366">
        <v>32707</v>
      </c>
      <c r="M366">
        <v>34123</v>
      </c>
      <c r="N366">
        <v>35997</v>
      </c>
      <c r="O366">
        <v>38860</v>
      </c>
      <c r="P366">
        <v>42735</v>
      </c>
      <c r="Q366">
        <v>43804</v>
      </c>
      <c r="R366">
        <v>44565</v>
      </c>
    </row>
    <row r="367" spans="1:18">
      <c r="A367">
        <v>36660</v>
      </c>
      <c r="B367" t="s">
        <v>1058</v>
      </c>
      <c r="C367" t="s">
        <v>1448</v>
      </c>
      <c r="D367" t="s">
        <v>1449</v>
      </c>
      <c r="E367">
        <v>33779</v>
      </c>
      <c r="F367">
        <v>35013</v>
      </c>
      <c r="G367">
        <v>36450</v>
      </c>
      <c r="H367">
        <v>37264</v>
      </c>
      <c r="I367">
        <v>38339</v>
      </c>
      <c r="J367">
        <v>38435</v>
      </c>
      <c r="K367">
        <v>37512</v>
      </c>
      <c r="L367">
        <v>38132</v>
      </c>
      <c r="M367">
        <v>39400</v>
      </c>
      <c r="N367">
        <v>41519</v>
      </c>
      <c r="O367">
        <v>44856</v>
      </c>
      <c r="P367">
        <v>48094</v>
      </c>
      <c r="Q367">
        <v>46680</v>
      </c>
      <c r="R367">
        <v>48881</v>
      </c>
    </row>
    <row r="368" spans="1:18">
      <c r="A368">
        <v>36700</v>
      </c>
      <c r="B368" t="s">
        <v>1059</v>
      </c>
      <c r="C368" t="s">
        <v>1448</v>
      </c>
      <c r="D368" t="s">
        <v>1449</v>
      </c>
      <c r="E368">
        <v>27197</v>
      </c>
      <c r="F368">
        <v>28125</v>
      </c>
      <c r="G368">
        <v>28126</v>
      </c>
      <c r="H368">
        <v>28749</v>
      </c>
      <c r="I368">
        <v>29896</v>
      </c>
      <c r="J368">
        <v>31046</v>
      </c>
      <c r="K368">
        <v>31821</v>
      </c>
      <c r="L368">
        <v>33110</v>
      </c>
      <c r="M368">
        <v>34142</v>
      </c>
      <c r="N368">
        <v>35374</v>
      </c>
      <c r="O368">
        <v>38595</v>
      </c>
      <c r="P368">
        <v>42361</v>
      </c>
      <c r="Q368">
        <v>42590</v>
      </c>
      <c r="R368">
        <v>44277</v>
      </c>
    </row>
    <row r="369" spans="1:18">
      <c r="A369">
        <v>36820</v>
      </c>
      <c r="B369" t="s">
        <v>1060</v>
      </c>
      <c r="C369" t="s">
        <v>1448</v>
      </c>
      <c r="D369" t="s">
        <v>1449</v>
      </c>
      <c r="E369">
        <v>32258</v>
      </c>
      <c r="F369">
        <v>35465</v>
      </c>
      <c r="G369">
        <v>36646</v>
      </c>
      <c r="H369">
        <v>37437</v>
      </c>
      <c r="I369">
        <v>37387</v>
      </c>
      <c r="J369">
        <v>37788</v>
      </c>
      <c r="K369">
        <v>38183</v>
      </c>
      <c r="L369">
        <v>39440</v>
      </c>
      <c r="M369">
        <v>42998</v>
      </c>
      <c r="N369">
        <v>42503</v>
      </c>
      <c r="O369">
        <v>44968</v>
      </c>
      <c r="P369">
        <v>50504</v>
      </c>
      <c r="Q369">
        <v>53650</v>
      </c>
      <c r="R369">
        <v>55210</v>
      </c>
    </row>
    <row r="370" spans="1:18">
      <c r="A370">
        <v>36830</v>
      </c>
      <c r="B370" t="s">
        <v>1061</v>
      </c>
      <c r="C370" t="s">
        <v>1448</v>
      </c>
      <c r="D370" t="s">
        <v>1449</v>
      </c>
      <c r="E370">
        <v>30688</v>
      </c>
      <c r="F370">
        <v>33946</v>
      </c>
      <c r="G370">
        <v>35932</v>
      </c>
      <c r="H370">
        <v>36305</v>
      </c>
      <c r="I370">
        <v>36918</v>
      </c>
      <c r="J370">
        <v>41505</v>
      </c>
      <c r="K370">
        <v>37640</v>
      </c>
      <c r="L370">
        <v>36616</v>
      </c>
      <c r="M370">
        <v>37216</v>
      </c>
      <c r="N370">
        <v>39555</v>
      </c>
      <c r="O370">
        <v>42318</v>
      </c>
      <c r="P370">
        <v>48821</v>
      </c>
      <c r="Q370">
        <v>51413</v>
      </c>
      <c r="R370">
        <v>52466</v>
      </c>
    </row>
    <row r="371" spans="1:18">
      <c r="A371">
        <v>36837</v>
      </c>
      <c r="B371" t="s">
        <v>1062</v>
      </c>
      <c r="C371" t="s">
        <v>1448</v>
      </c>
      <c r="D371" t="s">
        <v>1449</v>
      </c>
      <c r="E371">
        <v>34664</v>
      </c>
      <c r="F371">
        <v>37431</v>
      </c>
      <c r="G371">
        <v>37399</v>
      </c>
      <c r="H371">
        <v>39786</v>
      </c>
      <c r="I371">
        <v>39125</v>
      </c>
      <c r="J371">
        <v>39820</v>
      </c>
      <c r="K371">
        <v>40685</v>
      </c>
      <c r="L371">
        <v>41497</v>
      </c>
      <c r="M371">
        <v>43236</v>
      </c>
      <c r="N371">
        <v>44245</v>
      </c>
      <c r="O371">
        <v>48352</v>
      </c>
      <c r="P371">
        <v>52898</v>
      </c>
      <c r="Q371">
        <v>54056</v>
      </c>
      <c r="R371">
        <v>56274</v>
      </c>
    </row>
    <row r="372" spans="1:18">
      <c r="A372">
        <v>36840</v>
      </c>
      <c r="B372" t="s">
        <v>1063</v>
      </c>
      <c r="C372" t="s">
        <v>1448</v>
      </c>
      <c r="D372" t="s">
        <v>1449</v>
      </c>
      <c r="E372">
        <v>32326</v>
      </c>
      <c r="F372">
        <v>33660</v>
      </c>
      <c r="G372">
        <v>34849</v>
      </c>
      <c r="H372">
        <v>36147</v>
      </c>
      <c r="I372">
        <v>36539</v>
      </c>
      <c r="J372">
        <v>38002</v>
      </c>
      <c r="K372">
        <v>39057</v>
      </c>
      <c r="L372">
        <v>39909</v>
      </c>
      <c r="M372">
        <v>41769</v>
      </c>
      <c r="N372">
        <v>43443</v>
      </c>
      <c r="O372">
        <v>46382</v>
      </c>
      <c r="P372">
        <v>49764</v>
      </c>
      <c r="Q372">
        <v>49388</v>
      </c>
      <c r="R372">
        <v>51709</v>
      </c>
    </row>
    <row r="373" spans="1:18">
      <c r="A373">
        <v>36900</v>
      </c>
      <c r="B373" t="s">
        <v>1064</v>
      </c>
      <c r="C373" t="s">
        <v>1448</v>
      </c>
      <c r="D373" t="s">
        <v>1449</v>
      </c>
      <c r="E373">
        <v>30961</v>
      </c>
      <c r="F373">
        <v>31952</v>
      </c>
      <c r="G373">
        <v>32859</v>
      </c>
      <c r="H373">
        <v>33092</v>
      </c>
      <c r="I373">
        <v>33647</v>
      </c>
      <c r="J373">
        <v>34868</v>
      </c>
      <c r="K373">
        <v>35631</v>
      </c>
      <c r="L373">
        <v>37470</v>
      </c>
      <c r="M373">
        <v>38355</v>
      </c>
      <c r="N373">
        <v>38908</v>
      </c>
      <c r="O373">
        <v>42397</v>
      </c>
      <c r="P373">
        <v>45266</v>
      </c>
      <c r="Q373">
        <v>46471</v>
      </c>
      <c r="R373">
        <v>47419</v>
      </c>
    </row>
    <row r="374" spans="1:18">
      <c r="A374">
        <v>36940</v>
      </c>
      <c r="B374" t="s">
        <v>1065</v>
      </c>
      <c r="C374" t="s">
        <v>1448</v>
      </c>
      <c r="D374" t="s">
        <v>1449</v>
      </c>
      <c r="E374">
        <v>36650</v>
      </c>
      <c r="F374">
        <v>38543</v>
      </c>
      <c r="G374">
        <v>39987</v>
      </c>
      <c r="H374">
        <v>41047</v>
      </c>
      <c r="I374">
        <v>40675</v>
      </c>
      <c r="J374">
        <v>41478</v>
      </c>
      <c r="K374">
        <v>41545</v>
      </c>
      <c r="L374">
        <v>44114</v>
      </c>
      <c r="M374">
        <v>45070</v>
      </c>
      <c r="N374">
        <v>46216</v>
      </c>
      <c r="O374">
        <v>50119</v>
      </c>
      <c r="P374">
        <v>55861</v>
      </c>
      <c r="Q374">
        <v>56395</v>
      </c>
      <c r="R374">
        <v>58222</v>
      </c>
    </row>
    <row r="375" spans="1:18">
      <c r="A375">
        <v>37060</v>
      </c>
      <c r="B375" t="s">
        <v>1066</v>
      </c>
      <c r="C375" t="s">
        <v>1448</v>
      </c>
      <c r="D375" t="s">
        <v>1449</v>
      </c>
      <c r="E375">
        <v>31091</v>
      </c>
      <c r="F375">
        <v>32888</v>
      </c>
      <c r="G375">
        <v>34165</v>
      </c>
      <c r="H375">
        <v>33527</v>
      </c>
      <c r="I375">
        <v>34808</v>
      </c>
      <c r="J375">
        <v>36555</v>
      </c>
      <c r="K375">
        <v>38384</v>
      </c>
      <c r="L375">
        <v>39405</v>
      </c>
      <c r="M375">
        <v>41156</v>
      </c>
      <c r="N375">
        <v>42563</v>
      </c>
      <c r="O375">
        <v>45856</v>
      </c>
      <c r="P375">
        <v>49445</v>
      </c>
      <c r="Q375">
        <v>49944</v>
      </c>
      <c r="R375">
        <v>52791</v>
      </c>
    </row>
    <row r="376" spans="1:18">
      <c r="A376">
        <v>37120</v>
      </c>
      <c r="B376" t="s">
        <v>1067</v>
      </c>
      <c r="C376" t="s">
        <v>1448</v>
      </c>
      <c r="D376" t="s">
        <v>1449</v>
      </c>
      <c r="E376">
        <v>33121</v>
      </c>
      <c r="F376">
        <v>34008</v>
      </c>
      <c r="G376">
        <v>33279</v>
      </c>
      <c r="H376">
        <v>33280</v>
      </c>
      <c r="I376">
        <v>33621</v>
      </c>
      <c r="J376">
        <v>34380</v>
      </c>
      <c r="K376">
        <v>34380</v>
      </c>
      <c r="L376">
        <v>34936</v>
      </c>
      <c r="M376">
        <v>36080</v>
      </c>
      <c r="N376">
        <v>37318</v>
      </c>
      <c r="O376">
        <v>39983</v>
      </c>
      <c r="P376">
        <v>44186</v>
      </c>
      <c r="Q376">
        <v>44871</v>
      </c>
      <c r="R376">
        <v>45756</v>
      </c>
    </row>
    <row r="377" spans="1:18">
      <c r="A377">
        <v>37140</v>
      </c>
      <c r="B377" t="s">
        <v>1068</v>
      </c>
      <c r="C377" t="s">
        <v>1448</v>
      </c>
      <c r="D377" t="s">
        <v>1449</v>
      </c>
      <c r="E377">
        <v>35641</v>
      </c>
      <c r="F377">
        <v>37113</v>
      </c>
      <c r="G377">
        <v>37234</v>
      </c>
      <c r="H377">
        <v>38100</v>
      </c>
      <c r="I377">
        <v>40341</v>
      </c>
      <c r="J377">
        <v>42793</v>
      </c>
      <c r="K377">
        <v>43148</v>
      </c>
      <c r="L377">
        <v>41705</v>
      </c>
      <c r="M377">
        <v>41999</v>
      </c>
      <c r="N377">
        <v>43942</v>
      </c>
      <c r="O377">
        <v>48832</v>
      </c>
      <c r="P377">
        <v>55404</v>
      </c>
      <c r="Q377">
        <v>56752</v>
      </c>
      <c r="R377">
        <v>60485</v>
      </c>
    </row>
    <row r="378" spans="1:18">
      <c r="A378">
        <v>37220</v>
      </c>
      <c r="B378" t="s">
        <v>1069</v>
      </c>
      <c r="C378" t="s">
        <v>1448</v>
      </c>
      <c r="D378" t="s">
        <v>1449</v>
      </c>
      <c r="E378">
        <v>32893</v>
      </c>
      <c r="F378">
        <v>31513</v>
      </c>
      <c r="G378">
        <v>30526</v>
      </c>
      <c r="H378">
        <v>31350</v>
      </c>
      <c r="I378">
        <v>32617</v>
      </c>
      <c r="J378">
        <v>34172</v>
      </c>
      <c r="K378">
        <v>34236</v>
      </c>
      <c r="L378">
        <v>35185</v>
      </c>
      <c r="M378">
        <v>36012</v>
      </c>
      <c r="N378">
        <v>37375</v>
      </c>
      <c r="O378">
        <v>39526</v>
      </c>
      <c r="P378">
        <v>42989</v>
      </c>
      <c r="Q378">
        <v>42248</v>
      </c>
      <c r="R378">
        <v>44626</v>
      </c>
    </row>
    <row r="379" spans="1:18">
      <c r="A379">
        <v>37260</v>
      </c>
      <c r="B379" t="s">
        <v>1070</v>
      </c>
      <c r="C379" t="s">
        <v>1448</v>
      </c>
      <c r="D379" t="s">
        <v>1449</v>
      </c>
      <c r="E379">
        <v>27004</v>
      </c>
      <c r="F379">
        <v>27883</v>
      </c>
      <c r="G379">
        <v>27427</v>
      </c>
      <c r="H379">
        <v>27173</v>
      </c>
      <c r="I379">
        <v>28055</v>
      </c>
      <c r="J379">
        <v>29125</v>
      </c>
      <c r="K379">
        <v>30434</v>
      </c>
      <c r="L379">
        <v>31703</v>
      </c>
      <c r="M379">
        <v>32873</v>
      </c>
      <c r="N379">
        <v>33905</v>
      </c>
      <c r="O379">
        <v>37174</v>
      </c>
      <c r="P379">
        <v>39785</v>
      </c>
      <c r="Q379">
        <v>40205</v>
      </c>
      <c r="R379">
        <v>41712</v>
      </c>
    </row>
    <row r="380" spans="1:18">
      <c r="A380">
        <v>37300</v>
      </c>
      <c r="B380" t="s">
        <v>1071</v>
      </c>
      <c r="C380" t="s">
        <v>1448</v>
      </c>
      <c r="D380" t="s">
        <v>1449</v>
      </c>
      <c r="E380">
        <v>27257</v>
      </c>
      <c r="F380">
        <v>28690</v>
      </c>
      <c r="G380">
        <v>29882</v>
      </c>
      <c r="H380">
        <v>30324</v>
      </c>
      <c r="I380">
        <v>31383</v>
      </c>
      <c r="J380">
        <v>32029</v>
      </c>
      <c r="K380">
        <v>32912</v>
      </c>
      <c r="L380">
        <v>32983</v>
      </c>
      <c r="M380">
        <v>34273</v>
      </c>
      <c r="N380">
        <v>36121</v>
      </c>
      <c r="O380">
        <v>39062</v>
      </c>
      <c r="P380">
        <v>43311</v>
      </c>
      <c r="Q380">
        <v>44505</v>
      </c>
      <c r="R380">
        <v>46478</v>
      </c>
    </row>
    <row r="381" spans="1:18">
      <c r="A381">
        <v>37420</v>
      </c>
      <c r="B381" t="s">
        <v>1072</v>
      </c>
      <c r="C381" t="s">
        <v>1448</v>
      </c>
      <c r="D381" t="s">
        <v>1449</v>
      </c>
      <c r="E381">
        <v>38326</v>
      </c>
      <c r="F381">
        <v>42496</v>
      </c>
      <c r="G381">
        <v>44763</v>
      </c>
      <c r="H381">
        <v>46863</v>
      </c>
      <c r="I381">
        <v>47210</v>
      </c>
      <c r="J381">
        <v>43335</v>
      </c>
      <c r="K381">
        <v>38199</v>
      </c>
      <c r="L381">
        <v>41627</v>
      </c>
      <c r="M381">
        <v>42857</v>
      </c>
      <c r="N381">
        <v>45087</v>
      </c>
      <c r="O381">
        <v>45791</v>
      </c>
      <c r="P381">
        <v>46870</v>
      </c>
      <c r="Q381">
        <v>49975</v>
      </c>
      <c r="R381">
        <v>53942</v>
      </c>
    </row>
    <row r="382" spans="1:18">
      <c r="A382">
        <v>37500</v>
      </c>
      <c r="B382" t="s">
        <v>1073</v>
      </c>
      <c r="C382" t="s">
        <v>1448</v>
      </c>
      <c r="D382" t="s">
        <v>1449</v>
      </c>
      <c r="E382">
        <v>27859</v>
      </c>
      <c r="F382">
        <v>28701</v>
      </c>
      <c r="G382">
        <v>30776</v>
      </c>
      <c r="H382">
        <v>31715</v>
      </c>
      <c r="I382">
        <v>31733</v>
      </c>
      <c r="J382">
        <v>32100</v>
      </c>
      <c r="K382">
        <v>32359</v>
      </c>
      <c r="L382">
        <v>33033</v>
      </c>
      <c r="M382">
        <v>34098</v>
      </c>
      <c r="N382">
        <v>35674</v>
      </c>
      <c r="O382">
        <v>39255</v>
      </c>
      <c r="P382">
        <v>41940</v>
      </c>
      <c r="Q382">
        <v>42168</v>
      </c>
      <c r="R382">
        <v>43710</v>
      </c>
    </row>
    <row r="383" spans="1:18">
      <c r="A383">
        <v>37540</v>
      </c>
      <c r="B383" t="s">
        <v>1074</v>
      </c>
      <c r="C383" t="s">
        <v>1448</v>
      </c>
      <c r="D383" t="s">
        <v>1449</v>
      </c>
      <c r="E383">
        <v>31054</v>
      </c>
      <c r="F383">
        <v>33443</v>
      </c>
      <c r="G383">
        <v>35017</v>
      </c>
      <c r="H383">
        <v>36235</v>
      </c>
      <c r="I383">
        <v>36743</v>
      </c>
      <c r="J383">
        <v>37540</v>
      </c>
      <c r="K383">
        <v>37790</v>
      </c>
      <c r="L383">
        <v>39295</v>
      </c>
      <c r="M383">
        <v>40011</v>
      </c>
      <c r="N383">
        <v>42639</v>
      </c>
      <c r="O383">
        <v>47074</v>
      </c>
      <c r="P383">
        <v>51951</v>
      </c>
      <c r="Q383">
        <v>53517</v>
      </c>
      <c r="R383">
        <v>55959</v>
      </c>
    </row>
    <row r="384" spans="1:18">
      <c r="A384">
        <v>37580</v>
      </c>
      <c r="B384" t="s">
        <v>1075</v>
      </c>
      <c r="C384" t="s">
        <v>1448</v>
      </c>
      <c r="D384" t="s">
        <v>1449</v>
      </c>
      <c r="E384">
        <v>33239</v>
      </c>
      <c r="F384">
        <v>34177</v>
      </c>
      <c r="G384">
        <v>33691</v>
      </c>
      <c r="H384">
        <v>34494</v>
      </c>
      <c r="I384">
        <v>35884</v>
      </c>
      <c r="J384">
        <v>37623</v>
      </c>
      <c r="K384">
        <v>38622</v>
      </c>
      <c r="L384">
        <v>40252</v>
      </c>
      <c r="M384">
        <v>40814</v>
      </c>
      <c r="N384">
        <v>43149</v>
      </c>
      <c r="O384">
        <v>46738</v>
      </c>
      <c r="P384">
        <v>50934</v>
      </c>
      <c r="Q384">
        <v>50162</v>
      </c>
      <c r="R384">
        <v>51936</v>
      </c>
    </row>
    <row r="385" spans="1:18">
      <c r="A385">
        <v>37660</v>
      </c>
      <c r="B385" t="s">
        <v>1076</v>
      </c>
      <c r="C385" t="s">
        <v>1448</v>
      </c>
      <c r="D385" t="s">
        <v>1449</v>
      </c>
      <c r="E385">
        <v>33340</v>
      </c>
      <c r="F385">
        <v>35537</v>
      </c>
      <c r="G385">
        <v>35979</v>
      </c>
      <c r="H385">
        <v>36796</v>
      </c>
      <c r="I385">
        <v>37029</v>
      </c>
      <c r="J385">
        <v>37446</v>
      </c>
      <c r="K385">
        <v>38153</v>
      </c>
      <c r="L385">
        <v>39113</v>
      </c>
      <c r="M385">
        <v>40628</v>
      </c>
      <c r="N385">
        <v>42250</v>
      </c>
      <c r="O385">
        <v>45629</v>
      </c>
      <c r="P385">
        <v>48283</v>
      </c>
      <c r="Q385">
        <v>49938</v>
      </c>
      <c r="R385">
        <v>51806</v>
      </c>
    </row>
    <row r="386" spans="1:18">
      <c r="A386">
        <v>37740</v>
      </c>
      <c r="B386" t="s">
        <v>1077</v>
      </c>
      <c r="C386" t="s">
        <v>1448</v>
      </c>
      <c r="D386" t="s">
        <v>1449</v>
      </c>
      <c r="E386">
        <v>31505</v>
      </c>
      <c r="F386">
        <v>32856</v>
      </c>
      <c r="G386">
        <v>31771</v>
      </c>
      <c r="H386">
        <v>32387</v>
      </c>
      <c r="I386">
        <v>33798</v>
      </c>
      <c r="J386">
        <v>35407</v>
      </c>
      <c r="K386">
        <v>35816</v>
      </c>
      <c r="L386">
        <v>38383</v>
      </c>
      <c r="M386">
        <v>39549</v>
      </c>
      <c r="N386">
        <v>40579</v>
      </c>
      <c r="O386">
        <v>44976</v>
      </c>
      <c r="P386">
        <v>49597</v>
      </c>
      <c r="Q386">
        <v>50254</v>
      </c>
      <c r="R386">
        <v>52984</v>
      </c>
    </row>
    <row r="387" spans="1:18">
      <c r="A387">
        <v>37770</v>
      </c>
      <c r="B387" t="s">
        <v>1078</v>
      </c>
      <c r="C387" t="s">
        <v>1448</v>
      </c>
      <c r="D387" t="s">
        <v>1449</v>
      </c>
      <c r="E387">
        <v>23821</v>
      </c>
      <c r="F387">
        <v>25847</v>
      </c>
      <c r="G387">
        <v>28145</v>
      </c>
      <c r="H387">
        <v>28837</v>
      </c>
      <c r="I387">
        <v>30455</v>
      </c>
      <c r="J387">
        <v>31085</v>
      </c>
      <c r="K387">
        <v>28845</v>
      </c>
      <c r="L387">
        <v>30530</v>
      </c>
      <c r="M387">
        <v>31685</v>
      </c>
      <c r="N387">
        <v>33472</v>
      </c>
      <c r="O387">
        <v>35436</v>
      </c>
      <c r="P387">
        <v>39216</v>
      </c>
      <c r="Q387">
        <v>39382</v>
      </c>
      <c r="R387">
        <v>41270</v>
      </c>
    </row>
    <row r="388" spans="1:18">
      <c r="A388">
        <v>37780</v>
      </c>
      <c r="B388" t="s">
        <v>1079</v>
      </c>
      <c r="C388" t="s">
        <v>1448</v>
      </c>
      <c r="D388" t="s">
        <v>1449</v>
      </c>
      <c r="E388">
        <v>22942</v>
      </c>
      <c r="F388">
        <v>25208</v>
      </c>
      <c r="G388">
        <v>26192</v>
      </c>
      <c r="H388">
        <v>28652</v>
      </c>
      <c r="I388">
        <v>32298</v>
      </c>
      <c r="J388">
        <v>31346</v>
      </c>
      <c r="K388">
        <v>31684</v>
      </c>
      <c r="L388">
        <v>37212</v>
      </c>
      <c r="M388">
        <v>46537</v>
      </c>
      <c r="N388">
        <v>51005</v>
      </c>
      <c r="O388">
        <v>46863</v>
      </c>
      <c r="P388">
        <v>58154</v>
      </c>
      <c r="Q388">
        <v>68447</v>
      </c>
      <c r="R388">
        <v>77090</v>
      </c>
    </row>
    <row r="389" spans="1:18">
      <c r="A389">
        <v>37800</v>
      </c>
      <c r="B389" t="s">
        <v>1080</v>
      </c>
      <c r="C389" t="s">
        <v>1448</v>
      </c>
      <c r="D389" t="s">
        <v>1449</v>
      </c>
      <c r="E389">
        <v>34943</v>
      </c>
      <c r="F389">
        <v>37732</v>
      </c>
      <c r="G389">
        <v>39552</v>
      </c>
      <c r="H389">
        <v>39431</v>
      </c>
      <c r="I389">
        <v>40378</v>
      </c>
      <c r="J389">
        <v>41679</v>
      </c>
      <c r="K389">
        <v>43169</v>
      </c>
      <c r="L389">
        <v>45543</v>
      </c>
      <c r="M389">
        <v>47768</v>
      </c>
      <c r="N389">
        <v>49943</v>
      </c>
      <c r="O389">
        <v>53041</v>
      </c>
      <c r="P389">
        <v>57928</v>
      </c>
      <c r="Q389">
        <v>60612</v>
      </c>
      <c r="R389">
        <v>64302</v>
      </c>
    </row>
    <row r="390" spans="1:18">
      <c r="A390">
        <v>37940</v>
      </c>
      <c r="B390" t="s">
        <v>1081</v>
      </c>
      <c r="C390" t="s">
        <v>1448</v>
      </c>
      <c r="D390" t="s">
        <v>1449</v>
      </c>
      <c r="E390">
        <v>25766</v>
      </c>
      <c r="F390">
        <v>27285</v>
      </c>
      <c r="G390">
        <v>28597</v>
      </c>
      <c r="H390">
        <v>29714</v>
      </c>
      <c r="I390">
        <v>31220</v>
      </c>
      <c r="J390">
        <v>31140</v>
      </c>
      <c r="K390">
        <v>31606</v>
      </c>
      <c r="L390">
        <v>32938</v>
      </c>
      <c r="M390">
        <v>33904</v>
      </c>
      <c r="N390">
        <v>34729</v>
      </c>
      <c r="O390">
        <v>36965</v>
      </c>
      <c r="P390">
        <v>40974</v>
      </c>
      <c r="Q390">
        <v>41093</v>
      </c>
      <c r="R390">
        <v>42691</v>
      </c>
    </row>
    <row r="391" spans="1:18">
      <c r="A391">
        <v>38100</v>
      </c>
      <c r="B391" t="s">
        <v>1082</v>
      </c>
      <c r="C391" t="s">
        <v>1448</v>
      </c>
      <c r="D391" t="s">
        <v>1449</v>
      </c>
      <c r="E391">
        <v>31893</v>
      </c>
      <c r="F391">
        <v>32850</v>
      </c>
      <c r="G391">
        <v>32923</v>
      </c>
      <c r="H391">
        <v>32666</v>
      </c>
      <c r="I391">
        <v>33203</v>
      </c>
      <c r="J391">
        <v>34196</v>
      </c>
      <c r="K391">
        <v>34394</v>
      </c>
      <c r="L391">
        <v>35002</v>
      </c>
      <c r="M391">
        <v>36022</v>
      </c>
      <c r="N391">
        <v>37965</v>
      </c>
      <c r="O391">
        <v>39812</v>
      </c>
      <c r="P391">
        <v>43747</v>
      </c>
      <c r="Q391">
        <v>44036</v>
      </c>
      <c r="R391">
        <v>47020</v>
      </c>
    </row>
    <row r="392" spans="1:18">
      <c r="A392">
        <v>38180</v>
      </c>
      <c r="B392" t="s">
        <v>1083</v>
      </c>
      <c r="C392" t="s">
        <v>1448</v>
      </c>
      <c r="D392" t="s">
        <v>1449</v>
      </c>
      <c r="E392">
        <v>45025</v>
      </c>
      <c r="F392">
        <v>47610</v>
      </c>
      <c r="G392">
        <v>47819</v>
      </c>
      <c r="H392">
        <v>48140</v>
      </c>
      <c r="I392">
        <v>48882</v>
      </c>
      <c r="J392">
        <v>50138</v>
      </c>
      <c r="K392">
        <v>50398</v>
      </c>
      <c r="L392">
        <v>51848</v>
      </c>
      <c r="M392">
        <v>50971</v>
      </c>
      <c r="N392">
        <v>55058</v>
      </c>
      <c r="O392">
        <v>56905</v>
      </c>
      <c r="P392">
        <v>65335</v>
      </c>
      <c r="Q392">
        <v>66253</v>
      </c>
      <c r="R392">
        <v>69442</v>
      </c>
    </row>
    <row r="393" spans="1:18">
      <c r="A393">
        <v>38240</v>
      </c>
      <c r="B393" t="s">
        <v>1084</v>
      </c>
      <c r="C393" t="s">
        <v>1448</v>
      </c>
      <c r="D393" t="s">
        <v>1449</v>
      </c>
      <c r="E393">
        <v>40170</v>
      </c>
      <c r="F393">
        <v>42109</v>
      </c>
      <c r="G393">
        <v>44886</v>
      </c>
      <c r="H393">
        <v>44191</v>
      </c>
      <c r="I393">
        <v>46262</v>
      </c>
      <c r="J393">
        <v>48227</v>
      </c>
      <c r="K393">
        <v>48582</v>
      </c>
      <c r="L393">
        <v>49785</v>
      </c>
      <c r="M393">
        <v>51385</v>
      </c>
      <c r="N393">
        <v>53878</v>
      </c>
      <c r="O393">
        <v>57340</v>
      </c>
      <c r="P393">
        <v>61430</v>
      </c>
      <c r="Q393">
        <v>64619</v>
      </c>
      <c r="R393">
        <v>68180</v>
      </c>
    </row>
    <row r="394" spans="1:18">
      <c r="A394">
        <v>38260</v>
      </c>
      <c r="B394" t="s">
        <v>1085</v>
      </c>
      <c r="C394" t="s">
        <v>1448</v>
      </c>
      <c r="D394" t="s">
        <v>1449</v>
      </c>
      <c r="E394">
        <v>31138</v>
      </c>
      <c r="F394">
        <v>32397</v>
      </c>
      <c r="G394">
        <v>34012</v>
      </c>
      <c r="H394">
        <v>35558</v>
      </c>
      <c r="I394">
        <v>34543</v>
      </c>
      <c r="J394">
        <v>34457</v>
      </c>
      <c r="K394">
        <v>36206</v>
      </c>
      <c r="L394">
        <v>40088</v>
      </c>
      <c r="M394">
        <v>42285</v>
      </c>
      <c r="N394">
        <v>41091</v>
      </c>
      <c r="O394">
        <v>42950</v>
      </c>
      <c r="P394">
        <v>45652</v>
      </c>
      <c r="Q394">
        <v>45296</v>
      </c>
      <c r="R394">
        <v>47790</v>
      </c>
    </row>
    <row r="395" spans="1:18">
      <c r="A395">
        <v>38380</v>
      </c>
      <c r="B395" t="s">
        <v>1086</v>
      </c>
      <c r="C395" t="s">
        <v>1448</v>
      </c>
      <c r="D395" t="s">
        <v>1449</v>
      </c>
      <c r="E395">
        <v>30654</v>
      </c>
      <c r="F395">
        <v>29681</v>
      </c>
      <c r="G395">
        <v>29385</v>
      </c>
      <c r="H395">
        <v>30310</v>
      </c>
      <c r="I395">
        <v>30493</v>
      </c>
      <c r="J395">
        <v>30853</v>
      </c>
      <c r="K395">
        <v>30236</v>
      </c>
      <c r="L395">
        <v>31983</v>
      </c>
      <c r="M395">
        <v>33403</v>
      </c>
      <c r="N395">
        <v>35978</v>
      </c>
      <c r="O395">
        <v>39155</v>
      </c>
      <c r="P395">
        <v>42433</v>
      </c>
      <c r="Q395">
        <v>44675</v>
      </c>
      <c r="R395">
        <v>45103</v>
      </c>
    </row>
    <row r="396" spans="1:18">
      <c r="A396">
        <v>38420</v>
      </c>
      <c r="B396" t="s">
        <v>1087</v>
      </c>
      <c r="C396" t="s">
        <v>1448</v>
      </c>
      <c r="D396" t="s">
        <v>1449</v>
      </c>
      <c r="E396">
        <v>33555</v>
      </c>
      <c r="F396">
        <v>35600</v>
      </c>
      <c r="G396">
        <v>37243</v>
      </c>
      <c r="H396">
        <v>37007</v>
      </c>
      <c r="I396">
        <v>37998</v>
      </c>
      <c r="J396">
        <v>38927</v>
      </c>
      <c r="K396">
        <v>39134</v>
      </c>
      <c r="L396">
        <v>41050</v>
      </c>
      <c r="M396">
        <v>42848</v>
      </c>
      <c r="N396">
        <v>44311</v>
      </c>
      <c r="O396">
        <v>47692</v>
      </c>
      <c r="P396">
        <v>51653</v>
      </c>
      <c r="Q396">
        <v>52050</v>
      </c>
      <c r="R396">
        <v>53781</v>
      </c>
    </row>
    <row r="397" spans="1:18">
      <c r="A397">
        <v>38460</v>
      </c>
      <c r="B397" t="s">
        <v>1088</v>
      </c>
      <c r="C397" t="s">
        <v>1448</v>
      </c>
      <c r="D397" t="s">
        <v>1449</v>
      </c>
      <c r="E397">
        <v>35465</v>
      </c>
      <c r="F397">
        <v>36075</v>
      </c>
      <c r="G397">
        <v>36960</v>
      </c>
      <c r="H397">
        <v>37559</v>
      </c>
      <c r="I397">
        <v>38175</v>
      </c>
      <c r="J397">
        <v>40473</v>
      </c>
      <c r="K397">
        <v>40768</v>
      </c>
      <c r="L397">
        <v>42609</v>
      </c>
      <c r="M397">
        <v>42798</v>
      </c>
      <c r="N397">
        <v>44636</v>
      </c>
      <c r="O397">
        <v>48623</v>
      </c>
      <c r="P397">
        <v>51644</v>
      </c>
      <c r="Q397">
        <v>52324</v>
      </c>
      <c r="R397">
        <v>55008</v>
      </c>
    </row>
    <row r="398" spans="1:18">
      <c r="A398">
        <v>38500</v>
      </c>
      <c r="B398" t="s">
        <v>1089</v>
      </c>
      <c r="C398" t="s">
        <v>1448</v>
      </c>
      <c r="D398" t="s">
        <v>1449</v>
      </c>
      <c r="E398">
        <v>31541</v>
      </c>
      <c r="F398">
        <v>33350</v>
      </c>
      <c r="G398">
        <v>34176</v>
      </c>
      <c r="H398">
        <v>35655</v>
      </c>
      <c r="I398">
        <v>36544</v>
      </c>
      <c r="J398">
        <v>37272</v>
      </c>
      <c r="K398">
        <v>38365</v>
      </c>
      <c r="L398">
        <v>40129</v>
      </c>
      <c r="M398">
        <v>41305</v>
      </c>
      <c r="N398">
        <v>42273</v>
      </c>
      <c r="O398">
        <v>46216</v>
      </c>
      <c r="P398">
        <v>51723</v>
      </c>
      <c r="Q398">
        <v>53551</v>
      </c>
      <c r="R398">
        <v>53579</v>
      </c>
    </row>
    <row r="399" spans="1:18">
      <c r="A399">
        <v>38580</v>
      </c>
      <c r="B399" t="s">
        <v>1090</v>
      </c>
      <c r="C399" t="s">
        <v>1448</v>
      </c>
      <c r="D399" t="s">
        <v>1449</v>
      </c>
      <c r="E399">
        <v>29552</v>
      </c>
      <c r="F399">
        <v>30999</v>
      </c>
      <c r="G399">
        <v>32297</v>
      </c>
      <c r="H399">
        <v>32020</v>
      </c>
      <c r="I399">
        <v>32388</v>
      </c>
      <c r="J399">
        <v>33532</v>
      </c>
      <c r="K399">
        <v>33870</v>
      </c>
      <c r="L399">
        <v>35512</v>
      </c>
      <c r="M399">
        <v>37296</v>
      </c>
      <c r="N399">
        <v>38786</v>
      </c>
      <c r="O399">
        <v>41802</v>
      </c>
      <c r="P399">
        <v>44354</v>
      </c>
      <c r="Q399">
        <v>44887</v>
      </c>
      <c r="R399">
        <v>47449</v>
      </c>
    </row>
    <row r="400" spans="1:18">
      <c r="A400">
        <v>38620</v>
      </c>
      <c r="B400" t="s">
        <v>1091</v>
      </c>
      <c r="C400" t="s">
        <v>1448</v>
      </c>
      <c r="D400" t="s">
        <v>1449</v>
      </c>
      <c r="E400">
        <v>34117</v>
      </c>
      <c r="F400">
        <v>36368</v>
      </c>
      <c r="G400">
        <v>37448</v>
      </c>
      <c r="H400">
        <v>37813</v>
      </c>
      <c r="I400">
        <v>38682</v>
      </c>
      <c r="J400">
        <v>38423</v>
      </c>
      <c r="K400">
        <v>38064</v>
      </c>
      <c r="L400">
        <v>39180</v>
      </c>
      <c r="M400">
        <v>39617</v>
      </c>
      <c r="N400">
        <v>41414</v>
      </c>
      <c r="O400">
        <v>45181</v>
      </c>
      <c r="P400">
        <v>49022</v>
      </c>
      <c r="Q400">
        <v>48259</v>
      </c>
      <c r="R400">
        <v>49623</v>
      </c>
    </row>
    <row r="401" spans="1:18">
      <c r="A401">
        <v>38700</v>
      </c>
      <c r="B401" t="s">
        <v>1092</v>
      </c>
      <c r="C401" t="s">
        <v>1448</v>
      </c>
      <c r="D401" t="s">
        <v>1449</v>
      </c>
      <c r="E401">
        <v>35437</v>
      </c>
      <c r="F401">
        <v>37501</v>
      </c>
      <c r="G401">
        <v>37161</v>
      </c>
      <c r="H401">
        <v>40861</v>
      </c>
      <c r="I401">
        <v>38738</v>
      </c>
      <c r="J401">
        <v>38262</v>
      </c>
      <c r="K401">
        <v>41189</v>
      </c>
      <c r="L401">
        <v>41654</v>
      </c>
      <c r="M401">
        <v>44154</v>
      </c>
      <c r="N401">
        <v>45401</v>
      </c>
      <c r="O401">
        <v>51234</v>
      </c>
      <c r="P401">
        <v>56627</v>
      </c>
      <c r="Q401">
        <v>57298</v>
      </c>
      <c r="R401">
        <v>57597</v>
      </c>
    </row>
    <row r="402" spans="1:18">
      <c r="A402">
        <v>38740</v>
      </c>
      <c r="B402" t="s">
        <v>1093</v>
      </c>
      <c r="C402" t="s">
        <v>1448</v>
      </c>
      <c r="D402" t="s">
        <v>1449</v>
      </c>
      <c r="E402">
        <v>30059</v>
      </c>
      <c r="F402">
        <v>31015</v>
      </c>
      <c r="G402">
        <v>31876</v>
      </c>
      <c r="H402">
        <v>32211</v>
      </c>
      <c r="I402">
        <v>33062</v>
      </c>
      <c r="J402">
        <v>33211</v>
      </c>
      <c r="K402">
        <v>33904</v>
      </c>
      <c r="L402">
        <v>34490</v>
      </c>
      <c r="M402">
        <v>35272</v>
      </c>
      <c r="N402">
        <v>36414</v>
      </c>
      <c r="O402">
        <v>41024</v>
      </c>
      <c r="P402">
        <v>43789</v>
      </c>
      <c r="Q402">
        <v>43988</v>
      </c>
      <c r="R402">
        <v>46476</v>
      </c>
    </row>
    <row r="403" spans="1:18">
      <c r="A403">
        <v>38780</v>
      </c>
      <c r="B403" t="s">
        <v>1094</v>
      </c>
      <c r="C403" t="s">
        <v>1448</v>
      </c>
      <c r="D403" t="s">
        <v>1449</v>
      </c>
      <c r="E403">
        <v>31237</v>
      </c>
      <c r="F403">
        <v>34114</v>
      </c>
      <c r="G403">
        <v>33599</v>
      </c>
      <c r="H403">
        <v>33673</v>
      </c>
      <c r="I403">
        <v>37299</v>
      </c>
      <c r="J403">
        <v>36148</v>
      </c>
      <c r="K403">
        <v>36301</v>
      </c>
      <c r="L403">
        <v>38324</v>
      </c>
      <c r="M403">
        <v>37897</v>
      </c>
      <c r="N403">
        <v>40266</v>
      </c>
      <c r="O403">
        <v>43593</v>
      </c>
      <c r="P403">
        <v>46855</v>
      </c>
      <c r="Q403">
        <v>52777</v>
      </c>
      <c r="R403">
        <v>51180</v>
      </c>
    </row>
    <row r="404" spans="1:18">
      <c r="A404">
        <v>38820</v>
      </c>
      <c r="B404" t="s">
        <v>1095</v>
      </c>
      <c r="C404" t="s">
        <v>1448</v>
      </c>
      <c r="D404" t="s">
        <v>1449</v>
      </c>
      <c r="E404">
        <v>34799</v>
      </c>
      <c r="F404">
        <v>36552</v>
      </c>
      <c r="G404">
        <v>38185</v>
      </c>
      <c r="H404">
        <v>37975</v>
      </c>
      <c r="I404">
        <v>39728</v>
      </c>
      <c r="J404">
        <v>40661</v>
      </c>
      <c r="K404">
        <v>41708</v>
      </c>
      <c r="L404">
        <v>43445</v>
      </c>
      <c r="M404">
        <v>44968</v>
      </c>
      <c r="N404">
        <v>47366</v>
      </c>
      <c r="O404">
        <v>50728</v>
      </c>
      <c r="P404">
        <v>54279</v>
      </c>
      <c r="Q404">
        <v>55887</v>
      </c>
      <c r="R404">
        <v>60321</v>
      </c>
    </row>
    <row r="405" spans="1:18">
      <c r="A405">
        <v>38920</v>
      </c>
      <c r="B405" t="s">
        <v>1096</v>
      </c>
      <c r="C405" t="s">
        <v>1448</v>
      </c>
      <c r="D405" t="s">
        <v>1449</v>
      </c>
      <c r="E405">
        <v>30568</v>
      </c>
      <c r="F405">
        <v>34248</v>
      </c>
      <c r="G405">
        <v>35316</v>
      </c>
      <c r="H405">
        <v>38932</v>
      </c>
      <c r="I405">
        <v>38650</v>
      </c>
      <c r="J405">
        <v>38838</v>
      </c>
      <c r="K405">
        <v>37741</v>
      </c>
      <c r="L405">
        <v>39397</v>
      </c>
      <c r="M405">
        <v>46073</v>
      </c>
      <c r="N405">
        <v>55842</v>
      </c>
      <c r="O405">
        <v>58685</v>
      </c>
      <c r="P405">
        <v>63213</v>
      </c>
      <c r="Q405">
        <v>57128</v>
      </c>
      <c r="R405">
        <v>59827</v>
      </c>
    </row>
    <row r="406" spans="1:18">
      <c r="A406">
        <v>39020</v>
      </c>
      <c r="B406" t="s">
        <v>1097</v>
      </c>
      <c r="C406" t="s">
        <v>1448</v>
      </c>
      <c r="D406" t="s">
        <v>1449</v>
      </c>
      <c r="E406">
        <v>28666</v>
      </c>
      <c r="F406">
        <v>29717</v>
      </c>
      <c r="G406">
        <v>30433</v>
      </c>
      <c r="H406">
        <v>31291</v>
      </c>
      <c r="I406">
        <v>33397</v>
      </c>
      <c r="J406">
        <v>36034</v>
      </c>
      <c r="K406">
        <v>35418</v>
      </c>
      <c r="L406">
        <v>36798</v>
      </c>
      <c r="M406">
        <v>38888</v>
      </c>
      <c r="N406">
        <v>40583</v>
      </c>
      <c r="O406">
        <v>43126</v>
      </c>
      <c r="P406">
        <v>46139</v>
      </c>
      <c r="Q406">
        <v>46568</v>
      </c>
      <c r="R406">
        <v>49423</v>
      </c>
    </row>
    <row r="407" spans="1:18">
      <c r="A407">
        <v>39060</v>
      </c>
      <c r="B407" t="s">
        <v>1098</v>
      </c>
      <c r="C407" t="s">
        <v>1448</v>
      </c>
      <c r="D407" t="s">
        <v>1449</v>
      </c>
      <c r="E407">
        <v>33390</v>
      </c>
      <c r="F407">
        <v>34272</v>
      </c>
      <c r="G407">
        <v>34442</v>
      </c>
      <c r="H407">
        <v>34504</v>
      </c>
      <c r="I407">
        <v>35748</v>
      </c>
      <c r="J407">
        <v>37489</v>
      </c>
      <c r="K407">
        <v>37984</v>
      </c>
      <c r="L407">
        <v>39204</v>
      </c>
      <c r="M407">
        <v>40930</v>
      </c>
      <c r="N407">
        <v>42606</v>
      </c>
      <c r="O407">
        <v>46417</v>
      </c>
      <c r="P407">
        <v>49219</v>
      </c>
      <c r="Q407">
        <v>49853</v>
      </c>
      <c r="R407">
        <v>52049</v>
      </c>
    </row>
    <row r="408" spans="1:18">
      <c r="A408">
        <v>39220</v>
      </c>
      <c r="B408" t="s">
        <v>1099</v>
      </c>
      <c r="C408" t="s">
        <v>1448</v>
      </c>
      <c r="D408" t="s">
        <v>1449</v>
      </c>
      <c r="E408">
        <v>31577</v>
      </c>
      <c r="F408">
        <v>34387</v>
      </c>
      <c r="G408">
        <v>32480</v>
      </c>
      <c r="H408">
        <v>32764</v>
      </c>
      <c r="I408">
        <v>33851</v>
      </c>
      <c r="J408">
        <v>35016</v>
      </c>
      <c r="K408">
        <v>34683</v>
      </c>
      <c r="L408">
        <v>36058</v>
      </c>
      <c r="M408">
        <v>38593</v>
      </c>
      <c r="N408">
        <v>40504</v>
      </c>
      <c r="O408">
        <v>43151</v>
      </c>
      <c r="P408">
        <v>45887</v>
      </c>
      <c r="Q408">
        <v>46858</v>
      </c>
      <c r="R408">
        <v>49335</v>
      </c>
    </row>
    <row r="409" spans="1:18">
      <c r="A409">
        <v>39260</v>
      </c>
      <c r="B409" t="s">
        <v>1100</v>
      </c>
      <c r="C409" t="s">
        <v>1448</v>
      </c>
      <c r="D409" t="s">
        <v>1449</v>
      </c>
      <c r="E409">
        <v>28610</v>
      </c>
      <c r="F409">
        <v>30343</v>
      </c>
      <c r="G409">
        <v>31616</v>
      </c>
      <c r="H409">
        <v>31619</v>
      </c>
      <c r="I409">
        <v>34772</v>
      </c>
      <c r="J409">
        <v>36897</v>
      </c>
      <c r="K409">
        <v>37876</v>
      </c>
      <c r="L409">
        <v>39080</v>
      </c>
      <c r="M409">
        <v>41510</v>
      </c>
      <c r="N409">
        <v>43367</v>
      </c>
      <c r="O409">
        <v>47426</v>
      </c>
      <c r="P409">
        <v>52221</v>
      </c>
      <c r="Q409">
        <v>54158</v>
      </c>
      <c r="R409">
        <v>57968</v>
      </c>
    </row>
    <row r="410" spans="1:18">
      <c r="A410">
        <v>39420</v>
      </c>
      <c r="B410" t="s">
        <v>1101</v>
      </c>
      <c r="C410" t="s">
        <v>1448</v>
      </c>
      <c r="D410" t="s">
        <v>1449</v>
      </c>
      <c r="E410">
        <v>30758</v>
      </c>
      <c r="F410">
        <v>33667</v>
      </c>
      <c r="G410">
        <v>33657</v>
      </c>
      <c r="H410">
        <v>33357</v>
      </c>
      <c r="I410">
        <v>33207</v>
      </c>
      <c r="J410">
        <v>34975</v>
      </c>
      <c r="K410">
        <v>34887</v>
      </c>
      <c r="L410">
        <v>36475</v>
      </c>
      <c r="M410">
        <v>39797</v>
      </c>
      <c r="N410">
        <v>40483</v>
      </c>
      <c r="O410">
        <v>43702</v>
      </c>
      <c r="P410">
        <v>51495</v>
      </c>
      <c r="Q410">
        <v>47204</v>
      </c>
      <c r="R410">
        <v>48522</v>
      </c>
    </row>
    <row r="411" spans="1:18">
      <c r="A411">
        <v>39500</v>
      </c>
      <c r="B411" t="s">
        <v>1102</v>
      </c>
      <c r="C411" t="s">
        <v>1448</v>
      </c>
      <c r="D411" t="s">
        <v>1449</v>
      </c>
      <c r="E411">
        <v>35173</v>
      </c>
      <c r="F411">
        <v>36518</v>
      </c>
      <c r="G411">
        <v>37830</v>
      </c>
      <c r="H411">
        <v>38316</v>
      </c>
      <c r="I411">
        <v>39041</v>
      </c>
      <c r="J411">
        <v>39857</v>
      </c>
      <c r="K411">
        <v>40626</v>
      </c>
      <c r="L411">
        <v>42004</v>
      </c>
      <c r="M411">
        <v>44037</v>
      </c>
      <c r="N411">
        <v>45050</v>
      </c>
      <c r="O411">
        <v>49841</v>
      </c>
      <c r="P411">
        <v>53785</v>
      </c>
      <c r="Q411">
        <v>55363</v>
      </c>
      <c r="R411">
        <v>57854</v>
      </c>
    </row>
    <row r="412" spans="1:18">
      <c r="A412">
        <v>39700</v>
      </c>
      <c r="B412" t="s">
        <v>1103</v>
      </c>
      <c r="C412" t="s">
        <v>1448</v>
      </c>
      <c r="D412" t="s">
        <v>1449</v>
      </c>
      <c r="E412">
        <v>23226</v>
      </c>
      <c r="F412">
        <v>24557</v>
      </c>
      <c r="G412">
        <v>22083</v>
      </c>
      <c r="H412">
        <v>25248</v>
      </c>
      <c r="I412">
        <v>23951</v>
      </c>
      <c r="J412">
        <v>24834</v>
      </c>
      <c r="K412">
        <v>24956</v>
      </c>
      <c r="L412">
        <v>26128</v>
      </c>
      <c r="M412">
        <v>27866</v>
      </c>
      <c r="N412">
        <v>29480</v>
      </c>
      <c r="O412">
        <v>32727</v>
      </c>
      <c r="P412">
        <v>37575</v>
      </c>
      <c r="Q412">
        <v>34348</v>
      </c>
      <c r="R412">
        <v>35832</v>
      </c>
    </row>
    <row r="413" spans="1:18">
      <c r="A413">
        <v>39780</v>
      </c>
      <c r="B413" t="s">
        <v>1104</v>
      </c>
      <c r="C413" t="s">
        <v>1448</v>
      </c>
      <c r="D413" t="s">
        <v>1449</v>
      </c>
      <c r="E413">
        <v>28725</v>
      </c>
      <c r="F413">
        <v>29964</v>
      </c>
      <c r="G413">
        <v>31293</v>
      </c>
      <c r="H413">
        <v>31594</v>
      </c>
      <c r="I413">
        <v>33917</v>
      </c>
      <c r="J413">
        <v>35500</v>
      </c>
      <c r="K413">
        <v>36008</v>
      </c>
      <c r="L413">
        <v>37997</v>
      </c>
      <c r="M413">
        <v>38783</v>
      </c>
      <c r="N413">
        <v>40014</v>
      </c>
      <c r="O413">
        <v>44409</v>
      </c>
      <c r="P413">
        <v>48029</v>
      </c>
      <c r="Q413">
        <v>46286</v>
      </c>
      <c r="R413">
        <v>49265</v>
      </c>
    </row>
    <row r="414" spans="1:18">
      <c r="A414">
        <v>39860</v>
      </c>
      <c r="B414" t="s">
        <v>1105</v>
      </c>
      <c r="C414" t="s">
        <v>1448</v>
      </c>
      <c r="D414" t="s">
        <v>1449</v>
      </c>
      <c r="E414">
        <v>39746</v>
      </c>
      <c r="F414">
        <v>42246</v>
      </c>
      <c r="G414">
        <v>44610</v>
      </c>
      <c r="H414">
        <v>44537</v>
      </c>
      <c r="I414">
        <v>46938</v>
      </c>
      <c r="J414">
        <v>48632</v>
      </c>
      <c r="K414">
        <v>48117</v>
      </c>
      <c r="L414">
        <v>49666</v>
      </c>
      <c r="M414">
        <v>51843</v>
      </c>
      <c r="N414">
        <v>53632</v>
      </c>
      <c r="O414">
        <v>56460</v>
      </c>
      <c r="P414">
        <v>61436</v>
      </c>
      <c r="Q414">
        <v>64091</v>
      </c>
      <c r="R414">
        <v>65921</v>
      </c>
    </row>
    <row r="415" spans="1:18">
      <c r="A415">
        <v>39940</v>
      </c>
      <c r="B415" t="s">
        <v>1106</v>
      </c>
      <c r="C415" t="s">
        <v>1448</v>
      </c>
      <c r="D415" t="s">
        <v>1449</v>
      </c>
      <c r="E415">
        <v>20241</v>
      </c>
      <c r="F415">
        <v>21105</v>
      </c>
      <c r="G415">
        <v>21533</v>
      </c>
      <c r="H415">
        <v>21713</v>
      </c>
      <c r="I415">
        <v>21762</v>
      </c>
      <c r="J415">
        <v>22799</v>
      </c>
      <c r="K415">
        <v>22831</v>
      </c>
      <c r="L415">
        <v>22900</v>
      </c>
      <c r="M415">
        <v>24274</v>
      </c>
      <c r="N415">
        <v>25604</v>
      </c>
      <c r="O415">
        <v>27851</v>
      </c>
      <c r="P415">
        <v>31292</v>
      </c>
      <c r="Q415">
        <v>31701</v>
      </c>
      <c r="R415">
        <v>32853</v>
      </c>
    </row>
    <row r="416" spans="1:18">
      <c r="A416">
        <v>39980</v>
      </c>
      <c r="B416" t="s">
        <v>1107</v>
      </c>
      <c r="C416" t="s">
        <v>1448</v>
      </c>
      <c r="D416" t="s">
        <v>1449</v>
      </c>
      <c r="E416">
        <v>30909</v>
      </c>
      <c r="F416">
        <v>32516</v>
      </c>
      <c r="G416">
        <v>34090</v>
      </c>
      <c r="H416">
        <v>34728</v>
      </c>
      <c r="I416">
        <v>36464</v>
      </c>
      <c r="J416">
        <v>36361</v>
      </c>
      <c r="K416">
        <v>37459</v>
      </c>
      <c r="L416">
        <v>38737</v>
      </c>
      <c r="M416">
        <v>40284</v>
      </c>
      <c r="N416">
        <v>41649</v>
      </c>
      <c r="O416">
        <v>45141</v>
      </c>
      <c r="P416">
        <v>49359</v>
      </c>
      <c r="Q416">
        <v>50069</v>
      </c>
      <c r="R416">
        <v>52493</v>
      </c>
    </row>
    <row r="417" spans="1:18">
      <c r="A417">
        <v>40080</v>
      </c>
      <c r="B417" t="s">
        <v>1108</v>
      </c>
      <c r="C417" t="s">
        <v>1448</v>
      </c>
      <c r="D417" t="s">
        <v>1449</v>
      </c>
      <c r="E417">
        <v>28752</v>
      </c>
      <c r="F417">
        <v>29769</v>
      </c>
      <c r="G417">
        <v>30561</v>
      </c>
      <c r="H417">
        <v>30872</v>
      </c>
      <c r="I417">
        <v>32383</v>
      </c>
      <c r="J417">
        <v>33152</v>
      </c>
      <c r="K417">
        <v>33551</v>
      </c>
      <c r="L417">
        <v>34059</v>
      </c>
      <c r="M417">
        <v>34930</v>
      </c>
      <c r="N417">
        <v>36685</v>
      </c>
      <c r="O417">
        <v>39961</v>
      </c>
      <c r="P417">
        <v>43653</v>
      </c>
      <c r="Q417">
        <v>44651</v>
      </c>
      <c r="R417">
        <v>47307</v>
      </c>
    </row>
    <row r="418" spans="1:18">
      <c r="A418">
        <v>40100</v>
      </c>
      <c r="B418" t="s">
        <v>1109</v>
      </c>
      <c r="C418" t="s">
        <v>1448</v>
      </c>
      <c r="D418" t="s">
        <v>1449</v>
      </c>
      <c r="E418">
        <v>21967</v>
      </c>
      <c r="F418">
        <v>22727</v>
      </c>
      <c r="G418">
        <v>22892</v>
      </c>
      <c r="H418">
        <v>23409</v>
      </c>
      <c r="I418">
        <v>24047</v>
      </c>
      <c r="J418">
        <v>24205</v>
      </c>
      <c r="K418">
        <v>24093</v>
      </c>
      <c r="L418">
        <v>25009</v>
      </c>
      <c r="M418">
        <v>26370</v>
      </c>
      <c r="N418">
        <v>27525</v>
      </c>
      <c r="O418">
        <v>31627</v>
      </c>
      <c r="P418">
        <v>33789</v>
      </c>
      <c r="Q418">
        <v>31646</v>
      </c>
      <c r="R418">
        <v>32785</v>
      </c>
    </row>
    <row r="419" spans="1:18">
      <c r="A419">
        <v>40180</v>
      </c>
      <c r="B419" t="s">
        <v>1110</v>
      </c>
      <c r="C419" t="s">
        <v>1448</v>
      </c>
      <c r="D419" t="s">
        <v>1449</v>
      </c>
      <c r="E419">
        <v>36336</v>
      </c>
      <c r="F419">
        <v>39211</v>
      </c>
      <c r="G419">
        <v>41526</v>
      </c>
      <c r="H419">
        <v>42468</v>
      </c>
      <c r="I419">
        <v>43293</v>
      </c>
      <c r="J419">
        <v>42748</v>
      </c>
      <c r="K419">
        <v>40512</v>
      </c>
      <c r="L419">
        <v>42446</v>
      </c>
      <c r="M419">
        <v>45173</v>
      </c>
      <c r="N419">
        <v>45952</v>
      </c>
      <c r="O419">
        <v>48779</v>
      </c>
      <c r="P419">
        <v>50880</v>
      </c>
      <c r="Q419">
        <v>53574</v>
      </c>
      <c r="R419">
        <v>56891</v>
      </c>
    </row>
    <row r="420" spans="1:18">
      <c r="A420">
        <v>40260</v>
      </c>
      <c r="B420" t="s">
        <v>1111</v>
      </c>
      <c r="C420" t="s">
        <v>1448</v>
      </c>
      <c r="D420" t="s">
        <v>1449</v>
      </c>
      <c r="E420">
        <v>28394</v>
      </c>
      <c r="F420">
        <v>29465</v>
      </c>
      <c r="G420">
        <v>31409</v>
      </c>
      <c r="H420">
        <v>31023</v>
      </c>
      <c r="I420">
        <v>31819</v>
      </c>
      <c r="J420">
        <v>32566</v>
      </c>
      <c r="K420">
        <v>33529</v>
      </c>
      <c r="L420">
        <v>34929</v>
      </c>
      <c r="M420">
        <v>35766</v>
      </c>
      <c r="N420">
        <v>38093</v>
      </c>
      <c r="O420">
        <v>40663</v>
      </c>
      <c r="P420">
        <v>45343</v>
      </c>
      <c r="Q420">
        <v>46099</v>
      </c>
      <c r="R420">
        <v>47577</v>
      </c>
    </row>
    <row r="421" spans="1:18">
      <c r="A421">
        <v>40300</v>
      </c>
      <c r="B421" t="s">
        <v>1112</v>
      </c>
      <c r="C421" t="s">
        <v>1448</v>
      </c>
      <c r="D421" t="s">
        <v>1449</v>
      </c>
      <c r="E421">
        <v>35112</v>
      </c>
      <c r="F421">
        <v>38180</v>
      </c>
      <c r="G421">
        <v>38035</v>
      </c>
      <c r="H421">
        <v>40422</v>
      </c>
      <c r="I421">
        <v>39982</v>
      </c>
      <c r="J421">
        <v>40459</v>
      </c>
      <c r="K421">
        <v>42019</v>
      </c>
      <c r="L421">
        <v>43188</v>
      </c>
      <c r="M421">
        <v>44856</v>
      </c>
      <c r="N421">
        <v>45511</v>
      </c>
      <c r="O421">
        <v>48549</v>
      </c>
      <c r="P421">
        <v>53953</v>
      </c>
      <c r="Q421">
        <v>55294</v>
      </c>
      <c r="R421">
        <v>57128</v>
      </c>
    </row>
    <row r="422" spans="1:18">
      <c r="A422">
        <v>40460</v>
      </c>
      <c r="B422" t="s">
        <v>1113</v>
      </c>
      <c r="C422" t="s">
        <v>1448</v>
      </c>
      <c r="D422" t="s">
        <v>1449</v>
      </c>
      <c r="E422">
        <v>28219</v>
      </c>
      <c r="F422">
        <v>28065</v>
      </c>
      <c r="G422">
        <v>29478</v>
      </c>
      <c r="H422">
        <v>29854</v>
      </c>
      <c r="I422">
        <v>31366</v>
      </c>
      <c r="J422">
        <v>32890</v>
      </c>
      <c r="K422">
        <v>33300</v>
      </c>
      <c r="L422">
        <v>34363</v>
      </c>
      <c r="M422">
        <v>34942</v>
      </c>
      <c r="N422">
        <v>36620</v>
      </c>
      <c r="O422">
        <v>40251</v>
      </c>
      <c r="P422">
        <v>45127</v>
      </c>
      <c r="Q422">
        <v>46235</v>
      </c>
      <c r="R422">
        <v>47384</v>
      </c>
    </row>
    <row r="423" spans="1:18">
      <c r="A423">
        <v>40530</v>
      </c>
      <c r="B423" t="s">
        <v>1114</v>
      </c>
      <c r="C423" t="s">
        <v>1448</v>
      </c>
      <c r="D423" t="s">
        <v>1449</v>
      </c>
      <c r="E423">
        <v>38442</v>
      </c>
      <c r="F423">
        <v>41317</v>
      </c>
      <c r="G423">
        <v>45683</v>
      </c>
      <c r="H423">
        <v>46712</v>
      </c>
      <c r="I423">
        <v>47627</v>
      </c>
      <c r="J423">
        <v>47946</v>
      </c>
      <c r="K423">
        <v>43866</v>
      </c>
      <c r="L423">
        <v>45582</v>
      </c>
      <c r="M423">
        <v>51057</v>
      </c>
      <c r="N423">
        <v>54394</v>
      </c>
      <c r="O423">
        <v>55371</v>
      </c>
      <c r="P423">
        <v>60866</v>
      </c>
      <c r="Q423">
        <v>63066</v>
      </c>
      <c r="R423">
        <v>68361</v>
      </c>
    </row>
    <row r="424" spans="1:18">
      <c r="A424">
        <v>40540</v>
      </c>
      <c r="B424" t="s">
        <v>1115</v>
      </c>
      <c r="C424" t="s">
        <v>1448</v>
      </c>
      <c r="D424" t="s">
        <v>1449</v>
      </c>
      <c r="E424">
        <v>44062</v>
      </c>
      <c r="F424">
        <v>48138</v>
      </c>
      <c r="G424">
        <v>47794</v>
      </c>
      <c r="H424">
        <v>48236</v>
      </c>
      <c r="I424">
        <v>49389</v>
      </c>
      <c r="J424">
        <v>49514</v>
      </c>
      <c r="K424">
        <v>47708</v>
      </c>
      <c r="L424">
        <v>51064</v>
      </c>
      <c r="M424">
        <v>54797</v>
      </c>
      <c r="N424">
        <v>55838</v>
      </c>
      <c r="O424">
        <v>54575</v>
      </c>
      <c r="P424">
        <v>56150</v>
      </c>
      <c r="Q424">
        <v>60115</v>
      </c>
      <c r="R424">
        <v>64115</v>
      </c>
    </row>
    <row r="425" spans="1:18">
      <c r="A425">
        <v>40620</v>
      </c>
      <c r="B425" t="s">
        <v>1116</v>
      </c>
      <c r="C425" t="s">
        <v>1448</v>
      </c>
      <c r="D425" t="s">
        <v>1449</v>
      </c>
      <c r="E425">
        <v>29688</v>
      </c>
      <c r="F425">
        <v>31224</v>
      </c>
      <c r="G425">
        <v>31797</v>
      </c>
      <c r="H425">
        <v>32498</v>
      </c>
      <c r="I425">
        <v>33301</v>
      </c>
      <c r="J425">
        <v>35035</v>
      </c>
      <c r="K425">
        <v>35958</v>
      </c>
      <c r="L425">
        <v>36885</v>
      </c>
      <c r="M425">
        <v>38632</v>
      </c>
      <c r="N425">
        <v>39231</v>
      </c>
      <c r="O425">
        <v>42247</v>
      </c>
      <c r="P425">
        <v>44020</v>
      </c>
      <c r="Q425">
        <v>45095</v>
      </c>
      <c r="R425">
        <v>48382</v>
      </c>
    </row>
    <row r="426" spans="1:18">
      <c r="A426">
        <v>40700</v>
      </c>
      <c r="B426" t="s">
        <v>1117</v>
      </c>
      <c r="C426" t="s">
        <v>1448</v>
      </c>
      <c r="D426" t="s">
        <v>1449</v>
      </c>
      <c r="E426">
        <v>31069</v>
      </c>
      <c r="F426">
        <v>31839</v>
      </c>
      <c r="G426">
        <v>32642</v>
      </c>
      <c r="H426">
        <v>32508</v>
      </c>
      <c r="I426">
        <v>34339</v>
      </c>
      <c r="J426">
        <v>36274</v>
      </c>
      <c r="K426">
        <v>37327</v>
      </c>
      <c r="L426">
        <v>38557</v>
      </c>
      <c r="M426">
        <v>40419</v>
      </c>
      <c r="N426">
        <v>42289</v>
      </c>
      <c r="O426">
        <v>46139</v>
      </c>
      <c r="P426">
        <v>50748</v>
      </c>
      <c r="Q426">
        <v>50135</v>
      </c>
      <c r="R426">
        <v>52684</v>
      </c>
    </row>
    <row r="427" spans="1:18">
      <c r="A427">
        <v>40740</v>
      </c>
      <c r="B427" t="s">
        <v>1118</v>
      </c>
      <c r="C427" t="s">
        <v>1448</v>
      </c>
      <c r="D427" t="s">
        <v>1449</v>
      </c>
      <c r="E427">
        <v>31708</v>
      </c>
      <c r="F427">
        <v>34569</v>
      </c>
      <c r="G427">
        <v>35068</v>
      </c>
      <c r="H427">
        <v>34105</v>
      </c>
      <c r="I427">
        <v>36949</v>
      </c>
      <c r="J427">
        <v>35764</v>
      </c>
      <c r="K427">
        <v>35674</v>
      </c>
      <c r="L427">
        <v>37186</v>
      </c>
      <c r="M427">
        <v>38629</v>
      </c>
      <c r="N427">
        <v>39847</v>
      </c>
      <c r="O427">
        <v>42919</v>
      </c>
      <c r="P427">
        <v>46362</v>
      </c>
      <c r="Q427">
        <v>52730</v>
      </c>
      <c r="R427">
        <v>52720</v>
      </c>
    </row>
    <row r="428" spans="1:18">
      <c r="A428">
        <v>40760</v>
      </c>
      <c r="B428" t="s">
        <v>1119</v>
      </c>
      <c r="C428" t="s">
        <v>1448</v>
      </c>
      <c r="D428" t="s">
        <v>1449</v>
      </c>
      <c r="E428">
        <v>31209</v>
      </c>
      <c r="F428">
        <v>32873</v>
      </c>
      <c r="G428">
        <v>36313</v>
      </c>
      <c r="H428">
        <v>34940</v>
      </c>
      <c r="I428">
        <v>37928</v>
      </c>
      <c r="J428">
        <v>39790</v>
      </c>
      <c r="K428">
        <v>38957</v>
      </c>
      <c r="L428">
        <v>38471</v>
      </c>
      <c r="M428">
        <v>39652</v>
      </c>
      <c r="N428">
        <v>41279</v>
      </c>
      <c r="O428">
        <v>45823</v>
      </c>
      <c r="P428">
        <v>48792</v>
      </c>
      <c r="Q428">
        <v>51245</v>
      </c>
      <c r="R428">
        <v>54474</v>
      </c>
    </row>
    <row r="429" spans="1:18">
      <c r="A429">
        <v>40780</v>
      </c>
      <c r="B429" t="s">
        <v>1120</v>
      </c>
      <c r="C429" t="s">
        <v>1448</v>
      </c>
      <c r="D429" t="s">
        <v>1449</v>
      </c>
      <c r="E429">
        <v>27686</v>
      </c>
      <c r="F429">
        <v>28738</v>
      </c>
      <c r="G429">
        <v>29846</v>
      </c>
      <c r="H429">
        <v>30409</v>
      </c>
      <c r="I429">
        <v>31874</v>
      </c>
      <c r="J429">
        <v>32666</v>
      </c>
      <c r="K429">
        <v>32890</v>
      </c>
      <c r="L429">
        <v>33859</v>
      </c>
      <c r="M429">
        <v>35149</v>
      </c>
      <c r="N429">
        <v>35737</v>
      </c>
      <c r="O429">
        <v>37470</v>
      </c>
      <c r="P429">
        <v>41801</v>
      </c>
      <c r="Q429">
        <v>43359</v>
      </c>
      <c r="R429">
        <v>43917</v>
      </c>
    </row>
    <row r="430" spans="1:18">
      <c r="A430">
        <v>40820</v>
      </c>
      <c r="B430" t="s">
        <v>1121</v>
      </c>
      <c r="C430" t="s">
        <v>1448</v>
      </c>
      <c r="D430" t="s">
        <v>1449</v>
      </c>
      <c r="E430">
        <v>31264</v>
      </c>
      <c r="F430">
        <v>32062</v>
      </c>
      <c r="G430">
        <v>32247</v>
      </c>
      <c r="H430">
        <v>32761</v>
      </c>
      <c r="I430">
        <v>34233</v>
      </c>
      <c r="J430">
        <v>35603</v>
      </c>
      <c r="K430">
        <v>35545</v>
      </c>
      <c r="L430">
        <v>37197</v>
      </c>
      <c r="M430">
        <v>38032</v>
      </c>
      <c r="N430">
        <v>38902</v>
      </c>
      <c r="O430">
        <v>41824</v>
      </c>
      <c r="P430">
        <v>46621</v>
      </c>
      <c r="Q430">
        <v>48770</v>
      </c>
      <c r="R430">
        <v>50986</v>
      </c>
    </row>
    <row r="431" spans="1:18">
      <c r="A431">
        <v>40860</v>
      </c>
      <c r="B431" t="s">
        <v>1122</v>
      </c>
      <c r="C431" t="s">
        <v>1448</v>
      </c>
      <c r="D431" t="s">
        <v>1449</v>
      </c>
      <c r="E431">
        <v>40662</v>
      </c>
      <c r="F431">
        <v>42953</v>
      </c>
      <c r="G431">
        <v>43447</v>
      </c>
      <c r="H431">
        <v>44112</v>
      </c>
      <c r="I431">
        <v>44673</v>
      </c>
      <c r="J431">
        <v>45891</v>
      </c>
      <c r="K431">
        <v>47111</v>
      </c>
      <c r="L431">
        <v>47488</v>
      </c>
      <c r="M431">
        <v>48935</v>
      </c>
      <c r="N431">
        <v>51218</v>
      </c>
      <c r="O431">
        <v>54870</v>
      </c>
      <c r="P431">
        <v>56191</v>
      </c>
      <c r="Q431">
        <v>59129</v>
      </c>
      <c r="R431">
        <v>61702</v>
      </c>
    </row>
    <row r="432" spans="1:18">
      <c r="A432">
        <v>40940</v>
      </c>
      <c r="B432" t="s">
        <v>1123</v>
      </c>
      <c r="C432" t="s">
        <v>1448</v>
      </c>
      <c r="D432" t="s">
        <v>1449</v>
      </c>
      <c r="E432">
        <v>24474</v>
      </c>
      <c r="F432">
        <v>25452</v>
      </c>
      <c r="G432">
        <v>26585</v>
      </c>
      <c r="H432">
        <v>27066</v>
      </c>
      <c r="I432">
        <v>28295</v>
      </c>
      <c r="J432">
        <v>28644</v>
      </c>
      <c r="K432">
        <v>28303</v>
      </c>
      <c r="L432">
        <v>29834</v>
      </c>
      <c r="M432">
        <v>31067</v>
      </c>
      <c r="N432">
        <v>32043</v>
      </c>
      <c r="O432">
        <v>35916</v>
      </c>
      <c r="P432">
        <v>39152</v>
      </c>
      <c r="Q432">
        <v>41593</v>
      </c>
      <c r="R432">
        <v>42787</v>
      </c>
    </row>
    <row r="433" spans="1:18">
      <c r="A433">
        <v>41220</v>
      </c>
      <c r="B433" t="s">
        <v>1124</v>
      </c>
      <c r="C433" t="s">
        <v>1448</v>
      </c>
      <c r="D433" t="s">
        <v>1449</v>
      </c>
      <c r="E433">
        <v>29560</v>
      </c>
      <c r="F433">
        <v>31149</v>
      </c>
      <c r="G433">
        <v>31006</v>
      </c>
      <c r="H433">
        <v>31019</v>
      </c>
      <c r="I433">
        <v>32017</v>
      </c>
      <c r="J433">
        <v>32821</v>
      </c>
      <c r="K433">
        <v>34285</v>
      </c>
      <c r="L433">
        <v>35547</v>
      </c>
      <c r="M433">
        <v>36043</v>
      </c>
      <c r="N433">
        <v>36805</v>
      </c>
      <c r="O433">
        <v>39457</v>
      </c>
      <c r="P433">
        <v>43723</v>
      </c>
      <c r="Q433">
        <v>44809</v>
      </c>
      <c r="R433">
        <v>46608</v>
      </c>
    </row>
    <row r="434" spans="1:18">
      <c r="A434">
        <v>41260</v>
      </c>
      <c r="B434" t="s">
        <v>1125</v>
      </c>
      <c r="C434" t="s">
        <v>1448</v>
      </c>
      <c r="D434" t="s">
        <v>1449</v>
      </c>
      <c r="E434">
        <v>38382</v>
      </c>
      <c r="F434">
        <v>39146</v>
      </c>
      <c r="G434">
        <v>39097</v>
      </c>
      <c r="H434">
        <v>38620</v>
      </c>
      <c r="I434">
        <v>40967</v>
      </c>
      <c r="J434">
        <v>41647</v>
      </c>
      <c r="K434">
        <v>42513</v>
      </c>
      <c r="L434">
        <v>43559</v>
      </c>
      <c r="M434">
        <v>45893</v>
      </c>
      <c r="N434">
        <v>46309</v>
      </c>
      <c r="O434">
        <v>50211</v>
      </c>
      <c r="P434">
        <v>50577</v>
      </c>
      <c r="Q434">
        <v>50945</v>
      </c>
      <c r="R434">
        <v>53862</v>
      </c>
    </row>
    <row r="435" spans="1:18">
      <c r="A435">
        <v>41400</v>
      </c>
      <c r="B435" t="s">
        <v>1126</v>
      </c>
      <c r="C435" t="s">
        <v>1448</v>
      </c>
      <c r="D435" t="s">
        <v>1449</v>
      </c>
      <c r="E435">
        <v>29712</v>
      </c>
      <c r="F435">
        <v>31767</v>
      </c>
      <c r="G435">
        <v>32797</v>
      </c>
      <c r="H435">
        <v>32931</v>
      </c>
      <c r="I435">
        <v>34103</v>
      </c>
      <c r="J435">
        <v>35070</v>
      </c>
      <c r="K435">
        <v>34868</v>
      </c>
      <c r="L435">
        <v>36178</v>
      </c>
      <c r="M435">
        <v>37669</v>
      </c>
      <c r="N435">
        <v>39168</v>
      </c>
      <c r="O435">
        <v>42650</v>
      </c>
      <c r="P435">
        <v>45491</v>
      </c>
      <c r="Q435">
        <v>45358</v>
      </c>
      <c r="R435">
        <v>47871</v>
      </c>
    </row>
    <row r="436" spans="1:18">
      <c r="A436">
        <v>41460</v>
      </c>
      <c r="B436" t="s">
        <v>1127</v>
      </c>
      <c r="C436" t="s">
        <v>1448</v>
      </c>
      <c r="D436" t="s">
        <v>1449</v>
      </c>
      <c r="E436">
        <v>37140</v>
      </c>
      <c r="F436">
        <v>39091</v>
      </c>
      <c r="G436">
        <v>40062</v>
      </c>
      <c r="H436">
        <v>40453</v>
      </c>
      <c r="I436">
        <v>41134</v>
      </c>
      <c r="J436">
        <v>42645</v>
      </c>
      <c r="K436">
        <v>43910</v>
      </c>
      <c r="L436">
        <v>45920</v>
      </c>
      <c r="M436">
        <v>47526</v>
      </c>
      <c r="N436">
        <v>49731</v>
      </c>
      <c r="O436">
        <v>50794</v>
      </c>
      <c r="P436">
        <v>55091</v>
      </c>
      <c r="Q436">
        <v>56779</v>
      </c>
      <c r="R436">
        <v>60105</v>
      </c>
    </row>
    <row r="437" spans="1:18">
      <c r="A437">
        <v>41760</v>
      </c>
      <c r="B437" t="s">
        <v>1128</v>
      </c>
      <c r="C437" t="s">
        <v>1448</v>
      </c>
      <c r="D437" t="s">
        <v>1449</v>
      </c>
      <c r="E437">
        <v>30182</v>
      </c>
      <c r="F437">
        <v>31984</v>
      </c>
      <c r="G437">
        <v>32713</v>
      </c>
      <c r="H437">
        <v>33005</v>
      </c>
      <c r="I437">
        <v>34385</v>
      </c>
      <c r="J437">
        <v>35761</v>
      </c>
      <c r="K437">
        <v>36876</v>
      </c>
      <c r="L437">
        <v>37800</v>
      </c>
      <c r="M437">
        <v>39710</v>
      </c>
      <c r="N437">
        <v>43266</v>
      </c>
      <c r="O437">
        <v>48586</v>
      </c>
      <c r="P437">
        <v>52470</v>
      </c>
      <c r="Q437">
        <v>53102</v>
      </c>
      <c r="R437">
        <v>55464</v>
      </c>
    </row>
    <row r="438" spans="1:18">
      <c r="A438">
        <v>41780</v>
      </c>
      <c r="B438" t="s">
        <v>1129</v>
      </c>
      <c r="C438" t="s">
        <v>1448</v>
      </c>
      <c r="D438" t="s">
        <v>1449</v>
      </c>
      <c r="E438">
        <v>49602</v>
      </c>
      <c r="F438">
        <v>54202</v>
      </c>
      <c r="G438">
        <v>56742</v>
      </c>
      <c r="H438">
        <v>56989</v>
      </c>
      <c r="I438">
        <v>55095</v>
      </c>
      <c r="J438">
        <v>55145</v>
      </c>
      <c r="K438">
        <v>58369</v>
      </c>
      <c r="L438">
        <v>56624</v>
      </c>
      <c r="M438">
        <v>57329</v>
      </c>
      <c r="N438">
        <v>53946</v>
      </c>
      <c r="O438">
        <v>53741</v>
      </c>
      <c r="P438">
        <v>57327</v>
      </c>
      <c r="Q438">
        <v>58127</v>
      </c>
      <c r="R438">
        <v>61964</v>
      </c>
    </row>
    <row r="439" spans="1:18">
      <c r="A439">
        <v>41820</v>
      </c>
      <c r="B439" t="s">
        <v>1130</v>
      </c>
      <c r="C439" t="s">
        <v>1448</v>
      </c>
      <c r="D439" t="s">
        <v>1449</v>
      </c>
      <c r="E439">
        <v>31570</v>
      </c>
      <c r="F439">
        <v>33290</v>
      </c>
      <c r="G439">
        <v>34130</v>
      </c>
      <c r="H439">
        <v>33368</v>
      </c>
      <c r="I439">
        <v>34622</v>
      </c>
      <c r="J439">
        <v>36614</v>
      </c>
      <c r="K439">
        <v>37263</v>
      </c>
      <c r="L439">
        <v>38022</v>
      </c>
      <c r="M439">
        <v>39987</v>
      </c>
      <c r="N439">
        <v>42049</v>
      </c>
      <c r="O439">
        <v>45215</v>
      </c>
      <c r="P439">
        <v>49689</v>
      </c>
      <c r="Q439">
        <v>50771</v>
      </c>
      <c r="R439">
        <v>53310</v>
      </c>
    </row>
    <row r="440" spans="1:18">
      <c r="A440">
        <v>42300</v>
      </c>
      <c r="B440" t="s">
        <v>1131</v>
      </c>
      <c r="C440" t="s">
        <v>1448</v>
      </c>
      <c r="D440" t="s">
        <v>1449</v>
      </c>
      <c r="E440">
        <v>28223</v>
      </c>
      <c r="F440">
        <v>28302</v>
      </c>
      <c r="G440">
        <v>29607</v>
      </c>
      <c r="H440">
        <v>30395</v>
      </c>
      <c r="I440">
        <v>29418</v>
      </c>
      <c r="J440">
        <v>30803</v>
      </c>
      <c r="K440">
        <v>31376</v>
      </c>
      <c r="L440">
        <v>32300</v>
      </c>
      <c r="M440">
        <v>33523</v>
      </c>
      <c r="N440">
        <v>34913</v>
      </c>
      <c r="O440">
        <v>39613</v>
      </c>
      <c r="P440">
        <v>43893</v>
      </c>
      <c r="Q440">
        <v>43526</v>
      </c>
      <c r="R440">
        <v>46492</v>
      </c>
    </row>
    <row r="441" spans="1:18">
      <c r="A441">
        <v>42380</v>
      </c>
      <c r="B441" t="s">
        <v>1132</v>
      </c>
      <c r="C441" t="s">
        <v>1448</v>
      </c>
      <c r="D441" t="s">
        <v>1449</v>
      </c>
      <c r="E441">
        <v>31775</v>
      </c>
      <c r="F441">
        <v>35121</v>
      </c>
      <c r="G441">
        <v>36446</v>
      </c>
      <c r="H441">
        <v>35653</v>
      </c>
      <c r="I441">
        <v>37245</v>
      </c>
      <c r="J441">
        <v>37126</v>
      </c>
      <c r="K441">
        <v>36907</v>
      </c>
      <c r="L441">
        <v>38779</v>
      </c>
      <c r="M441">
        <v>40194</v>
      </c>
      <c r="N441">
        <v>42945</v>
      </c>
      <c r="O441">
        <v>45162</v>
      </c>
      <c r="P441">
        <v>47753</v>
      </c>
      <c r="Q441">
        <v>49053</v>
      </c>
      <c r="R441">
        <v>50930</v>
      </c>
    </row>
    <row r="442" spans="1:18">
      <c r="A442">
        <v>42420</v>
      </c>
      <c r="B442" t="s">
        <v>1133</v>
      </c>
      <c r="C442" t="s">
        <v>1448</v>
      </c>
      <c r="D442" t="s">
        <v>1449</v>
      </c>
      <c r="E442">
        <v>33794</v>
      </c>
      <c r="F442">
        <v>37601</v>
      </c>
      <c r="G442">
        <v>38938</v>
      </c>
      <c r="H442">
        <v>39938</v>
      </c>
      <c r="I442">
        <v>42606</v>
      </c>
      <c r="J442">
        <v>43977</v>
      </c>
      <c r="K442">
        <v>43336</v>
      </c>
      <c r="L442">
        <v>42453</v>
      </c>
      <c r="M442">
        <v>43927</v>
      </c>
      <c r="N442">
        <v>46343</v>
      </c>
      <c r="O442">
        <v>49976</v>
      </c>
      <c r="P442">
        <v>53530</v>
      </c>
      <c r="Q442">
        <v>54208</v>
      </c>
      <c r="R442">
        <v>58404</v>
      </c>
    </row>
    <row r="443" spans="1:18">
      <c r="A443">
        <v>42460</v>
      </c>
      <c r="B443" t="s">
        <v>1134</v>
      </c>
      <c r="C443" t="s">
        <v>1448</v>
      </c>
      <c r="D443" t="s">
        <v>1449</v>
      </c>
      <c r="E443">
        <v>29557</v>
      </c>
      <c r="F443">
        <v>30281</v>
      </c>
      <c r="G443">
        <v>30866</v>
      </c>
      <c r="H443">
        <v>31690</v>
      </c>
      <c r="I443">
        <v>32544</v>
      </c>
      <c r="J443">
        <v>33351</v>
      </c>
      <c r="K443">
        <v>33926</v>
      </c>
      <c r="L443">
        <v>34707</v>
      </c>
      <c r="M443">
        <v>35952</v>
      </c>
      <c r="N443">
        <v>36953</v>
      </c>
      <c r="O443">
        <v>38982</v>
      </c>
      <c r="P443">
        <v>43162</v>
      </c>
      <c r="Q443">
        <v>44123</v>
      </c>
      <c r="R443">
        <v>45322</v>
      </c>
    </row>
    <row r="444" spans="1:18">
      <c r="A444">
        <v>42500</v>
      </c>
      <c r="B444" t="s">
        <v>1135</v>
      </c>
      <c r="C444" t="s">
        <v>1448</v>
      </c>
      <c r="D444" t="s">
        <v>1449</v>
      </c>
      <c r="E444">
        <v>27866</v>
      </c>
      <c r="F444">
        <v>29104</v>
      </c>
      <c r="G444">
        <v>30884</v>
      </c>
      <c r="H444">
        <v>31460</v>
      </c>
      <c r="I444">
        <v>33098</v>
      </c>
      <c r="J444">
        <v>33821</v>
      </c>
      <c r="K444">
        <v>34970</v>
      </c>
      <c r="L444">
        <v>35405</v>
      </c>
      <c r="M444">
        <v>36549</v>
      </c>
      <c r="N444">
        <v>37801</v>
      </c>
      <c r="O444">
        <v>40879</v>
      </c>
      <c r="P444">
        <v>44771</v>
      </c>
      <c r="Q444">
        <v>45123</v>
      </c>
      <c r="R444">
        <v>46902</v>
      </c>
    </row>
    <row r="445" spans="1:18">
      <c r="A445">
        <v>42620</v>
      </c>
      <c r="B445" t="s">
        <v>1136</v>
      </c>
      <c r="C445" t="s">
        <v>1448</v>
      </c>
      <c r="D445" t="s">
        <v>1449</v>
      </c>
      <c r="E445">
        <v>29695</v>
      </c>
      <c r="F445">
        <v>30657</v>
      </c>
      <c r="G445">
        <v>31657</v>
      </c>
      <c r="H445">
        <v>31626</v>
      </c>
      <c r="I445">
        <v>32694</v>
      </c>
      <c r="J445">
        <v>33084</v>
      </c>
      <c r="K445">
        <v>33802</v>
      </c>
      <c r="L445">
        <v>34925</v>
      </c>
      <c r="M445">
        <v>36455</v>
      </c>
      <c r="N445">
        <v>37041</v>
      </c>
      <c r="O445">
        <v>40612</v>
      </c>
      <c r="P445">
        <v>43808</v>
      </c>
      <c r="Q445">
        <v>44544</v>
      </c>
      <c r="R445">
        <v>46269</v>
      </c>
    </row>
    <row r="446" spans="1:18">
      <c r="A446">
        <v>42740</v>
      </c>
      <c r="B446" t="s">
        <v>1137</v>
      </c>
      <c r="C446" t="s">
        <v>1448</v>
      </c>
      <c r="D446" t="s">
        <v>1449</v>
      </c>
      <c r="E446">
        <v>31220</v>
      </c>
      <c r="F446">
        <v>32339</v>
      </c>
      <c r="G446">
        <v>32212</v>
      </c>
      <c r="H446">
        <v>33252</v>
      </c>
      <c r="I446">
        <v>34271</v>
      </c>
      <c r="J446">
        <v>35185</v>
      </c>
      <c r="K446">
        <v>35340</v>
      </c>
      <c r="L446">
        <v>35851</v>
      </c>
      <c r="M446">
        <v>36488</v>
      </c>
      <c r="N446">
        <v>37586</v>
      </c>
      <c r="O446">
        <v>40409</v>
      </c>
      <c r="P446">
        <v>43794</v>
      </c>
      <c r="Q446">
        <v>45600</v>
      </c>
      <c r="R446">
        <v>47237</v>
      </c>
    </row>
    <row r="447" spans="1:18">
      <c r="A447">
        <v>42780</v>
      </c>
      <c r="B447" t="s">
        <v>1138</v>
      </c>
      <c r="C447" t="s">
        <v>1448</v>
      </c>
      <c r="D447" t="s">
        <v>1449</v>
      </c>
      <c r="E447">
        <v>33136</v>
      </c>
      <c r="F447">
        <v>34646</v>
      </c>
      <c r="G447">
        <v>35071</v>
      </c>
      <c r="H447">
        <v>36268</v>
      </c>
      <c r="I447">
        <v>36932</v>
      </c>
      <c r="J447">
        <v>37911</v>
      </c>
      <c r="K447">
        <v>38303</v>
      </c>
      <c r="L447">
        <v>39981</v>
      </c>
      <c r="M447">
        <v>41707</v>
      </c>
      <c r="N447">
        <v>42958</v>
      </c>
      <c r="O447">
        <v>46808</v>
      </c>
      <c r="P447">
        <v>51173</v>
      </c>
      <c r="Q447">
        <v>53285</v>
      </c>
      <c r="R447">
        <v>54472</v>
      </c>
    </row>
    <row r="448" spans="1:18">
      <c r="A448">
        <v>42820</v>
      </c>
      <c r="B448" t="s">
        <v>1139</v>
      </c>
      <c r="C448" t="s">
        <v>1448</v>
      </c>
      <c r="D448" t="s">
        <v>1449</v>
      </c>
      <c r="E448">
        <v>27949</v>
      </c>
      <c r="F448">
        <v>28993</v>
      </c>
      <c r="G448">
        <v>28942</v>
      </c>
      <c r="H448">
        <v>29311</v>
      </c>
      <c r="I448">
        <v>29620</v>
      </c>
      <c r="J448">
        <v>31313</v>
      </c>
      <c r="K448">
        <v>31851</v>
      </c>
      <c r="L448">
        <v>32475</v>
      </c>
      <c r="M448">
        <v>33289</v>
      </c>
      <c r="N448">
        <v>35072</v>
      </c>
      <c r="O448">
        <v>39258</v>
      </c>
      <c r="P448">
        <v>42508</v>
      </c>
      <c r="Q448">
        <v>42394</v>
      </c>
      <c r="R448">
        <v>45618</v>
      </c>
    </row>
    <row r="449" spans="1:18">
      <c r="A449">
        <v>42860</v>
      </c>
      <c r="B449" t="s">
        <v>1140</v>
      </c>
      <c r="C449" t="s">
        <v>1448</v>
      </c>
      <c r="D449" t="s">
        <v>1449</v>
      </c>
      <c r="E449">
        <v>32501</v>
      </c>
      <c r="F449">
        <v>34841</v>
      </c>
      <c r="G449">
        <v>35460</v>
      </c>
      <c r="H449">
        <v>35749</v>
      </c>
      <c r="I449">
        <v>37487</v>
      </c>
      <c r="J449">
        <v>39068</v>
      </c>
      <c r="K449">
        <v>40327</v>
      </c>
      <c r="L449">
        <v>42312</v>
      </c>
      <c r="M449">
        <v>44335</v>
      </c>
      <c r="N449">
        <v>46118</v>
      </c>
      <c r="O449">
        <v>48189</v>
      </c>
      <c r="P449">
        <v>53686</v>
      </c>
      <c r="Q449">
        <v>54951</v>
      </c>
      <c r="R449">
        <v>57361</v>
      </c>
    </row>
    <row r="450" spans="1:18">
      <c r="A450">
        <v>42900</v>
      </c>
      <c r="B450" t="s">
        <v>1141</v>
      </c>
      <c r="C450" t="s">
        <v>1448</v>
      </c>
      <c r="D450" t="s">
        <v>1449</v>
      </c>
      <c r="E450">
        <v>31256</v>
      </c>
      <c r="F450">
        <v>32366</v>
      </c>
      <c r="G450">
        <v>33051</v>
      </c>
      <c r="H450">
        <v>33337</v>
      </c>
      <c r="I450">
        <v>34089</v>
      </c>
      <c r="J450">
        <v>34733</v>
      </c>
      <c r="K450">
        <v>35417</v>
      </c>
      <c r="L450">
        <v>37857</v>
      </c>
      <c r="M450">
        <v>38410</v>
      </c>
      <c r="N450">
        <v>40464</v>
      </c>
      <c r="O450">
        <v>44644</v>
      </c>
      <c r="P450">
        <v>47723</v>
      </c>
      <c r="Q450">
        <v>48687</v>
      </c>
      <c r="R450">
        <v>50044</v>
      </c>
    </row>
    <row r="451" spans="1:18">
      <c r="A451">
        <v>42940</v>
      </c>
      <c r="B451" t="s">
        <v>1142</v>
      </c>
      <c r="C451" t="s">
        <v>1448</v>
      </c>
      <c r="D451" t="s">
        <v>1449</v>
      </c>
      <c r="E451">
        <v>30106</v>
      </c>
      <c r="F451">
        <v>31237</v>
      </c>
      <c r="G451">
        <v>32579</v>
      </c>
      <c r="H451">
        <v>33175</v>
      </c>
      <c r="I451">
        <v>34275</v>
      </c>
      <c r="J451">
        <v>36012</v>
      </c>
      <c r="K451">
        <v>36997</v>
      </c>
      <c r="L451">
        <v>38378</v>
      </c>
      <c r="M451">
        <v>40190</v>
      </c>
      <c r="N451">
        <v>42732</v>
      </c>
      <c r="O451">
        <v>45363</v>
      </c>
      <c r="P451">
        <v>51742</v>
      </c>
      <c r="Q451">
        <v>54656</v>
      </c>
      <c r="R451">
        <v>57533</v>
      </c>
    </row>
    <row r="452" spans="1:18">
      <c r="A452">
        <v>42980</v>
      </c>
      <c r="B452" t="s">
        <v>1143</v>
      </c>
      <c r="C452" t="s">
        <v>1448</v>
      </c>
      <c r="D452" t="s">
        <v>1449</v>
      </c>
      <c r="E452">
        <v>34465</v>
      </c>
      <c r="F452">
        <v>35680</v>
      </c>
      <c r="G452">
        <v>37082</v>
      </c>
      <c r="H452">
        <v>36835</v>
      </c>
      <c r="I452">
        <v>38100</v>
      </c>
      <c r="J452">
        <v>38731</v>
      </c>
      <c r="K452">
        <v>38363</v>
      </c>
      <c r="L452">
        <v>38937</v>
      </c>
      <c r="M452">
        <v>41436</v>
      </c>
      <c r="N452">
        <v>42077</v>
      </c>
      <c r="O452">
        <v>45248</v>
      </c>
      <c r="P452">
        <v>48535</v>
      </c>
      <c r="Q452">
        <v>50212</v>
      </c>
      <c r="R452">
        <v>51461</v>
      </c>
    </row>
    <row r="453" spans="1:18">
      <c r="A453">
        <v>43020</v>
      </c>
      <c r="B453" t="s">
        <v>1144</v>
      </c>
      <c r="C453" t="s">
        <v>1448</v>
      </c>
      <c r="D453" t="s">
        <v>1449</v>
      </c>
      <c r="E453">
        <v>31678</v>
      </c>
      <c r="F453">
        <v>33267</v>
      </c>
      <c r="G453">
        <v>34218</v>
      </c>
      <c r="H453">
        <v>34759</v>
      </c>
      <c r="I453">
        <v>36157</v>
      </c>
      <c r="J453">
        <v>37488</v>
      </c>
      <c r="K453">
        <v>37940</v>
      </c>
      <c r="L453">
        <v>39834</v>
      </c>
      <c r="M453">
        <v>41048</v>
      </c>
      <c r="N453">
        <v>42984</v>
      </c>
      <c r="O453">
        <v>46018</v>
      </c>
      <c r="P453">
        <v>49647</v>
      </c>
      <c r="Q453">
        <v>50216</v>
      </c>
      <c r="R453">
        <v>51051</v>
      </c>
    </row>
    <row r="454" spans="1:18">
      <c r="A454">
        <v>43060</v>
      </c>
      <c r="B454" t="s">
        <v>1145</v>
      </c>
      <c r="C454" t="s">
        <v>1448</v>
      </c>
      <c r="D454" t="s">
        <v>1449</v>
      </c>
      <c r="E454">
        <v>34694</v>
      </c>
      <c r="F454">
        <v>34874</v>
      </c>
      <c r="G454">
        <v>34935</v>
      </c>
      <c r="H454">
        <v>34988</v>
      </c>
      <c r="I454">
        <v>35817</v>
      </c>
      <c r="J454">
        <v>36073</v>
      </c>
      <c r="K454">
        <v>35094</v>
      </c>
      <c r="L454">
        <v>36200</v>
      </c>
      <c r="M454">
        <v>37046</v>
      </c>
      <c r="N454">
        <v>40192</v>
      </c>
      <c r="O454">
        <v>42953</v>
      </c>
      <c r="P454">
        <v>50194</v>
      </c>
      <c r="Q454">
        <v>47135</v>
      </c>
      <c r="R454">
        <v>49485</v>
      </c>
    </row>
    <row r="455" spans="1:18">
      <c r="A455">
        <v>43140</v>
      </c>
      <c r="B455" t="s">
        <v>1146</v>
      </c>
      <c r="C455" t="s">
        <v>1448</v>
      </c>
      <c r="D455" t="s">
        <v>1449</v>
      </c>
      <c r="E455">
        <v>29151</v>
      </c>
      <c r="F455">
        <v>30065</v>
      </c>
      <c r="G455">
        <v>31175</v>
      </c>
      <c r="H455">
        <v>31215</v>
      </c>
      <c r="I455">
        <v>32409</v>
      </c>
      <c r="J455">
        <v>33676</v>
      </c>
      <c r="K455">
        <v>33906</v>
      </c>
      <c r="L455">
        <v>35506</v>
      </c>
      <c r="M455">
        <v>36505</v>
      </c>
      <c r="N455">
        <v>38247</v>
      </c>
      <c r="O455">
        <v>41228</v>
      </c>
      <c r="P455">
        <v>44736</v>
      </c>
      <c r="Q455">
        <v>45858</v>
      </c>
      <c r="R455">
        <v>47778</v>
      </c>
    </row>
    <row r="456" spans="1:18">
      <c r="A456">
        <v>43180</v>
      </c>
      <c r="B456" t="s">
        <v>1147</v>
      </c>
      <c r="C456" t="s">
        <v>1448</v>
      </c>
      <c r="D456" t="s">
        <v>1449</v>
      </c>
      <c r="E456">
        <v>27145</v>
      </c>
      <c r="F456">
        <v>28783</v>
      </c>
      <c r="G456">
        <v>29853</v>
      </c>
      <c r="H456">
        <v>31829</v>
      </c>
      <c r="I456">
        <v>33325</v>
      </c>
      <c r="J456">
        <v>34026</v>
      </c>
      <c r="K456">
        <v>34925</v>
      </c>
      <c r="L456">
        <v>36072</v>
      </c>
      <c r="M456">
        <v>37223</v>
      </c>
      <c r="N456">
        <v>38938</v>
      </c>
      <c r="O456">
        <v>41246</v>
      </c>
      <c r="P456">
        <v>45595</v>
      </c>
      <c r="Q456">
        <v>47410</v>
      </c>
      <c r="R456">
        <v>47850</v>
      </c>
    </row>
    <row r="457" spans="1:18">
      <c r="A457">
        <v>43220</v>
      </c>
      <c r="B457" t="s">
        <v>1148</v>
      </c>
      <c r="C457" t="s">
        <v>1448</v>
      </c>
      <c r="D457" t="s">
        <v>1449</v>
      </c>
      <c r="E457">
        <v>32785</v>
      </c>
      <c r="F457">
        <v>33924</v>
      </c>
      <c r="G457">
        <v>34629</v>
      </c>
      <c r="H457">
        <v>34868</v>
      </c>
      <c r="I457">
        <v>36698</v>
      </c>
      <c r="J457">
        <v>37817</v>
      </c>
      <c r="K457">
        <v>39215</v>
      </c>
      <c r="L457">
        <v>40673</v>
      </c>
      <c r="M457">
        <v>41840</v>
      </c>
      <c r="N457">
        <v>44679</v>
      </c>
      <c r="O457">
        <v>47749</v>
      </c>
      <c r="P457">
        <v>51240</v>
      </c>
      <c r="Q457">
        <v>50777</v>
      </c>
      <c r="R457">
        <v>54701</v>
      </c>
    </row>
    <row r="458" spans="1:18">
      <c r="A458">
        <v>43260</v>
      </c>
      <c r="B458" t="s">
        <v>1149</v>
      </c>
      <c r="C458" t="s">
        <v>1448</v>
      </c>
      <c r="D458" t="s">
        <v>1449</v>
      </c>
      <c r="E458">
        <v>51169</v>
      </c>
      <c r="F458">
        <v>48478</v>
      </c>
      <c r="G458">
        <v>54797</v>
      </c>
      <c r="H458">
        <v>48650</v>
      </c>
      <c r="I458">
        <v>53178</v>
      </c>
      <c r="J458">
        <v>51322</v>
      </c>
      <c r="K458">
        <v>51716</v>
      </c>
      <c r="L458">
        <v>54163</v>
      </c>
      <c r="M458">
        <v>57091</v>
      </c>
      <c r="N458">
        <v>58257</v>
      </c>
      <c r="O458">
        <v>58854</v>
      </c>
      <c r="P458">
        <v>65034</v>
      </c>
      <c r="Q458">
        <v>69348</v>
      </c>
      <c r="R458">
        <v>73622</v>
      </c>
    </row>
    <row r="459" spans="1:18">
      <c r="A459">
        <v>43320</v>
      </c>
      <c r="B459" t="s">
        <v>1150</v>
      </c>
      <c r="C459" t="s">
        <v>1448</v>
      </c>
      <c r="D459" t="s">
        <v>1449</v>
      </c>
      <c r="E459">
        <v>24645</v>
      </c>
      <c r="F459">
        <v>25499</v>
      </c>
      <c r="G459">
        <v>25803</v>
      </c>
      <c r="H459">
        <v>26563</v>
      </c>
      <c r="I459">
        <v>27092</v>
      </c>
      <c r="J459">
        <v>28189</v>
      </c>
      <c r="K459">
        <v>29582</v>
      </c>
      <c r="L459">
        <v>31149</v>
      </c>
      <c r="M459">
        <v>32797</v>
      </c>
      <c r="N459">
        <v>33484</v>
      </c>
      <c r="O459">
        <v>38583</v>
      </c>
      <c r="P459">
        <v>42360</v>
      </c>
      <c r="Q459">
        <v>42925</v>
      </c>
      <c r="R459">
        <v>44667</v>
      </c>
    </row>
    <row r="460" spans="1:18">
      <c r="A460">
        <v>43380</v>
      </c>
      <c r="B460" t="s">
        <v>1151</v>
      </c>
      <c r="C460" t="s">
        <v>1448</v>
      </c>
      <c r="D460" t="s">
        <v>1449</v>
      </c>
      <c r="E460">
        <v>33124</v>
      </c>
      <c r="F460">
        <v>36433</v>
      </c>
      <c r="G460">
        <v>37428</v>
      </c>
      <c r="H460">
        <v>39341</v>
      </c>
      <c r="I460">
        <v>40424</v>
      </c>
      <c r="J460">
        <v>41030</v>
      </c>
      <c r="K460">
        <v>42030</v>
      </c>
      <c r="L460">
        <v>43430</v>
      </c>
      <c r="M460">
        <v>44646</v>
      </c>
      <c r="N460">
        <v>45196</v>
      </c>
      <c r="O460">
        <v>49186</v>
      </c>
      <c r="P460">
        <v>52729</v>
      </c>
      <c r="Q460">
        <v>52987</v>
      </c>
      <c r="R460">
        <v>55606</v>
      </c>
    </row>
    <row r="461" spans="1:18">
      <c r="A461">
        <v>43460</v>
      </c>
      <c r="B461" t="s">
        <v>1152</v>
      </c>
      <c r="C461" t="s">
        <v>1448</v>
      </c>
      <c r="D461" t="s">
        <v>1449</v>
      </c>
      <c r="E461">
        <v>32953</v>
      </c>
      <c r="F461">
        <v>34537</v>
      </c>
      <c r="G461">
        <v>36226</v>
      </c>
      <c r="H461">
        <v>36757</v>
      </c>
      <c r="I461">
        <v>37723</v>
      </c>
      <c r="J461">
        <v>36917</v>
      </c>
      <c r="K461">
        <v>37816</v>
      </c>
      <c r="L461">
        <v>38681</v>
      </c>
      <c r="M461">
        <v>39812</v>
      </c>
      <c r="N461">
        <v>41007</v>
      </c>
      <c r="O461">
        <v>44605</v>
      </c>
      <c r="P461">
        <v>49005</v>
      </c>
      <c r="Q461">
        <v>50619</v>
      </c>
      <c r="R461">
        <v>53227</v>
      </c>
    </row>
    <row r="462" spans="1:18">
      <c r="A462">
        <v>43500</v>
      </c>
      <c r="B462" t="s">
        <v>1153</v>
      </c>
      <c r="C462" t="s">
        <v>1448</v>
      </c>
      <c r="D462" t="s">
        <v>1449</v>
      </c>
      <c r="E462">
        <v>30411</v>
      </c>
      <c r="F462">
        <v>32122</v>
      </c>
      <c r="G462">
        <v>33174</v>
      </c>
      <c r="H462">
        <v>33045</v>
      </c>
      <c r="I462">
        <v>34348</v>
      </c>
      <c r="J462">
        <v>36132</v>
      </c>
      <c r="K462">
        <v>36071</v>
      </c>
      <c r="L462">
        <v>36740</v>
      </c>
      <c r="M462">
        <v>39147</v>
      </c>
      <c r="N462">
        <v>41260</v>
      </c>
      <c r="O462">
        <v>43719</v>
      </c>
      <c r="P462">
        <v>48333</v>
      </c>
      <c r="Q462">
        <v>51282</v>
      </c>
      <c r="R462">
        <v>52958</v>
      </c>
    </row>
    <row r="463" spans="1:18">
      <c r="A463">
        <v>43660</v>
      </c>
      <c r="B463" t="s">
        <v>1154</v>
      </c>
      <c r="C463" t="s">
        <v>1448</v>
      </c>
      <c r="D463" t="s">
        <v>1449</v>
      </c>
      <c r="E463">
        <v>37274</v>
      </c>
      <c r="F463">
        <v>42671</v>
      </c>
      <c r="G463">
        <v>43941</v>
      </c>
      <c r="H463">
        <v>47649</v>
      </c>
      <c r="I463">
        <v>49758</v>
      </c>
      <c r="J463">
        <v>43438</v>
      </c>
      <c r="K463">
        <v>37067</v>
      </c>
      <c r="L463">
        <v>40073</v>
      </c>
      <c r="M463">
        <v>42254</v>
      </c>
      <c r="N463">
        <v>44277</v>
      </c>
      <c r="O463">
        <v>44598</v>
      </c>
      <c r="P463">
        <v>46414</v>
      </c>
      <c r="Q463">
        <v>51465</v>
      </c>
      <c r="R463">
        <v>54065</v>
      </c>
    </row>
    <row r="464" spans="1:18">
      <c r="A464">
        <v>43700</v>
      </c>
      <c r="B464" t="s">
        <v>1155</v>
      </c>
      <c r="C464" t="s">
        <v>1448</v>
      </c>
      <c r="D464" t="s">
        <v>1449</v>
      </c>
      <c r="E464">
        <v>29843</v>
      </c>
      <c r="F464">
        <v>30391</v>
      </c>
      <c r="G464">
        <v>30692</v>
      </c>
      <c r="H464">
        <v>30649</v>
      </c>
      <c r="I464">
        <v>32553</v>
      </c>
      <c r="J464">
        <v>34353</v>
      </c>
      <c r="K464">
        <v>34489</v>
      </c>
      <c r="L464">
        <v>35229</v>
      </c>
      <c r="M464">
        <v>36897</v>
      </c>
      <c r="N464">
        <v>38646</v>
      </c>
      <c r="O464">
        <v>42638</v>
      </c>
      <c r="P464">
        <v>46799</v>
      </c>
      <c r="Q464">
        <v>47051</v>
      </c>
      <c r="R464">
        <v>49580</v>
      </c>
    </row>
    <row r="465" spans="1:18">
      <c r="A465">
        <v>43740</v>
      </c>
      <c r="B465" t="s">
        <v>1156</v>
      </c>
      <c r="C465" t="s">
        <v>1448</v>
      </c>
      <c r="D465" t="s">
        <v>1449</v>
      </c>
      <c r="E465">
        <v>33997</v>
      </c>
      <c r="F465">
        <v>34666</v>
      </c>
      <c r="G465">
        <v>35274</v>
      </c>
      <c r="H465">
        <v>34935</v>
      </c>
      <c r="I465">
        <v>36063</v>
      </c>
      <c r="J465">
        <v>37038</v>
      </c>
      <c r="K465">
        <v>36961</v>
      </c>
      <c r="L465">
        <v>38548</v>
      </c>
      <c r="M465">
        <v>40047</v>
      </c>
      <c r="N465">
        <v>41623</v>
      </c>
      <c r="O465">
        <v>45763</v>
      </c>
      <c r="P465">
        <v>48575</v>
      </c>
      <c r="Q465">
        <v>47188</v>
      </c>
      <c r="R465">
        <v>49685</v>
      </c>
    </row>
    <row r="466" spans="1:18">
      <c r="A466">
        <v>43760</v>
      </c>
      <c r="B466" t="s">
        <v>1157</v>
      </c>
      <c r="C466" t="s">
        <v>1448</v>
      </c>
      <c r="D466" t="s">
        <v>1449</v>
      </c>
      <c r="E466">
        <v>34579</v>
      </c>
      <c r="F466">
        <v>35841</v>
      </c>
      <c r="G466">
        <v>36606</v>
      </c>
      <c r="H466">
        <v>36116</v>
      </c>
      <c r="I466">
        <v>38181</v>
      </c>
      <c r="J466">
        <v>40912</v>
      </c>
      <c r="K466">
        <v>42373</v>
      </c>
      <c r="L466">
        <v>43170</v>
      </c>
      <c r="M466">
        <v>43806</v>
      </c>
      <c r="N466">
        <v>45870</v>
      </c>
      <c r="O466">
        <v>49614</v>
      </c>
      <c r="P466">
        <v>52854</v>
      </c>
      <c r="Q466">
        <v>52565</v>
      </c>
      <c r="R466">
        <v>56239</v>
      </c>
    </row>
    <row r="467" spans="1:18">
      <c r="A467">
        <v>43940</v>
      </c>
      <c r="B467" t="s">
        <v>1158</v>
      </c>
      <c r="C467" t="s">
        <v>1448</v>
      </c>
      <c r="D467" t="s">
        <v>1449</v>
      </c>
      <c r="E467">
        <v>38065</v>
      </c>
      <c r="F467">
        <v>39650</v>
      </c>
      <c r="G467">
        <v>42148</v>
      </c>
      <c r="H467">
        <v>41459</v>
      </c>
      <c r="I467">
        <v>44618</v>
      </c>
      <c r="J467">
        <v>46071</v>
      </c>
      <c r="K467">
        <v>46415</v>
      </c>
      <c r="L467">
        <v>48454</v>
      </c>
      <c r="M467">
        <v>50850</v>
      </c>
      <c r="N467">
        <v>53540</v>
      </c>
      <c r="O467">
        <v>57855</v>
      </c>
      <c r="P467">
        <v>66914</v>
      </c>
      <c r="Q467">
        <v>71209</v>
      </c>
      <c r="R467">
        <v>75362</v>
      </c>
    </row>
    <row r="468" spans="1:18">
      <c r="A468">
        <v>43980</v>
      </c>
      <c r="B468" t="s">
        <v>1159</v>
      </c>
      <c r="C468" t="s">
        <v>1448</v>
      </c>
      <c r="D468" t="s">
        <v>1449</v>
      </c>
      <c r="E468">
        <v>39341</v>
      </c>
      <c r="F468">
        <v>43931</v>
      </c>
      <c r="G468">
        <v>45543</v>
      </c>
      <c r="H468">
        <v>45776</v>
      </c>
      <c r="I468">
        <v>45920</v>
      </c>
      <c r="J468">
        <v>47544</v>
      </c>
      <c r="K468">
        <v>44626</v>
      </c>
      <c r="L468">
        <v>45475</v>
      </c>
      <c r="M468">
        <v>48082</v>
      </c>
      <c r="N468">
        <v>49046</v>
      </c>
      <c r="O468">
        <v>53692</v>
      </c>
      <c r="P468">
        <v>60565</v>
      </c>
      <c r="Q468">
        <v>63043</v>
      </c>
      <c r="R468">
        <v>62951</v>
      </c>
    </row>
    <row r="469" spans="1:18">
      <c r="A469">
        <v>44020</v>
      </c>
      <c r="B469" t="s">
        <v>1160</v>
      </c>
      <c r="C469" t="s">
        <v>1448</v>
      </c>
      <c r="D469" t="s">
        <v>1449</v>
      </c>
      <c r="E469">
        <v>43898</v>
      </c>
      <c r="F469">
        <v>47078</v>
      </c>
      <c r="G469">
        <v>48798</v>
      </c>
      <c r="H469">
        <v>50365</v>
      </c>
      <c r="I469">
        <v>52007</v>
      </c>
      <c r="J469">
        <v>55576</v>
      </c>
      <c r="K469">
        <v>53954</v>
      </c>
      <c r="L469">
        <v>55235</v>
      </c>
      <c r="M469">
        <v>57832</v>
      </c>
      <c r="N469">
        <v>59477</v>
      </c>
      <c r="O469">
        <v>62635</v>
      </c>
      <c r="P469">
        <v>71737</v>
      </c>
      <c r="Q469">
        <v>76947</v>
      </c>
      <c r="R469">
        <v>79429</v>
      </c>
    </row>
    <row r="470" spans="1:18">
      <c r="A470">
        <v>44260</v>
      </c>
      <c r="B470" t="s">
        <v>1161</v>
      </c>
      <c r="C470" t="s">
        <v>1448</v>
      </c>
      <c r="D470" t="s">
        <v>1449</v>
      </c>
      <c r="E470">
        <v>27939</v>
      </c>
      <c r="F470">
        <v>29510</v>
      </c>
      <c r="G470">
        <v>29561</v>
      </c>
      <c r="H470">
        <v>30103</v>
      </c>
      <c r="I470">
        <v>30338</v>
      </c>
      <c r="J470">
        <v>31053</v>
      </c>
      <c r="K470">
        <v>32136</v>
      </c>
      <c r="L470">
        <v>32643</v>
      </c>
      <c r="M470">
        <v>33777</v>
      </c>
      <c r="N470">
        <v>34874</v>
      </c>
      <c r="O470">
        <v>37507</v>
      </c>
      <c r="P470">
        <v>40813</v>
      </c>
      <c r="Q470">
        <v>40474</v>
      </c>
      <c r="R470">
        <v>43022</v>
      </c>
    </row>
    <row r="471" spans="1:18">
      <c r="A471">
        <v>44340</v>
      </c>
      <c r="B471" t="s">
        <v>1162</v>
      </c>
      <c r="C471" t="s">
        <v>1448</v>
      </c>
      <c r="D471" t="s">
        <v>1449</v>
      </c>
      <c r="E471">
        <v>26220</v>
      </c>
      <c r="F471">
        <v>26531</v>
      </c>
      <c r="G471">
        <v>26509</v>
      </c>
      <c r="H471">
        <v>27736</v>
      </c>
      <c r="I471">
        <v>28415</v>
      </c>
      <c r="J471">
        <v>29748</v>
      </c>
      <c r="K471">
        <v>30206</v>
      </c>
      <c r="L471">
        <v>31031</v>
      </c>
      <c r="M471">
        <v>32008</v>
      </c>
      <c r="N471">
        <v>32743</v>
      </c>
      <c r="O471">
        <v>35903</v>
      </c>
      <c r="P471">
        <v>39216</v>
      </c>
      <c r="Q471">
        <v>39523</v>
      </c>
      <c r="R471">
        <v>40939</v>
      </c>
    </row>
    <row r="472" spans="1:18">
      <c r="A472">
        <v>44460</v>
      </c>
      <c r="B472" t="s">
        <v>1163</v>
      </c>
      <c r="C472" t="s">
        <v>1448</v>
      </c>
      <c r="D472" t="s">
        <v>1449</v>
      </c>
      <c r="E472">
        <v>51298</v>
      </c>
      <c r="F472">
        <v>60154</v>
      </c>
      <c r="G472">
        <v>61303</v>
      </c>
      <c r="H472">
        <v>60346</v>
      </c>
      <c r="I472">
        <v>65179</v>
      </c>
      <c r="J472">
        <v>69611</v>
      </c>
      <c r="K472">
        <v>69857</v>
      </c>
      <c r="L472">
        <v>78716</v>
      </c>
      <c r="M472">
        <v>79847</v>
      </c>
      <c r="N472">
        <v>85647</v>
      </c>
      <c r="O472">
        <v>90910</v>
      </c>
      <c r="P472">
        <v>106220</v>
      </c>
      <c r="Q472">
        <v>121979</v>
      </c>
      <c r="R472">
        <v>131507</v>
      </c>
    </row>
    <row r="473" spans="1:18">
      <c r="A473">
        <v>44500</v>
      </c>
      <c r="B473" t="s">
        <v>1164</v>
      </c>
      <c r="C473" t="s">
        <v>1448</v>
      </c>
      <c r="D473" t="s">
        <v>1449</v>
      </c>
      <c r="E473">
        <v>29340</v>
      </c>
      <c r="F473">
        <v>31061</v>
      </c>
      <c r="G473">
        <v>31733</v>
      </c>
      <c r="H473">
        <v>32030</v>
      </c>
      <c r="I473">
        <v>34908</v>
      </c>
      <c r="J473">
        <v>34507</v>
      </c>
      <c r="K473">
        <v>35247</v>
      </c>
      <c r="L473">
        <v>37460</v>
      </c>
      <c r="M473">
        <v>39594</v>
      </c>
      <c r="N473">
        <v>41820</v>
      </c>
      <c r="O473">
        <v>45016</v>
      </c>
      <c r="P473">
        <v>47549</v>
      </c>
      <c r="Q473">
        <v>50354</v>
      </c>
      <c r="R473">
        <v>53610</v>
      </c>
    </row>
    <row r="474" spans="1:18">
      <c r="A474">
        <v>44540</v>
      </c>
      <c r="B474" t="s">
        <v>1165</v>
      </c>
      <c r="C474" t="s">
        <v>1448</v>
      </c>
      <c r="D474" t="s">
        <v>1449</v>
      </c>
      <c r="E474">
        <v>34314</v>
      </c>
      <c r="F474">
        <v>39143</v>
      </c>
      <c r="G474">
        <v>42523</v>
      </c>
      <c r="H474">
        <v>44567</v>
      </c>
      <c r="I474">
        <v>46331</v>
      </c>
      <c r="J474">
        <v>47973</v>
      </c>
      <c r="K474">
        <v>48454</v>
      </c>
      <c r="L474">
        <v>44620</v>
      </c>
      <c r="M474">
        <v>44217</v>
      </c>
      <c r="N474">
        <v>42546</v>
      </c>
      <c r="O474">
        <v>43371</v>
      </c>
      <c r="P474">
        <v>49769</v>
      </c>
      <c r="Q474">
        <v>52895</v>
      </c>
      <c r="R474">
        <v>55137</v>
      </c>
    </row>
    <row r="475" spans="1:18">
      <c r="A475">
        <v>44580</v>
      </c>
      <c r="B475" t="s">
        <v>1166</v>
      </c>
      <c r="C475" t="s">
        <v>1448</v>
      </c>
      <c r="D475" t="s">
        <v>1449</v>
      </c>
      <c r="E475">
        <v>34985</v>
      </c>
      <c r="F475">
        <v>37826</v>
      </c>
      <c r="G475">
        <v>37576</v>
      </c>
      <c r="H475">
        <v>39633</v>
      </c>
      <c r="I475">
        <v>39378</v>
      </c>
      <c r="J475">
        <v>39495</v>
      </c>
      <c r="K475">
        <v>39993</v>
      </c>
      <c r="L475">
        <v>41213</v>
      </c>
      <c r="M475">
        <v>42333</v>
      </c>
      <c r="N475">
        <v>43511</v>
      </c>
      <c r="O475">
        <v>48106</v>
      </c>
      <c r="P475">
        <v>52057</v>
      </c>
      <c r="Q475">
        <v>52882</v>
      </c>
      <c r="R475">
        <v>54875</v>
      </c>
    </row>
    <row r="476" spans="1:18">
      <c r="A476">
        <v>44620</v>
      </c>
      <c r="B476" t="s">
        <v>1167</v>
      </c>
      <c r="C476" t="s">
        <v>1448</v>
      </c>
      <c r="D476" t="s">
        <v>1449</v>
      </c>
      <c r="E476">
        <v>34456</v>
      </c>
      <c r="F476">
        <v>36135</v>
      </c>
      <c r="G476">
        <v>37057</v>
      </c>
      <c r="H476">
        <v>37993</v>
      </c>
      <c r="I476">
        <v>39929</v>
      </c>
      <c r="J476">
        <v>41489</v>
      </c>
      <c r="K476">
        <v>42145</v>
      </c>
      <c r="L476">
        <v>44015</v>
      </c>
      <c r="M476">
        <v>45576</v>
      </c>
      <c r="N476">
        <v>47697</v>
      </c>
      <c r="O476">
        <v>50308</v>
      </c>
      <c r="P476">
        <v>54693</v>
      </c>
      <c r="Q476">
        <v>55050</v>
      </c>
      <c r="R476">
        <v>57490</v>
      </c>
    </row>
    <row r="477" spans="1:18">
      <c r="A477">
        <v>44660</v>
      </c>
      <c r="B477" t="s">
        <v>1168</v>
      </c>
      <c r="C477" t="s">
        <v>1448</v>
      </c>
      <c r="D477" t="s">
        <v>1449</v>
      </c>
      <c r="E477">
        <v>31471</v>
      </c>
      <c r="F477">
        <v>32683</v>
      </c>
      <c r="G477">
        <v>33275</v>
      </c>
      <c r="H477">
        <v>33631</v>
      </c>
      <c r="I477">
        <v>36523</v>
      </c>
      <c r="J477">
        <v>35293</v>
      </c>
      <c r="K477">
        <v>34307</v>
      </c>
      <c r="L477">
        <v>35048</v>
      </c>
      <c r="M477">
        <v>36671</v>
      </c>
      <c r="N477">
        <v>38487</v>
      </c>
      <c r="O477">
        <v>41215</v>
      </c>
      <c r="P477">
        <v>44268</v>
      </c>
      <c r="Q477">
        <v>44781</v>
      </c>
      <c r="R477">
        <v>47401</v>
      </c>
    </row>
    <row r="478" spans="1:18">
      <c r="A478">
        <v>44740</v>
      </c>
      <c r="B478" t="s">
        <v>1169</v>
      </c>
      <c r="C478" t="s">
        <v>1448</v>
      </c>
      <c r="D478" t="s">
        <v>1449</v>
      </c>
      <c r="E478">
        <v>37140</v>
      </c>
      <c r="F478">
        <v>41676</v>
      </c>
      <c r="G478">
        <v>43137</v>
      </c>
      <c r="H478">
        <v>43341</v>
      </c>
      <c r="I478">
        <v>43196</v>
      </c>
      <c r="J478">
        <v>43201</v>
      </c>
      <c r="K478">
        <v>37941</v>
      </c>
      <c r="L478">
        <v>40160</v>
      </c>
      <c r="M478">
        <v>43049</v>
      </c>
      <c r="N478">
        <v>41986</v>
      </c>
      <c r="O478">
        <v>44526</v>
      </c>
      <c r="P478">
        <v>49758</v>
      </c>
      <c r="Q478">
        <v>55272</v>
      </c>
      <c r="R478">
        <v>53369</v>
      </c>
    </row>
    <row r="479" spans="1:18">
      <c r="A479">
        <v>44780</v>
      </c>
      <c r="B479" t="s">
        <v>1170</v>
      </c>
      <c r="C479" t="s">
        <v>1448</v>
      </c>
      <c r="D479" t="s">
        <v>1449</v>
      </c>
      <c r="E479">
        <v>29384</v>
      </c>
      <c r="F479">
        <v>30723</v>
      </c>
      <c r="G479">
        <v>31408</v>
      </c>
      <c r="H479">
        <v>31935</v>
      </c>
      <c r="I479">
        <v>32425</v>
      </c>
      <c r="J479">
        <v>34333</v>
      </c>
      <c r="K479">
        <v>35087</v>
      </c>
      <c r="L479">
        <v>37002</v>
      </c>
      <c r="M479">
        <v>37672</v>
      </c>
      <c r="N479">
        <v>38406</v>
      </c>
      <c r="O479">
        <v>42846</v>
      </c>
      <c r="P479">
        <v>47451</v>
      </c>
      <c r="Q479">
        <v>47887</v>
      </c>
      <c r="R479">
        <v>49695</v>
      </c>
    </row>
    <row r="480" spans="1:18">
      <c r="A480">
        <v>44860</v>
      </c>
      <c r="B480" t="s">
        <v>1171</v>
      </c>
      <c r="C480" t="s">
        <v>1448</v>
      </c>
      <c r="D480" t="s">
        <v>1449</v>
      </c>
      <c r="E480">
        <v>31054</v>
      </c>
      <c r="F480">
        <v>32420</v>
      </c>
      <c r="G480">
        <v>33559</v>
      </c>
      <c r="H480">
        <v>34706</v>
      </c>
      <c r="I480">
        <v>37311</v>
      </c>
      <c r="J480">
        <v>37479</v>
      </c>
      <c r="K480">
        <v>36562</v>
      </c>
      <c r="L480">
        <v>38321</v>
      </c>
      <c r="M480">
        <v>40353</v>
      </c>
      <c r="N480">
        <v>42794</v>
      </c>
      <c r="O480">
        <v>45381</v>
      </c>
      <c r="P480">
        <v>50262</v>
      </c>
      <c r="Q480">
        <v>53768</v>
      </c>
      <c r="R480">
        <v>55098</v>
      </c>
    </row>
    <row r="481" spans="1:18">
      <c r="A481">
        <v>44900</v>
      </c>
      <c r="B481" t="s">
        <v>1172</v>
      </c>
      <c r="C481" t="s">
        <v>1448</v>
      </c>
      <c r="D481" t="s">
        <v>1449</v>
      </c>
      <c r="E481">
        <v>24239</v>
      </c>
      <c r="F481">
        <v>24819</v>
      </c>
      <c r="G481">
        <v>24783</v>
      </c>
      <c r="H481">
        <v>26120</v>
      </c>
      <c r="I481">
        <v>26926</v>
      </c>
      <c r="J481">
        <v>27891</v>
      </c>
      <c r="K481">
        <v>28038</v>
      </c>
      <c r="L481">
        <v>29514</v>
      </c>
      <c r="M481">
        <v>30169</v>
      </c>
      <c r="N481">
        <v>31074</v>
      </c>
      <c r="O481">
        <v>33790</v>
      </c>
      <c r="P481">
        <v>37014</v>
      </c>
      <c r="Q481">
        <v>37111</v>
      </c>
      <c r="R481">
        <v>38269</v>
      </c>
    </row>
    <row r="482" spans="1:18">
      <c r="A482">
        <v>44980</v>
      </c>
      <c r="B482" t="s">
        <v>1173</v>
      </c>
      <c r="C482" t="s">
        <v>1448</v>
      </c>
      <c r="D482" t="s">
        <v>1449</v>
      </c>
      <c r="E482">
        <v>32578</v>
      </c>
      <c r="F482">
        <v>34236</v>
      </c>
      <c r="G482">
        <v>34407</v>
      </c>
      <c r="H482">
        <v>35174</v>
      </c>
      <c r="I482">
        <v>35627</v>
      </c>
      <c r="J482">
        <v>37137</v>
      </c>
      <c r="K482">
        <v>37084</v>
      </c>
      <c r="L482">
        <v>38565</v>
      </c>
      <c r="M482">
        <v>40217</v>
      </c>
      <c r="N482">
        <v>41894</v>
      </c>
      <c r="O482">
        <v>46132</v>
      </c>
      <c r="P482">
        <v>48288</v>
      </c>
      <c r="Q482">
        <v>48499</v>
      </c>
      <c r="R482">
        <v>50445</v>
      </c>
    </row>
    <row r="483" spans="1:18">
      <c r="A483">
        <v>45000</v>
      </c>
      <c r="B483" t="s">
        <v>1174</v>
      </c>
      <c r="C483" t="s">
        <v>1448</v>
      </c>
      <c r="D483" t="s">
        <v>1449</v>
      </c>
      <c r="E483">
        <v>27575</v>
      </c>
      <c r="F483">
        <v>28218</v>
      </c>
      <c r="G483">
        <v>28086</v>
      </c>
      <c r="H483">
        <v>28498</v>
      </c>
      <c r="I483">
        <v>29488</v>
      </c>
      <c r="J483">
        <v>31092</v>
      </c>
      <c r="K483">
        <v>32336</v>
      </c>
      <c r="L483">
        <v>32154</v>
      </c>
      <c r="M483">
        <v>32629</v>
      </c>
      <c r="N483">
        <v>32690</v>
      </c>
      <c r="O483">
        <v>37997</v>
      </c>
      <c r="P483">
        <v>40835</v>
      </c>
      <c r="Q483">
        <v>41087</v>
      </c>
      <c r="R483">
        <v>43736</v>
      </c>
    </row>
    <row r="484" spans="1:18">
      <c r="A484">
        <v>45020</v>
      </c>
      <c r="B484" t="s">
        <v>1175</v>
      </c>
      <c r="C484" t="s">
        <v>1448</v>
      </c>
      <c r="D484" t="s">
        <v>1449</v>
      </c>
      <c r="E484">
        <v>31470</v>
      </c>
      <c r="F484">
        <v>33802</v>
      </c>
      <c r="G484">
        <v>35528</v>
      </c>
      <c r="H484">
        <v>37186</v>
      </c>
      <c r="I484">
        <v>39678</v>
      </c>
      <c r="J484">
        <v>38147</v>
      </c>
      <c r="K484">
        <v>37963</v>
      </c>
      <c r="L484">
        <v>41270</v>
      </c>
      <c r="M484">
        <v>43873</v>
      </c>
      <c r="N484">
        <v>45635</v>
      </c>
      <c r="O484">
        <v>46449</v>
      </c>
      <c r="P484">
        <v>51845</v>
      </c>
      <c r="Q484">
        <v>53138</v>
      </c>
      <c r="R484">
        <v>56320</v>
      </c>
    </row>
    <row r="485" spans="1:18">
      <c r="A485">
        <v>45140</v>
      </c>
      <c r="B485" t="s">
        <v>1176</v>
      </c>
      <c r="C485" t="s">
        <v>1448</v>
      </c>
      <c r="D485" t="s">
        <v>1449</v>
      </c>
      <c r="E485">
        <v>26429</v>
      </c>
      <c r="F485">
        <v>27049</v>
      </c>
      <c r="G485">
        <v>28400</v>
      </c>
      <c r="H485">
        <v>28770</v>
      </c>
      <c r="I485">
        <v>29516</v>
      </c>
      <c r="J485">
        <v>31010</v>
      </c>
      <c r="K485">
        <v>30780</v>
      </c>
      <c r="L485">
        <v>32075</v>
      </c>
      <c r="M485">
        <v>33492</v>
      </c>
      <c r="N485">
        <v>35393</v>
      </c>
      <c r="O485">
        <v>37176</v>
      </c>
      <c r="P485">
        <v>41527</v>
      </c>
      <c r="Q485">
        <v>40971</v>
      </c>
      <c r="R485">
        <v>43232</v>
      </c>
    </row>
    <row r="486" spans="1:18">
      <c r="A486">
        <v>45180</v>
      </c>
      <c r="B486" t="s">
        <v>1177</v>
      </c>
      <c r="C486" t="s">
        <v>1448</v>
      </c>
      <c r="D486" t="s">
        <v>1449</v>
      </c>
      <c r="E486">
        <v>27752</v>
      </c>
      <c r="F486">
        <v>28553</v>
      </c>
      <c r="G486">
        <v>29215</v>
      </c>
      <c r="H486">
        <v>29477</v>
      </c>
      <c r="I486">
        <v>30648</v>
      </c>
      <c r="J486">
        <v>31293</v>
      </c>
      <c r="K486">
        <v>32000</v>
      </c>
      <c r="L486">
        <v>32470</v>
      </c>
      <c r="M486">
        <v>33461</v>
      </c>
      <c r="N486">
        <v>35118</v>
      </c>
      <c r="O486">
        <v>37855</v>
      </c>
      <c r="P486">
        <v>41267</v>
      </c>
      <c r="Q486">
        <v>41455</v>
      </c>
      <c r="R486">
        <v>43284</v>
      </c>
    </row>
    <row r="487" spans="1:18">
      <c r="A487">
        <v>45340</v>
      </c>
      <c r="B487" t="s">
        <v>1178</v>
      </c>
      <c r="C487" t="s">
        <v>1448</v>
      </c>
      <c r="D487" t="s">
        <v>1449</v>
      </c>
      <c r="E487">
        <v>29063</v>
      </c>
      <c r="F487">
        <v>30334</v>
      </c>
      <c r="G487">
        <v>31498</v>
      </c>
      <c r="H487">
        <v>30219</v>
      </c>
      <c r="I487">
        <v>32537</v>
      </c>
      <c r="J487">
        <v>33898</v>
      </c>
      <c r="K487">
        <v>34173</v>
      </c>
      <c r="L487">
        <v>34852</v>
      </c>
      <c r="M487">
        <v>36243</v>
      </c>
      <c r="N487">
        <v>37311</v>
      </c>
      <c r="O487">
        <v>41022</v>
      </c>
      <c r="P487">
        <v>45820</v>
      </c>
      <c r="Q487">
        <v>47257</v>
      </c>
      <c r="R487">
        <v>49430</v>
      </c>
    </row>
    <row r="488" spans="1:18">
      <c r="A488">
        <v>45380</v>
      </c>
      <c r="B488" t="s">
        <v>1179</v>
      </c>
      <c r="C488" t="s">
        <v>1448</v>
      </c>
      <c r="D488" t="s">
        <v>1449</v>
      </c>
      <c r="E488">
        <v>34324</v>
      </c>
      <c r="F488">
        <v>36751</v>
      </c>
      <c r="G488">
        <v>35618</v>
      </c>
      <c r="H488">
        <v>37987</v>
      </c>
      <c r="I488">
        <v>36693</v>
      </c>
      <c r="J488">
        <v>35929</v>
      </c>
      <c r="K488">
        <v>36896</v>
      </c>
      <c r="L488">
        <v>37284</v>
      </c>
      <c r="M488">
        <v>39091</v>
      </c>
      <c r="N488">
        <v>39607</v>
      </c>
      <c r="O488">
        <v>43866</v>
      </c>
      <c r="P488">
        <v>48859</v>
      </c>
      <c r="Q488">
        <v>50613</v>
      </c>
      <c r="R488">
        <v>52047</v>
      </c>
    </row>
    <row r="489" spans="1:18">
      <c r="A489">
        <v>45520</v>
      </c>
      <c r="B489" t="s">
        <v>1180</v>
      </c>
      <c r="C489" t="s">
        <v>1448</v>
      </c>
      <c r="D489" t="s">
        <v>1449</v>
      </c>
      <c r="E489">
        <v>33282</v>
      </c>
      <c r="F489">
        <v>35845</v>
      </c>
      <c r="G489">
        <v>35572</v>
      </c>
      <c r="H489">
        <v>35623</v>
      </c>
      <c r="I489">
        <v>37008</v>
      </c>
      <c r="J489">
        <v>38860</v>
      </c>
      <c r="K489">
        <v>40040</v>
      </c>
      <c r="L489">
        <v>40688</v>
      </c>
      <c r="M489">
        <v>42185</v>
      </c>
      <c r="N489">
        <v>43368</v>
      </c>
      <c r="O489">
        <v>48232</v>
      </c>
      <c r="P489">
        <v>52618</v>
      </c>
      <c r="Q489">
        <v>53723</v>
      </c>
      <c r="R489">
        <v>56865</v>
      </c>
    </row>
    <row r="490" spans="1:18">
      <c r="A490">
        <v>45580</v>
      </c>
      <c r="B490" t="s">
        <v>1181</v>
      </c>
      <c r="C490" t="s">
        <v>1448</v>
      </c>
      <c r="D490" t="s">
        <v>1449</v>
      </c>
      <c r="E490">
        <v>27301</v>
      </c>
      <c r="F490">
        <v>28929</v>
      </c>
      <c r="G490">
        <v>29349</v>
      </c>
      <c r="H490">
        <v>29054</v>
      </c>
      <c r="I490">
        <v>30072</v>
      </c>
      <c r="J490">
        <v>31185</v>
      </c>
      <c r="K490">
        <v>32257</v>
      </c>
      <c r="L490">
        <v>32490</v>
      </c>
      <c r="M490">
        <v>33542</v>
      </c>
      <c r="N490">
        <v>35342</v>
      </c>
      <c r="O490">
        <v>37408</v>
      </c>
      <c r="P490">
        <v>41348</v>
      </c>
      <c r="Q490">
        <v>42144</v>
      </c>
      <c r="R490">
        <v>43541</v>
      </c>
    </row>
    <row r="491" spans="1:18">
      <c r="A491">
        <v>45620</v>
      </c>
      <c r="B491" t="s">
        <v>1182</v>
      </c>
      <c r="C491" t="s">
        <v>1448</v>
      </c>
      <c r="D491" t="s">
        <v>1449</v>
      </c>
      <c r="E491">
        <v>33254</v>
      </c>
      <c r="F491">
        <v>35590</v>
      </c>
      <c r="G491">
        <v>36141</v>
      </c>
      <c r="H491">
        <v>35941</v>
      </c>
      <c r="I491">
        <v>36894</v>
      </c>
      <c r="J491">
        <v>39645</v>
      </c>
      <c r="K491">
        <v>39272</v>
      </c>
      <c r="L491">
        <v>41126</v>
      </c>
      <c r="M491">
        <v>43163</v>
      </c>
      <c r="N491">
        <v>43752</v>
      </c>
      <c r="O491">
        <v>47526</v>
      </c>
      <c r="P491">
        <v>53047</v>
      </c>
      <c r="Q491">
        <v>54279</v>
      </c>
      <c r="R491">
        <v>57135</v>
      </c>
    </row>
    <row r="492" spans="1:18">
      <c r="A492">
        <v>45660</v>
      </c>
      <c r="B492" t="s">
        <v>1183</v>
      </c>
      <c r="C492" t="s">
        <v>1448</v>
      </c>
      <c r="D492" t="s">
        <v>1449</v>
      </c>
      <c r="E492">
        <v>30387</v>
      </c>
      <c r="F492">
        <v>32504</v>
      </c>
      <c r="G492">
        <v>32626</v>
      </c>
      <c r="H492">
        <v>32734</v>
      </c>
      <c r="I492">
        <v>33495</v>
      </c>
      <c r="J492">
        <v>35582</v>
      </c>
      <c r="K492">
        <v>36818</v>
      </c>
      <c r="L492">
        <v>37600</v>
      </c>
      <c r="M492">
        <v>38621</v>
      </c>
      <c r="N492">
        <v>40084</v>
      </c>
      <c r="O492">
        <v>44759</v>
      </c>
      <c r="P492">
        <v>48486</v>
      </c>
      <c r="Q492">
        <v>48334</v>
      </c>
      <c r="R492">
        <v>50248</v>
      </c>
    </row>
    <row r="493" spans="1:18">
      <c r="A493">
        <v>45700</v>
      </c>
      <c r="B493" t="s">
        <v>1184</v>
      </c>
      <c r="C493" t="s">
        <v>1448</v>
      </c>
      <c r="D493" t="s">
        <v>1449</v>
      </c>
      <c r="E493">
        <v>29198</v>
      </c>
      <c r="F493">
        <v>30676</v>
      </c>
      <c r="G493">
        <v>30589</v>
      </c>
      <c r="H493">
        <v>31003</v>
      </c>
      <c r="I493">
        <v>32776</v>
      </c>
      <c r="J493">
        <v>35722</v>
      </c>
      <c r="K493">
        <v>34466</v>
      </c>
      <c r="L493">
        <v>35112</v>
      </c>
      <c r="M493">
        <v>36516</v>
      </c>
      <c r="N493">
        <v>37669</v>
      </c>
      <c r="O493">
        <v>41573</v>
      </c>
      <c r="P493">
        <v>45183</v>
      </c>
      <c r="Q493">
        <v>46098</v>
      </c>
      <c r="R493">
        <v>48399</v>
      </c>
    </row>
    <row r="494" spans="1:18">
      <c r="A494">
        <v>45740</v>
      </c>
      <c r="B494" t="s">
        <v>1185</v>
      </c>
      <c r="C494" t="s">
        <v>1448</v>
      </c>
      <c r="D494" t="s">
        <v>1449</v>
      </c>
      <c r="E494">
        <v>28209</v>
      </c>
      <c r="F494">
        <v>29383</v>
      </c>
      <c r="G494">
        <v>30127</v>
      </c>
      <c r="H494">
        <v>31391</v>
      </c>
      <c r="I494">
        <v>33925</v>
      </c>
      <c r="J494">
        <v>35740</v>
      </c>
      <c r="K494">
        <v>34688</v>
      </c>
      <c r="L494">
        <v>35871</v>
      </c>
      <c r="M494">
        <v>35927</v>
      </c>
      <c r="N494">
        <v>36213</v>
      </c>
      <c r="O494">
        <v>39374</v>
      </c>
      <c r="P494">
        <v>43644</v>
      </c>
      <c r="Q494">
        <v>45412</v>
      </c>
      <c r="R494">
        <v>46093</v>
      </c>
    </row>
    <row r="495" spans="1:18">
      <c r="A495">
        <v>45860</v>
      </c>
      <c r="B495" t="s">
        <v>1186</v>
      </c>
      <c r="C495" t="s">
        <v>1448</v>
      </c>
      <c r="D495" t="s">
        <v>1449</v>
      </c>
      <c r="E495">
        <v>49426</v>
      </c>
      <c r="F495">
        <v>51949</v>
      </c>
      <c r="G495">
        <v>53868</v>
      </c>
      <c r="H495">
        <v>53345</v>
      </c>
      <c r="I495">
        <v>54616</v>
      </c>
      <c r="J495">
        <v>56257</v>
      </c>
      <c r="K495">
        <v>57347</v>
      </c>
      <c r="L495">
        <v>58252</v>
      </c>
      <c r="M495">
        <v>59931</v>
      </c>
      <c r="N495">
        <v>64546</v>
      </c>
      <c r="O495">
        <v>69279</v>
      </c>
      <c r="P495">
        <v>76562</v>
      </c>
      <c r="Q495">
        <v>76836</v>
      </c>
      <c r="R495">
        <v>82210</v>
      </c>
    </row>
    <row r="496" spans="1:18">
      <c r="A496">
        <v>45900</v>
      </c>
      <c r="B496" t="s">
        <v>1187</v>
      </c>
      <c r="C496" t="s">
        <v>1448</v>
      </c>
      <c r="D496" t="s">
        <v>1449</v>
      </c>
      <c r="E496">
        <v>35475</v>
      </c>
      <c r="F496">
        <v>37051</v>
      </c>
      <c r="G496">
        <v>39488</v>
      </c>
      <c r="H496">
        <v>40371</v>
      </c>
      <c r="I496">
        <v>43061</v>
      </c>
      <c r="J496">
        <v>44544</v>
      </c>
      <c r="K496">
        <v>45216</v>
      </c>
      <c r="L496">
        <v>47200</v>
      </c>
      <c r="M496">
        <v>49169</v>
      </c>
      <c r="N496">
        <v>51331</v>
      </c>
      <c r="O496">
        <v>56152</v>
      </c>
      <c r="P496">
        <v>60884</v>
      </c>
      <c r="Q496">
        <v>62724</v>
      </c>
      <c r="R496">
        <v>67025</v>
      </c>
    </row>
    <row r="497" spans="1:18">
      <c r="A497">
        <v>45980</v>
      </c>
      <c r="B497" t="s">
        <v>1188</v>
      </c>
      <c r="C497" t="s">
        <v>1448</v>
      </c>
      <c r="D497" t="s">
        <v>1449</v>
      </c>
      <c r="E497">
        <v>31626</v>
      </c>
      <c r="F497">
        <v>32158</v>
      </c>
      <c r="G497">
        <v>31392</v>
      </c>
      <c r="H497">
        <v>30612</v>
      </c>
      <c r="I497">
        <v>33059</v>
      </c>
      <c r="J497">
        <v>34329</v>
      </c>
      <c r="K497">
        <v>34674</v>
      </c>
      <c r="L497">
        <v>35691</v>
      </c>
      <c r="M497">
        <v>36708</v>
      </c>
      <c r="N497">
        <v>37761</v>
      </c>
      <c r="O497">
        <v>40909</v>
      </c>
      <c r="P497">
        <v>45632</v>
      </c>
      <c r="Q497">
        <v>48000</v>
      </c>
      <c r="R497">
        <v>49237</v>
      </c>
    </row>
    <row r="498" spans="1:18">
      <c r="A498">
        <v>46020</v>
      </c>
      <c r="B498" t="s">
        <v>1189</v>
      </c>
      <c r="C498" t="s">
        <v>1448</v>
      </c>
      <c r="D498" t="s">
        <v>1449</v>
      </c>
      <c r="E498">
        <v>45650</v>
      </c>
      <c r="F498">
        <v>47210</v>
      </c>
      <c r="G498">
        <v>48696</v>
      </c>
      <c r="H498">
        <v>49191</v>
      </c>
      <c r="I498">
        <v>51373</v>
      </c>
      <c r="J498">
        <v>53134</v>
      </c>
      <c r="K498">
        <v>55382</v>
      </c>
      <c r="L498">
        <v>56004</v>
      </c>
      <c r="M498">
        <v>57335</v>
      </c>
      <c r="N498">
        <v>60472</v>
      </c>
      <c r="O498">
        <v>65064</v>
      </c>
      <c r="P498">
        <v>70364</v>
      </c>
      <c r="Q498">
        <v>71115</v>
      </c>
      <c r="R498">
        <v>75539</v>
      </c>
    </row>
    <row r="499" spans="1:18">
      <c r="A499">
        <v>46100</v>
      </c>
      <c r="B499" t="s">
        <v>1190</v>
      </c>
      <c r="C499" t="s">
        <v>1448</v>
      </c>
      <c r="D499" t="s">
        <v>1449</v>
      </c>
      <c r="E499">
        <v>30554</v>
      </c>
      <c r="F499">
        <v>31760</v>
      </c>
      <c r="G499">
        <v>33042</v>
      </c>
      <c r="H499">
        <v>33436</v>
      </c>
      <c r="I499">
        <v>34436</v>
      </c>
      <c r="J499">
        <v>35827</v>
      </c>
      <c r="K499">
        <v>35985</v>
      </c>
      <c r="L499">
        <v>36981</v>
      </c>
      <c r="M499">
        <v>38203</v>
      </c>
      <c r="N499">
        <v>40729</v>
      </c>
      <c r="O499">
        <v>43268</v>
      </c>
      <c r="P499">
        <v>46764</v>
      </c>
      <c r="Q499">
        <v>47780</v>
      </c>
      <c r="R499">
        <v>50106</v>
      </c>
    </row>
    <row r="500" spans="1:18">
      <c r="A500">
        <v>46180</v>
      </c>
      <c r="B500" t="s">
        <v>1191</v>
      </c>
      <c r="C500" t="s">
        <v>1448</v>
      </c>
      <c r="D500" t="s">
        <v>1449</v>
      </c>
      <c r="E500">
        <v>29635</v>
      </c>
      <c r="F500">
        <v>31282</v>
      </c>
      <c r="G500">
        <v>32084</v>
      </c>
      <c r="H500">
        <v>32138</v>
      </c>
      <c r="I500">
        <v>33152</v>
      </c>
      <c r="J500">
        <v>34194</v>
      </c>
      <c r="K500">
        <v>35269</v>
      </c>
      <c r="L500">
        <v>36465</v>
      </c>
      <c r="M500">
        <v>37402</v>
      </c>
      <c r="N500">
        <v>39304</v>
      </c>
      <c r="O500">
        <v>42467</v>
      </c>
      <c r="P500">
        <v>47092</v>
      </c>
      <c r="Q500">
        <v>46396</v>
      </c>
      <c r="R500">
        <v>48177</v>
      </c>
    </row>
    <row r="501" spans="1:18">
      <c r="A501">
        <v>46380</v>
      </c>
      <c r="B501" t="s">
        <v>1192</v>
      </c>
      <c r="C501" t="s">
        <v>1448</v>
      </c>
      <c r="D501" t="s">
        <v>1449</v>
      </c>
      <c r="E501">
        <v>37858</v>
      </c>
      <c r="F501">
        <v>37658</v>
      </c>
      <c r="G501">
        <v>37262</v>
      </c>
      <c r="H501">
        <v>37882</v>
      </c>
      <c r="I501">
        <v>40074</v>
      </c>
      <c r="J501">
        <v>41701</v>
      </c>
      <c r="K501">
        <v>42497</v>
      </c>
      <c r="L501">
        <v>43743</v>
      </c>
      <c r="M501">
        <v>45250</v>
      </c>
      <c r="N501">
        <v>47037</v>
      </c>
      <c r="O501">
        <v>52318</v>
      </c>
      <c r="P501">
        <v>56305</v>
      </c>
      <c r="Q501">
        <v>55104</v>
      </c>
      <c r="R501">
        <v>59050</v>
      </c>
    </row>
    <row r="502" spans="1:18">
      <c r="A502">
        <v>46420</v>
      </c>
      <c r="B502" t="s">
        <v>1193</v>
      </c>
      <c r="C502" t="s">
        <v>1448</v>
      </c>
      <c r="D502" t="s">
        <v>1449</v>
      </c>
      <c r="E502">
        <v>26231</v>
      </c>
      <c r="F502">
        <v>26879</v>
      </c>
      <c r="G502">
        <v>27336</v>
      </c>
      <c r="H502">
        <v>27470</v>
      </c>
      <c r="I502">
        <v>28697</v>
      </c>
      <c r="J502">
        <v>29702</v>
      </c>
      <c r="K502">
        <v>29621</v>
      </c>
      <c r="L502">
        <v>30972</v>
      </c>
      <c r="M502">
        <v>32211</v>
      </c>
      <c r="N502">
        <v>34489</v>
      </c>
      <c r="O502">
        <v>36615</v>
      </c>
      <c r="P502">
        <v>38691</v>
      </c>
      <c r="Q502">
        <v>39168</v>
      </c>
      <c r="R502">
        <v>40314</v>
      </c>
    </row>
    <row r="503" spans="1:18">
      <c r="A503">
        <v>46460</v>
      </c>
      <c r="B503" t="s">
        <v>1194</v>
      </c>
      <c r="C503" t="s">
        <v>1448</v>
      </c>
      <c r="D503" t="s">
        <v>1449</v>
      </c>
      <c r="E503">
        <v>32691</v>
      </c>
      <c r="F503">
        <v>35416</v>
      </c>
      <c r="G503">
        <v>34340</v>
      </c>
      <c r="H503">
        <v>34923</v>
      </c>
      <c r="I503">
        <v>34843</v>
      </c>
      <c r="J503">
        <v>35300</v>
      </c>
      <c r="K503">
        <v>35317</v>
      </c>
      <c r="L503">
        <v>36559</v>
      </c>
      <c r="M503">
        <v>38001</v>
      </c>
      <c r="N503">
        <v>40214</v>
      </c>
      <c r="O503">
        <v>43854</v>
      </c>
      <c r="P503">
        <v>50177</v>
      </c>
      <c r="Q503">
        <v>49348</v>
      </c>
      <c r="R503">
        <v>51945</v>
      </c>
    </row>
    <row r="504" spans="1:18">
      <c r="A504">
        <v>46500</v>
      </c>
      <c r="B504" t="s">
        <v>1195</v>
      </c>
      <c r="C504" t="s">
        <v>1448</v>
      </c>
      <c r="D504" t="s">
        <v>1449</v>
      </c>
      <c r="E504">
        <v>30916</v>
      </c>
      <c r="F504">
        <v>32970</v>
      </c>
      <c r="G504">
        <v>34021</v>
      </c>
      <c r="H504">
        <v>35667</v>
      </c>
      <c r="I504">
        <v>36332</v>
      </c>
      <c r="J504">
        <v>36835</v>
      </c>
      <c r="K504">
        <v>37984</v>
      </c>
      <c r="L504">
        <v>39407</v>
      </c>
      <c r="M504">
        <v>41241</v>
      </c>
      <c r="N504">
        <v>42065</v>
      </c>
      <c r="O504">
        <v>46342</v>
      </c>
      <c r="P504">
        <v>49464</v>
      </c>
      <c r="Q504">
        <v>49295</v>
      </c>
      <c r="R504">
        <v>51945</v>
      </c>
    </row>
    <row r="505" spans="1:18">
      <c r="A505">
        <v>46620</v>
      </c>
      <c r="B505" t="s">
        <v>1196</v>
      </c>
      <c r="C505" t="s">
        <v>1448</v>
      </c>
      <c r="D505" t="s">
        <v>1449</v>
      </c>
      <c r="E505">
        <v>30777</v>
      </c>
      <c r="F505">
        <v>34313</v>
      </c>
      <c r="G505">
        <v>37999</v>
      </c>
      <c r="H505">
        <v>38332</v>
      </c>
      <c r="I505">
        <v>40809</v>
      </c>
      <c r="J505">
        <v>40606</v>
      </c>
      <c r="K505">
        <v>38636</v>
      </c>
      <c r="L505">
        <v>41037</v>
      </c>
      <c r="M505">
        <v>42616</v>
      </c>
      <c r="N505">
        <v>44374</v>
      </c>
      <c r="O505">
        <v>47479</v>
      </c>
      <c r="P505">
        <v>52827</v>
      </c>
      <c r="Q505">
        <v>51812</v>
      </c>
      <c r="R505">
        <v>55211</v>
      </c>
    </row>
    <row r="506" spans="1:18">
      <c r="A506">
        <v>46780</v>
      </c>
      <c r="B506" t="s">
        <v>1197</v>
      </c>
      <c r="C506" t="s">
        <v>1448</v>
      </c>
      <c r="D506" t="s">
        <v>1449</v>
      </c>
      <c r="E506">
        <v>32159</v>
      </c>
      <c r="F506">
        <v>34287</v>
      </c>
      <c r="G506">
        <v>34512</v>
      </c>
      <c r="H506">
        <v>36420</v>
      </c>
      <c r="I506">
        <v>37045</v>
      </c>
      <c r="J506">
        <v>36796</v>
      </c>
      <c r="K506">
        <v>38125</v>
      </c>
      <c r="L506">
        <v>39452</v>
      </c>
      <c r="M506">
        <v>41302</v>
      </c>
      <c r="N506">
        <v>41446</v>
      </c>
      <c r="O506">
        <v>46028</v>
      </c>
      <c r="P506">
        <v>50212</v>
      </c>
      <c r="Q506">
        <v>50245</v>
      </c>
      <c r="R506">
        <v>53340</v>
      </c>
    </row>
    <row r="507" spans="1:18">
      <c r="A507">
        <v>46820</v>
      </c>
      <c r="B507" t="s">
        <v>1198</v>
      </c>
      <c r="C507" t="s">
        <v>1448</v>
      </c>
      <c r="D507" t="s">
        <v>1449</v>
      </c>
      <c r="E507">
        <v>32493</v>
      </c>
      <c r="F507">
        <v>33409</v>
      </c>
      <c r="G507">
        <v>31751</v>
      </c>
      <c r="H507">
        <v>32214</v>
      </c>
      <c r="I507">
        <v>32421</v>
      </c>
      <c r="J507">
        <v>33909</v>
      </c>
      <c r="K507">
        <v>35190</v>
      </c>
      <c r="L507">
        <v>34654</v>
      </c>
      <c r="M507">
        <v>37070</v>
      </c>
      <c r="N507">
        <v>39670</v>
      </c>
      <c r="O507">
        <v>40878</v>
      </c>
      <c r="P507">
        <v>45230</v>
      </c>
      <c r="Q507">
        <v>48720</v>
      </c>
      <c r="R507">
        <v>49412</v>
      </c>
    </row>
    <row r="508" spans="1:18">
      <c r="A508">
        <v>46860</v>
      </c>
      <c r="B508" t="s">
        <v>1199</v>
      </c>
      <c r="C508" t="s">
        <v>1448</v>
      </c>
      <c r="D508" t="s">
        <v>1449</v>
      </c>
      <c r="E508">
        <v>30768</v>
      </c>
      <c r="F508">
        <v>33037</v>
      </c>
      <c r="G508">
        <v>33644</v>
      </c>
      <c r="H508">
        <v>32686</v>
      </c>
      <c r="I508">
        <v>33818</v>
      </c>
      <c r="J508">
        <v>30466</v>
      </c>
      <c r="K508">
        <v>28492</v>
      </c>
      <c r="L508">
        <v>30097</v>
      </c>
      <c r="M508">
        <v>31123</v>
      </c>
      <c r="N508">
        <v>31997</v>
      </c>
      <c r="O508">
        <v>33195</v>
      </c>
      <c r="P508">
        <v>36179</v>
      </c>
      <c r="Q508">
        <v>38844</v>
      </c>
      <c r="R508">
        <v>41619</v>
      </c>
    </row>
    <row r="509" spans="1:18">
      <c r="A509">
        <v>46900</v>
      </c>
      <c r="B509" t="s">
        <v>1200</v>
      </c>
      <c r="C509" t="s">
        <v>1448</v>
      </c>
      <c r="D509" t="s">
        <v>1449</v>
      </c>
      <c r="E509">
        <v>33685</v>
      </c>
      <c r="F509">
        <v>34704</v>
      </c>
      <c r="G509">
        <v>36314</v>
      </c>
      <c r="H509">
        <v>37470</v>
      </c>
      <c r="I509">
        <v>38577</v>
      </c>
      <c r="J509">
        <v>38145</v>
      </c>
      <c r="K509">
        <v>38908</v>
      </c>
      <c r="L509">
        <v>41058</v>
      </c>
      <c r="M509">
        <v>44510</v>
      </c>
      <c r="N509">
        <v>47925</v>
      </c>
      <c r="O509">
        <v>54076</v>
      </c>
      <c r="P509">
        <v>65095</v>
      </c>
      <c r="Q509">
        <v>63837</v>
      </c>
      <c r="R509">
        <v>67115</v>
      </c>
    </row>
    <row r="510" spans="1:18">
      <c r="A510">
        <v>46980</v>
      </c>
      <c r="B510" t="s">
        <v>1201</v>
      </c>
      <c r="C510" t="s">
        <v>1448</v>
      </c>
      <c r="D510" t="s">
        <v>1449</v>
      </c>
      <c r="E510">
        <v>33414</v>
      </c>
      <c r="F510">
        <v>35033</v>
      </c>
      <c r="G510">
        <v>35554</v>
      </c>
      <c r="H510">
        <v>35364</v>
      </c>
      <c r="I510">
        <v>35582</v>
      </c>
      <c r="J510">
        <v>36696</v>
      </c>
      <c r="K510">
        <v>37716</v>
      </c>
      <c r="L510">
        <v>38146</v>
      </c>
      <c r="M510">
        <v>39731</v>
      </c>
      <c r="N510">
        <v>40847</v>
      </c>
      <c r="O510">
        <v>44994</v>
      </c>
      <c r="P510">
        <v>48887</v>
      </c>
      <c r="Q510">
        <v>49499</v>
      </c>
      <c r="R510">
        <v>52095</v>
      </c>
    </row>
    <row r="511" spans="1:18">
      <c r="A511">
        <v>47080</v>
      </c>
      <c r="B511" t="s">
        <v>1202</v>
      </c>
      <c r="C511" t="s">
        <v>1448</v>
      </c>
      <c r="D511" t="s">
        <v>1449</v>
      </c>
      <c r="E511">
        <v>28023</v>
      </c>
      <c r="F511">
        <v>29255</v>
      </c>
      <c r="G511">
        <v>29595</v>
      </c>
      <c r="H511">
        <v>30199</v>
      </c>
      <c r="I511">
        <v>30525</v>
      </c>
      <c r="J511">
        <v>32001</v>
      </c>
      <c r="K511">
        <v>32493</v>
      </c>
      <c r="L511">
        <v>32692</v>
      </c>
      <c r="M511">
        <v>33438</v>
      </c>
      <c r="N511">
        <v>34279</v>
      </c>
      <c r="O511">
        <v>38467</v>
      </c>
      <c r="P511">
        <v>41902</v>
      </c>
      <c r="Q511">
        <v>41403</v>
      </c>
      <c r="R511">
        <v>42517</v>
      </c>
    </row>
    <row r="512" spans="1:18">
      <c r="A512">
        <v>47180</v>
      </c>
      <c r="B512" t="s">
        <v>1203</v>
      </c>
      <c r="C512" t="s">
        <v>1448</v>
      </c>
      <c r="D512" t="s">
        <v>1449</v>
      </c>
      <c r="E512">
        <v>34570</v>
      </c>
      <c r="F512">
        <v>35963</v>
      </c>
      <c r="G512">
        <v>37654</v>
      </c>
      <c r="H512">
        <v>39120</v>
      </c>
      <c r="I512">
        <v>40088</v>
      </c>
      <c r="J512">
        <v>39718</v>
      </c>
      <c r="K512">
        <v>41067</v>
      </c>
      <c r="L512">
        <v>42389</v>
      </c>
      <c r="M512">
        <v>43836</v>
      </c>
      <c r="N512">
        <v>44624</v>
      </c>
      <c r="O512">
        <v>49321</v>
      </c>
      <c r="P512">
        <v>54422</v>
      </c>
      <c r="Q512">
        <v>54513</v>
      </c>
      <c r="R512">
        <v>56279</v>
      </c>
    </row>
    <row r="513" spans="1:18">
      <c r="A513">
        <v>47240</v>
      </c>
      <c r="B513" t="s">
        <v>1204</v>
      </c>
      <c r="C513" t="s">
        <v>1448</v>
      </c>
      <c r="D513" t="s">
        <v>1449</v>
      </c>
      <c r="E513">
        <v>59862</v>
      </c>
      <c r="F513">
        <v>62854</v>
      </c>
      <c r="G513">
        <v>63601</v>
      </c>
      <c r="H513">
        <v>61437</v>
      </c>
      <c r="I513">
        <v>62339</v>
      </c>
      <c r="J513">
        <v>65392</v>
      </c>
      <c r="K513">
        <v>68067</v>
      </c>
      <c r="L513">
        <v>70042</v>
      </c>
      <c r="M513">
        <v>74619</v>
      </c>
      <c r="N513">
        <v>78877</v>
      </c>
      <c r="O513">
        <v>84778</v>
      </c>
      <c r="P513">
        <v>86093</v>
      </c>
      <c r="Q513">
        <v>90468</v>
      </c>
      <c r="R513">
        <v>98605</v>
      </c>
    </row>
    <row r="514" spans="1:18">
      <c r="A514">
        <v>47340</v>
      </c>
      <c r="B514" t="s">
        <v>1205</v>
      </c>
      <c r="C514" t="s">
        <v>1448</v>
      </c>
      <c r="D514" t="s">
        <v>1449</v>
      </c>
      <c r="E514">
        <v>31591</v>
      </c>
      <c r="F514">
        <v>33468</v>
      </c>
      <c r="G514">
        <v>36105</v>
      </c>
      <c r="H514">
        <v>36369</v>
      </c>
      <c r="I514">
        <v>37274</v>
      </c>
      <c r="J514">
        <v>38105</v>
      </c>
      <c r="K514">
        <v>38624</v>
      </c>
      <c r="L514">
        <v>39591</v>
      </c>
      <c r="M514">
        <v>41354</v>
      </c>
      <c r="N514">
        <v>42601</v>
      </c>
      <c r="O514">
        <v>46325</v>
      </c>
      <c r="P514">
        <v>51915</v>
      </c>
      <c r="Q514">
        <v>53621</v>
      </c>
      <c r="R514">
        <v>56584</v>
      </c>
    </row>
    <row r="515" spans="1:18">
      <c r="A515">
        <v>47420</v>
      </c>
      <c r="B515" t="s">
        <v>1206</v>
      </c>
      <c r="C515" t="s">
        <v>1448</v>
      </c>
      <c r="D515" t="s">
        <v>1449</v>
      </c>
      <c r="E515">
        <v>41528</v>
      </c>
      <c r="F515">
        <v>45026</v>
      </c>
      <c r="G515">
        <v>52922</v>
      </c>
      <c r="H515">
        <v>47943</v>
      </c>
      <c r="I515">
        <v>44805</v>
      </c>
      <c r="J515">
        <v>45031</v>
      </c>
      <c r="K515">
        <v>47132</v>
      </c>
      <c r="L515">
        <v>46835</v>
      </c>
      <c r="M515">
        <v>49019</v>
      </c>
      <c r="N515">
        <v>49524</v>
      </c>
      <c r="O515">
        <v>53038</v>
      </c>
      <c r="P515">
        <v>64101</v>
      </c>
      <c r="Q515">
        <v>69011</v>
      </c>
      <c r="R515">
        <v>71803</v>
      </c>
    </row>
    <row r="516" spans="1:18">
      <c r="A516">
        <v>47540</v>
      </c>
      <c r="B516" t="s">
        <v>1207</v>
      </c>
      <c r="C516" t="s">
        <v>1448</v>
      </c>
      <c r="D516" t="s">
        <v>1449</v>
      </c>
      <c r="E516">
        <v>35514</v>
      </c>
      <c r="F516">
        <v>38485</v>
      </c>
      <c r="G516">
        <v>39998</v>
      </c>
      <c r="H516">
        <v>40131</v>
      </c>
      <c r="I516">
        <v>42152</v>
      </c>
      <c r="J516">
        <v>42624</v>
      </c>
      <c r="K516">
        <v>44004</v>
      </c>
      <c r="L516">
        <v>46348</v>
      </c>
      <c r="M516">
        <v>47600</v>
      </c>
      <c r="N516">
        <v>47033</v>
      </c>
      <c r="O516">
        <v>51048</v>
      </c>
      <c r="P516">
        <v>55680</v>
      </c>
      <c r="Q516">
        <v>56903</v>
      </c>
      <c r="R516">
        <v>60383</v>
      </c>
    </row>
    <row r="517" spans="1:18">
      <c r="A517">
        <v>47620</v>
      </c>
      <c r="B517" t="s">
        <v>1208</v>
      </c>
      <c r="C517" t="s">
        <v>1448</v>
      </c>
      <c r="D517" t="s">
        <v>1449</v>
      </c>
      <c r="E517">
        <v>33850</v>
      </c>
      <c r="F517">
        <v>35542</v>
      </c>
      <c r="G517">
        <v>36543</v>
      </c>
      <c r="H517">
        <v>38290</v>
      </c>
      <c r="I517">
        <v>40645</v>
      </c>
      <c r="J517">
        <v>38243</v>
      </c>
      <c r="K517">
        <v>38332</v>
      </c>
      <c r="L517">
        <v>39492</v>
      </c>
      <c r="M517">
        <v>41411</v>
      </c>
      <c r="N517">
        <v>42973</v>
      </c>
      <c r="O517">
        <v>46515</v>
      </c>
      <c r="P517">
        <v>48900</v>
      </c>
      <c r="Q517">
        <v>49366</v>
      </c>
      <c r="R517">
        <v>52057</v>
      </c>
    </row>
    <row r="518" spans="1:18">
      <c r="A518">
        <v>47660</v>
      </c>
      <c r="B518" t="s">
        <v>1209</v>
      </c>
      <c r="C518" t="s">
        <v>1448</v>
      </c>
      <c r="D518" t="s">
        <v>1449</v>
      </c>
      <c r="E518">
        <v>29176</v>
      </c>
      <c r="F518">
        <v>30198</v>
      </c>
      <c r="G518">
        <v>30606</v>
      </c>
      <c r="H518">
        <v>31054</v>
      </c>
      <c r="I518">
        <v>32199</v>
      </c>
      <c r="J518">
        <v>33618</v>
      </c>
      <c r="K518">
        <v>34283</v>
      </c>
      <c r="L518">
        <v>35467</v>
      </c>
      <c r="M518">
        <v>36630</v>
      </c>
      <c r="N518">
        <v>37340</v>
      </c>
      <c r="O518">
        <v>39835</v>
      </c>
      <c r="P518">
        <v>46838</v>
      </c>
      <c r="Q518">
        <v>44505</v>
      </c>
      <c r="R518">
        <v>46540</v>
      </c>
    </row>
    <row r="519" spans="1:18">
      <c r="A519">
        <v>47700</v>
      </c>
      <c r="B519" t="s">
        <v>1210</v>
      </c>
      <c r="C519" t="s">
        <v>1448</v>
      </c>
      <c r="D519" t="s">
        <v>1449</v>
      </c>
      <c r="E519">
        <v>34617</v>
      </c>
      <c r="F519">
        <v>36839</v>
      </c>
      <c r="G519">
        <v>38580</v>
      </c>
      <c r="H519">
        <v>40389</v>
      </c>
      <c r="I519">
        <v>41816</v>
      </c>
      <c r="J519">
        <v>45942</v>
      </c>
      <c r="K519">
        <v>42832</v>
      </c>
      <c r="L519">
        <v>44907</v>
      </c>
      <c r="M519">
        <v>46606</v>
      </c>
      <c r="N519">
        <v>48138</v>
      </c>
      <c r="O519">
        <v>52090</v>
      </c>
      <c r="P519">
        <v>56829</v>
      </c>
      <c r="Q519">
        <v>58295</v>
      </c>
      <c r="R519">
        <v>59499</v>
      </c>
    </row>
    <row r="520" spans="1:18">
      <c r="A520">
        <v>47780</v>
      </c>
      <c r="B520" t="s">
        <v>1211</v>
      </c>
      <c r="C520" t="s">
        <v>1448</v>
      </c>
      <c r="D520" t="s">
        <v>1449</v>
      </c>
      <c r="E520">
        <v>31753</v>
      </c>
      <c r="F520">
        <v>34092</v>
      </c>
      <c r="G520">
        <v>34950</v>
      </c>
      <c r="H520">
        <v>36545</v>
      </c>
      <c r="I520">
        <v>36994</v>
      </c>
      <c r="J520">
        <v>38331</v>
      </c>
      <c r="K520">
        <v>38134</v>
      </c>
      <c r="L520">
        <v>40153</v>
      </c>
      <c r="M520">
        <v>41928</v>
      </c>
      <c r="N520">
        <v>43414</v>
      </c>
      <c r="O520">
        <v>48547</v>
      </c>
      <c r="P520">
        <v>54425</v>
      </c>
      <c r="Q520">
        <v>58466</v>
      </c>
      <c r="R520">
        <v>59193</v>
      </c>
    </row>
    <row r="521" spans="1:18">
      <c r="A521">
        <v>47820</v>
      </c>
      <c r="B521" t="s">
        <v>1212</v>
      </c>
      <c r="C521" t="s">
        <v>1448</v>
      </c>
      <c r="D521" t="s">
        <v>1449</v>
      </c>
      <c r="E521">
        <v>33249</v>
      </c>
      <c r="F521">
        <v>34181</v>
      </c>
      <c r="G521">
        <v>37125</v>
      </c>
      <c r="H521">
        <v>37458</v>
      </c>
      <c r="I521">
        <v>38428</v>
      </c>
      <c r="J521">
        <v>39097</v>
      </c>
      <c r="K521">
        <v>40317</v>
      </c>
      <c r="L521">
        <v>42031</v>
      </c>
      <c r="M521">
        <v>43076</v>
      </c>
      <c r="N521">
        <v>46109</v>
      </c>
      <c r="O521">
        <v>49239</v>
      </c>
      <c r="P521">
        <v>55108</v>
      </c>
      <c r="Q521">
        <v>54654</v>
      </c>
      <c r="R521">
        <v>57387</v>
      </c>
    </row>
    <row r="522" spans="1:18">
      <c r="A522">
        <v>47920</v>
      </c>
      <c r="B522" t="s">
        <v>1213</v>
      </c>
      <c r="C522" t="s">
        <v>1448</v>
      </c>
      <c r="D522" t="s">
        <v>1449</v>
      </c>
      <c r="E522">
        <v>29493</v>
      </c>
      <c r="F522">
        <v>31932</v>
      </c>
      <c r="G522">
        <v>32186</v>
      </c>
      <c r="H522">
        <v>33799</v>
      </c>
      <c r="I522">
        <v>33728</v>
      </c>
      <c r="J522">
        <v>34679</v>
      </c>
      <c r="K522">
        <v>35886</v>
      </c>
      <c r="L522">
        <v>36835</v>
      </c>
      <c r="M522">
        <v>37872</v>
      </c>
      <c r="N522">
        <v>39186</v>
      </c>
      <c r="O522">
        <v>44574</v>
      </c>
      <c r="P522">
        <v>47962</v>
      </c>
      <c r="Q522">
        <v>47714</v>
      </c>
      <c r="R522">
        <v>49752</v>
      </c>
    </row>
    <row r="523" spans="1:18">
      <c r="A523">
        <v>47980</v>
      </c>
      <c r="B523" t="s">
        <v>1214</v>
      </c>
      <c r="C523" t="s">
        <v>1448</v>
      </c>
      <c r="D523" t="s">
        <v>1449</v>
      </c>
      <c r="E523">
        <v>36634</v>
      </c>
      <c r="F523">
        <v>40631</v>
      </c>
      <c r="G523">
        <v>41964</v>
      </c>
      <c r="H523">
        <v>41966</v>
      </c>
      <c r="I523">
        <v>41684</v>
      </c>
      <c r="J523">
        <v>43395</v>
      </c>
      <c r="K523">
        <v>43778</v>
      </c>
      <c r="L523">
        <v>45692</v>
      </c>
      <c r="M523">
        <v>47486</v>
      </c>
      <c r="N523">
        <v>49329</v>
      </c>
      <c r="O523">
        <v>55208</v>
      </c>
      <c r="P523">
        <v>65696</v>
      </c>
      <c r="Q523">
        <v>64603</v>
      </c>
      <c r="R523">
        <v>68131</v>
      </c>
    </row>
    <row r="524" spans="1:18">
      <c r="A524">
        <v>48020</v>
      </c>
      <c r="B524" t="s">
        <v>1215</v>
      </c>
      <c r="C524" t="s">
        <v>1448</v>
      </c>
      <c r="D524" t="s">
        <v>1449</v>
      </c>
      <c r="E524">
        <v>35766</v>
      </c>
      <c r="F524">
        <v>37386</v>
      </c>
      <c r="G524">
        <v>38147</v>
      </c>
      <c r="H524">
        <v>37998</v>
      </c>
      <c r="I524">
        <v>39501</v>
      </c>
      <c r="J524">
        <v>41557</v>
      </c>
      <c r="K524">
        <v>41906</v>
      </c>
      <c r="L524">
        <v>43771</v>
      </c>
      <c r="M524">
        <v>45504</v>
      </c>
      <c r="N524">
        <v>47315</v>
      </c>
      <c r="O524">
        <v>49205</v>
      </c>
      <c r="P524">
        <v>53915</v>
      </c>
      <c r="Q524">
        <v>55703</v>
      </c>
      <c r="R524">
        <v>58374</v>
      </c>
    </row>
    <row r="525" spans="1:18">
      <c r="A525">
        <v>48100</v>
      </c>
      <c r="B525" t="s">
        <v>1216</v>
      </c>
      <c r="C525" t="s">
        <v>1448</v>
      </c>
      <c r="D525" t="s">
        <v>1449</v>
      </c>
      <c r="E525">
        <v>23221</v>
      </c>
      <c r="F525">
        <v>24257</v>
      </c>
      <c r="G525">
        <v>25400</v>
      </c>
      <c r="H525">
        <v>24633</v>
      </c>
      <c r="I525">
        <v>25703</v>
      </c>
      <c r="J525">
        <v>27100</v>
      </c>
      <c r="K525">
        <v>26484</v>
      </c>
      <c r="L525">
        <v>28575</v>
      </c>
      <c r="M525">
        <v>28141</v>
      </c>
      <c r="N525">
        <v>30029</v>
      </c>
      <c r="O525">
        <v>32201</v>
      </c>
      <c r="P525">
        <v>35785</v>
      </c>
      <c r="Q525">
        <v>35063</v>
      </c>
      <c r="R525">
        <v>36871</v>
      </c>
    </row>
    <row r="526" spans="1:18">
      <c r="A526">
        <v>48180</v>
      </c>
      <c r="B526" t="s">
        <v>1217</v>
      </c>
      <c r="C526" t="s">
        <v>1448</v>
      </c>
      <c r="D526" t="s">
        <v>1449</v>
      </c>
      <c r="E526">
        <v>27768</v>
      </c>
      <c r="F526">
        <v>28462</v>
      </c>
      <c r="G526">
        <v>28129</v>
      </c>
      <c r="H526">
        <v>28514</v>
      </c>
      <c r="I526">
        <v>29516</v>
      </c>
      <c r="J526">
        <v>31077</v>
      </c>
      <c r="K526">
        <v>31945</v>
      </c>
      <c r="L526">
        <v>33056</v>
      </c>
      <c r="M526">
        <v>33562</v>
      </c>
      <c r="N526">
        <v>34529</v>
      </c>
      <c r="O526">
        <v>37696</v>
      </c>
      <c r="P526">
        <v>40754</v>
      </c>
      <c r="Q526">
        <v>40180</v>
      </c>
      <c r="R526">
        <v>40856</v>
      </c>
    </row>
    <row r="527" spans="1:18">
      <c r="A527">
        <v>48220</v>
      </c>
      <c r="B527" t="s">
        <v>1218</v>
      </c>
      <c r="C527" t="s">
        <v>1448</v>
      </c>
      <c r="D527" t="s">
        <v>1449</v>
      </c>
      <c r="E527">
        <v>34611</v>
      </c>
      <c r="F527">
        <v>39488</v>
      </c>
      <c r="G527">
        <v>40565</v>
      </c>
      <c r="H527">
        <v>39331</v>
      </c>
      <c r="I527">
        <v>41300</v>
      </c>
      <c r="J527">
        <v>37356</v>
      </c>
      <c r="K527">
        <v>35277</v>
      </c>
      <c r="L527">
        <v>38280</v>
      </c>
      <c r="M527">
        <v>40136</v>
      </c>
      <c r="N527">
        <v>41135</v>
      </c>
      <c r="O527">
        <v>42433</v>
      </c>
      <c r="P527">
        <v>46265</v>
      </c>
      <c r="Q527">
        <v>47562</v>
      </c>
      <c r="R527">
        <v>49244</v>
      </c>
    </row>
    <row r="528" spans="1:18">
      <c r="A528">
        <v>48460</v>
      </c>
      <c r="B528" t="s">
        <v>1219</v>
      </c>
      <c r="C528" t="s">
        <v>1448</v>
      </c>
      <c r="D528" t="s">
        <v>1449</v>
      </c>
      <c r="E528">
        <v>27061</v>
      </c>
      <c r="F528">
        <v>27868</v>
      </c>
      <c r="G528">
        <v>28511</v>
      </c>
      <c r="H528">
        <v>28949</v>
      </c>
      <c r="I528">
        <v>30430</v>
      </c>
      <c r="J528">
        <v>31488</v>
      </c>
      <c r="K528">
        <v>31399</v>
      </c>
      <c r="L528">
        <v>32512</v>
      </c>
      <c r="M528">
        <v>34016</v>
      </c>
      <c r="N528">
        <v>35468</v>
      </c>
      <c r="O528">
        <v>38361</v>
      </c>
      <c r="P528">
        <v>40479</v>
      </c>
      <c r="Q528">
        <v>41548</v>
      </c>
      <c r="R528">
        <v>44649</v>
      </c>
    </row>
    <row r="529" spans="1:18">
      <c r="A529">
        <v>48500</v>
      </c>
      <c r="B529" t="s">
        <v>1220</v>
      </c>
      <c r="C529" t="s">
        <v>1448</v>
      </c>
      <c r="D529" t="s">
        <v>1449</v>
      </c>
      <c r="E529">
        <v>29868</v>
      </c>
      <c r="F529">
        <v>31966</v>
      </c>
      <c r="G529">
        <v>33625</v>
      </c>
      <c r="H529">
        <v>33146</v>
      </c>
      <c r="I529">
        <v>33327</v>
      </c>
      <c r="J529">
        <v>32480</v>
      </c>
      <c r="K529">
        <v>33691</v>
      </c>
      <c r="L529">
        <v>35332</v>
      </c>
      <c r="M529">
        <v>36303</v>
      </c>
      <c r="N529">
        <v>39017</v>
      </c>
      <c r="O529">
        <v>43003</v>
      </c>
      <c r="P529">
        <v>48828</v>
      </c>
      <c r="Q529">
        <v>48588</v>
      </c>
      <c r="R529">
        <v>51599</v>
      </c>
    </row>
    <row r="530" spans="1:18">
      <c r="A530">
        <v>48580</v>
      </c>
      <c r="B530" t="s">
        <v>1221</v>
      </c>
      <c r="C530" t="s">
        <v>1448</v>
      </c>
      <c r="D530" t="s">
        <v>1449</v>
      </c>
      <c r="E530">
        <v>35570</v>
      </c>
      <c r="F530">
        <v>37522</v>
      </c>
      <c r="G530">
        <v>38903</v>
      </c>
      <c r="H530">
        <v>39801</v>
      </c>
      <c r="I530">
        <v>40691</v>
      </c>
      <c r="J530">
        <v>43260</v>
      </c>
      <c r="K530">
        <v>44610</v>
      </c>
      <c r="L530">
        <v>46472</v>
      </c>
      <c r="M530">
        <v>48265</v>
      </c>
      <c r="N530">
        <v>51051</v>
      </c>
      <c r="O530">
        <v>54750</v>
      </c>
      <c r="P530">
        <v>61140</v>
      </c>
      <c r="Q530">
        <v>64144</v>
      </c>
      <c r="R530">
        <v>67665</v>
      </c>
    </row>
    <row r="531" spans="1:18">
      <c r="A531">
        <v>48780</v>
      </c>
      <c r="B531" t="s">
        <v>1222</v>
      </c>
      <c r="C531" t="s">
        <v>1448</v>
      </c>
      <c r="D531" t="s">
        <v>1449</v>
      </c>
      <c r="E531">
        <v>59540</v>
      </c>
      <c r="F531">
        <v>77527</v>
      </c>
      <c r="G531">
        <v>101715</v>
      </c>
      <c r="H531">
        <v>94947</v>
      </c>
      <c r="I531">
        <v>102775</v>
      </c>
      <c r="J531">
        <v>77564</v>
      </c>
      <c r="K531">
        <v>60471</v>
      </c>
      <c r="L531">
        <v>62594</v>
      </c>
      <c r="M531">
        <v>66219</v>
      </c>
      <c r="N531">
        <v>65525</v>
      </c>
      <c r="O531">
        <v>60640</v>
      </c>
      <c r="P531">
        <v>63209</v>
      </c>
      <c r="Q531">
        <v>72824</v>
      </c>
      <c r="R531">
        <v>75412</v>
      </c>
    </row>
    <row r="532" spans="1:18">
      <c r="A532">
        <v>48820</v>
      </c>
      <c r="B532" t="s">
        <v>1223</v>
      </c>
      <c r="C532" t="s">
        <v>1448</v>
      </c>
      <c r="D532" t="s">
        <v>1449</v>
      </c>
      <c r="E532">
        <v>39743</v>
      </c>
      <c r="F532">
        <v>41994</v>
      </c>
      <c r="G532">
        <v>44042</v>
      </c>
      <c r="H532">
        <v>43630</v>
      </c>
      <c r="I532">
        <v>44425</v>
      </c>
      <c r="J532">
        <v>48433</v>
      </c>
      <c r="K532">
        <v>48369</v>
      </c>
      <c r="L532">
        <v>51200</v>
      </c>
      <c r="M532">
        <v>51170</v>
      </c>
      <c r="N532">
        <v>50501</v>
      </c>
      <c r="O532">
        <v>53866</v>
      </c>
      <c r="P532">
        <v>58331</v>
      </c>
      <c r="Q532">
        <v>60970</v>
      </c>
      <c r="R532">
        <v>61664</v>
      </c>
    </row>
    <row r="533" spans="1:18">
      <c r="A533">
        <v>48940</v>
      </c>
      <c r="B533" t="s">
        <v>1224</v>
      </c>
      <c r="C533" t="s">
        <v>1448</v>
      </c>
      <c r="D533" t="s">
        <v>1449</v>
      </c>
      <c r="E533">
        <v>36460</v>
      </c>
      <c r="F533">
        <v>38783</v>
      </c>
      <c r="G533">
        <v>38288</v>
      </c>
      <c r="H533">
        <v>38107</v>
      </c>
      <c r="I533">
        <v>38020</v>
      </c>
      <c r="J533">
        <v>40441</v>
      </c>
      <c r="K533">
        <v>41437</v>
      </c>
      <c r="L533">
        <v>42796</v>
      </c>
      <c r="M533">
        <v>44276</v>
      </c>
      <c r="N533">
        <v>45270</v>
      </c>
      <c r="O533">
        <v>47484</v>
      </c>
      <c r="P533">
        <v>50610</v>
      </c>
      <c r="Q533">
        <v>51710</v>
      </c>
      <c r="R533">
        <v>53901</v>
      </c>
    </row>
    <row r="534" spans="1:18">
      <c r="A534">
        <v>48980</v>
      </c>
      <c r="B534" t="s">
        <v>1225</v>
      </c>
      <c r="C534" t="s">
        <v>1448</v>
      </c>
      <c r="D534" t="s">
        <v>1449</v>
      </c>
      <c r="E534">
        <v>33365</v>
      </c>
      <c r="F534">
        <v>34275</v>
      </c>
      <c r="G534">
        <v>35297</v>
      </c>
      <c r="H534">
        <v>35114</v>
      </c>
      <c r="I534">
        <v>35853</v>
      </c>
      <c r="J534">
        <v>37130</v>
      </c>
      <c r="K534">
        <v>37845</v>
      </c>
      <c r="L534">
        <v>38772</v>
      </c>
      <c r="M534">
        <v>40127</v>
      </c>
      <c r="N534">
        <v>41538</v>
      </c>
      <c r="O534">
        <v>44626</v>
      </c>
      <c r="P534">
        <v>48905</v>
      </c>
      <c r="Q534">
        <v>49979</v>
      </c>
      <c r="R534">
        <v>52627</v>
      </c>
    </row>
    <row r="535" spans="1:18">
      <c r="A535">
        <v>49060</v>
      </c>
      <c r="B535" t="s">
        <v>1226</v>
      </c>
      <c r="C535" t="s">
        <v>1448</v>
      </c>
      <c r="D535" t="s">
        <v>1449</v>
      </c>
      <c r="E535">
        <v>31609</v>
      </c>
      <c r="F535">
        <v>33864</v>
      </c>
      <c r="G535">
        <v>34030</v>
      </c>
      <c r="H535">
        <v>34606</v>
      </c>
      <c r="I535">
        <v>35609</v>
      </c>
      <c r="J535">
        <v>36737</v>
      </c>
      <c r="K535">
        <v>35423</v>
      </c>
      <c r="L535">
        <v>36013</v>
      </c>
      <c r="M535">
        <v>37624</v>
      </c>
      <c r="N535">
        <v>39132</v>
      </c>
      <c r="O535">
        <v>41886</v>
      </c>
      <c r="P535">
        <v>44481</v>
      </c>
      <c r="Q535">
        <v>44614</v>
      </c>
      <c r="R535">
        <v>47207</v>
      </c>
    </row>
    <row r="536" spans="1:18">
      <c r="A536">
        <v>49080</v>
      </c>
      <c r="B536" t="s">
        <v>1227</v>
      </c>
      <c r="C536" t="s">
        <v>1448</v>
      </c>
      <c r="D536" t="s">
        <v>1449</v>
      </c>
      <c r="E536">
        <v>40946</v>
      </c>
      <c r="F536">
        <v>43426</v>
      </c>
      <c r="G536">
        <v>42545</v>
      </c>
      <c r="H536">
        <v>42250</v>
      </c>
      <c r="I536">
        <v>42600</v>
      </c>
      <c r="J536">
        <v>43603</v>
      </c>
      <c r="K536">
        <v>42862</v>
      </c>
      <c r="L536">
        <v>44550</v>
      </c>
      <c r="M536">
        <v>45201</v>
      </c>
      <c r="N536">
        <v>47662</v>
      </c>
      <c r="O536">
        <v>50909</v>
      </c>
      <c r="P536">
        <v>54032</v>
      </c>
      <c r="Q536">
        <v>55845</v>
      </c>
      <c r="R536">
        <v>58033</v>
      </c>
    </row>
    <row r="537" spans="1:18">
      <c r="A537">
        <v>49100</v>
      </c>
      <c r="B537" t="s">
        <v>1228</v>
      </c>
      <c r="C537" t="s">
        <v>1448</v>
      </c>
      <c r="D537" t="s">
        <v>1449</v>
      </c>
      <c r="E537">
        <v>35018</v>
      </c>
      <c r="F537">
        <v>38631</v>
      </c>
      <c r="G537">
        <v>42619</v>
      </c>
      <c r="H537">
        <v>40532</v>
      </c>
      <c r="I537">
        <v>43408</v>
      </c>
      <c r="J537">
        <v>44835</v>
      </c>
      <c r="K537">
        <v>45921</v>
      </c>
      <c r="L537">
        <v>46867</v>
      </c>
      <c r="M537">
        <v>47420</v>
      </c>
      <c r="N537">
        <v>48482</v>
      </c>
      <c r="O537">
        <v>54738</v>
      </c>
      <c r="P537">
        <v>57991</v>
      </c>
      <c r="Q537">
        <v>57442</v>
      </c>
      <c r="R537">
        <v>58318</v>
      </c>
    </row>
    <row r="538" spans="1:18">
      <c r="A538">
        <v>49220</v>
      </c>
      <c r="B538" t="s">
        <v>1229</v>
      </c>
      <c r="C538" t="s">
        <v>1448</v>
      </c>
      <c r="D538" t="s">
        <v>1449</v>
      </c>
      <c r="E538">
        <v>36524</v>
      </c>
      <c r="F538">
        <v>37892</v>
      </c>
      <c r="G538">
        <v>39059</v>
      </c>
      <c r="H538">
        <v>38992</v>
      </c>
      <c r="I538">
        <v>40362</v>
      </c>
      <c r="J538">
        <v>42033</v>
      </c>
      <c r="K538">
        <v>42516</v>
      </c>
      <c r="L538">
        <v>43805</v>
      </c>
      <c r="M538">
        <v>45262</v>
      </c>
      <c r="N538">
        <v>47139</v>
      </c>
      <c r="O538">
        <v>49731</v>
      </c>
      <c r="P538">
        <v>52699</v>
      </c>
      <c r="Q538">
        <v>54430</v>
      </c>
      <c r="R538">
        <v>56746</v>
      </c>
    </row>
    <row r="539" spans="1:18">
      <c r="A539">
        <v>49260</v>
      </c>
      <c r="B539" t="s">
        <v>1230</v>
      </c>
      <c r="C539" t="s">
        <v>1448</v>
      </c>
      <c r="D539" t="s">
        <v>1449</v>
      </c>
      <c r="E539">
        <v>36213</v>
      </c>
      <c r="F539">
        <v>43709</v>
      </c>
      <c r="G539">
        <v>50386</v>
      </c>
      <c r="H539">
        <v>51943</v>
      </c>
      <c r="I539">
        <v>53127</v>
      </c>
      <c r="J539">
        <v>43400</v>
      </c>
      <c r="K539">
        <v>36990</v>
      </c>
      <c r="L539">
        <v>37739</v>
      </c>
      <c r="M539">
        <v>39452</v>
      </c>
      <c r="N539">
        <v>39854</v>
      </c>
      <c r="O539">
        <v>41207</v>
      </c>
      <c r="P539">
        <v>44169</v>
      </c>
      <c r="Q539">
        <v>44609</v>
      </c>
      <c r="R539">
        <v>47530</v>
      </c>
    </row>
    <row r="540" spans="1:18">
      <c r="A540">
        <v>49300</v>
      </c>
      <c r="B540" t="s">
        <v>1231</v>
      </c>
      <c r="C540" t="s">
        <v>1448</v>
      </c>
      <c r="D540" t="s">
        <v>1449</v>
      </c>
      <c r="E540">
        <v>32455</v>
      </c>
      <c r="F540">
        <v>34946</v>
      </c>
      <c r="G540">
        <v>35593</v>
      </c>
      <c r="H540">
        <v>36916</v>
      </c>
      <c r="I540">
        <v>38640</v>
      </c>
      <c r="J540">
        <v>39539</v>
      </c>
      <c r="K540">
        <v>39876</v>
      </c>
      <c r="L540">
        <v>42052</v>
      </c>
      <c r="M540">
        <v>44085</v>
      </c>
      <c r="N540">
        <v>45601</v>
      </c>
      <c r="O540">
        <v>49035</v>
      </c>
      <c r="P540">
        <v>53416</v>
      </c>
      <c r="Q540">
        <v>54071</v>
      </c>
      <c r="R540">
        <v>58161</v>
      </c>
    </row>
    <row r="541" spans="1:18">
      <c r="A541">
        <v>49380</v>
      </c>
      <c r="B541" t="s">
        <v>1232</v>
      </c>
      <c r="C541" t="s">
        <v>1448</v>
      </c>
      <c r="D541" t="s">
        <v>1449</v>
      </c>
      <c r="E541">
        <v>36170</v>
      </c>
      <c r="F541">
        <v>39666</v>
      </c>
      <c r="G541">
        <v>40155</v>
      </c>
      <c r="H541">
        <v>39227</v>
      </c>
      <c r="I541">
        <v>41262</v>
      </c>
      <c r="J541">
        <v>42759</v>
      </c>
      <c r="K541">
        <v>38946</v>
      </c>
      <c r="L541">
        <v>41383</v>
      </c>
      <c r="M541">
        <v>42242</v>
      </c>
      <c r="N541">
        <v>43130</v>
      </c>
      <c r="O541">
        <v>51339</v>
      </c>
      <c r="P541">
        <v>54936</v>
      </c>
      <c r="Q541">
        <v>59894</v>
      </c>
      <c r="R541">
        <v>57743</v>
      </c>
    </row>
    <row r="542" spans="1:18">
      <c r="A542">
        <v>49460</v>
      </c>
      <c r="B542" t="s">
        <v>1233</v>
      </c>
      <c r="C542" t="s">
        <v>1448</v>
      </c>
      <c r="D542" t="s">
        <v>1449</v>
      </c>
      <c r="E542">
        <v>40103</v>
      </c>
      <c r="F542">
        <v>41872</v>
      </c>
      <c r="G542">
        <v>40566</v>
      </c>
      <c r="H542">
        <v>37925</v>
      </c>
      <c r="I542">
        <v>40047</v>
      </c>
      <c r="J542">
        <v>42157</v>
      </c>
      <c r="K542">
        <v>43918</v>
      </c>
      <c r="L542">
        <v>45774</v>
      </c>
      <c r="M542">
        <v>48108</v>
      </c>
      <c r="N542">
        <v>51055</v>
      </c>
      <c r="O542">
        <v>54138</v>
      </c>
      <c r="P542">
        <v>63137</v>
      </c>
      <c r="Q542">
        <v>67445</v>
      </c>
      <c r="R542">
        <v>70996</v>
      </c>
    </row>
    <row r="543" spans="1:18">
      <c r="A543">
        <v>49780</v>
      </c>
      <c r="B543" t="s">
        <v>1234</v>
      </c>
      <c r="C543" t="s">
        <v>1448</v>
      </c>
      <c r="D543" t="s">
        <v>1449</v>
      </c>
      <c r="E543">
        <v>30934</v>
      </c>
      <c r="F543">
        <v>33052</v>
      </c>
      <c r="G543">
        <v>33462</v>
      </c>
      <c r="H543">
        <v>34918</v>
      </c>
      <c r="I543">
        <v>36259</v>
      </c>
      <c r="J543">
        <v>37397</v>
      </c>
      <c r="K543">
        <v>37787</v>
      </c>
      <c r="L543">
        <v>39137</v>
      </c>
      <c r="M543">
        <v>40348</v>
      </c>
      <c r="N543">
        <v>41884</v>
      </c>
      <c r="O543">
        <v>46260</v>
      </c>
      <c r="P543">
        <v>49464</v>
      </c>
      <c r="Q543">
        <v>50018</v>
      </c>
      <c r="R543">
        <v>52225</v>
      </c>
    </row>
    <row r="544" spans="1:18">
      <c r="A544">
        <v>49820</v>
      </c>
      <c r="B544" t="s">
        <v>1235</v>
      </c>
      <c r="C544" t="s">
        <v>1448</v>
      </c>
      <c r="D544" t="s">
        <v>1449</v>
      </c>
      <c r="E544">
        <v>24492</v>
      </c>
      <c r="F544">
        <v>27827</v>
      </c>
      <c r="G544">
        <v>31077</v>
      </c>
      <c r="H544">
        <v>32417</v>
      </c>
      <c r="I544">
        <v>33646</v>
      </c>
      <c r="J544">
        <v>29177</v>
      </c>
      <c r="K544">
        <v>24981</v>
      </c>
      <c r="L544">
        <v>27377</v>
      </c>
      <c r="M544">
        <v>29102</v>
      </c>
      <c r="N544">
        <v>29731</v>
      </c>
      <c r="O544">
        <v>29730</v>
      </c>
      <c r="P544">
        <v>33375</v>
      </c>
      <c r="Q544">
        <v>32715</v>
      </c>
      <c r="R544">
        <v>34154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40AA-E38B-4D31-94FA-881460BE4665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D88F-5A04-A547-BA2A-97E56767F248}">
  <dimension ref="A1:K352"/>
  <sheetViews>
    <sheetView workbookViewId="0"/>
  </sheetViews>
  <sheetFormatPr baseColWidth="10" defaultColWidth="8.83203125" defaultRowHeight="15"/>
  <cols>
    <col min="1" max="2" width="18.6640625" bestFit="1" customWidth="1"/>
    <col min="3" max="3" width="7" bestFit="1" customWidth="1"/>
    <col min="4" max="4" width="8.1640625" bestFit="1" customWidth="1"/>
    <col min="5" max="5" width="7" customWidth="1"/>
    <col min="6" max="6" width="13.33203125" customWidth="1"/>
    <col min="7" max="7" width="14.33203125" bestFit="1" customWidth="1"/>
    <col min="8" max="8" width="11.83203125" customWidth="1"/>
    <col min="10" max="10" width="11.33203125" customWidth="1"/>
    <col min="11" max="11" width="11.1640625" customWidth="1"/>
  </cols>
  <sheetData>
    <row r="1" spans="1:11">
      <c r="A1" s="1" t="s">
        <v>4</v>
      </c>
      <c r="B1" s="1" t="s">
        <v>4</v>
      </c>
      <c r="C1" s="1">
        <v>224147</v>
      </c>
      <c r="D1" s="1">
        <v>18580</v>
      </c>
      <c r="E1">
        <v>2016</v>
      </c>
      <c r="F1" s="7">
        <v>9856</v>
      </c>
      <c r="G1" s="7">
        <v>6833</v>
      </c>
      <c r="H1" s="7">
        <v>14</v>
      </c>
      <c r="I1">
        <v>0.86099999999999999</v>
      </c>
      <c r="J1">
        <v>0.54300000000000004</v>
      </c>
      <c r="K1">
        <v>423932</v>
      </c>
    </row>
    <row r="2" spans="1:11">
      <c r="A2" t="s">
        <v>5</v>
      </c>
      <c r="B2" t="s">
        <v>5</v>
      </c>
      <c r="C2">
        <v>222178</v>
      </c>
      <c r="D2">
        <v>10180</v>
      </c>
      <c r="E2">
        <v>2016</v>
      </c>
      <c r="F2" s="7">
        <v>2972</v>
      </c>
      <c r="G2" s="7">
        <v>3859</v>
      </c>
      <c r="H2" s="7">
        <v>8</v>
      </c>
      <c r="I2" t="s">
        <v>1328</v>
      </c>
      <c r="J2" t="s">
        <v>1328</v>
      </c>
      <c r="K2">
        <v>172344</v>
      </c>
    </row>
    <row r="3" spans="1:11">
      <c r="A3" t="s">
        <v>1265</v>
      </c>
      <c r="B3" t="s">
        <v>1265</v>
      </c>
      <c r="C3">
        <v>500002</v>
      </c>
      <c r="D3">
        <v>17820</v>
      </c>
      <c r="E3">
        <v>2016</v>
      </c>
      <c r="F3" s="7">
        <v>4884</v>
      </c>
      <c r="G3" s="7">
        <v>5422</v>
      </c>
      <c r="H3" s="7">
        <v>16</v>
      </c>
      <c r="I3">
        <v>0.36399999999999999</v>
      </c>
      <c r="J3">
        <v>0.40600000000000003</v>
      </c>
      <c r="K3">
        <v>714386</v>
      </c>
    </row>
    <row r="4" spans="1:11">
      <c r="A4" t="s">
        <v>6</v>
      </c>
      <c r="B4" t="s">
        <v>6</v>
      </c>
      <c r="C4">
        <v>200800</v>
      </c>
      <c r="D4">
        <v>10420</v>
      </c>
      <c r="E4">
        <v>2016</v>
      </c>
      <c r="F4" s="7">
        <v>4186</v>
      </c>
      <c r="G4" s="7">
        <v>2889</v>
      </c>
      <c r="H4" s="7">
        <v>12</v>
      </c>
      <c r="I4">
        <v>0.27600000000000002</v>
      </c>
      <c r="J4">
        <v>0.25800000000000001</v>
      </c>
      <c r="K4">
        <v>703787</v>
      </c>
    </row>
    <row r="5" spans="1:11">
      <c r="A5" t="s">
        <v>7</v>
      </c>
      <c r="B5" t="s">
        <v>7</v>
      </c>
      <c r="C5">
        <v>100751</v>
      </c>
      <c r="D5">
        <v>46220</v>
      </c>
      <c r="E5">
        <v>2016</v>
      </c>
      <c r="F5" s="7">
        <v>15003</v>
      </c>
      <c r="G5" s="7">
        <v>12289</v>
      </c>
      <c r="H5" s="7">
        <v>17</v>
      </c>
      <c r="I5">
        <v>0.53100000000000003</v>
      </c>
      <c r="J5">
        <v>0.76500000000000001</v>
      </c>
      <c r="K5">
        <v>260042</v>
      </c>
    </row>
    <row r="6" spans="1:11">
      <c r="A6" t="s">
        <v>8</v>
      </c>
      <c r="B6" t="s">
        <v>8</v>
      </c>
      <c r="C6">
        <v>100654</v>
      </c>
      <c r="D6">
        <v>26620</v>
      </c>
      <c r="E6">
        <v>2016</v>
      </c>
      <c r="F6" s="7">
        <v>1360</v>
      </c>
      <c r="G6" s="7">
        <v>1335</v>
      </c>
      <c r="H6" s="7">
        <v>7</v>
      </c>
      <c r="I6">
        <v>0.34200000000000003</v>
      </c>
      <c r="J6">
        <v>0.39400000000000002</v>
      </c>
      <c r="K6">
        <v>457597</v>
      </c>
    </row>
    <row r="7" spans="1:11">
      <c r="A7" t="s">
        <v>9</v>
      </c>
      <c r="B7" t="s">
        <v>9</v>
      </c>
      <c r="C7">
        <v>100724</v>
      </c>
      <c r="D7">
        <v>33860</v>
      </c>
      <c r="E7">
        <v>2016</v>
      </c>
      <c r="F7" s="7">
        <v>805</v>
      </c>
      <c r="G7" s="7">
        <v>3495</v>
      </c>
      <c r="H7" s="7">
        <v>4</v>
      </c>
      <c r="I7">
        <v>0.58299999999999996</v>
      </c>
      <c r="J7">
        <v>0.51300000000000001</v>
      </c>
      <c r="K7">
        <v>382383</v>
      </c>
    </row>
    <row r="8" spans="1:11">
      <c r="A8" t="s">
        <v>11</v>
      </c>
      <c r="B8" t="s">
        <v>11</v>
      </c>
      <c r="C8">
        <v>175342</v>
      </c>
      <c r="D8">
        <v>35020</v>
      </c>
      <c r="E8">
        <v>2016</v>
      </c>
      <c r="F8" s="7">
        <v>1077</v>
      </c>
      <c r="G8" s="7">
        <v>1053</v>
      </c>
      <c r="H8" s="7">
        <v>11</v>
      </c>
      <c r="I8">
        <v>0.35299999999999998</v>
      </c>
      <c r="J8">
        <v>0.28599999999999998</v>
      </c>
      <c r="K8">
        <v>50811</v>
      </c>
    </row>
    <row r="9" spans="1:11">
      <c r="A9" t="s">
        <v>1266</v>
      </c>
      <c r="B9" t="s">
        <v>1266</v>
      </c>
      <c r="C9">
        <v>131159</v>
      </c>
      <c r="D9">
        <v>47900</v>
      </c>
      <c r="E9">
        <v>2016</v>
      </c>
      <c r="F9" s="7">
        <v>6366</v>
      </c>
      <c r="G9" s="7">
        <v>7923</v>
      </c>
      <c r="H9" s="7">
        <v>16</v>
      </c>
      <c r="I9">
        <v>0.8</v>
      </c>
      <c r="J9">
        <v>0.78800000000000003</v>
      </c>
      <c r="K9">
        <v>6194690</v>
      </c>
    </row>
    <row r="10" spans="1:11">
      <c r="A10" t="s">
        <v>12</v>
      </c>
      <c r="B10" t="s">
        <v>1240</v>
      </c>
      <c r="C10">
        <v>197869</v>
      </c>
      <c r="D10">
        <v>14380</v>
      </c>
      <c r="E10">
        <v>2016</v>
      </c>
      <c r="F10" s="7">
        <v>5894</v>
      </c>
      <c r="G10" s="7">
        <v>5174</v>
      </c>
      <c r="H10" s="7">
        <v>13</v>
      </c>
      <c r="I10">
        <v>0.73299999999999998</v>
      </c>
      <c r="J10">
        <v>0.67700000000000005</v>
      </c>
      <c r="K10">
        <v>52785</v>
      </c>
    </row>
    <row r="11" spans="1:11">
      <c r="A11" t="s">
        <v>13</v>
      </c>
      <c r="B11" t="s">
        <v>13</v>
      </c>
      <c r="C11">
        <v>104179</v>
      </c>
      <c r="D11">
        <v>46060</v>
      </c>
      <c r="E11">
        <v>2016</v>
      </c>
      <c r="F11" s="7">
        <v>23391</v>
      </c>
      <c r="G11" s="7">
        <v>27266</v>
      </c>
      <c r="H11" s="7">
        <v>16</v>
      </c>
      <c r="I11">
        <v>0.57599999999999996</v>
      </c>
      <c r="J11">
        <v>0.70599999999999996</v>
      </c>
      <c r="K11">
        <v>1007353</v>
      </c>
    </row>
    <row r="12" spans="1:11">
      <c r="A12" t="s">
        <v>14</v>
      </c>
      <c r="B12" t="s">
        <v>14</v>
      </c>
      <c r="C12">
        <v>104151</v>
      </c>
      <c r="D12">
        <v>38060</v>
      </c>
      <c r="E12">
        <v>2016</v>
      </c>
      <c r="F12" s="7">
        <v>28182</v>
      </c>
      <c r="G12" s="7">
        <v>22373</v>
      </c>
      <c r="H12" s="7">
        <v>15</v>
      </c>
      <c r="I12">
        <v>0.59399999999999997</v>
      </c>
      <c r="J12">
        <v>0.58799999999999997</v>
      </c>
      <c r="K12">
        <v>4556103</v>
      </c>
    </row>
    <row r="13" spans="1:11">
      <c r="A13" t="s">
        <v>15</v>
      </c>
      <c r="B13" t="s">
        <v>15</v>
      </c>
      <c r="C13">
        <v>106412</v>
      </c>
      <c r="D13">
        <v>38220</v>
      </c>
      <c r="E13">
        <v>2016</v>
      </c>
      <c r="F13" s="7">
        <v>902</v>
      </c>
      <c r="G13" s="7">
        <v>774</v>
      </c>
      <c r="H13" s="7">
        <v>7</v>
      </c>
      <c r="I13">
        <v>0.20599999999999999</v>
      </c>
      <c r="J13">
        <v>0.35499999999999998</v>
      </c>
      <c r="K13">
        <v>93091</v>
      </c>
    </row>
    <row r="14" spans="1:11">
      <c r="A14" t="s">
        <v>16</v>
      </c>
      <c r="B14" t="s">
        <v>16</v>
      </c>
      <c r="C14">
        <v>106397</v>
      </c>
      <c r="D14">
        <v>22220</v>
      </c>
      <c r="E14">
        <v>2016</v>
      </c>
      <c r="F14" s="7">
        <v>14697</v>
      </c>
      <c r="G14" s="7">
        <v>15265</v>
      </c>
      <c r="H14" s="7">
        <v>15</v>
      </c>
      <c r="I14">
        <v>0.56699999999999995</v>
      </c>
      <c r="J14">
        <v>0.48399999999999999</v>
      </c>
      <c r="K14">
        <v>504921</v>
      </c>
    </row>
    <row r="15" spans="1:11">
      <c r="A15" t="s">
        <v>1267</v>
      </c>
      <c r="B15" t="s">
        <v>1267</v>
      </c>
      <c r="C15">
        <v>106458</v>
      </c>
      <c r="D15">
        <v>27860</v>
      </c>
      <c r="E15">
        <v>2016</v>
      </c>
      <c r="F15" s="7">
        <v>6600</v>
      </c>
      <c r="G15" s="7">
        <v>3742</v>
      </c>
      <c r="H15" s="7">
        <v>8</v>
      </c>
      <c r="I15">
        <v>0.93300000000000005</v>
      </c>
      <c r="J15">
        <v>0.67700000000000005</v>
      </c>
      <c r="K15">
        <v>129366</v>
      </c>
    </row>
    <row r="16" spans="1:11">
      <c r="A16" t="s">
        <v>17</v>
      </c>
      <c r="B16" t="s">
        <v>17</v>
      </c>
      <c r="C16">
        <v>500001</v>
      </c>
      <c r="D16">
        <v>35620</v>
      </c>
      <c r="E16">
        <v>2016</v>
      </c>
      <c r="F16" s="7">
        <v>2915</v>
      </c>
      <c r="G16" s="7">
        <v>1921</v>
      </c>
      <c r="H16" s="7">
        <v>12</v>
      </c>
      <c r="I16">
        <v>0.67700000000000005</v>
      </c>
      <c r="J16">
        <v>0.46700000000000003</v>
      </c>
      <c r="K16">
        <v>19945132</v>
      </c>
    </row>
    <row r="17" spans="1:11">
      <c r="A17" t="s">
        <v>18</v>
      </c>
      <c r="B17" t="s">
        <v>18</v>
      </c>
      <c r="C17">
        <v>100858</v>
      </c>
      <c r="D17">
        <v>12220</v>
      </c>
      <c r="E17">
        <v>2016</v>
      </c>
      <c r="F17" s="7">
        <v>9436</v>
      </c>
      <c r="G17" s="7">
        <v>11835</v>
      </c>
      <c r="H17" s="7">
        <v>14</v>
      </c>
      <c r="I17">
        <v>0.6</v>
      </c>
      <c r="J17">
        <v>0.41899999999999998</v>
      </c>
      <c r="K17">
        <v>164310</v>
      </c>
    </row>
    <row r="18" spans="1:11">
      <c r="A18" t="s">
        <v>19</v>
      </c>
      <c r="B18" t="s">
        <v>19</v>
      </c>
      <c r="C18">
        <v>219602</v>
      </c>
      <c r="D18">
        <v>17300</v>
      </c>
      <c r="E18">
        <v>2016</v>
      </c>
      <c r="F18" s="7">
        <v>3990</v>
      </c>
      <c r="G18" s="7">
        <v>2860</v>
      </c>
      <c r="H18" s="7">
        <v>10</v>
      </c>
      <c r="I18">
        <v>0.313</v>
      </c>
      <c r="J18">
        <v>0.42399999999999999</v>
      </c>
      <c r="K18">
        <v>298790</v>
      </c>
    </row>
    <row r="19" spans="1:11">
      <c r="A19" t="s">
        <v>20</v>
      </c>
      <c r="B19" t="s">
        <v>20</v>
      </c>
      <c r="C19">
        <v>150136</v>
      </c>
      <c r="D19">
        <v>34620</v>
      </c>
      <c r="E19">
        <v>2016</v>
      </c>
      <c r="F19" s="7">
        <v>7504</v>
      </c>
      <c r="G19" s="7">
        <v>6403</v>
      </c>
      <c r="H19" s="7">
        <v>12</v>
      </c>
      <c r="I19">
        <v>0.46899999999999997</v>
      </c>
      <c r="J19">
        <v>0.56699999999999995</v>
      </c>
      <c r="K19">
        <v>114635</v>
      </c>
    </row>
    <row r="20" spans="1:11">
      <c r="A20" t="s">
        <v>21</v>
      </c>
      <c r="B20" t="s">
        <v>21</v>
      </c>
      <c r="C20">
        <v>223232</v>
      </c>
      <c r="D20">
        <v>47380</v>
      </c>
      <c r="E20">
        <v>2016</v>
      </c>
      <c r="F20" s="7">
        <v>10757</v>
      </c>
      <c r="G20" s="7">
        <v>9660</v>
      </c>
      <c r="H20" s="7">
        <v>15</v>
      </c>
      <c r="I20">
        <v>0.56699999999999995</v>
      </c>
      <c r="J20">
        <v>0.45200000000000001</v>
      </c>
      <c r="K20">
        <v>265507</v>
      </c>
    </row>
    <row r="21" spans="1:11">
      <c r="A21" t="s">
        <v>22</v>
      </c>
      <c r="B21" t="s">
        <v>22</v>
      </c>
      <c r="C21">
        <v>219709</v>
      </c>
      <c r="D21">
        <v>34980</v>
      </c>
      <c r="E21">
        <v>2016</v>
      </c>
      <c r="F21" s="7">
        <v>3825</v>
      </c>
      <c r="G21" s="7">
        <v>4978</v>
      </c>
      <c r="H21" s="7">
        <v>13</v>
      </c>
      <c r="I21">
        <v>0.53100000000000003</v>
      </c>
      <c r="J21">
        <v>0.57599999999999996</v>
      </c>
      <c r="K21">
        <v>1864558</v>
      </c>
    </row>
    <row r="22" spans="1:11">
      <c r="A22" t="s">
        <v>23</v>
      </c>
      <c r="B22" t="s">
        <v>23</v>
      </c>
      <c r="C22">
        <v>132602</v>
      </c>
      <c r="D22">
        <v>19660</v>
      </c>
      <c r="E22">
        <v>2016</v>
      </c>
      <c r="F22" s="7">
        <v>2969</v>
      </c>
      <c r="G22" s="7">
        <v>2281</v>
      </c>
      <c r="H22" s="7">
        <v>8</v>
      </c>
      <c r="I22">
        <v>0.48399999999999999</v>
      </c>
      <c r="J22">
        <v>0.33300000000000002</v>
      </c>
      <c r="K22">
        <v>631169</v>
      </c>
    </row>
    <row r="23" spans="1:11">
      <c r="A23" t="s">
        <v>24</v>
      </c>
      <c r="B23" t="s">
        <v>24</v>
      </c>
      <c r="C23">
        <v>196079</v>
      </c>
      <c r="D23">
        <v>13780</v>
      </c>
      <c r="E23">
        <v>2016</v>
      </c>
      <c r="F23" s="7">
        <v>1694</v>
      </c>
      <c r="G23" s="7">
        <v>1382</v>
      </c>
      <c r="H23" s="7">
        <v>7</v>
      </c>
      <c r="I23">
        <v>0.32100000000000001</v>
      </c>
      <c r="J23">
        <v>0.31</v>
      </c>
      <c r="K23">
        <v>249210</v>
      </c>
    </row>
    <row r="24" spans="1:11">
      <c r="A24" t="s">
        <v>25</v>
      </c>
      <c r="B24" t="s">
        <v>25</v>
      </c>
      <c r="C24">
        <v>142115</v>
      </c>
      <c r="D24">
        <v>14260</v>
      </c>
      <c r="E24">
        <v>2016</v>
      </c>
      <c r="F24" s="7">
        <v>8079</v>
      </c>
      <c r="G24" s="7">
        <v>7150</v>
      </c>
      <c r="H24" s="7">
        <v>12</v>
      </c>
      <c r="I24">
        <v>0.76700000000000002</v>
      </c>
      <c r="J24">
        <v>0.6</v>
      </c>
      <c r="K24">
        <v>691403</v>
      </c>
    </row>
    <row r="25" spans="1:11">
      <c r="A25" t="s">
        <v>26</v>
      </c>
      <c r="B25" t="s">
        <v>26</v>
      </c>
      <c r="C25">
        <v>164924</v>
      </c>
      <c r="D25">
        <v>14460</v>
      </c>
      <c r="E25">
        <v>2016</v>
      </c>
      <c r="F25" s="7">
        <v>4847</v>
      </c>
      <c r="G25" s="7">
        <v>3921</v>
      </c>
      <c r="H25" s="7">
        <v>14</v>
      </c>
      <c r="I25">
        <v>0.375</v>
      </c>
      <c r="J25">
        <v>0.379</v>
      </c>
      <c r="K25">
        <v>4850147</v>
      </c>
    </row>
    <row r="26" spans="1:11">
      <c r="A26" t="s">
        <v>27</v>
      </c>
      <c r="B26" t="s">
        <v>27</v>
      </c>
      <c r="C26">
        <v>164988</v>
      </c>
      <c r="D26">
        <v>14380</v>
      </c>
      <c r="E26">
        <v>2016</v>
      </c>
      <c r="F26" s="7" t="s">
        <v>1328</v>
      </c>
      <c r="G26" s="7" t="s">
        <v>1328</v>
      </c>
      <c r="H26" s="7" t="s">
        <v>1328</v>
      </c>
      <c r="I26" t="s">
        <v>1328</v>
      </c>
      <c r="J26" t="s">
        <v>1328</v>
      </c>
      <c r="K26">
        <v>52785</v>
      </c>
    </row>
    <row r="27" spans="1:11">
      <c r="A27" t="s">
        <v>28</v>
      </c>
      <c r="B27" t="s">
        <v>28</v>
      </c>
      <c r="C27">
        <v>201441</v>
      </c>
      <c r="D27">
        <v>45780</v>
      </c>
      <c r="E27">
        <v>2016</v>
      </c>
      <c r="F27" s="7">
        <v>5614</v>
      </c>
      <c r="G27" s="7">
        <v>7651</v>
      </c>
      <c r="H27" s="7">
        <v>11</v>
      </c>
      <c r="I27">
        <v>0.24099999999999999</v>
      </c>
      <c r="J27">
        <v>0.25</v>
      </c>
      <c r="K27">
        <v>648677</v>
      </c>
    </row>
    <row r="28" spans="1:11">
      <c r="A28" t="s">
        <v>29</v>
      </c>
      <c r="B28" t="s">
        <v>29</v>
      </c>
      <c r="C28">
        <v>143358</v>
      </c>
      <c r="D28">
        <v>37900</v>
      </c>
      <c r="E28">
        <v>2016</v>
      </c>
      <c r="F28" s="7">
        <v>5705</v>
      </c>
      <c r="G28" s="7">
        <v>4115</v>
      </c>
      <c r="H28" s="7">
        <v>15</v>
      </c>
      <c r="I28">
        <v>0.2</v>
      </c>
      <c r="J28">
        <v>7.0999999999999994E-2</v>
      </c>
      <c r="K28">
        <v>413782</v>
      </c>
    </row>
    <row r="29" spans="1:11">
      <c r="A29" t="s">
        <v>30</v>
      </c>
      <c r="B29" t="s">
        <v>30</v>
      </c>
      <c r="C29">
        <v>217156</v>
      </c>
      <c r="D29">
        <v>39300</v>
      </c>
      <c r="E29">
        <v>2016</v>
      </c>
      <c r="F29" s="7">
        <v>1793</v>
      </c>
      <c r="G29" s="7">
        <v>1631</v>
      </c>
      <c r="H29" s="7">
        <v>8</v>
      </c>
      <c r="I29">
        <v>0.38500000000000001</v>
      </c>
      <c r="J29">
        <v>0.46200000000000002</v>
      </c>
      <c r="K29">
        <v>1648701</v>
      </c>
    </row>
    <row r="30" spans="1:11">
      <c r="A30" t="s">
        <v>31</v>
      </c>
      <c r="B30" t="s">
        <v>31</v>
      </c>
      <c r="C30">
        <v>217165</v>
      </c>
      <c r="D30">
        <v>39300</v>
      </c>
      <c r="E30">
        <v>2016</v>
      </c>
      <c r="F30" s="7">
        <v>2460</v>
      </c>
      <c r="G30" s="7">
        <v>4157</v>
      </c>
      <c r="H30" s="7">
        <v>14</v>
      </c>
      <c r="I30">
        <v>0.57599999999999996</v>
      </c>
      <c r="J30">
        <v>0.35299999999999998</v>
      </c>
      <c r="K30">
        <v>1648701</v>
      </c>
    </row>
    <row r="31" spans="1:11">
      <c r="A31" t="s">
        <v>32</v>
      </c>
      <c r="B31" t="s">
        <v>32</v>
      </c>
      <c r="C31">
        <v>211291</v>
      </c>
      <c r="D31">
        <v>30260</v>
      </c>
      <c r="E31">
        <v>2016</v>
      </c>
      <c r="F31" s="7">
        <v>1936</v>
      </c>
      <c r="G31" s="7">
        <v>1800</v>
      </c>
      <c r="H31" s="7">
        <v>10</v>
      </c>
      <c r="I31">
        <v>0.53800000000000003</v>
      </c>
      <c r="J31">
        <v>0.28000000000000003</v>
      </c>
      <c r="K31">
        <v>44489</v>
      </c>
    </row>
    <row r="32" spans="1:11">
      <c r="A32" t="s">
        <v>33</v>
      </c>
      <c r="B32" t="s">
        <v>33</v>
      </c>
      <c r="C32">
        <v>196088</v>
      </c>
      <c r="D32">
        <v>15380</v>
      </c>
      <c r="E32">
        <v>2016</v>
      </c>
      <c r="F32" s="7">
        <v>2435</v>
      </c>
      <c r="G32" s="7">
        <v>3338</v>
      </c>
      <c r="H32" s="7">
        <v>8</v>
      </c>
      <c r="I32">
        <v>0.24099999999999999</v>
      </c>
      <c r="J32">
        <v>0.53100000000000003</v>
      </c>
      <c r="K32">
        <v>1155507</v>
      </c>
    </row>
    <row r="33" spans="1:11">
      <c r="A33" t="s">
        <v>34</v>
      </c>
      <c r="B33" t="s">
        <v>34</v>
      </c>
      <c r="C33">
        <v>150163</v>
      </c>
      <c r="D33">
        <v>26900</v>
      </c>
      <c r="E33">
        <v>2016</v>
      </c>
      <c r="F33" s="7">
        <v>7804</v>
      </c>
      <c r="G33" s="7">
        <v>4356</v>
      </c>
      <c r="H33" s="7">
        <v>16</v>
      </c>
      <c r="I33">
        <v>0.38700000000000001</v>
      </c>
      <c r="J33">
        <v>0.66700000000000004</v>
      </c>
      <c r="K33">
        <v>2022451</v>
      </c>
    </row>
    <row r="34" spans="1:11">
      <c r="A34" t="s">
        <v>35</v>
      </c>
      <c r="B34" t="s">
        <v>35</v>
      </c>
      <c r="C34">
        <v>230038</v>
      </c>
      <c r="D34">
        <v>39340</v>
      </c>
      <c r="E34">
        <v>2016</v>
      </c>
      <c r="F34" s="7">
        <v>26205</v>
      </c>
      <c r="G34" s="7">
        <v>20649</v>
      </c>
      <c r="H34" s="7">
        <v>14</v>
      </c>
      <c r="I34">
        <v>0.875</v>
      </c>
      <c r="J34">
        <v>0.85699999999999998</v>
      </c>
      <c r="K34">
        <v>609431</v>
      </c>
    </row>
    <row r="35" spans="1:11">
      <c r="A35" t="s">
        <v>36</v>
      </c>
      <c r="B35" t="s">
        <v>36</v>
      </c>
      <c r="C35">
        <v>110422</v>
      </c>
      <c r="D35">
        <v>42020</v>
      </c>
      <c r="E35">
        <v>2016</v>
      </c>
      <c r="F35" s="7">
        <v>7218</v>
      </c>
      <c r="G35" s="7">
        <v>6217</v>
      </c>
      <c r="H35" s="7">
        <v>10</v>
      </c>
      <c r="I35">
        <v>0.70399999999999996</v>
      </c>
      <c r="J35">
        <v>0.34599999999999997</v>
      </c>
      <c r="K35">
        <v>281794</v>
      </c>
    </row>
    <row r="36" spans="1:11">
      <c r="A36" t="s">
        <v>37</v>
      </c>
      <c r="B36" t="s">
        <v>37</v>
      </c>
      <c r="C36">
        <v>110565</v>
      </c>
      <c r="D36">
        <v>31080</v>
      </c>
      <c r="E36">
        <v>2016</v>
      </c>
      <c r="F36" s="7">
        <v>3321</v>
      </c>
      <c r="G36" s="7">
        <v>5110</v>
      </c>
      <c r="H36" s="7">
        <v>11</v>
      </c>
      <c r="I36" t="s">
        <v>1328</v>
      </c>
      <c r="J36">
        <v>0.27600000000000002</v>
      </c>
      <c r="K36">
        <v>13297429</v>
      </c>
    </row>
    <row r="37" spans="1:11">
      <c r="A37" t="s">
        <v>38</v>
      </c>
      <c r="B37" t="s">
        <v>38</v>
      </c>
      <c r="C37">
        <v>110635</v>
      </c>
      <c r="D37">
        <v>41860</v>
      </c>
      <c r="E37">
        <v>2016</v>
      </c>
      <c r="F37" s="7">
        <v>9642</v>
      </c>
      <c r="G37" s="7">
        <v>9197</v>
      </c>
      <c r="H37" s="7">
        <v>15</v>
      </c>
      <c r="I37">
        <v>0.28999999999999998</v>
      </c>
      <c r="J37">
        <v>0.33300000000000002</v>
      </c>
      <c r="K37">
        <v>4713476</v>
      </c>
    </row>
    <row r="38" spans="1:11">
      <c r="A38" t="s">
        <v>1255</v>
      </c>
      <c r="B38" t="s">
        <v>1255</v>
      </c>
      <c r="C38">
        <v>110361</v>
      </c>
      <c r="D38">
        <v>40140</v>
      </c>
      <c r="E38">
        <v>2016</v>
      </c>
      <c r="F38" s="7" t="s">
        <v>1328</v>
      </c>
      <c r="G38" s="7" t="s">
        <v>1328</v>
      </c>
      <c r="H38" s="7" t="s">
        <v>1328</v>
      </c>
      <c r="I38" t="s">
        <v>1328</v>
      </c>
      <c r="J38" t="s">
        <v>1328</v>
      </c>
      <c r="K38">
        <v>4463228</v>
      </c>
    </row>
    <row r="39" spans="1:11">
      <c r="A39" t="s">
        <v>39</v>
      </c>
      <c r="B39" t="s">
        <v>39</v>
      </c>
      <c r="C39">
        <v>198136</v>
      </c>
      <c r="D39">
        <v>15820</v>
      </c>
      <c r="E39">
        <v>2016</v>
      </c>
      <c r="F39" s="7">
        <v>2402</v>
      </c>
      <c r="G39" s="7">
        <v>5375</v>
      </c>
      <c r="H39" s="7">
        <v>11</v>
      </c>
      <c r="I39">
        <v>0.45200000000000001</v>
      </c>
      <c r="J39">
        <v>0.438</v>
      </c>
      <c r="K39">
        <v>36677</v>
      </c>
    </row>
    <row r="40" spans="1:11">
      <c r="A40" t="s">
        <v>40</v>
      </c>
      <c r="B40" t="s">
        <v>40</v>
      </c>
      <c r="C40">
        <v>189705</v>
      </c>
      <c r="D40">
        <v>15380</v>
      </c>
      <c r="E40">
        <v>2016</v>
      </c>
      <c r="F40" s="7">
        <v>2837</v>
      </c>
      <c r="G40" s="7">
        <v>1888</v>
      </c>
      <c r="H40" s="7">
        <v>11</v>
      </c>
      <c r="I40">
        <v>0.36699999999999999</v>
      </c>
      <c r="J40">
        <v>0.375</v>
      </c>
      <c r="K40">
        <v>1155507</v>
      </c>
    </row>
    <row r="41" spans="1:11">
      <c r="A41" t="s">
        <v>41</v>
      </c>
      <c r="B41" t="s">
        <v>41</v>
      </c>
      <c r="C41">
        <v>106704</v>
      </c>
      <c r="D41">
        <v>30780</v>
      </c>
      <c r="E41">
        <v>2016</v>
      </c>
      <c r="F41" s="7">
        <v>4299</v>
      </c>
      <c r="G41" s="7">
        <v>4821</v>
      </c>
      <c r="H41" s="7">
        <v>11</v>
      </c>
      <c r="I41">
        <v>0.55200000000000005</v>
      </c>
      <c r="J41">
        <v>0.625</v>
      </c>
      <c r="K41">
        <v>735686</v>
      </c>
    </row>
    <row r="42" spans="1:11">
      <c r="A42" t="s">
        <v>42</v>
      </c>
      <c r="B42" t="s">
        <v>42</v>
      </c>
      <c r="C42">
        <v>128771</v>
      </c>
      <c r="D42">
        <v>25540</v>
      </c>
      <c r="E42">
        <v>2016</v>
      </c>
      <c r="F42" s="7">
        <v>1993</v>
      </c>
      <c r="G42" s="7">
        <v>1580</v>
      </c>
      <c r="H42" s="7">
        <v>13</v>
      </c>
      <c r="I42">
        <v>0.40699999999999997</v>
      </c>
      <c r="J42">
        <v>0.40699999999999997</v>
      </c>
      <c r="K42">
        <v>1215446</v>
      </c>
    </row>
    <row r="43" spans="1:11">
      <c r="A43" t="s">
        <v>43</v>
      </c>
      <c r="B43" t="s">
        <v>43</v>
      </c>
      <c r="C43">
        <v>169248</v>
      </c>
      <c r="D43">
        <v>34380</v>
      </c>
      <c r="E43">
        <v>2016</v>
      </c>
      <c r="F43" s="7">
        <v>4928</v>
      </c>
      <c r="G43" s="7">
        <v>3540</v>
      </c>
      <c r="H43" s="7">
        <v>11</v>
      </c>
      <c r="I43">
        <v>0.379</v>
      </c>
      <c r="J43">
        <v>0.35699999999999998</v>
      </c>
      <c r="K43">
        <v>68075</v>
      </c>
    </row>
    <row r="44" spans="1:11">
      <c r="A44" t="s">
        <v>44</v>
      </c>
      <c r="B44" t="s">
        <v>44</v>
      </c>
      <c r="C44">
        <v>217688</v>
      </c>
      <c r="D44">
        <v>16700</v>
      </c>
      <c r="E44">
        <v>2016</v>
      </c>
      <c r="F44" s="7">
        <v>2754</v>
      </c>
      <c r="G44" s="7">
        <v>3413</v>
      </c>
      <c r="H44" s="7">
        <v>10</v>
      </c>
      <c r="I44">
        <v>0.30299999999999999</v>
      </c>
      <c r="J44">
        <v>0.33300000000000002</v>
      </c>
      <c r="K44">
        <v>752067</v>
      </c>
    </row>
    <row r="45" spans="1:11">
      <c r="A45" t="s">
        <v>45</v>
      </c>
      <c r="B45" t="s">
        <v>45</v>
      </c>
      <c r="C45">
        <v>199139</v>
      </c>
      <c r="D45">
        <v>16740</v>
      </c>
      <c r="E45">
        <v>2016</v>
      </c>
      <c r="F45" s="7">
        <v>7765</v>
      </c>
      <c r="G45" s="7">
        <v>6439</v>
      </c>
      <c r="H45" s="7">
        <v>12</v>
      </c>
      <c r="I45">
        <v>0.29599999999999999</v>
      </c>
      <c r="J45">
        <v>0.5</v>
      </c>
      <c r="K45">
        <v>2492928</v>
      </c>
    </row>
    <row r="46" spans="1:11">
      <c r="A46" t="s">
        <v>46</v>
      </c>
      <c r="B46" t="s">
        <v>46</v>
      </c>
      <c r="C46">
        <v>221740</v>
      </c>
      <c r="D46">
        <v>16860</v>
      </c>
      <c r="E46">
        <v>2016</v>
      </c>
      <c r="F46" s="7">
        <v>4192</v>
      </c>
      <c r="G46" s="7">
        <v>2625</v>
      </c>
      <c r="H46" s="7">
        <v>15</v>
      </c>
      <c r="I46">
        <v>0.81299999999999994</v>
      </c>
      <c r="J46">
        <v>0.40600000000000003</v>
      </c>
      <c r="K46">
        <v>548385</v>
      </c>
    </row>
    <row r="47" spans="1:11">
      <c r="A47" t="s">
        <v>1268</v>
      </c>
      <c r="B47" t="s">
        <v>1268</v>
      </c>
      <c r="C47">
        <v>144005</v>
      </c>
      <c r="D47">
        <v>16980</v>
      </c>
      <c r="E47">
        <v>2016</v>
      </c>
      <c r="F47" s="7">
        <v>1026</v>
      </c>
      <c r="G47" s="7">
        <v>1988</v>
      </c>
      <c r="H47" s="7">
        <v>8</v>
      </c>
      <c r="I47">
        <v>3.5999999999999997E-2</v>
      </c>
      <c r="J47">
        <v>0.2</v>
      </c>
      <c r="K47">
        <v>9654839</v>
      </c>
    </row>
    <row r="48" spans="1:11">
      <c r="A48" t="s">
        <v>1269</v>
      </c>
      <c r="B48" t="s">
        <v>1269</v>
      </c>
      <c r="C48">
        <v>201885</v>
      </c>
      <c r="D48">
        <v>17140</v>
      </c>
      <c r="E48">
        <v>2016</v>
      </c>
      <c r="F48" s="7">
        <v>7538</v>
      </c>
      <c r="G48" s="7">
        <v>6470</v>
      </c>
      <c r="H48" s="7">
        <v>15</v>
      </c>
      <c r="I48">
        <v>0.67700000000000005</v>
      </c>
      <c r="J48">
        <v>0.46899999999999997</v>
      </c>
      <c r="K48">
        <v>2209105</v>
      </c>
    </row>
    <row r="49" spans="1:11">
      <c r="A49" t="s">
        <v>47</v>
      </c>
      <c r="B49" t="s">
        <v>47</v>
      </c>
      <c r="C49">
        <v>217882</v>
      </c>
      <c r="D49">
        <v>42860</v>
      </c>
      <c r="E49">
        <v>2016</v>
      </c>
      <c r="F49" s="7">
        <v>11735</v>
      </c>
      <c r="G49" s="7">
        <v>14559</v>
      </c>
      <c r="H49" s="7">
        <v>16</v>
      </c>
      <c r="I49">
        <v>0.188</v>
      </c>
      <c r="J49">
        <v>0.56299999999999994</v>
      </c>
      <c r="K49">
        <v>75676</v>
      </c>
    </row>
    <row r="50" spans="1:11">
      <c r="A50" t="s">
        <v>48</v>
      </c>
      <c r="B50" t="s">
        <v>48</v>
      </c>
      <c r="C50">
        <v>202134</v>
      </c>
      <c r="D50">
        <v>17460</v>
      </c>
      <c r="E50">
        <v>2016</v>
      </c>
      <c r="F50" s="7">
        <v>3924</v>
      </c>
      <c r="G50" s="7">
        <v>3266</v>
      </c>
      <c r="H50" s="7">
        <v>13</v>
      </c>
      <c r="I50">
        <v>0.78800000000000003</v>
      </c>
      <c r="J50">
        <v>0.5</v>
      </c>
      <c r="K50">
        <v>2087581</v>
      </c>
    </row>
    <row r="51" spans="1:11">
      <c r="A51" t="s">
        <v>49</v>
      </c>
      <c r="B51" t="s">
        <v>1241</v>
      </c>
      <c r="C51">
        <v>218724</v>
      </c>
      <c r="D51">
        <v>34820</v>
      </c>
      <c r="E51">
        <v>2016</v>
      </c>
      <c r="F51" s="7">
        <v>3596</v>
      </c>
      <c r="G51" s="7">
        <v>3997</v>
      </c>
      <c r="H51" s="7">
        <v>8</v>
      </c>
      <c r="I51">
        <v>0.83299999999999996</v>
      </c>
      <c r="J51">
        <v>0.78100000000000003</v>
      </c>
      <c r="K51">
        <v>433687</v>
      </c>
    </row>
    <row r="52" spans="1:11">
      <c r="A52" t="s">
        <v>50</v>
      </c>
      <c r="B52" t="s">
        <v>50</v>
      </c>
      <c r="C52">
        <v>217819</v>
      </c>
      <c r="D52">
        <v>16700</v>
      </c>
      <c r="E52">
        <v>2016</v>
      </c>
      <c r="F52" s="7">
        <v>7263</v>
      </c>
      <c r="G52" s="7">
        <v>6929</v>
      </c>
      <c r="H52" s="7">
        <v>15</v>
      </c>
      <c r="I52">
        <v>0.60599999999999998</v>
      </c>
      <c r="J52">
        <v>0.69699999999999995</v>
      </c>
      <c r="K52">
        <v>752067</v>
      </c>
    </row>
    <row r="53" spans="1:11">
      <c r="A53" t="s">
        <v>51</v>
      </c>
      <c r="B53" t="s">
        <v>51</v>
      </c>
      <c r="C53">
        <v>190099</v>
      </c>
      <c r="D53">
        <v>45060</v>
      </c>
      <c r="E53">
        <v>2016</v>
      </c>
      <c r="F53" s="7">
        <v>2052</v>
      </c>
      <c r="G53" s="7">
        <v>1593</v>
      </c>
      <c r="H53" s="7">
        <v>11</v>
      </c>
      <c r="I53">
        <v>0.42899999999999999</v>
      </c>
      <c r="J53">
        <v>0.57699999999999996</v>
      </c>
      <c r="K53">
        <v>663877</v>
      </c>
    </row>
    <row r="54" spans="1:11">
      <c r="A54" t="s">
        <v>1270</v>
      </c>
      <c r="B54" t="s">
        <v>1270</v>
      </c>
      <c r="C54">
        <v>126614</v>
      </c>
      <c r="D54">
        <v>14500</v>
      </c>
      <c r="E54">
        <v>2016</v>
      </c>
      <c r="F54" s="7">
        <v>21244</v>
      </c>
      <c r="G54" s="7">
        <v>18378</v>
      </c>
      <c r="H54" s="7">
        <v>17</v>
      </c>
      <c r="I54">
        <v>0.59399999999999997</v>
      </c>
      <c r="J54">
        <v>0.58799999999999997</v>
      </c>
      <c r="K54">
        <v>324071</v>
      </c>
    </row>
    <row r="55" spans="1:11">
      <c r="A55" t="s">
        <v>52</v>
      </c>
      <c r="B55" t="s">
        <v>52</v>
      </c>
      <c r="C55">
        <v>126818</v>
      </c>
      <c r="D55">
        <v>22660</v>
      </c>
      <c r="E55">
        <v>2016</v>
      </c>
      <c r="F55" s="7">
        <v>38584</v>
      </c>
      <c r="G55" s="7">
        <v>54926</v>
      </c>
      <c r="H55" s="7">
        <v>17</v>
      </c>
      <c r="I55">
        <v>0.86699999999999999</v>
      </c>
      <c r="J55">
        <v>0.91200000000000003</v>
      </c>
      <c r="K55">
        <v>338940</v>
      </c>
    </row>
    <row r="56" spans="1:11">
      <c r="A56" t="s">
        <v>53</v>
      </c>
      <c r="B56" t="s">
        <v>53</v>
      </c>
      <c r="C56">
        <v>190150</v>
      </c>
      <c r="D56">
        <v>35620</v>
      </c>
      <c r="E56">
        <v>2016</v>
      </c>
      <c r="F56" s="7">
        <v>1098</v>
      </c>
      <c r="G56" s="7">
        <v>2477</v>
      </c>
      <c r="H56" s="7">
        <v>10</v>
      </c>
      <c r="I56">
        <v>0.30399999999999999</v>
      </c>
      <c r="J56">
        <v>0.34799999999999998</v>
      </c>
      <c r="K56">
        <v>19945132</v>
      </c>
    </row>
    <row r="57" spans="1:11">
      <c r="A57" t="s">
        <v>54</v>
      </c>
      <c r="B57" t="s">
        <v>54</v>
      </c>
      <c r="C57">
        <v>162283</v>
      </c>
      <c r="D57">
        <v>12580</v>
      </c>
      <c r="E57">
        <v>2016</v>
      </c>
      <c r="F57" s="7">
        <v>1336</v>
      </c>
      <c r="G57" s="7">
        <v>2375</v>
      </c>
      <c r="H57" s="7">
        <v>6</v>
      </c>
      <c r="I57">
        <v>0.375</v>
      </c>
      <c r="J57">
        <v>0.5</v>
      </c>
      <c r="K57">
        <v>2821292</v>
      </c>
    </row>
    <row r="58" spans="1:11">
      <c r="A58" t="s">
        <v>55</v>
      </c>
      <c r="B58" t="s">
        <v>55</v>
      </c>
      <c r="C58">
        <v>190415</v>
      </c>
      <c r="D58">
        <v>27060</v>
      </c>
      <c r="E58">
        <v>2016</v>
      </c>
      <c r="F58" s="7">
        <v>1475</v>
      </c>
      <c r="G58" s="7">
        <v>1814</v>
      </c>
      <c r="H58" s="7">
        <v>10</v>
      </c>
      <c r="I58">
        <v>0.25</v>
      </c>
      <c r="J58">
        <v>0.25</v>
      </c>
      <c r="K58">
        <v>105790</v>
      </c>
    </row>
    <row r="59" spans="1:11">
      <c r="A59" t="s">
        <v>56</v>
      </c>
      <c r="B59" t="s">
        <v>56</v>
      </c>
      <c r="C59">
        <v>181002</v>
      </c>
      <c r="D59">
        <v>36540</v>
      </c>
      <c r="E59">
        <v>2016</v>
      </c>
      <c r="F59" s="7">
        <v>29905</v>
      </c>
      <c r="G59" s="7">
        <v>19239</v>
      </c>
      <c r="H59" s="7">
        <v>18</v>
      </c>
      <c r="I59">
        <v>0.75</v>
      </c>
      <c r="J59">
        <v>0.73499999999999999</v>
      </c>
      <c r="K59">
        <v>932855</v>
      </c>
    </row>
    <row r="60" spans="1:11">
      <c r="A60" t="s">
        <v>57</v>
      </c>
      <c r="B60" t="s">
        <v>57</v>
      </c>
      <c r="C60">
        <v>110486</v>
      </c>
      <c r="D60">
        <v>12540</v>
      </c>
      <c r="E60">
        <v>2016</v>
      </c>
      <c r="F60" s="7">
        <v>3604</v>
      </c>
      <c r="G60" s="7">
        <v>3766</v>
      </c>
      <c r="H60" s="7">
        <v>7</v>
      </c>
      <c r="I60">
        <v>0.46400000000000002</v>
      </c>
      <c r="J60">
        <v>0.51600000000000001</v>
      </c>
      <c r="K60">
        <v>886002</v>
      </c>
    </row>
    <row r="61" spans="1:11">
      <c r="A61" t="s">
        <v>58</v>
      </c>
      <c r="B61" t="s">
        <v>58</v>
      </c>
      <c r="C61">
        <v>110608</v>
      </c>
      <c r="D61">
        <v>31080</v>
      </c>
      <c r="E61">
        <v>2016</v>
      </c>
      <c r="F61" s="7">
        <v>4764</v>
      </c>
      <c r="G61" s="7">
        <v>5134</v>
      </c>
      <c r="H61" s="7">
        <v>8</v>
      </c>
      <c r="I61">
        <v>0.28599999999999998</v>
      </c>
      <c r="J61">
        <v>0.67900000000000005</v>
      </c>
      <c r="K61">
        <v>13297429</v>
      </c>
    </row>
    <row r="62" spans="1:11">
      <c r="A62" t="s">
        <v>59</v>
      </c>
      <c r="B62" t="s">
        <v>59</v>
      </c>
      <c r="C62">
        <v>182670</v>
      </c>
      <c r="D62">
        <v>30100</v>
      </c>
      <c r="E62">
        <v>2016</v>
      </c>
      <c r="F62" s="7">
        <v>1851</v>
      </c>
      <c r="G62" s="7">
        <v>1298</v>
      </c>
      <c r="H62" s="7">
        <v>9</v>
      </c>
      <c r="I62">
        <v>0.52200000000000002</v>
      </c>
      <c r="J62">
        <v>0.52</v>
      </c>
      <c r="K62">
        <v>219734</v>
      </c>
    </row>
    <row r="63" spans="1:11">
      <c r="A63" t="s">
        <v>1271</v>
      </c>
      <c r="B63" t="s">
        <v>1271</v>
      </c>
      <c r="C63">
        <v>198385</v>
      </c>
      <c r="D63">
        <v>16740</v>
      </c>
      <c r="E63">
        <v>2016</v>
      </c>
      <c r="F63" s="7">
        <v>4471</v>
      </c>
      <c r="G63" s="7">
        <v>4320</v>
      </c>
      <c r="H63" s="7">
        <v>11</v>
      </c>
      <c r="I63">
        <v>0.42899999999999999</v>
      </c>
      <c r="J63">
        <v>0.16700000000000001</v>
      </c>
      <c r="K63">
        <v>2492928</v>
      </c>
    </row>
    <row r="64" spans="1:11">
      <c r="A64" t="s">
        <v>60</v>
      </c>
      <c r="B64" t="s">
        <v>60</v>
      </c>
      <c r="C64">
        <v>202480</v>
      </c>
      <c r="D64">
        <v>19430</v>
      </c>
      <c r="E64">
        <v>2016</v>
      </c>
      <c r="F64" s="7">
        <v>9104</v>
      </c>
      <c r="G64" s="7">
        <v>10567</v>
      </c>
      <c r="H64" s="7">
        <v>14</v>
      </c>
      <c r="I64">
        <v>0.81799999999999995</v>
      </c>
      <c r="J64">
        <v>0.83299999999999996</v>
      </c>
      <c r="K64">
        <v>805185</v>
      </c>
    </row>
    <row r="65" spans="1:11">
      <c r="A65" t="s">
        <v>61</v>
      </c>
      <c r="B65" t="s">
        <v>61</v>
      </c>
      <c r="C65">
        <v>130943</v>
      </c>
      <c r="D65">
        <v>37980</v>
      </c>
      <c r="E65">
        <v>2016</v>
      </c>
      <c r="F65" s="7">
        <v>4498</v>
      </c>
      <c r="G65" s="7">
        <v>6038</v>
      </c>
      <c r="H65" s="7">
        <v>11</v>
      </c>
      <c r="I65">
        <v>0.41399999999999998</v>
      </c>
      <c r="J65">
        <v>0.46899999999999997</v>
      </c>
      <c r="K65">
        <v>6153898</v>
      </c>
    </row>
    <row r="66" spans="1:11">
      <c r="A66" t="s">
        <v>62</v>
      </c>
      <c r="B66" t="s">
        <v>62</v>
      </c>
      <c r="C66">
        <v>130934</v>
      </c>
      <c r="D66">
        <v>20100</v>
      </c>
      <c r="E66">
        <v>2016</v>
      </c>
      <c r="F66" s="7">
        <v>677</v>
      </c>
      <c r="G66" s="7">
        <v>875</v>
      </c>
      <c r="H66" s="7">
        <v>7</v>
      </c>
      <c r="I66">
        <v>0.107</v>
      </c>
      <c r="J66">
        <v>3.6999999999999998E-2</v>
      </c>
      <c r="K66">
        <v>173906</v>
      </c>
    </row>
    <row r="67" spans="1:11">
      <c r="A67" t="s">
        <v>1272</v>
      </c>
      <c r="B67" t="s">
        <v>1272</v>
      </c>
      <c r="C67">
        <v>127060</v>
      </c>
      <c r="D67">
        <v>19740</v>
      </c>
      <c r="E67">
        <v>2016</v>
      </c>
      <c r="F67" s="7">
        <v>4988</v>
      </c>
      <c r="G67" s="7">
        <v>3836</v>
      </c>
      <c r="H67" s="7">
        <v>18</v>
      </c>
      <c r="I67">
        <v>0.77100000000000002</v>
      </c>
      <c r="J67">
        <v>0.79400000000000004</v>
      </c>
      <c r="K67">
        <v>2844505</v>
      </c>
    </row>
    <row r="68" spans="1:11">
      <c r="A68" t="s">
        <v>63</v>
      </c>
      <c r="B68" t="s">
        <v>63</v>
      </c>
      <c r="C68">
        <v>144740</v>
      </c>
      <c r="D68">
        <v>16980</v>
      </c>
      <c r="E68">
        <v>2016</v>
      </c>
      <c r="F68" s="7">
        <v>4031</v>
      </c>
      <c r="G68" s="7">
        <v>4520</v>
      </c>
      <c r="H68" s="7">
        <v>13</v>
      </c>
      <c r="I68">
        <v>0.51600000000000001</v>
      </c>
      <c r="J68">
        <v>0.1</v>
      </c>
      <c r="K68">
        <v>9654839</v>
      </c>
    </row>
    <row r="69" spans="1:11">
      <c r="A69" t="s">
        <v>64</v>
      </c>
      <c r="B69" t="s">
        <v>64</v>
      </c>
      <c r="C69">
        <v>169716</v>
      </c>
      <c r="D69">
        <v>19820</v>
      </c>
      <c r="E69">
        <v>2016</v>
      </c>
      <c r="F69" s="7" t="s">
        <v>1328</v>
      </c>
      <c r="G69" s="7" t="s">
        <v>1328</v>
      </c>
      <c r="H69" s="7" t="s">
        <v>1328</v>
      </c>
      <c r="I69" t="s">
        <v>1328</v>
      </c>
      <c r="J69" t="s">
        <v>1328</v>
      </c>
      <c r="K69">
        <v>4368028</v>
      </c>
    </row>
    <row r="70" spans="1:11">
      <c r="A70" t="s">
        <v>65</v>
      </c>
      <c r="B70" t="s">
        <v>65</v>
      </c>
      <c r="C70">
        <v>153269</v>
      </c>
      <c r="D70">
        <v>19780</v>
      </c>
      <c r="E70">
        <v>2016</v>
      </c>
      <c r="F70" s="7">
        <v>4079</v>
      </c>
      <c r="G70" s="7">
        <v>3542</v>
      </c>
      <c r="H70" s="7">
        <v>10</v>
      </c>
      <c r="I70">
        <v>0.42899999999999999</v>
      </c>
      <c r="J70">
        <v>0.379</v>
      </c>
      <c r="K70">
        <v>673388</v>
      </c>
    </row>
    <row r="71" spans="1:11">
      <c r="A71" t="s">
        <v>66</v>
      </c>
      <c r="B71" t="s">
        <v>66</v>
      </c>
      <c r="C71">
        <v>212054</v>
      </c>
      <c r="D71">
        <v>37980</v>
      </c>
      <c r="E71">
        <v>2016</v>
      </c>
      <c r="F71" s="7" t="s">
        <v>1328</v>
      </c>
      <c r="G71" s="7" t="s">
        <v>1328</v>
      </c>
      <c r="H71" s="7" t="s">
        <v>1328</v>
      </c>
      <c r="I71" t="s">
        <v>1328</v>
      </c>
      <c r="J71" t="s">
        <v>1328</v>
      </c>
      <c r="K71">
        <v>6153898</v>
      </c>
    </row>
    <row r="72" spans="1:11">
      <c r="A72" t="s">
        <v>67</v>
      </c>
      <c r="B72" t="s">
        <v>67</v>
      </c>
      <c r="C72">
        <v>198419</v>
      </c>
      <c r="D72">
        <v>20500</v>
      </c>
      <c r="E72">
        <v>2016</v>
      </c>
      <c r="F72" s="7">
        <v>18318</v>
      </c>
      <c r="G72" s="7">
        <v>19943</v>
      </c>
      <c r="H72" s="7">
        <v>14</v>
      </c>
      <c r="I72">
        <v>0.56699999999999995</v>
      </c>
      <c r="J72">
        <v>0.73299999999999998</v>
      </c>
      <c r="K72">
        <v>617871</v>
      </c>
    </row>
    <row r="73" spans="1:11">
      <c r="A73" t="s">
        <v>1273</v>
      </c>
      <c r="B73" t="s">
        <v>1273</v>
      </c>
      <c r="C73">
        <v>212106</v>
      </c>
      <c r="D73">
        <v>38300</v>
      </c>
      <c r="E73">
        <v>2016</v>
      </c>
      <c r="F73" s="7">
        <v>1828</v>
      </c>
      <c r="G73" s="7">
        <v>1762</v>
      </c>
      <c r="H73" s="7">
        <v>10</v>
      </c>
      <c r="I73">
        <v>0.48299999999999998</v>
      </c>
      <c r="J73">
        <v>0.57099999999999995</v>
      </c>
      <c r="K73">
        <v>2377735</v>
      </c>
    </row>
    <row r="74" spans="1:11">
      <c r="A74" t="s">
        <v>68</v>
      </c>
      <c r="B74" t="s">
        <v>68</v>
      </c>
      <c r="C74">
        <v>198464</v>
      </c>
      <c r="D74">
        <v>24780</v>
      </c>
      <c r="E74">
        <v>2016</v>
      </c>
      <c r="F74" s="7">
        <v>6987</v>
      </c>
      <c r="G74" s="7">
        <v>5546</v>
      </c>
      <c r="H74" s="7">
        <v>13</v>
      </c>
      <c r="I74">
        <v>0.38700000000000001</v>
      </c>
      <c r="J74">
        <v>0.48399999999999999</v>
      </c>
      <c r="K74">
        <v>169586</v>
      </c>
    </row>
    <row r="75" spans="1:11">
      <c r="A75" t="s">
        <v>69</v>
      </c>
      <c r="B75" t="s">
        <v>69</v>
      </c>
      <c r="C75">
        <v>144892</v>
      </c>
      <c r="D75">
        <v>16660</v>
      </c>
      <c r="E75">
        <v>2016</v>
      </c>
      <c r="F75" s="7">
        <v>3733</v>
      </c>
      <c r="G75" s="7">
        <v>2471</v>
      </c>
      <c r="H75" s="7">
        <v>9</v>
      </c>
      <c r="I75">
        <v>0.51600000000000001</v>
      </c>
      <c r="J75">
        <v>0.48399999999999999</v>
      </c>
      <c r="K75">
        <v>60259</v>
      </c>
    </row>
    <row r="76" spans="1:11">
      <c r="A76" t="s">
        <v>70</v>
      </c>
      <c r="B76" t="s">
        <v>70</v>
      </c>
      <c r="C76">
        <v>156620</v>
      </c>
      <c r="D76">
        <v>40080</v>
      </c>
      <c r="E76">
        <v>2016</v>
      </c>
      <c r="F76" s="7">
        <v>1179</v>
      </c>
      <c r="G76" s="7">
        <v>1510</v>
      </c>
      <c r="H76" s="7">
        <v>9</v>
      </c>
      <c r="I76">
        <v>0.30299999999999999</v>
      </c>
      <c r="J76">
        <v>0.6</v>
      </c>
      <c r="K76">
        <v>103239</v>
      </c>
    </row>
    <row r="77" spans="1:11">
      <c r="A77" t="s">
        <v>1274</v>
      </c>
      <c r="B77" t="s">
        <v>1274</v>
      </c>
      <c r="C77">
        <v>169798</v>
      </c>
      <c r="D77">
        <v>11460</v>
      </c>
      <c r="E77">
        <v>2016</v>
      </c>
      <c r="F77" s="7">
        <v>2191</v>
      </c>
      <c r="G77" s="7">
        <v>2072</v>
      </c>
      <c r="H77" s="7">
        <v>8</v>
      </c>
      <c r="I77">
        <v>0.46700000000000003</v>
      </c>
      <c r="J77">
        <v>0.58099999999999996</v>
      </c>
      <c r="K77">
        <v>370179</v>
      </c>
    </row>
    <row r="78" spans="1:11">
      <c r="A78" t="s">
        <v>1275</v>
      </c>
      <c r="B78" t="s">
        <v>1275</v>
      </c>
      <c r="C78">
        <v>235097</v>
      </c>
      <c r="D78">
        <v>44060</v>
      </c>
      <c r="E78">
        <v>2016</v>
      </c>
      <c r="F78" s="7">
        <v>2677</v>
      </c>
      <c r="G78" s="7">
        <v>5568</v>
      </c>
      <c r="H78" s="7">
        <v>9</v>
      </c>
      <c r="I78">
        <v>0.5</v>
      </c>
      <c r="J78">
        <v>0.31</v>
      </c>
      <c r="K78">
        <v>549234</v>
      </c>
    </row>
    <row r="79" spans="1:11">
      <c r="A79" t="s">
        <v>71</v>
      </c>
      <c r="B79" t="s">
        <v>71</v>
      </c>
      <c r="C79">
        <v>198516</v>
      </c>
      <c r="D79">
        <v>24660</v>
      </c>
      <c r="E79">
        <v>2016</v>
      </c>
      <c r="F79" s="7">
        <v>2828</v>
      </c>
      <c r="G79" s="7">
        <v>1795</v>
      </c>
      <c r="H79" s="7">
        <v>14</v>
      </c>
      <c r="I79">
        <v>0.23300000000000001</v>
      </c>
      <c r="J79">
        <v>0.188</v>
      </c>
      <c r="K79">
        <v>759364</v>
      </c>
    </row>
    <row r="80" spans="1:11">
      <c r="A80" t="s">
        <v>72</v>
      </c>
      <c r="B80" t="s">
        <v>72</v>
      </c>
      <c r="C80">
        <v>220075</v>
      </c>
      <c r="D80">
        <v>27740</v>
      </c>
      <c r="E80">
        <v>2016</v>
      </c>
      <c r="F80" s="7">
        <v>2013</v>
      </c>
      <c r="G80" s="7">
        <v>3149</v>
      </c>
      <c r="H80" s="7">
        <v>9</v>
      </c>
      <c r="I80">
        <v>0.61299999999999999</v>
      </c>
      <c r="J80">
        <v>0.51500000000000001</v>
      </c>
      <c r="K80">
        <v>203406</v>
      </c>
    </row>
    <row r="81" spans="1:11">
      <c r="A81" t="s">
        <v>73</v>
      </c>
      <c r="B81" t="s">
        <v>73</v>
      </c>
      <c r="C81">
        <v>150534</v>
      </c>
      <c r="D81">
        <v>21780</v>
      </c>
      <c r="E81">
        <v>2016</v>
      </c>
      <c r="F81" s="7">
        <v>2300</v>
      </c>
      <c r="G81" s="7">
        <v>4666</v>
      </c>
      <c r="H81" s="7">
        <v>12</v>
      </c>
      <c r="I81">
        <v>0.25</v>
      </c>
      <c r="J81">
        <v>0.26700000000000002</v>
      </c>
      <c r="K81">
        <v>314463</v>
      </c>
    </row>
    <row r="82" spans="1:11">
      <c r="A82" t="s">
        <v>74</v>
      </c>
      <c r="B82" t="s">
        <v>74</v>
      </c>
      <c r="C82">
        <v>129242</v>
      </c>
      <c r="D82">
        <v>35620</v>
      </c>
      <c r="E82">
        <v>2016</v>
      </c>
      <c r="F82" s="7">
        <v>1781</v>
      </c>
      <c r="G82" s="7">
        <v>1672</v>
      </c>
      <c r="H82" s="7">
        <v>13</v>
      </c>
      <c r="I82">
        <v>0.67700000000000005</v>
      </c>
      <c r="J82">
        <v>0.61299999999999999</v>
      </c>
      <c r="K82">
        <v>19945132</v>
      </c>
    </row>
    <row r="83" spans="1:11">
      <c r="A83" t="s">
        <v>75</v>
      </c>
      <c r="B83" t="s">
        <v>1242</v>
      </c>
      <c r="C83">
        <v>184603</v>
      </c>
      <c r="D83">
        <v>35620</v>
      </c>
      <c r="E83">
        <v>2016</v>
      </c>
      <c r="F83" s="7">
        <v>1824</v>
      </c>
      <c r="G83" s="7">
        <v>1828</v>
      </c>
      <c r="H83" s="7">
        <v>11</v>
      </c>
      <c r="I83">
        <v>0.34499999999999997</v>
      </c>
      <c r="J83">
        <v>0.20699999999999999</v>
      </c>
      <c r="K83">
        <v>19945132</v>
      </c>
    </row>
    <row r="84" spans="1:11">
      <c r="A84" t="s">
        <v>76</v>
      </c>
      <c r="B84" t="s">
        <v>76</v>
      </c>
      <c r="C84">
        <v>433660</v>
      </c>
      <c r="D84">
        <v>15980</v>
      </c>
      <c r="E84">
        <v>2016</v>
      </c>
      <c r="F84" s="7">
        <v>7650</v>
      </c>
      <c r="G84" s="7">
        <v>6940</v>
      </c>
      <c r="H84" s="7">
        <v>14</v>
      </c>
      <c r="I84">
        <v>0.65600000000000003</v>
      </c>
      <c r="J84">
        <v>0.63300000000000001</v>
      </c>
      <c r="K84">
        <v>707252</v>
      </c>
    </row>
    <row r="85" spans="1:11">
      <c r="A85" t="s">
        <v>77</v>
      </c>
      <c r="B85" t="s">
        <v>77</v>
      </c>
      <c r="C85">
        <v>133951</v>
      </c>
      <c r="D85">
        <v>33100</v>
      </c>
      <c r="E85">
        <v>2016</v>
      </c>
      <c r="F85" s="7">
        <v>2497</v>
      </c>
      <c r="G85" s="7">
        <v>1545</v>
      </c>
      <c r="H85" s="7">
        <v>15</v>
      </c>
      <c r="I85">
        <v>0.53600000000000003</v>
      </c>
      <c r="J85">
        <v>0.23300000000000001</v>
      </c>
      <c r="K85">
        <v>6031735</v>
      </c>
    </row>
    <row r="86" spans="1:11">
      <c r="A86" t="s">
        <v>78</v>
      </c>
      <c r="B86" t="s">
        <v>78</v>
      </c>
      <c r="C86">
        <v>133669</v>
      </c>
      <c r="D86">
        <v>33100</v>
      </c>
      <c r="E86">
        <v>2016</v>
      </c>
      <c r="F86" s="7">
        <v>2899</v>
      </c>
      <c r="G86" s="7">
        <v>2883</v>
      </c>
      <c r="H86" s="7">
        <v>12</v>
      </c>
      <c r="I86">
        <v>0.621</v>
      </c>
      <c r="J86">
        <v>0.6</v>
      </c>
      <c r="K86">
        <v>6031735</v>
      </c>
    </row>
    <row r="87" spans="1:11">
      <c r="A87" t="s">
        <v>79</v>
      </c>
      <c r="B87" t="s">
        <v>79</v>
      </c>
      <c r="C87">
        <v>134130</v>
      </c>
      <c r="D87">
        <v>23540</v>
      </c>
      <c r="E87">
        <v>2016</v>
      </c>
      <c r="F87" s="7">
        <v>29267</v>
      </c>
      <c r="G87" s="7">
        <v>40833</v>
      </c>
      <c r="H87" s="7">
        <v>14</v>
      </c>
      <c r="I87">
        <v>0.78100000000000003</v>
      </c>
      <c r="J87">
        <v>0.875</v>
      </c>
      <c r="K87">
        <v>326207</v>
      </c>
    </row>
    <row r="88" spans="1:11">
      <c r="A88" t="s">
        <v>80</v>
      </c>
      <c r="B88" t="s">
        <v>80</v>
      </c>
      <c r="C88">
        <v>133650</v>
      </c>
      <c r="D88">
        <v>45220</v>
      </c>
      <c r="E88">
        <v>2016</v>
      </c>
      <c r="F88" s="7">
        <v>1736</v>
      </c>
      <c r="G88" s="7">
        <v>804</v>
      </c>
      <c r="H88" s="7">
        <v>11</v>
      </c>
      <c r="I88">
        <v>0.27600000000000002</v>
      </c>
      <c r="J88">
        <v>0.46400000000000002</v>
      </c>
      <c r="K88">
        <v>375781</v>
      </c>
    </row>
    <row r="89" spans="1:11">
      <c r="A89" t="s">
        <v>81</v>
      </c>
      <c r="B89" t="s">
        <v>81</v>
      </c>
      <c r="C89">
        <v>134097</v>
      </c>
      <c r="D89">
        <v>45220</v>
      </c>
      <c r="E89">
        <v>2016</v>
      </c>
      <c r="F89" s="7">
        <v>13076</v>
      </c>
      <c r="G89" s="7">
        <v>16268</v>
      </c>
      <c r="H89" s="7">
        <v>13</v>
      </c>
      <c r="I89">
        <v>0.75800000000000001</v>
      </c>
      <c r="J89">
        <v>0.90900000000000003</v>
      </c>
      <c r="K89">
        <v>375781</v>
      </c>
    </row>
    <row r="90" spans="1:11">
      <c r="A90" t="s">
        <v>82</v>
      </c>
      <c r="B90" t="s">
        <v>82</v>
      </c>
      <c r="C90">
        <v>191241</v>
      </c>
      <c r="D90">
        <v>35620</v>
      </c>
      <c r="E90">
        <v>2016</v>
      </c>
      <c r="F90" s="7">
        <v>1888</v>
      </c>
      <c r="G90" s="7">
        <v>1723</v>
      </c>
      <c r="H90" s="7">
        <v>13</v>
      </c>
      <c r="I90">
        <v>0.25800000000000001</v>
      </c>
      <c r="J90">
        <v>0.107</v>
      </c>
      <c r="K90">
        <v>19945132</v>
      </c>
    </row>
    <row r="91" spans="1:11">
      <c r="A91" t="s">
        <v>83</v>
      </c>
      <c r="B91" t="s">
        <v>83</v>
      </c>
      <c r="C91">
        <v>110556</v>
      </c>
      <c r="D91">
        <v>23420</v>
      </c>
      <c r="E91">
        <v>2016</v>
      </c>
      <c r="F91" s="7">
        <v>10574</v>
      </c>
      <c r="G91" s="7">
        <v>7773</v>
      </c>
      <c r="H91" s="7">
        <v>17</v>
      </c>
      <c r="I91">
        <v>0.438</v>
      </c>
      <c r="J91">
        <v>0.25</v>
      </c>
      <c r="K91">
        <v>981015</v>
      </c>
    </row>
    <row r="92" spans="1:11">
      <c r="A92" t="s">
        <v>84</v>
      </c>
      <c r="B92" t="s">
        <v>84</v>
      </c>
      <c r="C92">
        <v>218070</v>
      </c>
      <c r="D92">
        <v>24860</v>
      </c>
      <c r="E92">
        <v>2016</v>
      </c>
      <c r="F92" s="7">
        <v>4077</v>
      </c>
      <c r="G92" s="7">
        <v>4004</v>
      </c>
      <c r="H92" s="7">
        <v>11</v>
      </c>
      <c r="I92">
        <v>0.7</v>
      </c>
      <c r="J92">
        <v>0.76700000000000002</v>
      </c>
      <c r="K92">
        <v>883741</v>
      </c>
    </row>
    <row r="93" spans="1:11">
      <c r="A93" t="s">
        <v>85</v>
      </c>
      <c r="B93" t="s">
        <v>85</v>
      </c>
      <c r="C93">
        <v>139931</v>
      </c>
      <c r="D93">
        <v>44340</v>
      </c>
      <c r="E93">
        <v>2016</v>
      </c>
      <c r="F93" s="7">
        <v>3261</v>
      </c>
      <c r="G93" s="7">
        <v>1977</v>
      </c>
      <c r="H93" s="7">
        <v>14</v>
      </c>
      <c r="I93">
        <v>0.34499999999999997</v>
      </c>
      <c r="J93">
        <v>0.23300000000000001</v>
      </c>
      <c r="K93">
        <v>74970</v>
      </c>
    </row>
    <row r="94" spans="1:11">
      <c r="A94" t="s">
        <v>86</v>
      </c>
      <c r="B94" t="s">
        <v>86</v>
      </c>
      <c r="C94">
        <v>198561</v>
      </c>
      <c r="D94">
        <v>23500</v>
      </c>
      <c r="E94">
        <v>2016</v>
      </c>
      <c r="F94" s="7">
        <v>6825</v>
      </c>
      <c r="G94" s="7">
        <v>5229</v>
      </c>
      <c r="H94" s="7">
        <v>13</v>
      </c>
      <c r="I94">
        <v>0.28999999999999998</v>
      </c>
      <c r="J94">
        <v>0.36399999999999999</v>
      </c>
      <c r="K94">
        <v>56022</v>
      </c>
    </row>
    <row r="95" spans="1:11">
      <c r="A95" t="s">
        <v>87</v>
      </c>
      <c r="B95" t="s">
        <v>87</v>
      </c>
      <c r="C95">
        <v>232186</v>
      </c>
      <c r="D95">
        <v>47900</v>
      </c>
      <c r="E95">
        <v>2016</v>
      </c>
      <c r="F95" s="7">
        <v>2558</v>
      </c>
      <c r="G95" s="7">
        <v>3200</v>
      </c>
      <c r="H95" s="7">
        <v>9</v>
      </c>
      <c r="I95">
        <v>0.34499999999999997</v>
      </c>
      <c r="J95">
        <v>0.222</v>
      </c>
      <c r="K95">
        <v>6194690</v>
      </c>
    </row>
    <row r="96" spans="1:11">
      <c r="A96" t="s">
        <v>88</v>
      </c>
      <c r="B96" t="s">
        <v>88</v>
      </c>
      <c r="C96">
        <v>131469</v>
      </c>
      <c r="D96">
        <v>47900</v>
      </c>
      <c r="E96">
        <v>2016</v>
      </c>
      <c r="F96" s="7">
        <v>6104</v>
      </c>
      <c r="G96" s="7">
        <v>3753</v>
      </c>
      <c r="H96" s="7">
        <v>14</v>
      </c>
      <c r="I96">
        <v>0.65600000000000003</v>
      </c>
      <c r="J96">
        <v>0.73299999999999998</v>
      </c>
      <c r="K96">
        <v>6194690</v>
      </c>
    </row>
    <row r="97" spans="1:11">
      <c r="A97" t="s">
        <v>89</v>
      </c>
      <c r="B97" t="s">
        <v>89</v>
      </c>
      <c r="C97">
        <v>131496</v>
      </c>
      <c r="D97">
        <v>47900</v>
      </c>
      <c r="E97">
        <v>2016</v>
      </c>
      <c r="F97" s="7">
        <v>1943</v>
      </c>
      <c r="G97" s="7">
        <v>2400</v>
      </c>
      <c r="H97" s="7">
        <v>10</v>
      </c>
      <c r="I97">
        <v>0.32300000000000001</v>
      </c>
      <c r="J97">
        <v>0.32300000000000001</v>
      </c>
      <c r="K97">
        <v>6194690</v>
      </c>
    </row>
    <row r="98" spans="1:11">
      <c r="A98" t="s">
        <v>90</v>
      </c>
      <c r="B98" t="s">
        <v>90</v>
      </c>
      <c r="C98">
        <v>139959</v>
      </c>
      <c r="D98">
        <v>12020</v>
      </c>
      <c r="E98">
        <v>2016</v>
      </c>
      <c r="F98" s="7">
        <v>15472</v>
      </c>
      <c r="G98" s="7">
        <v>15264</v>
      </c>
      <c r="H98" s="7">
        <v>16</v>
      </c>
      <c r="I98">
        <v>0.16700000000000001</v>
      </c>
      <c r="J98">
        <v>0.45200000000000001</v>
      </c>
      <c r="K98">
        <v>205869</v>
      </c>
    </row>
    <row r="99" spans="1:11">
      <c r="A99" t="s">
        <v>91</v>
      </c>
      <c r="B99" t="s">
        <v>91</v>
      </c>
      <c r="C99">
        <v>139940</v>
      </c>
      <c r="D99">
        <v>12060</v>
      </c>
      <c r="E99">
        <v>2016</v>
      </c>
      <c r="F99" s="7">
        <v>3396</v>
      </c>
      <c r="G99" s="7">
        <v>3350</v>
      </c>
      <c r="H99" s="7">
        <v>12</v>
      </c>
      <c r="I99">
        <v>0.26900000000000002</v>
      </c>
      <c r="J99">
        <v>0.33300000000000002</v>
      </c>
      <c r="K99">
        <v>5800308</v>
      </c>
    </row>
    <row r="100" spans="1:11">
      <c r="A100" t="s">
        <v>92</v>
      </c>
      <c r="B100" t="s">
        <v>92</v>
      </c>
      <c r="C100">
        <v>139755</v>
      </c>
      <c r="D100">
        <v>12060</v>
      </c>
      <c r="E100">
        <v>2016</v>
      </c>
      <c r="F100" s="7">
        <v>12095</v>
      </c>
      <c r="G100" s="7">
        <v>9565</v>
      </c>
      <c r="H100" s="7">
        <v>15</v>
      </c>
      <c r="I100">
        <v>0.56299999999999994</v>
      </c>
      <c r="J100">
        <v>0.41899999999999998</v>
      </c>
      <c r="K100">
        <v>5800308</v>
      </c>
    </row>
    <row r="101" spans="1:11">
      <c r="A101" t="s">
        <v>1276</v>
      </c>
      <c r="B101" t="s">
        <v>1276</v>
      </c>
      <c r="C101">
        <v>235316</v>
      </c>
      <c r="D101">
        <v>44060</v>
      </c>
      <c r="E101">
        <v>2016</v>
      </c>
      <c r="F101" s="7">
        <v>8695</v>
      </c>
      <c r="G101" s="7">
        <v>6150</v>
      </c>
      <c r="H101" s="7">
        <v>15</v>
      </c>
      <c r="I101">
        <v>0.51600000000000001</v>
      </c>
      <c r="J101">
        <v>0.58599999999999997</v>
      </c>
      <c r="K101">
        <v>549234</v>
      </c>
    </row>
    <row r="102" spans="1:11">
      <c r="A102" t="s">
        <v>93</v>
      </c>
      <c r="B102" t="s">
        <v>93</v>
      </c>
      <c r="C102">
        <v>159009</v>
      </c>
      <c r="D102">
        <v>33740</v>
      </c>
      <c r="E102">
        <v>2016</v>
      </c>
      <c r="F102" s="7">
        <v>1853</v>
      </c>
      <c r="G102" s="7">
        <v>1583</v>
      </c>
      <c r="H102" s="7">
        <v>9</v>
      </c>
      <c r="I102">
        <v>0.26500000000000001</v>
      </c>
      <c r="J102">
        <v>0.115</v>
      </c>
      <c r="K102">
        <v>210259</v>
      </c>
    </row>
    <row r="103" spans="1:11">
      <c r="A103" t="s">
        <v>94</v>
      </c>
      <c r="B103" t="s">
        <v>94</v>
      </c>
      <c r="C103">
        <v>104717</v>
      </c>
      <c r="D103">
        <v>38060</v>
      </c>
      <c r="E103">
        <v>2016</v>
      </c>
      <c r="F103" s="7">
        <v>7814</v>
      </c>
      <c r="G103" s="7">
        <v>3779</v>
      </c>
      <c r="H103" s="7">
        <v>15</v>
      </c>
      <c r="I103" t="s">
        <v>1328</v>
      </c>
      <c r="J103" t="s">
        <v>1328</v>
      </c>
      <c r="K103">
        <v>4556103</v>
      </c>
    </row>
    <row r="104" spans="1:11">
      <c r="A104" t="s">
        <v>95</v>
      </c>
      <c r="B104" t="s">
        <v>95</v>
      </c>
      <c r="C104">
        <v>240277</v>
      </c>
      <c r="D104">
        <v>24580</v>
      </c>
      <c r="E104">
        <v>2016</v>
      </c>
      <c r="F104" s="7">
        <v>3447</v>
      </c>
      <c r="G104" s="7">
        <v>3484</v>
      </c>
      <c r="H104" s="7">
        <v>9</v>
      </c>
      <c r="I104">
        <v>0.56699999999999995</v>
      </c>
      <c r="J104">
        <v>0.192</v>
      </c>
      <c r="K104">
        <v>320537</v>
      </c>
    </row>
    <row r="105" spans="1:11">
      <c r="A105" t="s">
        <v>96</v>
      </c>
      <c r="B105" t="s">
        <v>96</v>
      </c>
      <c r="C105">
        <v>232265</v>
      </c>
      <c r="D105">
        <v>47260</v>
      </c>
      <c r="E105">
        <v>2016</v>
      </c>
      <c r="F105" s="7">
        <v>1400</v>
      </c>
      <c r="G105" s="7">
        <v>3220</v>
      </c>
      <c r="H105" s="7">
        <v>6</v>
      </c>
      <c r="I105">
        <v>0.12</v>
      </c>
      <c r="J105">
        <v>0.65600000000000003</v>
      </c>
      <c r="K105">
        <v>1773787</v>
      </c>
    </row>
    <row r="106" spans="1:11">
      <c r="A106" t="s">
        <v>1277</v>
      </c>
      <c r="B106" t="s">
        <v>1277</v>
      </c>
      <c r="C106">
        <v>129525</v>
      </c>
      <c r="D106">
        <v>25540</v>
      </c>
      <c r="E106">
        <v>2016</v>
      </c>
      <c r="F106" s="7">
        <v>3023</v>
      </c>
      <c r="G106" s="7">
        <v>1935</v>
      </c>
      <c r="H106" s="7">
        <v>11</v>
      </c>
      <c r="I106">
        <v>6.9000000000000006E-2</v>
      </c>
      <c r="J106">
        <v>0.56699999999999995</v>
      </c>
      <c r="K106">
        <v>1215446</v>
      </c>
    </row>
    <row r="107" spans="1:11">
      <c r="A107" t="s">
        <v>97</v>
      </c>
      <c r="B107" t="s">
        <v>97</v>
      </c>
      <c r="C107">
        <v>166027</v>
      </c>
      <c r="D107">
        <v>14460</v>
      </c>
      <c r="E107">
        <v>2016</v>
      </c>
      <c r="F107" s="7">
        <v>4011</v>
      </c>
      <c r="G107" s="7">
        <v>4101</v>
      </c>
      <c r="H107" s="7">
        <v>15</v>
      </c>
      <c r="I107">
        <v>0.57699999999999996</v>
      </c>
      <c r="J107">
        <v>0.79200000000000004</v>
      </c>
      <c r="K107">
        <v>4850147</v>
      </c>
    </row>
    <row r="108" spans="1:11">
      <c r="A108" t="s">
        <v>98</v>
      </c>
      <c r="B108" t="s">
        <v>98</v>
      </c>
      <c r="C108">
        <v>141574</v>
      </c>
      <c r="D108">
        <v>46520</v>
      </c>
      <c r="E108">
        <v>2016</v>
      </c>
      <c r="F108" s="7">
        <v>131187</v>
      </c>
      <c r="G108" s="7">
        <v>120776</v>
      </c>
      <c r="H108" s="7">
        <v>19</v>
      </c>
      <c r="I108">
        <v>0.93500000000000005</v>
      </c>
      <c r="J108">
        <v>0.75900000000000001</v>
      </c>
      <c r="K108">
        <v>1023810</v>
      </c>
    </row>
    <row r="109" spans="1:11">
      <c r="A109" t="s">
        <v>1278</v>
      </c>
      <c r="B109" t="s">
        <v>1278</v>
      </c>
      <c r="C109">
        <v>198695</v>
      </c>
      <c r="D109">
        <v>24660</v>
      </c>
      <c r="E109">
        <v>2016</v>
      </c>
      <c r="F109" s="7">
        <v>6769</v>
      </c>
      <c r="G109" s="7">
        <v>6450</v>
      </c>
      <c r="H109" s="7">
        <v>16</v>
      </c>
      <c r="I109">
        <v>0.67700000000000005</v>
      </c>
      <c r="J109">
        <v>0.44800000000000001</v>
      </c>
      <c r="K109">
        <v>759364</v>
      </c>
    </row>
    <row r="110" spans="1:11">
      <c r="A110" t="s">
        <v>99</v>
      </c>
      <c r="B110" t="s">
        <v>99</v>
      </c>
      <c r="C110">
        <v>191649</v>
      </c>
      <c r="D110">
        <v>35620</v>
      </c>
      <c r="E110">
        <v>2016</v>
      </c>
      <c r="F110" s="7">
        <v>2123</v>
      </c>
      <c r="G110" s="7">
        <v>3887</v>
      </c>
      <c r="H110" s="7">
        <v>12</v>
      </c>
      <c r="I110">
        <v>0.65600000000000003</v>
      </c>
      <c r="J110">
        <v>0.82399999999999995</v>
      </c>
      <c r="K110">
        <v>19945132</v>
      </c>
    </row>
    <row r="111" spans="1:11">
      <c r="A111" t="s">
        <v>100</v>
      </c>
      <c r="B111" t="s">
        <v>100</v>
      </c>
      <c r="C111">
        <v>166124</v>
      </c>
      <c r="D111">
        <v>49340</v>
      </c>
      <c r="E111">
        <v>2016</v>
      </c>
      <c r="F111" s="7">
        <v>962</v>
      </c>
      <c r="G111" s="7">
        <v>1800</v>
      </c>
      <c r="H111" s="7">
        <v>8</v>
      </c>
      <c r="I111">
        <v>0.24099999999999999</v>
      </c>
      <c r="J111">
        <v>0.25900000000000001</v>
      </c>
      <c r="K111">
        <v>956771</v>
      </c>
    </row>
    <row r="112" spans="1:11">
      <c r="A112" t="s">
        <v>101</v>
      </c>
      <c r="B112" t="s">
        <v>101</v>
      </c>
      <c r="C112">
        <v>225511</v>
      </c>
      <c r="D112">
        <v>26420</v>
      </c>
      <c r="E112">
        <v>2016</v>
      </c>
      <c r="F112" s="7">
        <v>4591</v>
      </c>
      <c r="G112" s="7">
        <v>5973</v>
      </c>
      <c r="H112" s="7">
        <v>13</v>
      </c>
      <c r="I112">
        <v>0.59399999999999997</v>
      </c>
      <c r="J112">
        <v>0.438</v>
      </c>
      <c r="K112">
        <v>6797263</v>
      </c>
    </row>
    <row r="113" spans="1:11">
      <c r="A113" t="s">
        <v>102</v>
      </c>
      <c r="B113" t="s">
        <v>1243</v>
      </c>
      <c r="C113">
        <v>225399</v>
      </c>
      <c r="D113">
        <v>26420</v>
      </c>
      <c r="E113">
        <v>2016</v>
      </c>
      <c r="F113" s="7">
        <v>6686</v>
      </c>
      <c r="G113" s="7">
        <v>5678</v>
      </c>
      <c r="H113" s="7">
        <v>13</v>
      </c>
      <c r="I113">
        <v>0.5</v>
      </c>
      <c r="J113">
        <v>0.46899999999999997</v>
      </c>
      <c r="K113">
        <v>6797263</v>
      </c>
    </row>
    <row r="114" spans="1:11">
      <c r="A114" t="s">
        <v>103</v>
      </c>
      <c r="B114" t="s">
        <v>103</v>
      </c>
      <c r="C114">
        <v>131520</v>
      </c>
      <c r="D114">
        <v>47900</v>
      </c>
      <c r="E114">
        <v>2016</v>
      </c>
      <c r="F114" s="7">
        <v>1222</v>
      </c>
      <c r="G114" s="7">
        <v>939</v>
      </c>
      <c r="H114" s="7">
        <v>9</v>
      </c>
      <c r="I114">
        <v>0.56299999999999994</v>
      </c>
      <c r="J114">
        <v>0.64500000000000002</v>
      </c>
      <c r="K114">
        <v>6194690</v>
      </c>
    </row>
    <row r="115" spans="1:11">
      <c r="A115" t="s">
        <v>1279</v>
      </c>
      <c r="B115" t="s">
        <v>1279</v>
      </c>
      <c r="C115">
        <v>142285</v>
      </c>
      <c r="D115">
        <v>34140</v>
      </c>
      <c r="E115">
        <v>2016</v>
      </c>
      <c r="F115" s="7">
        <v>4938</v>
      </c>
      <c r="G115" s="7">
        <v>7499</v>
      </c>
      <c r="H115" s="7">
        <v>11</v>
      </c>
      <c r="I115">
        <v>0.46700000000000003</v>
      </c>
      <c r="J115">
        <v>0.51700000000000002</v>
      </c>
      <c r="K115">
        <v>38448</v>
      </c>
    </row>
    <row r="116" spans="1:11">
      <c r="A116" t="s">
        <v>104</v>
      </c>
      <c r="B116" t="s">
        <v>104</v>
      </c>
      <c r="C116">
        <v>142276</v>
      </c>
      <c r="D116">
        <v>38540</v>
      </c>
      <c r="E116">
        <v>2016</v>
      </c>
      <c r="F116" s="7">
        <v>6392</v>
      </c>
      <c r="G116" s="7">
        <v>8859</v>
      </c>
      <c r="H116" s="7">
        <v>9</v>
      </c>
      <c r="I116">
        <v>0.69699999999999995</v>
      </c>
      <c r="J116">
        <v>0.71899999999999997</v>
      </c>
      <c r="K116">
        <v>91550</v>
      </c>
    </row>
    <row r="117" spans="1:11">
      <c r="A117" t="s">
        <v>105</v>
      </c>
      <c r="B117" t="s">
        <v>105</v>
      </c>
      <c r="C117">
        <v>145637</v>
      </c>
      <c r="D117">
        <v>16580</v>
      </c>
      <c r="E117">
        <v>2016</v>
      </c>
      <c r="F117" s="7">
        <v>39260</v>
      </c>
      <c r="G117" s="7">
        <v>45410</v>
      </c>
      <c r="H117" s="7">
        <v>13</v>
      </c>
      <c r="I117">
        <v>0.61799999999999999</v>
      </c>
      <c r="J117">
        <v>0.76500000000000001</v>
      </c>
      <c r="K117">
        <v>224835</v>
      </c>
    </row>
    <row r="118" spans="1:11">
      <c r="A118" t="s">
        <v>106</v>
      </c>
      <c r="B118" t="s">
        <v>106</v>
      </c>
      <c r="C118">
        <v>145813</v>
      </c>
      <c r="D118">
        <v>14010</v>
      </c>
      <c r="E118">
        <v>2016</v>
      </c>
      <c r="F118" s="7">
        <v>11674</v>
      </c>
      <c r="G118" s="7">
        <v>10638</v>
      </c>
      <c r="H118" s="7">
        <v>12</v>
      </c>
      <c r="I118">
        <v>0.68799999999999994</v>
      </c>
      <c r="J118">
        <v>0.81799999999999995</v>
      </c>
      <c r="K118">
        <v>172910</v>
      </c>
    </row>
    <row r="119" spans="1:11">
      <c r="A119" t="s">
        <v>108</v>
      </c>
      <c r="B119" t="s">
        <v>108</v>
      </c>
      <c r="C119">
        <v>151351</v>
      </c>
      <c r="D119">
        <v>14020</v>
      </c>
      <c r="E119">
        <v>2016</v>
      </c>
      <c r="F119" s="7">
        <v>11687</v>
      </c>
      <c r="G119" s="7">
        <v>13510</v>
      </c>
      <c r="H119" s="7">
        <v>13</v>
      </c>
      <c r="I119">
        <v>0.5</v>
      </c>
      <c r="J119">
        <v>0.46899999999999997</v>
      </c>
      <c r="K119">
        <v>161778</v>
      </c>
    </row>
    <row r="120" spans="1:11">
      <c r="A120" t="s">
        <v>109</v>
      </c>
      <c r="B120" t="s">
        <v>109</v>
      </c>
      <c r="C120">
        <v>151324</v>
      </c>
      <c r="D120">
        <v>45460</v>
      </c>
      <c r="E120">
        <v>2016</v>
      </c>
      <c r="F120" s="7">
        <v>5510</v>
      </c>
      <c r="G120" s="7">
        <v>3555</v>
      </c>
      <c r="H120" s="7">
        <v>17</v>
      </c>
      <c r="I120">
        <v>0.51500000000000001</v>
      </c>
      <c r="J120">
        <v>0.54800000000000004</v>
      </c>
      <c r="K120">
        <v>186833</v>
      </c>
    </row>
    <row r="121" spans="1:11">
      <c r="A121" t="s">
        <v>110</v>
      </c>
      <c r="B121" t="s">
        <v>110</v>
      </c>
      <c r="C121">
        <v>191931</v>
      </c>
      <c r="D121">
        <v>35620</v>
      </c>
      <c r="E121">
        <v>2016</v>
      </c>
      <c r="F121" s="7">
        <v>1673</v>
      </c>
      <c r="G121" s="7">
        <v>2139</v>
      </c>
      <c r="H121" s="7">
        <v>9</v>
      </c>
      <c r="I121">
        <v>0.33300000000000002</v>
      </c>
      <c r="J121">
        <v>0.29399999999999998</v>
      </c>
      <c r="K121">
        <v>19945132</v>
      </c>
    </row>
    <row r="122" spans="1:11">
      <c r="A122" t="s">
        <v>111</v>
      </c>
      <c r="B122" t="s">
        <v>111</v>
      </c>
      <c r="C122">
        <v>153658</v>
      </c>
      <c r="D122">
        <v>26980</v>
      </c>
      <c r="E122">
        <v>2016</v>
      </c>
      <c r="F122" s="7">
        <v>22754</v>
      </c>
      <c r="G122" s="7">
        <v>13752</v>
      </c>
      <c r="H122" s="7">
        <v>17</v>
      </c>
      <c r="I122">
        <v>0.36399999999999999</v>
      </c>
      <c r="J122">
        <v>0.45200000000000001</v>
      </c>
      <c r="K122">
        <v>169258</v>
      </c>
    </row>
    <row r="123" spans="1:11">
      <c r="A123" t="s">
        <v>112</v>
      </c>
      <c r="B123" t="s">
        <v>112</v>
      </c>
      <c r="C123">
        <v>153603</v>
      </c>
      <c r="D123">
        <v>11180</v>
      </c>
      <c r="E123">
        <v>2016</v>
      </c>
      <c r="F123" s="7">
        <v>34113</v>
      </c>
      <c r="G123" s="7">
        <v>34172</v>
      </c>
      <c r="H123" s="7">
        <v>13</v>
      </c>
      <c r="I123">
        <v>0.63300000000000001</v>
      </c>
      <c r="J123">
        <v>0.65500000000000003</v>
      </c>
      <c r="K123">
        <v>123978</v>
      </c>
    </row>
    <row r="124" spans="1:11">
      <c r="A124" t="s">
        <v>113</v>
      </c>
      <c r="B124" t="s">
        <v>113</v>
      </c>
      <c r="C124">
        <v>151111</v>
      </c>
      <c r="D124">
        <v>26900</v>
      </c>
      <c r="E124">
        <v>2016</v>
      </c>
      <c r="F124" s="7" t="s">
        <v>1328</v>
      </c>
      <c r="G124" s="7" t="s">
        <v>1328</v>
      </c>
      <c r="H124" s="7" t="s">
        <v>1328</v>
      </c>
      <c r="I124" t="s">
        <v>1328</v>
      </c>
      <c r="J124" t="s">
        <v>1328</v>
      </c>
      <c r="K124">
        <v>2022451</v>
      </c>
    </row>
    <row r="125" spans="1:11">
      <c r="A125" t="s">
        <v>114</v>
      </c>
      <c r="B125" t="s">
        <v>114</v>
      </c>
      <c r="C125">
        <v>175856</v>
      </c>
      <c r="D125">
        <v>27140</v>
      </c>
      <c r="E125">
        <v>2016</v>
      </c>
      <c r="F125" s="7">
        <v>3086</v>
      </c>
      <c r="G125" s="7">
        <v>3291</v>
      </c>
      <c r="H125" s="7">
        <v>13</v>
      </c>
      <c r="I125">
        <v>0.40500000000000003</v>
      </c>
      <c r="J125">
        <v>0.34399999999999997</v>
      </c>
      <c r="K125">
        <v>600631</v>
      </c>
    </row>
    <row r="126" spans="1:11">
      <c r="A126" t="s">
        <v>115</v>
      </c>
      <c r="B126" t="s">
        <v>115</v>
      </c>
      <c r="C126">
        <v>134945</v>
      </c>
      <c r="D126">
        <v>27260</v>
      </c>
      <c r="E126">
        <v>2016</v>
      </c>
      <c r="F126" s="7">
        <v>2288</v>
      </c>
      <c r="G126" s="7">
        <v>2075</v>
      </c>
      <c r="H126" s="7">
        <v>7</v>
      </c>
      <c r="I126">
        <v>0.42899999999999999</v>
      </c>
      <c r="J126">
        <v>0.55900000000000005</v>
      </c>
      <c r="K126">
        <v>1492438</v>
      </c>
    </row>
    <row r="127" spans="1:11">
      <c r="A127" t="s">
        <v>116</v>
      </c>
      <c r="B127" t="s">
        <v>116</v>
      </c>
      <c r="C127">
        <v>101480</v>
      </c>
      <c r="D127">
        <v>11500</v>
      </c>
      <c r="E127">
        <v>2016</v>
      </c>
      <c r="F127" s="7">
        <v>3731</v>
      </c>
      <c r="G127" s="7">
        <v>3384</v>
      </c>
      <c r="H127" s="7">
        <v>11</v>
      </c>
      <c r="I127">
        <v>0.41199999999999998</v>
      </c>
      <c r="J127">
        <v>0.52900000000000003</v>
      </c>
      <c r="K127">
        <v>116746</v>
      </c>
    </row>
    <row r="128" spans="1:11">
      <c r="A128" t="s">
        <v>117</v>
      </c>
      <c r="B128" t="s">
        <v>117</v>
      </c>
      <c r="C128">
        <v>232423</v>
      </c>
      <c r="D128">
        <v>25500</v>
      </c>
      <c r="E128">
        <v>2016</v>
      </c>
      <c r="F128" s="7">
        <v>3694</v>
      </c>
      <c r="G128" s="7">
        <v>4338</v>
      </c>
      <c r="H128" s="7">
        <v>16</v>
      </c>
      <c r="I128">
        <v>0.73299999999999998</v>
      </c>
      <c r="J128">
        <v>0.54800000000000004</v>
      </c>
      <c r="K128">
        <v>133060</v>
      </c>
    </row>
    <row r="129" spans="1:11">
      <c r="A129" t="s">
        <v>118</v>
      </c>
      <c r="B129" t="s">
        <v>118</v>
      </c>
      <c r="C129">
        <v>155317</v>
      </c>
      <c r="D129">
        <v>29940</v>
      </c>
      <c r="E129">
        <v>2016</v>
      </c>
      <c r="F129" s="7">
        <v>22324</v>
      </c>
      <c r="G129" s="7">
        <v>19283</v>
      </c>
      <c r="H129" s="7">
        <v>16</v>
      </c>
      <c r="I129">
        <v>0.90900000000000003</v>
      </c>
      <c r="J129">
        <v>0.71</v>
      </c>
      <c r="K129">
        <v>117526</v>
      </c>
    </row>
    <row r="130" spans="1:11">
      <c r="A130" t="s">
        <v>267</v>
      </c>
      <c r="B130" t="s">
        <v>1250</v>
      </c>
      <c r="C130">
        <v>178402</v>
      </c>
      <c r="D130">
        <v>28140</v>
      </c>
      <c r="E130">
        <v>2016</v>
      </c>
      <c r="F130" s="7">
        <v>2893</v>
      </c>
      <c r="G130" s="7">
        <v>3796</v>
      </c>
      <c r="H130" s="7">
        <v>12</v>
      </c>
      <c r="I130">
        <v>0.53600000000000003</v>
      </c>
      <c r="J130">
        <v>0.8</v>
      </c>
      <c r="K130">
        <v>2121656</v>
      </c>
    </row>
    <row r="131" spans="1:11">
      <c r="A131" t="s">
        <v>1280</v>
      </c>
      <c r="B131" t="s">
        <v>1280</v>
      </c>
      <c r="C131">
        <v>155399</v>
      </c>
      <c r="D131">
        <v>31740</v>
      </c>
      <c r="E131">
        <v>2016</v>
      </c>
      <c r="F131" s="7">
        <v>22362</v>
      </c>
      <c r="G131" s="7">
        <v>30759</v>
      </c>
      <c r="H131" s="7">
        <v>11</v>
      </c>
      <c r="I131">
        <v>0.58599999999999997</v>
      </c>
      <c r="J131">
        <v>0.71</v>
      </c>
      <c r="K131">
        <v>136983</v>
      </c>
    </row>
    <row r="132" spans="1:11">
      <c r="A132" t="s">
        <v>119</v>
      </c>
      <c r="B132" t="s">
        <v>119</v>
      </c>
      <c r="C132">
        <v>486840</v>
      </c>
      <c r="D132">
        <v>12060</v>
      </c>
      <c r="E132">
        <v>2016</v>
      </c>
      <c r="F132" s="7">
        <v>7023</v>
      </c>
      <c r="G132" s="7">
        <v>5176</v>
      </c>
      <c r="H132" s="7">
        <v>12</v>
      </c>
      <c r="I132">
        <v>0.67900000000000005</v>
      </c>
      <c r="J132">
        <v>0.34499999999999997</v>
      </c>
      <c r="K132">
        <v>5800308</v>
      </c>
    </row>
    <row r="133" spans="1:11">
      <c r="A133" t="s">
        <v>120</v>
      </c>
      <c r="B133" t="s">
        <v>120</v>
      </c>
      <c r="C133">
        <v>203517</v>
      </c>
      <c r="D133">
        <v>10420</v>
      </c>
      <c r="E133">
        <v>2016</v>
      </c>
      <c r="F133" s="7">
        <v>4849</v>
      </c>
      <c r="G133" s="7">
        <v>3968</v>
      </c>
      <c r="H133" s="7">
        <v>11</v>
      </c>
      <c r="I133">
        <v>0.66700000000000004</v>
      </c>
      <c r="J133">
        <v>0.54800000000000004</v>
      </c>
      <c r="K133">
        <v>703787</v>
      </c>
    </row>
    <row r="134" spans="1:11">
      <c r="A134" t="s">
        <v>121</v>
      </c>
      <c r="B134" t="s">
        <v>121</v>
      </c>
      <c r="C134">
        <v>157085</v>
      </c>
      <c r="D134">
        <v>30460</v>
      </c>
      <c r="E134">
        <v>2016</v>
      </c>
      <c r="F134" s="7">
        <v>24334</v>
      </c>
      <c r="G134" s="7">
        <v>30453</v>
      </c>
      <c r="H134" s="7">
        <v>14</v>
      </c>
      <c r="I134">
        <v>0.67700000000000005</v>
      </c>
      <c r="J134">
        <v>0.81799999999999995</v>
      </c>
      <c r="K134">
        <v>504058</v>
      </c>
    </row>
    <row r="135" spans="1:11">
      <c r="A135" t="s">
        <v>1281</v>
      </c>
      <c r="B135" t="s">
        <v>1281</v>
      </c>
      <c r="C135">
        <v>213367</v>
      </c>
      <c r="D135">
        <v>37980</v>
      </c>
      <c r="E135">
        <v>2016</v>
      </c>
      <c r="F135" s="7">
        <v>1026</v>
      </c>
      <c r="G135" s="7">
        <v>1184</v>
      </c>
      <c r="H135" s="7">
        <v>10</v>
      </c>
      <c r="I135">
        <v>0.19400000000000001</v>
      </c>
      <c r="J135">
        <v>0.32300000000000001</v>
      </c>
      <c r="K135">
        <v>6153898</v>
      </c>
    </row>
    <row r="136" spans="1:11">
      <c r="A136" t="s">
        <v>123</v>
      </c>
      <c r="B136" t="s">
        <v>123</v>
      </c>
      <c r="C136">
        <v>213385</v>
      </c>
      <c r="D136">
        <v>10900</v>
      </c>
      <c r="E136">
        <v>2016</v>
      </c>
      <c r="F136" s="7">
        <v>1851</v>
      </c>
      <c r="G136" s="7">
        <v>1710</v>
      </c>
      <c r="H136" s="7">
        <v>15</v>
      </c>
      <c r="I136">
        <v>0.40699999999999997</v>
      </c>
      <c r="J136">
        <v>0.214</v>
      </c>
      <c r="K136">
        <v>843356</v>
      </c>
    </row>
    <row r="137" spans="1:11">
      <c r="A137" t="s">
        <v>124</v>
      </c>
      <c r="B137" t="s">
        <v>124</v>
      </c>
      <c r="C137">
        <v>226091</v>
      </c>
      <c r="D137">
        <v>13140</v>
      </c>
      <c r="E137">
        <v>2016</v>
      </c>
      <c r="F137" s="7">
        <v>3380</v>
      </c>
      <c r="G137" s="7">
        <v>2167</v>
      </c>
      <c r="H137" s="7">
        <v>14</v>
      </c>
      <c r="I137">
        <v>0.46700000000000003</v>
      </c>
      <c r="J137">
        <v>0.17899999999999999</v>
      </c>
      <c r="K137">
        <v>400286</v>
      </c>
    </row>
    <row r="138" spans="1:11">
      <c r="A138" t="s">
        <v>125</v>
      </c>
      <c r="B138" t="s">
        <v>125</v>
      </c>
      <c r="C138">
        <v>213543</v>
      </c>
      <c r="D138">
        <v>10900</v>
      </c>
      <c r="E138">
        <v>2016</v>
      </c>
      <c r="F138" s="7">
        <v>2561</v>
      </c>
      <c r="G138" s="7">
        <v>2293</v>
      </c>
      <c r="H138" s="7">
        <v>13</v>
      </c>
      <c r="I138">
        <v>0.59399999999999997</v>
      </c>
      <c r="J138">
        <v>0.68799999999999994</v>
      </c>
      <c r="K138">
        <v>843356</v>
      </c>
    </row>
    <row r="139" spans="1:11">
      <c r="A139" t="s">
        <v>126</v>
      </c>
      <c r="B139" t="s">
        <v>126</v>
      </c>
      <c r="C139">
        <v>232557</v>
      </c>
      <c r="D139">
        <v>31340</v>
      </c>
      <c r="E139">
        <v>2016</v>
      </c>
      <c r="F139" s="7">
        <v>6625</v>
      </c>
      <c r="G139" s="7">
        <v>4678</v>
      </c>
      <c r="H139" s="7">
        <v>11</v>
      </c>
      <c r="I139">
        <v>0.5</v>
      </c>
      <c r="J139">
        <v>0.69699999999999995</v>
      </c>
      <c r="K139">
        <v>258862</v>
      </c>
    </row>
    <row r="140" spans="1:11">
      <c r="A140" t="s">
        <v>127</v>
      </c>
      <c r="B140" t="s">
        <v>127</v>
      </c>
      <c r="C140">
        <v>219976</v>
      </c>
      <c r="D140">
        <v>34980</v>
      </c>
      <c r="E140">
        <v>2016</v>
      </c>
      <c r="F140" s="7">
        <v>3000</v>
      </c>
      <c r="G140" s="7">
        <v>3410</v>
      </c>
      <c r="H140" s="7">
        <v>14</v>
      </c>
      <c r="I140">
        <v>0.71899999999999997</v>
      </c>
      <c r="J140">
        <v>0.7</v>
      </c>
      <c r="K140">
        <v>1864558</v>
      </c>
    </row>
    <row r="141" spans="1:11">
      <c r="A141" t="s">
        <v>1282</v>
      </c>
      <c r="B141" t="s">
        <v>1282</v>
      </c>
      <c r="C141">
        <v>106245</v>
      </c>
      <c r="D141">
        <v>30780</v>
      </c>
      <c r="E141">
        <v>2016</v>
      </c>
      <c r="F141" s="7">
        <v>3806</v>
      </c>
      <c r="G141" s="7">
        <v>4634</v>
      </c>
      <c r="H141" s="7">
        <v>8</v>
      </c>
      <c r="I141">
        <v>0.5</v>
      </c>
      <c r="J141">
        <v>0.85699999999999998</v>
      </c>
      <c r="K141">
        <v>735686</v>
      </c>
    </row>
    <row r="142" spans="1:11">
      <c r="A142" t="s">
        <v>128</v>
      </c>
      <c r="B142" t="s">
        <v>1246</v>
      </c>
      <c r="C142">
        <v>192448</v>
      </c>
      <c r="D142">
        <v>35620</v>
      </c>
      <c r="E142">
        <v>2016</v>
      </c>
      <c r="F142" s="7">
        <v>2766</v>
      </c>
      <c r="G142" s="7">
        <v>2705</v>
      </c>
      <c r="H142" s="7">
        <v>13</v>
      </c>
      <c r="I142">
        <v>0.5</v>
      </c>
      <c r="J142">
        <v>0.78100000000000003</v>
      </c>
      <c r="K142">
        <v>19945132</v>
      </c>
    </row>
    <row r="143" spans="1:11">
      <c r="A143" t="s">
        <v>129</v>
      </c>
      <c r="B143" t="s">
        <v>1259</v>
      </c>
      <c r="C143">
        <v>117946</v>
      </c>
      <c r="D143">
        <v>31080</v>
      </c>
      <c r="E143">
        <v>2016</v>
      </c>
      <c r="F143" s="7">
        <v>5435</v>
      </c>
      <c r="G143" s="7">
        <v>4708</v>
      </c>
      <c r="H143" s="7">
        <v>14</v>
      </c>
      <c r="I143">
        <v>0.72699999999999998</v>
      </c>
      <c r="J143">
        <v>0.74199999999999999</v>
      </c>
      <c r="K143">
        <v>13297429</v>
      </c>
    </row>
    <row r="144" spans="1:11">
      <c r="A144" t="s">
        <v>130</v>
      </c>
      <c r="B144" t="s">
        <v>130</v>
      </c>
      <c r="C144">
        <v>110583</v>
      </c>
      <c r="D144">
        <v>31080</v>
      </c>
      <c r="E144">
        <v>2016</v>
      </c>
      <c r="F144" s="7">
        <v>17291</v>
      </c>
      <c r="G144" s="7">
        <v>17708</v>
      </c>
      <c r="H144" s="7">
        <v>19</v>
      </c>
      <c r="I144">
        <v>0.80600000000000005</v>
      </c>
      <c r="J144">
        <v>0.84399999999999997</v>
      </c>
      <c r="K144">
        <v>13297429</v>
      </c>
    </row>
    <row r="145" spans="1:11">
      <c r="A145" t="s">
        <v>131</v>
      </c>
      <c r="B145" t="s">
        <v>131</v>
      </c>
      <c r="C145">
        <v>232566</v>
      </c>
      <c r="D145">
        <v>40060</v>
      </c>
      <c r="E145">
        <v>2016</v>
      </c>
      <c r="F145" s="7" t="s">
        <v>1328</v>
      </c>
      <c r="G145" s="7" t="s">
        <v>1328</v>
      </c>
      <c r="H145" s="7" t="s">
        <v>1328</v>
      </c>
      <c r="I145" t="s">
        <v>1328</v>
      </c>
      <c r="J145" t="s">
        <v>1328</v>
      </c>
      <c r="K145">
        <v>1267408</v>
      </c>
    </row>
    <row r="146" spans="1:11">
      <c r="A146" t="s">
        <v>132</v>
      </c>
      <c r="B146" t="s">
        <v>132</v>
      </c>
      <c r="C146">
        <v>160658</v>
      </c>
      <c r="D146">
        <v>29180</v>
      </c>
      <c r="E146">
        <v>2016</v>
      </c>
      <c r="F146" s="7">
        <v>3785</v>
      </c>
      <c r="G146" s="7">
        <v>5060</v>
      </c>
      <c r="H146" s="7">
        <v>12</v>
      </c>
      <c r="I146">
        <v>0.20699999999999999</v>
      </c>
      <c r="J146">
        <v>0.60599999999999998</v>
      </c>
      <c r="K146">
        <v>483889</v>
      </c>
    </row>
    <row r="147" spans="1:11">
      <c r="A147" t="s">
        <v>133</v>
      </c>
      <c r="B147" t="s">
        <v>133</v>
      </c>
      <c r="C147">
        <v>159647</v>
      </c>
      <c r="D147">
        <v>40820</v>
      </c>
      <c r="E147">
        <v>2016</v>
      </c>
      <c r="F147" s="7">
        <v>2747</v>
      </c>
      <c r="G147" s="7">
        <v>2314</v>
      </c>
      <c r="H147" s="7">
        <v>12</v>
      </c>
      <c r="I147">
        <v>0.33300000000000002</v>
      </c>
      <c r="J147">
        <v>0.3</v>
      </c>
      <c r="K147">
        <v>48584</v>
      </c>
    </row>
    <row r="148" spans="1:11">
      <c r="A148" t="s">
        <v>134</v>
      </c>
      <c r="B148" t="s">
        <v>134</v>
      </c>
      <c r="C148">
        <v>157289</v>
      </c>
      <c r="D148">
        <v>31140</v>
      </c>
      <c r="E148">
        <v>2016</v>
      </c>
      <c r="F148" s="7">
        <v>34334</v>
      </c>
      <c r="G148" s="7">
        <v>26352</v>
      </c>
      <c r="H148" s="7">
        <v>17</v>
      </c>
      <c r="I148">
        <v>0.78100000000000003</v>
      </c>
      <c r="J148">
        <v>0.5</v>
      </c>
      <c r="K148">
        <v>1263416</v>
      </c>
    </row>
    <row r="149" spans="1:11">
      <c r="A149" t="s">
        <v>135</v>
      </c>
      <c r="B149" t="s">
        <v>135</v>
      </c>
      <c r="C149">
        <v>146719</v>
      </c>
      <c r="D149">
        <v>16980</v>
      </c>
      <c r="E149">
        <v>2016</v>
      </c>
      <c r="F149" s="7">
        <v>4144</v>
      </c>
      <c r="G149" s="7">
        <v>2772</v>
      </c>
      <c r="H149" s="7">
        <v>12</v>
      </c>
      <c r="I149">
        <v>0.625</v>
      </c>
      <c r="J149">
        <v>0.32100000000000001</v>
      </c>
      <c r="K149">
        <v>9654839</v>
      </c>
    </row>
    <row r="150" spans="1:11">
      <c r="A150" t="s">
        <v>1283</v>
      </c>
      <c r="B150" t="s">
        <v>1283</v>
      </c>
      <c r="C150">
        <v>163046</v>
      </c>
      <c r="D150">
        <v>12580</v>
      </c>
      <c r="E150">
        <v>2016</v>
      </c>
      <c r="F150" s="7">
        <v>1894</v>
      </c>
      <c r="G150" s="7">
        <v>1558</v>
      </c>
      <c r="H150" s="7">
        <v>10</v>
      </c>
      <c r="I150">
        <v>0.19400000000000001</v>
      </c>
      <c r="J150">
        <v>6.9000000000000006E-2</v>
      </c>
      <c r="K150">
        <v>2821292</v>
      </c>
    </row>
    <row r="151" spans="1:11">
      <c r="A151" t="s">
        <v>136</v>
      </c>
      <c r="B151" t="s">
        <v>136</v>
      </c>
      <c r="C151">
        <v>159391</v>
      </c>
      <c r="D151">
        <v>12940</v>
      </c>
      <c r="E151">
        <v>2016</v>
      </c>
      <c r="F151" s="7">
        <v>12673</v>
      </c>
      <c r="G151" s="7">
        <v>9027</v>
      </c>
      <c r="H151" s="7">
        <v>11</v>
      </c>
      <c r="I151">
        <v>0.31</v>
      </c>
      <c r="J151">
        <v>0.69</v>
      </c>
      <c r="K151">
        <v>864779</v>
      </c>
    </row>
    <row r="152" spans="1:11">
      <c r="A152" t="s">
        <v>137</v>
      </c>
      <c r="B152" t="s">
        <v>137</v>
      </c>
      <c r="C152">
        <v>161253</v>
      </c>
      <c r="D152">
        <v>12620</v>
      </c>
      <c r="E152">
        <v>2016</v>
      </c>
      <c r="F152" s="7" t="s">
        <v>1328</v>
      </c>
      <c r="G152" s="7" t="s">
        <v>1328</v>
      </c>
      <c r="H152" s="7" t="s">
        <v>1328</v>
      </c>
      <c r="I152" t="s">
        <v>1328</v>
      </c>
      <c r="J152" t="s">
        <v>1328</v>
      </c>
      <c r="K152">
        <v>151714</v>
      </c>
    </row>
    <row r="153" spans="1:11">
      <c r="A153" t="s">
        <v>138</v>
      </c>
      <c r="B153" t="s">
        <v>138</v>
      </c>
      <c r="C153">
        <v>192703</v>
      </c>
      <c r="D153">
        <v>35620</v>
      </c>
      <c r="E153">
        <v>2016</v>
      </c>
      <c r="F153" s="7">
        <v>2310</v>
      </c>
      <c r="G153" s="7">
        <v>1966</v>
      </c>
      <c r="H153" s="7">
        <v>11</v>
      </c>
      <c r="I153">
        <v>0.58799999999999997</v>
      </c>
      <c r="J153">
        <v>0.61799999999999999</v>
      </c>
      <c r="K153">
        <v>19945132</v>
      </c>
    </row>
    <row r="154" spans="1:11">
      <c r="A154" t="s">
        <v>139</v>
      </c>
      <c r="B154" t="s">
        <v>139</v>
      </c>
      <c r="C154">
        <v>192819</v>
      </c>
      <c r="D154">
        <v>39100</v>
      </c>
      <c r="E154">
        <v>2016</v>
      </c>
      <c r="F154" s="7">
        <v>2343</v>
      </c>
      <c r="G154" s="7">
        <v>2472</v>
      </c>
      <c r="H154" s="7">
        <v>13</v>
      </c>
      <c r="I154">
        <v>0.67700000000000005</v>
      </c>
      <c r="J154">
        <v>0.80600000000000005</v>
      </c>
      <c r="K154">
        <v>682352</v>
      </c>
    </row>
    <row r="155" spans="1:11">
      <c r="A155" t="s">
        <v>1284</v>
      </c>
      <c r="B155" t="s">
        <v>1284</v>
      </c>
      <c r="C155">
        <v>239105</v>
      </c>
      <c r="D155">
        <v>33340</v>
      </c>
      <c r="E155">
        <v>2016</v>
      </c>
      <c r="F155" s="7">
        <v>7579</v>
      </c>
      <c r="G155" s="7">
        <v>10487</v>
      </c>
      <c r="H155" s="7">
        <v>13</v>
      </c>
      <c r="I155">
        <v>0.64700000000000002</v>
      </c>
      <c r="J155">
        <v>0.72699999999999998</v>
      </c>
      <c r="K155">
        <v>1574201</v>
      </c>
    </row>
    <row r="156" spans="1:11">
      <c r="A156" t="s">
        <v>140</v>
      </c>
      <c r="B156" t="s">
        <v>140</v>
      </c>
      <c r="C156">
        <v>237525</v>
      </c>
      <c r="D156">
        <v>26580</v>
      </c>
      <c r="E156">
        <v>2016</v>
      </c>
      <c r="F156" s="7">
        <v>4204</v>
      </c>
      <c r="G156" s="7">
        <v>6642</v>
      </c>
      <c r="H156" s="7">
        <v>9</v>
      </c>
      <c r="I156">
        <v>0.53300000000000003</v>
      </c>
      <c r="J156">
        <v>0.5</v>
      </c>
      <c r="K156">
        <v>368494</v>
      </c>
    </row>
    <row r="157" spans="1:11">
      <c r="A157" t="s">
        <v>141</v>
      </c>
      <c r="B157" t="s">
        <v>141</v>
      </c>
      <c r="C157">
        <v>163286</v>
      </c>
      <c r="D157">
        <v>47900</v>
      </c>
      <c r="E157">
        <v>2016</v>
      </c>
      <c r="F157" s="7">
        <v>20027</v>
      </c>
      <c r="G157" s="7">
        <v>15387</v>
      </c>
      <c r="H157" s="7">
        <v>16</v>
      </c>
      <c r="I157">
        <v>0.441</v>
      </c>
      <c r="J157">
        <v>0.32300000000000001</v>
      </c>
      <c r="K157">
        <v>6194690</v>
      </c>
    </row>
    <row r="158" spans="1:11">
      <c r="A158" t="s">
        <v>142</v>
      </c>
      <c r="B158" t="s">
        <v>142</v>
      </c>
      <c r="C158">
        <v>166629</v>
      </c>
      <c r="D158">
        <v>44140</v>
      </c>
      <c r="E158">
        <v>2016</v>
      </c>
      <c r="F158" s="7" t="s">
        <v>1328</v>
      </c>
      <c r="G158" s="7" t="s">
        <v>1328</v>
      </c>
      <c r="H158" s="7" t="s">
        <v>1328</v>
      </c>
      <c r="I158" t="s">
        <v>1328</v>
      </c>
      <c r="J158" t="s">
        <v>1328</v>
      </c>
      <c r="K158">
        <v>701824</v>
      </c>
    </row>
    <row r="159" spans="1:11">
      <c r="A159" t="s">
        <v>143</v>
      </c>
      <c r="B159" t="s">
        <v>143</v>
      </c>
      <c r="C159">
        <v>159717</v>
      </c>
      <c r="D159">
        <v>29340</v>
      </c>
      <c r="E159">
        <v>2016</v>
      </c>
      <c r="F159" s="7">
        <v>3224</v>
      </c>
      <c r="G159" s="7">
        <v>2825</v>
      </c>
      <c r="H159" s="7">
        <v>12</v>
      </c>
      <c r="I159">
        <v>0.45500000000000002</v>
      </c>
      <c r="J159">
        <v>0.46899999999999997</v>
      </c>
      <c r="K159">
        <v>215028</v>
      </c>
    </row>
    <row r="160" spans="1:11">
      <c r="A160" t="s">
        <v>144</v>
      </c>
      <c r="B160" t="s">
        <v>144</v>
      </c>
      <c r="C160">
        <v>220862</v>
      </c>
      <c r="D160">
        <v>32820</v>
      </c>
      <c r="E160">
        <v>2016</v>
      </c>
      <c r="F160" s="7">
        <v>8964</v>
      </c>
      <c r="G160" s="7">
        <v>9108</v>
      </c>
      <c r="H160" s="7">
        <v>17</v>
      </c>
      <c r="I160">
        <v>0.57599999999999996</v>
      </c>
      <c r="J160">
        <v>0.67600000000000005</v>
      </c>
      <c r="K160">
        <v>1330255</v>
      </c>
    </row>
    <row r="161" spans="1:11">
      <c r="A161" t="s">
        <v>145</v>
      </c>
      <c r="B161" t="s">
        <v>145</v>
      </c>
      <c r="C161">
        <v>140447</v>
      </c>
      <c r="D161">
        <v>31420</v>
      </c>
      <c r="E161">
        <v>2016</v>
      </c>
      <c r="F161" s="7">
        <v>2658</v>
      </c>
      <c r="G161" s="7">
        <v>1718</v>
      </c>
      <c r="H161" s="7">
        <v>11</v>
      </c>
      <c r="I161">
        <v>0.34499999999999997</v>
      </c>
      <c r="J161">
        <v>0.35499999999999998</v>
      </c>
      <c r="K161">
        <v>231502</v>
      </c>
    </row>
    <row r="162" spans="1:11">
      <c r="A162" t="s">
        <v>1285</v>
      </c>
      <c r="B162" t="s">
        <v>1286</v>
      </c>
      <c r="C162">
        <v>135726</v>
      </c>
      <c r="D162">
        <v>33100</v>
      </c>
      <c r="E162">
        <v>2016</v>
      </c>
      <c r="F162" s="7">
        <v>7544</v>
      </c>
      <c r="G162" s="7">
        <v>5875</v>
      </c>
      <c r="H162" s="7">
        <v>15</v>
      </c>
      <c r="I162">
        <v>0.67700000000000005</v>
      </c>
      <c r="J162">
        <v>0.71</v>
      </c>
      <c r="K162">
        <v>6031735</v>
      </c>
    </row>
    <row r="163" spans="1:11">
      <c r="A163" t="s">
        <v>146</v>
      </c>
      <c r="B163" t="s">
        <v>1260</v>
      </c>
      <c r="C163">
        <v>204024</v>
      </c>
      <c r="D163">
        <v>17140</v>
      </c>
      <c r="E163">
        <v>2016</v>
      </c>
      <c r="F163" s="7">
        <v>3637</v>
      </c>
      <c r="G163" s="7">
        <v>2984</v>
      </c>
      <c r="H163" s="7">
        <v>12</v>
      </c>
      <c r="I163">
        <v>0.67700000000000005</v>
      </c>
      <c r="J163">
        <v>0.67700000000000005</v>
      </c>
      <c r="K163">
        <v>2209105</v>
      </c>
    </row>
    <row r="164" spans="1:11">
      <c r="A164" t="s">
        <v>147</v>
      </c>
      <c r="B164" t="s">
        <v>147</v>
      </c>
      <c r="C164">
        <v>170976</v>
      </c>
      <c r="D164">
        <v>11460</v>
      </c>
      <c r="E164">
        <v>2016</v>
      </c>
      <c r="F164" s="7">
        <v>23021</v>
      </c>
      <c r="G164" s="7">
        <v>19040</v>
      </c>
      <c r="H164" s="7">
        <v>16</v>
      </c>
      <c r="I164">
        <v>0.60599999999999998</v>
      </c>
      <c r="J164">
        <v>0.433</v>
      </c>
      <c r="K164">
        <v>370179</v>
      </c>
    </row>
    <row r="165" spans="1:11">
      <c r="A165" t="s">
        <v>148</v>
      </c>
      <c r="B165" t="s">
        <v>148</v>
      </c>
      <c r="C165">
        <v>171100</v>
      </c>
      <c r="D165">
        <v>29620</v>
      </c>
      <c r="E165">
        <v>2016</v>
      </c>
      <c r="F165" s="7">
        <v>37333</v>
      </c>
      <c r="G165" s="7">
        <v>43918</v>
      </c>
      <c r="H165" s="7">
        <v>13</v>
      </c>
      <c r="I165">
        <v>0.57599999999999996</v>
      </c>
      <c r="J165">
        <v>0.57599999999999996</v>
      </c>
      <c r="K165">
        <v>540409</v>
      </c>
    </row>
    <row r="166" spans="1:11">
      <c r="A166" t="s">
        <v>149</v>
      </c>
      <c r="B166" t="s">
        <v>149</v>
      </c>
      <c r="C166">
        <v>220978</v>
      </c>
      <c r="D166">
        <v>34980</v>
      </c>
      <c r="E166">
        <v>2016</v>
      </c>
      <c r="F166" s="7">
        <v>4400</v>
      </c>
      <c r="G166" s="7">
        <v>4800</v>
      </c>
      <c r="H166" s="7">
        <v>16</v>
      </c>
      <c r="I166">
        <v>0.26700000000000002</v>
      </c>
      <c r="J166">
        <v>0.3</v>
      </c>
      <c r="K166">
        <v>1864558</v>
      </c>
    </row>
    <row r="167" spans="1:11">
      <c r="A167" t="s">
        <v>1287</v>
      </c>
      <c r="B167" t="s">
        <v>1287</v>
      </c>
      <c r="C167">
        <v>240453</v>
      </c>
      <c r="D167">
        <v>33340</v>
      </c>
      <c r="E167">
        <v>2016</v>
      </c>
      <c r="F167" s="7">
        <v>4626</v>
      </c>
      <c r="G167" s="7">
        <v>4883</v>
      </c>
      <c r="H167" s="7">
        <v>11</v>
      </c>
      <c r="I167">
        <v>0.3</v>
      </c>
      <c r="J167">
        <v>0.54800000000000004</v>
      </c>
      <c r="K167">
        <v>1574201</v>
      </c>
    </row>
    <row r="168" spans="1:11">
      <c r="A168" t="s">
        <v>150</v>
      </c>
      <c r="B168" t="s">
        <v>150</v>
      </c>
      <c r="C168">
        <v>174066</v>
      </c>
      <c r="D168">
        <v>33460</v>
      </c>
      <c r="E168">
        <v>2016</v>
      </c>
      <c r="F168" s="7">
        <v>62574</v>
      </c>
      <c r="G168" s="7">
        <v>50149</v>
      </c>
      <c r="H168" s="7">
        <v>15</v>
      </c>
      <c r="I168">
        <v>0.85699999999999998</v>
      </c>
      <c r="J168">
        <v>0.61299999999999999</v>
      </c>
      <c r="K168">
        <v>3562548</v>
      </c>
    </row>
    <row r="169" spans="1:11">
      <c r="A169" t="s">
        <v>151</v>
      </c>
      <c r="B169" t="s">
        <v>151</v>
      </c>
      <c r="C169">
        <v>176080</v>
      </c>
      <c r="D169">
        <v>44260</v>
      </c>
      <c r="E169">
        <v>2016</v>
      </c>
      <c r="F169" s="7">
        <v>9161</v>
      </c>
      <c r="G169" s="7">
        <v>8112</v>
      </c>
      <c r="H169" s="7">
        <v>16</v>
      </c>
      <c r="I169">
        <v>0.53100000000000003</v>
      </c>
      <c r="J169">
        <v>0.21199999999999999</v>
      </c>
      <c r="K169">
        <v>60687</v>
      </c>
    </row>
    <row r="170" spans="1:11">
      <c r="A170" t="s">
        <v>152</v>
      </c>
      <c r="B170" t="s">
        <v>152</v>
      </c>
      <c r="C170">
        <v>176044</v>
      </c>
      <c r="D170">
        <v>24900</v>
      </c>
      <c r="E170">
        <v>2016</v>
      </c>
      <c r="F170" s="7">
        <v>1507</v>
      </c>
      <c r="G170" s="7">
        <v>2152</v>
      </c>
      <c r="H170" s="7">
        <v>8</v>
      </c>
      <c r="I170">
        <v>9.0999999999999998E-2</v>
      </c>
      <c r="J170">
        <v>0.13300000000000001</v>
      </c>
      <c r="K170">
        <v>40351</v>
      </c>
    </row>
    <row r="171" spans="1:11">
      <c r="A171" t="s">
        <v>153</v>
      </c>
      <c r="B171" t="s">
        <v>153</v>
      </c>
      <c r="C171">
        <v>178396</v>
      </c>
      <c r="D171">
        <v>17860</v>
      </c>
      <c r="E171">
        <v>2016</v>
      </c>
      <c r="F171" s="7">
        <v>32477</v>
      </c>
      <c r="G171" s="7">
        <v>26505</v>
      </c>
      <c r="H171" s="7">
        <v>11</v>
      </c>
      <c r="I171">
        <v>0.81799999999999995</v>
      </c>
      <c r="J171">
        <v>0.48499999999999999</v>
      </c>
      <c r="K171">
        <v>204912</v>
      </c>
    </row>
    <row r="172" spans="1:11">
      <c r="A172" t="s">
        <v>154</v>
      </c>
      <c r="B172" t="s">
        <v>154</v>
      </c>
      <c r="C172">
        <v>179566</v>
      </c>
      <c r="D172">
        <v>44180</v>
      </c>
      <c r="E172">
        <v>2016</v>
      </c>
      <c r="F172" s="7">
        <v>9214</v>
      </c>
      <c r="G172" s="7">
        <v>7804</v>
      </c>
      <c r="H172" s="7">
        <v>16</v>
      </c>
      <c r="I172">
        <v>0.68600000000000005</v>
      </c>
      <c r="J172">
        <v>0.625</v>
      </c>
      <c r="K172">
        <v>458977</v>
      </c>
    </row>
    <row r="173" spans="1:11">
      <c r="A173" t="s">
        <v>155</v>
      </c>
      <c r="B173" t="s">
        <v>155</v>
      </c>
      <c r="C173">
        <v>185572</v>
      </c>
      <c r="D173">
        <v>35620</v>
      </c>
      <c r="E173">
        <v>2016</v>
      </c>
      <c r="F173" s="7" t="s">
        <v>1328</v>
      </c>
      <c r="G173" s="7" t="s">
        <v>1328</v>
      </c>
      <c r="H173" s="7" t="s">
        <v>1328</v>
      </c>
      <c r="I173" t="s">
        <v>1328</v>
      </c>
      <c r="J173" t="s">
        <v>1328</v>
      </c>
      <c r="K173">
        <v>19945132</v>
      </c>
    </row>
    <row r="174" spans="1:11">
      <c r="A174" t="s">
        <v>156</v>
      </c>
      <c r="B174" t="s">
        <v>156</v>
      </c>
      <c r="C174">
        <v>180489</v>
      </c>
      <c r="D174">
        <v>33540</v>
      </c>
      <c r="E174">
        <v>2016</v>
      </c>
      <c r="F174" s="7">
        <v>3898</v>
      </c>
      <c r="G174" s="7">
        <v>6079</v>
      </c>
      <c r="H174" s="7">
        <v>8</v>
      </c>
      <c r="I174">
        <v>0.28599999999999998</v>
      </c>
      <c r="J174">
        <v>0.20699999999999999</v>
      </c>
      <c r="K174">
        <v>114490</v>
      </c>
    </row>
    <row r="175" spans="1:11">
      <c r="A175" t="s">
        <v>1288</v>
      </c>
      <c r="B175" t="s">
        <v>1288</v>
      </c>
      <c r="C175">
        <v>180461</v>
      </c>
      <c r="D175">
        <v>14580</v>
      </c>
      <c r="E175">
        <v>2016</v>
      </c>
      <c r="F175" s="7">
        <v>7044</v>
      </c>
      <c r="G175" s="7">
        <v>6053</v>
      </c>
      <c r="H175" s="7">
        <v>8</v>
      </c>
      <c r="I175">
        <v>0.125</v>
      </c>
      <c r="J175">
        <v>0.25</v>
      </c>
      <c r="K175">
        <v>106484</v>
      </c>
    </row>
    <row r="176" spans="1:11">
      <c r="A176" t="s">
        <v>157</v>
      </c>
      <c r="B176" t="s">
        <v>157</v>
      </c>
      <c r="C176">
        <v>157386</v>
      </c>
      <c r="D176">
        <v>30460</v>
      </c>
      <c r="E176">
        <v>2016</v>
      </c>
      <c r="F176" s="7">
        <v>6393</v>
      </c>
      <c r="G176" s="7">
        <v>8974</v>
      </c>
      <c r="H176" s="7">
        <v>13</v>
      </c>
      <c r="I176">
        <v>0.32300000000000001</v>
      </c>
      <c r="J176">
        <v>9.7000000000000003E-2</v>
      </c>
      <c r="K176">
        <v>504058</v>
      </c>
    </row>
    <row r="177" spans="1:11">
      <c r="A177" t="s">
        <v>158</v>
      </c>
      <c r="B177" t="s">
        <v>158</v>
      </c>
      <c r="C177">
        <v>163453</v>
      </c>
      <c r="D177">
        <v>12580</v>
      </c>
      <c r="E177">
        <v>2016</v>
      </c>
      <c r="F177" s="7">
        <v>1861</v>
      </c>
      <c r="G177" s="7">
        <v>1232</v>
      </c>
      <c r="H177" s="7">
        <v>7</v>
      </c>
      <c r="I177">
        <v>0.46400000000000002</v>
      </c>
      <c r="J177">
        <v>0.5</v>
      </c>
      <c r="K177">
        <v>2821292</v>
      </c>
    </row>
    <row r="178" spans="1:11">
      <c r="A178" t="s">
        <v>159</v>
      </c>
      <c r="B178" t="s">
        <v>159</v>
      </c>
      <c r="C178">
        <v>163462</v>
      </c>
      <c r="D178">
        <v>23900</v>
      </c>
      <c r="E178">
        <v>2016</v>
      </c>
      <c r="F178" s="7" t="s">
        <v>1328</v>
      </c>
      <c r="G178" s="7" t="s">
        <v>1328</v>
      </c>
      <c r="H178" s="7" t="s">
        <v>1328</v>
      </c>
      <c r="I178" t="s">
        <v>1328</v>
      </c>
      <c r="J178" t="s">
        <v>1328</v>
      </c>
      <c r="K178">
        <v>102585</v>
      </c>
    </row>
    <row r="179" spans="1:11">
      <c r="A179" t="s">
        <v>160</v>
      </c>
      <c r="B179" t="s">
        <v>160</v>
      </c>
      <c r="C179">
        <v>157401</v>
      </c>
      <c r="D179">
        <v>34660</v>
      </c>
      <c r="E179">
        <v>2016</v>
      </c>
      <c r="F179" s="7">
        <v>5207</v>
      </c>
      <c r="G179" s="7">
        <v>5566</v>
      </c>
      <c r="H179" s="7">
        <v>11</v>
      </c>
      <c r="I179">
        <v>0.9</v>
      </c>
      <c r="J179">
        <v>0.81299999999999994</v>
      </c>
      <c r="K179">
        <v>37459</v>
      </c>
    </row>
    <row r="180" spans="1:11">
      <c r="A180" t="s">
        <v>161</v>
      </c>
      <c r="B180" t="s">
        <v>161</v>
      </c>
      <c r="C180">
        <v>199102</v>
      </c>
      <c r="D180">
        <v>24660</v>
      </c>
      <c r="E180">
        <v>2016</v>
      </c>
      <c r="F180" s="7">
        <v>1453</v>
      </c>
      <c r="G180" s="7">
        <v>1082</v>
      </c>
      <c r="H180" s="7">
        <v>9</v>
      </c>
      <c r="I180">
        <v>0.33300000000000002</v>
      </c>
      <c r="J180">
        <v>0.214</v>
      </c>
      <c r="K180">
        <v>759364</v>
      </c>
    </row>
    <row r="181" spans="1:11">
      <c r="A181" t="s">
        <v>162</v>
      </c>
      <c r="B181" t="s">
        <v>162</v>
      </c>
      <c r="C181">
        <v>199157</v>
      </c>
      <c r="D181">
        <v>20500</v>
      </c>
      <c r="E181">
        <v>2016</v>
      </c>
      <c r="F181" s="7">
        <v>2847</v>
      </c>
      <c r="G181" s="7">
        <v>2702</v>
      </c>
      <c r="H181" s="7">
        <v>9</v>
      </c>
      <c r="I181">
        <v>0.17199999999999999</v>
      </c>
      <c r="J181">
        <v>0.13800000000000001</v>
      </c>
      <c r="K181">
        <v>617871</v>
      </c>
    </row>
    <row r="182" spans="1:11">
      <c r="A182" t="s">
        <v>1289</v>
      </c>
      <c r="B182" t="s">
        <v>1289</v>
      </c>
      <c r="C182">
        <v>500000</v>
      </c>
      <c r="D182">
        <v>47900</v>
      </c>
      <c r="E182">
        <v>2016</v>
      </c>
      <c r="F182" s="7">
        <v>4906</v>
      </c>
      <c r="G182" s="7">
        <v>3377</v>
      </c>
      <c r="H182" s="7">
        <v>12</v>
      </c>
      <c r="I182">
        <v>0.31</v>
      </c>
      <c r="J182">
        <v>0.53800000000000003</v>
      </c>
      <c r="K182">
        <v>6194690</v>
      </c>
    </row>
    <row r="183" spans="1:11">
      <c r="A183" t="s">
        <v>163</v>
      </c>
      <c r="B183" t="s">
        <v>163</v>
      </c>
      <c r="C183">
        <v>199193</v>
      </c>
      <c r="D183">
        <v>39580</v>
      </c>
      <c r="E183">
        <v>2016</v>
      </c>
      <c r="F183" s="7">
        <v>8712</v>
      </c>
      <c r="G183" s="7">
        <v>9879</v>
      </c>
      <c r="H183" s="7">
        <v>16</v>
      </c>
      <c r="I183">
        <v>0.5</v>
      </c>
      <c r="J183">
        <v>0.53300000000000003</v>
      </c>
      <c r="K183">
        <v>1304489</v>
      </c>
    </row>
    <row r="184" spans="1:11">
      <c r="A184" t="s">
        <v>164</v>
      </c>
      <c r="B184" t="s">
        <v>164</v>
      </c>
      <c r="C184">
        <v>181464</v>
      </c>
      <c r="D184">
        <v>30700</v>
      </c>
      <c r="E184">
        <v>2016</v>
      </c>
      <c r="F184" s="7">
        <v>147714</v>
      </c>
      <c r="G184" s="7">
        <v>145493</v>
      </c>
      <c r="H184" s="7">
        <v>18</v>
      </c>
      <c r="I184">
        <v>0.88900000000000001</v>
      </c>
      <c r="J184">
        <v>0.69699999999999995</v>
      </c>
      <c r="K184">
        <v>329397</v>
      </c>
    </row>
    <row r="185" spans="1:11">
      <c r="A185" t="s">
        <v>165</v>
      </c>
      <c r="B185" t="s">
        <v>165</v>
      </c>
      <c r="C185">
        <v>182290</v>
      </c>
      <c r="D185">
        <v>39900</v>
      </c>
      <c r="E185">
        <v>2016</v>
      </c>
      <c r="F185" s="7">
        <v>4268</v>
      </c>
      <c r="G185" s="7">
        <v>4382</v>
      </c>
      <c r="H185" s="7">
        <v>12</v>
      </c>
      <c r="I185">
        <v>0.4</v>
      </c>
      <c r="J185">
        <v>0.28599999999999998</v>
      </c>
      <c r="K185">
        <v>460369</v>
      </c>
    </row>
    <row r="186" spans="1:11">
      <c r="A186" t="s">
        <v>1290</v>
      </c>
      <c r="B186" t="s">
        <v>1290</v>
      </c>
      <c r="C186">
        <v>183044</v>
      </c>
      <c r="D186">
        <v>18180</v>
      </c>
      <c r="E186">
        <v>2016</v>
      </c>
      <c r="F186" s="7">
        <v>6282</v>
      </c>
      <c r="G186" s="7">
        <v>5357</v>
      </c>
      <c r="H186" s="7">
        <v>12</v>
      </c>
      <c r="I186">
        <v>0.7</v>
      </c>
      <c r="J186">
        <v>0.625</v>
      </c>
      <c r="K186">
        <v>150071</v>
      </c>
    </row>
    <row r="187" spans="1:11">
      <c r="A187" t="s">
        <v>166</v>
      </c>
      <c r="B187" t="s">
        <v>166</v>
      </c>
      <c r="C187">
        <v>187985</v>
      </c>
      <c r="D187">
        <v>10740</v>
      </c>
      <c r="E187">
        <v>2016</v>
      </c>
      <c r="F187" s="7">
        <v>16494</v>
      </c>
      <c r="G187" s="7">
        <v>21085</v>
      </c>
      <c r="H187" s="7">
        <v>15</v>
      </c>
      <c r="I187">
        <v>0.54800000000000004</v>
      </c>
      <c r="J187">
        <v>0.61299999999999999</v>
      </c>
      <c r="K187">
        <v>905506</v>
      </c>
    </row>
    <row r="188" spans="1:11">
      <c r="A188" t="s">
        <v>167</v>
      </c>
      <c r="B188" t="s">
        <v>167</v>
      </c>
      <c r="C188">
        <v>188030</v>
      </c>
      <c r="D188">
        <v>29740</v>
      </c>
      <c r="E188">
        <v>2016</v>
      </c>
      <c r="F188" s="7">
        <v>15299</v>
      </c>
      <c r="G188" s="7">
        <v>9299</v>
      </c>
      <c r="H188" s="7">
        <v>14</v>
      </c>
      <c r="I188">
        <v>0.82399999999999995</v>
      </c>
      <c r="J188">
        <v>0.60699999999999998</v>
      </c>
      <c r="K188">
        <v>213862</v>
      </c>
    </row>
    <row r="189" spans="1:11">
      <c r="A189" t="s">
        <v>1291</v>
      </c>
      <c r="B189" t="s">
        <v>1291</v>
      </c>
      <c r="C189">
        <v>159939</v>
      </c>
      <c r="D189">
        <v>35380</v>
      </c>
      <c r="E189">
        <v>2016</v>
      </c>
      <c r="F189" s="7">
        <v>4992</v>
      </c>
      <c r="G189" s="7">
        <v>4106</v>
      </c>
      <c r="H189" s="7">
        <v>17</v>
      </c>
      <c r="I189">
        <v>0.54300000000000004</v>
      </c>
      <c r="J189">
        <v>0.2</v>
      </c>
      <c r="K189">
        <v>1267693</v>
      </c>
    </row>
    <row r="190" spans="1:11">
      <c r="A190" t="s">
        <v>168</v>
      </c>
      <c r="B190" t="s">
        <v>168</v>
      </c>
      <c r="C190">
        <v>193973</v>
      </c>
      <c r="D190">
        <v>15380</v>
      </c>
      <c r="E190">
        <v>2016</v>
      </c>
      <c r="F190" s="7">
        <v>1115</v>
      </c>
      <c r="G190" s="7">
        <v>1552</v>
      </c>
      <c r="H190" s="7">
        <v>9</v>
      </c>
      <c r="I190">
        <v>0.433</v>
      </c>
      <c r="J190">
        <v>0.438</v>
      </c>
      <c r="K190">
        <v>1155507</v>
      </c>
    </row>
    <row r="191" spans="1:11">
      <c r="A191" t="s">
        <v>169</v>
      </c>
      <c r="B191" t="s">
        <v>1247</v>
      </c>
      <c r="C191">
        <v>159966</v>
      </c>
      <c r="D191">
        <v>26380</v>
      </c>
      <c r="E191">
        <v>2016</v>
      </c>
      <c r="F191" s="7">
        <v>3691</v>
      </c>
      <c r="G191" s="7">
        <v>2349</v>
      </c>
      <c r="H191" s="7">
        <v>8</v>
      </c>
      <c r="I191">
        <v>0.32100000000000001</v>
      </c>
      <c r="J191">
        <v>0.33300000000000002</v>
      </c>
      <c r="K191">
        <v>211190</v>
      </c>
    </row>
    <row r="192" spans="1:11">
      <c r="A192" t="s">
        <v>177</v>
      </c>
      <c r="B192" t="s">
        <v>1248</v>
      </c>
      <c r="C192">
        <v>147703</v>
      </c>
      <c r="D192">
        <v>16980</v>
      </c>
      <c r="E192">
        <v>2016</v>
      </c>
      <c r="F192" s="7">
        <v>6704</v>
      </c>
      <c r="G192" s="7">
        <v>6142</v>
      </c>
      <c r="H192" s="7">
        <v>15</v>
      </c>
      <c r="I192">
        <v>0.63300000000000001</v>
      </c>
      <c r="J192">
        <v>0.67700000000000005</v>
      </c>
      <c r="K192">
        <v>9654839</v>
      </c>
    </row>
    <row r="193" spans="1:11">
      <c r="A193" t="s">
        <v>1292</v>
      </c>
      <c r="B193" t="s">
        <v>1292</v>
      </c>
      <c r="C193">
        <v>185828</v>
      </c>
      <c r="D193">
        <v>35620</v>
      </c>
      <c r="E193">
        <v>2016</v>
      </c>
      <c r="F193" s="7">
        <v>2097</v>
      </c>
      <c r="G193" s="7">
        <v>2514</v>
      </c>
      <c r="H193" s="7">
        <v>10</v>
      </c>
      <c r="I193">
        <v>0.19400000000000001</v>
      </c>
      <c r="J193">
        <v>0.371</v>
      </c>
      <c r="K193">
        <v>19945132</v>
      </c>
    </row>
    <row r="194" spans="1:11">
      <c r="A194" t="s">
        <v>170</v>
      </c>
      <c r="B194" t="s">
        <v>170</v>
      </c>
      <c r="C194">
        <v>232937</v>
      </c>
      <c r="D194">
        <v>47260</v>
      </c>
      <c r="E194">
        <v>2016</v>
      </c>
      <c r="F194" s="7">
        <v>921</v>
      </c>
      <c r="G194" s="7">
        <v>913</v>
      </c>
      <c r="H194" s="7">
        <v>7</v>
      </c>
      <c r="I194">
        <v>0.16</v>
      </c>
      <c r="J194">
        <v>8.3000000000000004E-2</v>
      </c>
      <c r="K194">
        <v>1773787</v>
      </c>
    </row>
    <row r="195" spans="1:11">
      <c r="A195" t="s">
        <v>1257</v>
      </c>
      <c r="B195" t="s">
        <v>1256</v>
      </c>
      <c r="C195">
        <v>101879</v>
      </c>
      <c r="D195">
        <v>26620</v>
      </c>
      <c r="E195">
        <v>2016</v>
      </c>
      <c r="F195" s="7" t="s">
        <v>1328</v>
      </c>
      <c r="G195" s="7" t="s">
        <v>1328</v>
      </c>
      <c r="H195" s="7" t="s">
        <v>1328</v>
      </c>
      <c r="I195" t="s">
        <v>1328</v>
      </c>
      <c r="J195" t="s">
        <v>1328</v>
      </c>
      <c r="K195">
        <v>457597</v>
      </c>
    </row>
    <row r="196" spans="1:11">
      <c r="A196" t="s">
        <v>171</v>
      </c>
      <c r="B196" t="s">
        <v>171</v>
      </c>
      <c r="C196">
        <v>199120</v>
      </c>
      <c r="D196">
        <v>20500</v>
      </c>
      <c r="E196">
        <v>2016</v>
      </c>
      <c r="F196" s="7">
        <v>23629</v>
      </c>
      <c r="G196" s="7">
        <v>31939</v>
      </c>
      <c r="H196" s="7">
        <v>16</v>
      </c>
      <c r="I196">
        <v>0.67700000000000005</v>
      </c>
      <c r="J196">
        <v>0.90600000000000003</v>
      </c>
      <c r="K196">
        <v>617871</v>
      </c>
    </row>
    <row r="197" spans="1:11">
      <c r="A197" t="s">
        <v>172</v>
      </c>
      <c r="B197" t="s">
        <v>172</v>
      </c>
      <c r="C197">
        <v>200280</v>
      </c>
      <c r="D197">
        <v>24220</v>
      </c>
      <c r="E197">
        <v>2016</v>
      </c>
      <c r="F197" s="7">
        <v>13562</v>
      </c>
      <c r="G197" s="7">
        <v>12458</v>
      </c>
      <c r="H197" s="7">
        <v>14</v>
      </c>
      <c r="I197">
        <v>0.61799999999999999</v>
      </c>
      <c r="J197">
        <v>0.74299999999999999</v>
      </c>
      <c r="K197">
        <v>104749</v>
      </c>
    </row>
    <row r="198" spans="1:11">
      <c r="A198" t="s">
        <v>173</v>
      </c>
      <c r="B198" t="s">
        <v>173</v>
      </c>
      <c r="C198">
        <v>200332</v>
      </c>
      <c r="D198">
        <v>22020</v>
      </c>
      <c r="E198">
        <v>2016</v>
      </c>
      <c r="F198" s="7">
        <v>7905</v>
      </c>
      <c r="G198" s="7">
        <v>6835</v>
      </c>
      <c r="H198" s="7">
        <v>11</v>
      </c>
      <c r="I198">
        <v>0.61299999999999999</v>
      </c>
      <c r="J198">
        <v>0.46899999999999997</v>
      </c>
      <c r="K198">
        <v>238644</v>
      </c>
    </row>
    <row r="199" spans="1:11">
      <c r="A199" t="s">
        <v>174</v>
      </c>
      <c r="B199" t="s">
        <v>174</v>
      </c>
      <c r="C199">
        <v>136172</v>
      </c>
      <c r="D199">
        <v>27260</v>
      </c>
      <c r="E199">
        <v>2016</v>
      </c>
      <c r="F199" s="7">
        <v>4517</v>
      </c>
      <c r="G199" s="7">
        <v>4119</v>
      </c>
      <c r="H199" s="7">
        <v>11</v>
      </c>
      <c r="I199">
        <v>0.65600000000000003</v>
      </c>
      <c r="J199">
        <v>0.41899999999999998</v>
      </c>
      <c r="K199">
        <v>1492438</v>
      </c>
    </row>
    <row r="200" spans="1:11">
      <c r="A200" t="s">
        <v>175</v>
      </c>
      <c r="B200" t="s">
        <v>175</v>
      </c>
      <c r="C200">
        <v>227216</v>
      </c>
      <c r="D200">
        <v>19100</v>
      </c>
      <c r="E200">
        <v>2016</v>
      </c>
      <c r="F200" s="7">
        <v>4039</v>
      </c>
      <c r="G200" s="7">
        <v>6986</v>
      </c>
      <c r="H200" s="7">
        <v>13</v>
      </c>
      <c r="I200">
        <v>0.60599999999999998</v>
      </c>
      <c r="J200">
        <v>0.68799999999999994</v>
      </c>
      <c r="K200">
        <v>7175708</v>
      </c>
    </row>
    <row r="201" spans="1:11">
      <c r="A201" t="s">
        <v>1293</v>
      </c>
      <c r="B201" t="s">
        <v>1293</v>
      </c>
      <c r="C201">
        <v>167358</v>
      </c>
      <c r="D201">
        <v>14460</v>
      </c>
      <c r="E201">
        <v>2016</v>
      </c>
      <c r="F201" s="7">
        <v>2134</v>
      </c>
      <c r="G201" s="7">
        <v>3246</v>
      </c>
      <c r="H201" s="7">
        <v>10</v>
      </c>
      <c r="I201">
        <v>0.19400000000000001</v>
      </c>
      <c r="J201">
        <v>0.33300000000000002</v>
      </c>
      <c r="K201">
        <v>4850147</v>
      </c>
    </row>
    <row r="202" spans="1:11">
      <c r="A202" t="s">
        <v>1294</v>
      </c>
      <c r="B202" t="s">
        <v>1294</v>
      </c>
      <c r="C202">
        <v>105330</v>
      </c>
      <c r="D202">
        <v>22380</v>
      </c>
      <c r="E202">
        <v>2016</v>
      </c>
      <c r="F202" s="7">
        <v>9190</v>
      </c>
      <c r="G202" s="7">
        <v>4505</v>
      </c>
      <c r="H202" s="7">
        <v>14</v>
      </c>
      <c r="I202">
        <v>0.84799999999999998</v>
      </c>
      <c r="J202">
        <v>0.72399999999999998</v>
      </c>
      <c r="K202">
        <v>141966</v>
      </c>
    </row>
    <row r="203" spans="1:11">
      <c r="A203" t="s">
        <v>176</v>
      </c>
      <c r="B203" t="s">
        <v>176</v>
      </c>
      <c r="C203">
        <v>127741</v>
      </c>
      <c r="D203">
        <v>24540</v>
      </c>
      <c r="E203">
        <v>2016</v>
      </c>
      <c r="F203" s="7">
        <v>12288</v>
      </c>
      <c r="G203" s="7">
        <v>12548</v>
      </c>
      <c r="H203" s="7">
        <v>13</v>
      </c>
      <c r="I203">
        <v>0.46700000000000003</v>
      </c>
      <c r="J203">
        <v>0.66700000000000004</v>
      </c>
      <c r="K203">
        <v>294582</v>
      </c>
    </row>
    <row r="204" spans="1:11">
      <c r="A204" t="s">
        <v>178</v>
      </c>
      <c r="B204" t="s">
        <v>178</v>
      </c>
      <c r="C204">
        <v>157447</v>
      </c>
      <c r="D204">
        <v>17140</v>
      </c>
      <c r="E204">
        <v>2016</v>
      </c>
      <c r="F204" s="7">
        <v>1787</v>
      </c>
      <c r="G204" s="7">
        <v>2574</v>
      </c>
      <c r="H204" s="7">
        <v>8</v>
      </c>
      <c r="I204" t="s">
        <v>1328</v>
      </c>
      <c r="J204" t="s">
        <v>1328</v>
      </c>
      <c r="K204">
        <v>2209105</v>
      </c>
    </row>
    <row r="205" spans="1:11">
      <c r="A205" t="s">
        <v>179</v>
      </c>
      <c r="B205" t="s">
        <v>179</v>
      </c>
      <c r="C205">
        <v>147767</v>
      </c>
      <c r="D205">
        <v>16980</v>
      </c>
      <c r="E205">
        <v>2016</v>
      </c>
      <c r="F205" s="7">
        <v>9716</v>
      </c>
      <c r="G205" s="7">
        <v>13764</v>
      </c>
      <c r="H205" s="7">
        <v>12</v>
      </c>
      <c r="I205">
        <v>0.45200000000000001</v>
      </c>
      <c r="J205">
        <v>0.51600000000000001</v>
      </c>
      <c r="K205">
        <v>9654839</v>
      </c>
    </row>
    <row r="206" spans="1:11">
      <c r="A206" t="s">
        <v>180</v>
      </c>
      <c r="B206" t="s">
        <v>180</v>
      </c>
      <c r="C206">
        <v>160038</v>
      </c>
      <c r="D206">
        <v>35060</v>
      </c>
      <c r="E206">
        <v>2016</v>
      </c>
      <c r="F206" s="7">
        <v>2902</v>
      </c>
      <c r="G206" s="7">
        <v>3857</v>
      </c>
      <c r="H206" s="7">
        <v>9</v>
      </c>
      <c r="I206">
        <v>0.24099999999999999</v>
      </c>
      <c r="J206">
        <v>0.48499999999999999</v>
      </c>
      <c r="K206">
        <v>38829</v>
      </c>
    </row>
    <row r="207" spans="1:11">
      <c r="A207" t="s">
        <v>181</v>
      </c>
      <c r="B207" t="s">
        <v>181</v>
      </c>
      <c r="C207">
        <v>152080</v>
      </c>
      <c r="D207">
        <v>43780</v>
      </c>
      <c r="E207">
        <v>2016</v>
      </c>
      <c r="F207" s="7">
        <v>14002</v>
      </c>
      <c r="G207" s="7">
        <v>16483</v>
      </c>
      <c r="H207" s="7">
        <v>13</v>
      </c>
      <c r="I207">
        <v>0.219</v>
      </c>
      <c r="J207">
        <v>0.20699999999999999</v>
      </c>
      <c r="K207">
        <v>322094</v>
      </c>
    </row>
    <row r="208" spans="1:11">
      <c r="A208" t="s">
        <v>182</v>
      </c>
      <c r="B208" t="s">
        <v>182</v>
      </c>
      <c r="C208">
        <v>171571</v>
      </c>
      <c r="D208">
        <v>19820</v>
      </c>
      <c r="E208">
        <v>2016</v>
      </c>
      <c r="F208" s="7">
        <v>3796</v>
      </c>
      <c r="G208" s="7">
        <v>6980</v>
      </c>
      <c r="H208" s="7">
        <v>12</v>
      </c>
      <c r="I208">
        <v>0.58099999999999996</v>
      </c>
      <c r="J208">
        <v>0.68799999999999994</v>
      </c>
      <c r="K208">
        <v>4368028</v>
      </c>
    </row>
    <row r="209" spans="1:11">
      <c r="A209" t="s">
        <v>183</v>
      </c>
      <c r="B209" t="s">
        <v>183</v>
      </c>
      <c r="C209">
        <v>204857</v>
      </c>
      <c r="D209">
        <v>11900</v>
      </c>
      <c r="E209">
        <v>2016</v>
      </c>
      <c r="F209" s="7">
        <v>30906</v>
      </c>
      <c r="G209" s="7">
        <v>23783</v>
      </c>
      <c r="H209" s="7">
        <v>14</v>
      </c>
      <c r="I209">
        <v>0.75800000000000001</v>
      </c>
      <c r="J209">
        <v>0.79300000000000004</v>
      </c>
      <c r="K209">
        <v>64461</v>
      </c>
    </row>
    <row r="210" spans="1:11">
      <c r="A210" t="s">
        <v>184</v>
      </c>
      <c r="B210" t="s">
        <v>184</v>
      </c>
      <c r="C210">
        <v>204796</v>
      </c>
      <c r="D210">
        <v>18140</v>
      </c>
      <c r="E210">
        <v>2016</v>
      </c>
      <c r="F210" s="7">
        <v>27263</v>
      </c>
      <c r="G210" s="7">
        <v>23544</v>
      </c>
      <c r="H210" s="7">
        <v>15</v>
      </c>
      <c r="I210">
        <v>0.71399999999999997</v>
      </c>
      <c r="J210">
        <v>0.65700000000000003</v>
      </c>
      <c r="K210">
        <v>2054988</v>
      </c>
    </row>
    <row r="211" spans="1:11">
      <c r="A211" t="s">
        <v>185</v>
      </c>
      <c r="B211" t="s">
        <v>185</v>
      </c>
      <c r="C211">
        <v>207500</v>
      </c>
      <c r="D211">
        <v>36420</v>
      </c>
      <c r="E211">
        <v>2016</v>
      </c>
      <c r="F211" s="7">
        <v>11034</v>
      </c>
      <c r="G211" s="7">
        <v>12246</v>
      </c>
      <c r="H211" s="7">
        <v>15</v>
      </c>
      <c r="I211">
        <v>0.42899999999999999</v>
      </c>
      <c r="J211">
        <v>0.64500000000000002</v>
      </c>
      <c r="K211">
        <v>1375610</v>
      </c>
    </row>
    <row r="212" spans="1:11">
      <c r="A212" t="s">
        <v>186</v>
      </c>
      <c r="B212" t="s">
        <v>186</v>
      </c>
      <c r="C212">
        <v>207388</v>
      </c>
      <c r="D212">
        <v>44660</v>
      </c>
      <c r="E212">
        <v>2016</v>
      </c>
      <c r="F212" s="7" t="s">
        <v>1328</v>
      </c>
      <c r="G212" s="7" t="s">
        <v>1328</v>
      </c>
      <c r="H212" s="7" t="s">
        <v>1328</v>
      </c>
      <c r="I212" t="s">
        <v>1328</v>
      </c>
      <c r="J212" t="s">
        <v>1328</v>
      </c>
      <c r="K212">
        <v>81842</v>
      </c>
    </row>
    <row r="213" spans="1:11">
      <c r="A213" t="s">
        <v>1295</v>
      </c>
      <c r="B213" t="s">
        <v>1295</v>
      </c>
      <c r="C213">
        <v>232982</v>
      </c>
      <c r="D213">
        <v>47260</v>
      </c>
      <c r="E213">
        <v>2016</v>
      </c>
      <c r="F213" s="7" t="s">
        <v>1328</v>
      </c>
      <c r="G213" s="7" t="s">
        <v>1328</v>
      </c>
      <c r="H213" s="7" t="s">
        <v>1328</v>
      </c>
      <c r="I213" t="s">
        <v>1328</v>
      </c>
      <c r="J213" t="s">
        <v>1328</v>
      </c>
      <c r="K213">
        <v>1773787</v>
      </c>
    </row>
    <row r="214" spans="1:11">
      <c r="A214" t="s">
        <v>187</v>
      </c>
      <c r="B214" t="s">
        <v>187</v>
      </c>
      <c r="C214">
        <v>176017</v>
      </c>
      <c r="D214">
        <v>37060</v>
      </c>
      <c r="E214">
        <v>2016</v>
      </c>
      <c r="F214" s="7">
        <v>9588</v>
      </c>
      <c r="G214" s="7">
        <v>8289</v>
      </c>
      <c r="H214" s="7">
        <v>18</v>
      </c>
      <c r="I214">
        <v>0.66700000000000004</v>
      </c>
      <c r="J214">
        <v>0.68799999999999994</v>
      </c>
      <c r="K214">
        <v>54507</v>
      </c>
    </row>
    <row r="215" spans="1:11">
      <c r="A215" t="s">
        <v>188</v>
      </c>
      <c r="B215" t="s">
        <v>188</v>
      </c>
      <c r="C215">
        <v>181394</v>
      </c>
      <c r="D215">
        <v>36540</v>
      </c>
      <c r="E215">
        <v>2016</v>
      </c>
      <c r="F215" s="7">
        <v>4579</v>
      </c>
      <c r="G215" s="7">
        <v>3826</v>
      </c>
      <c r="H215" s="7">
        <v>12</v>
      </c>
      <c r="I215">
        <v>0.59399999999999997</v>
      </c>
      <c r="J215" t="s">
        <v>1328</v>
      </c>
      <c r="K215">
        <v>932855</v>
      </c>
    </row>
    <row r="216" spans="1:11">
      <c r="A216" t="s">
        <v>1296</v>
      </c>
      <c r="B216" t="s">
        <v>1296</v>
      </c>
      <c r="C216">
        <v>207582</v>
      </c>
      <c r="D216">
        <v>46140</v>
      </c>
      <c r="E216">
        <v>2016</v>
      </c>
      <c r="F216" s="7">
        <v>6300</v>
      </c>
      <c r="G216" s="7">
        <v>5283</v>
      </c>
      <c r="H216" s="7">
        <v>10</v>
      </c>
      <c r="I216">
        <v>0.46700000000000003</v>
      </c>
      <c r="J216">
        <v>0.5</v>
      </c>
      <c r="K216">
        <v>995533</v>
      </c>
    </row>
    <row r="217" spans="1:11">
      <c r="A217" t="s">
        <v>189</v>
      </c>
      <c r="B217" t="s">
        <v>189</v>
      </c>
      <c r="C217">
        <v>209551</v>
      </c>
      <c r="D217">
        <v>21660</v>
      </c>
      <c r="E217">
        <v>2016</v>
      </c>
      <c r="F217" s="7">
        <v>15874</v>
      </c>
      <c r="G217" s="7">
        <v>31475</v>
      </c>
      <c r="H217" s="7">
        <v>10</v>
      </c>
      <c r="I217">
        <v>0.53300000000000003</v>
      </c>
      <c r="J217">
        <v>0.69699999999999995</v>
      </c>
      <c r="K217">
        <v>369207</v>
      </c>
    </row>
    <row r="218" spans="1:11">
      <c r="A218" t="s">
        <v>190</v>
      </c>
      <c r="B218" t="s">
        <v>190</v>
      </c>
      <c r="C218">
        <v>209542</v>
      </c>
      <c r="D218">
        <v>18700</v>
      </c>
      <c r="E218">
        <v>2016</v>
      </c>
      <c r="F218" s="7">
        <v>11984</v>
      </c>
      <c r="G218" s="7">
        <v>13807</v>
      </c>
      <c r="H218" s="7">
        <v>10</v>
      </c>
      <c r="I218">
        <v>0.2</v>
      </c>
      <c r="J218">
        <v>0.61799999999999999</v>
      </c>
      <c r="K218">
        <v>91236</v>
      </c>
    </row>
    <row r="219" spans="1:11">
      <c r="A219" t="s">
        <v>191</v>
      </c>
      <c r="B219" t="s">
        <v>191</v>
      </c>
      <c r="C219">
        <v>120883</v>
      </c>
      <c r="D219">
        <v>44700</v>
      </c>
      <c r="E219">
        <v>2016</v>
      </c>
      <c r="F219" s="7">
        <v>7428</v>
      </c>
      <c r="G219" s="7">
        <v>8626</v>
      </c>
      <c r="H219" s="7">
        <v>9</v>
      </c>
      <c r="I219">
        <v>0.56699999999999995</v>
      </c>
      <c r="J219">
        <v>0.77400000000000002</v>
      </c>
      <c r="K219">
        <v>740281</v>
      </c>
    </row>
    <row r="220" spans="1:11">
      <c r="A220" t="s">
        <v>192</v>
      </c>
      <c r="B220" t="s">
        <v>192</v>
      </c>
      <c r="C220">
        <v>215062</v>
      </c>
      <c r="D220">
        <v>37980</v>
      </c>
      <c r="E220">
        <v>2016</v>
      </c>
      <c r="F220" s="7">
        <v>2737</v>
      </c>
      <c r="G220" s="7">
        <v>2721</v>
      </c>
      <c r="H220" s="7">
        <v>12</v>
      </c>
      <c r="I220">
        <v>0.5</v>
      </c>
      <c r="J220">
        <v>0.32</v>
      </c>
      <c r="K220">
        <v>6153898</v>
      </c>
    </row>
    <row r="221" spans="1:11">
      <c r="A221" t="s">
        <v>193</v>
      </c>
      <c r="B221" t="s">
        <v>193</v>
      </c>
      <c r="C221">
        <v>214777</v>
      </c>
      <c r="D221">
        <v>44300</v>
      </c>
      <c r="E221">
        <v>2016</v>
      </c>
      <c r="F221" s="7">
        <v>66672</v>
      </c>
      <c r="G221" s="7">
        <v>56977</v>
      </c>
      <c r="H221" s="7">
        <v>17</v>
      </c>
      <c r="I221">
        <v>0.82399999999999995</v>
      </c>
      <c r="J221">
        <v>0.92300000000000004</v>
      </c>
      <c r="K221">
        <v>160049</v>
      </c>
    </row>
    <row r="222" spans="1:11">
      <c r="A222" t="s">
        <v>1297</v>
      </c>
      <c r="B222" t="s">
        <v>1297</v>
      </c>
      <c r="C222">
        <v>121150</v>
      </c>
      <c r="D222">
        <v>31080</v>
      </c>
      <c r="E222">
        <v>2016</v>
      </c>
      <c r="F222" s="7">
        <v>5394</v>
      </c>
      <c r="G222" s="7">
        <v>3525</v>
      </c>
      <c r="H222" s="7">
        <v>13</v>
      </c>
      <c r="I222">
        <v>0.54800000000000004</v>
      </c>
      <c r="J222">
        <v>0.4</v>
      </c>
      <c r="K222">
        <v>13297429</v>
      </c>
    </row>
    <row r="223" spans="1:11">
      <c r="A223" t="s">
        <v>194</v>
      </c>
      <c r="B223" t="s">
        <v>194</v>
      </c>
      <c r="C223">
        <v>215293</v>
      </c>
      <c r="D223">
        <v>38300</v>
      </c>
      <c r="E223">
        <v>2016</v>
      </c>
      <c r="F223" s="7">
        <v>6528</v>
      </c>
      <c r="G223" s="7">
        <v>8528</v>
      </c>
      <c r="H223" s="7">
        <v>15</v>
      </c>
      <c r="I223">
        <v>0.71899999999999997</v>
      </c>
      <c r="J223">
        <v>0.80600000000000005</v>
      </c>
      <c r="K223">
        <v>2377735</v>
      </c>
    </row>
    <row r="224" spans="1:11">
      <c r="A224" t="s">
        <v>1298</v>
      </c>
      <c r="B224" t="s">
        <v>1298</v>
      </c>
      <c r="C224">
        <v>209825</v>
      </c>
      <c r="D224">
        <v>38900</v>
      </c>
      <c r="E224">
        <v>2016</v>
      </c>
      <c r="F224" s="7">
        <v>3857</v>
      </c>
      <c r="G224" s="7">
        <v>3042</v>
      </c>
      <c r="H224" s="7">
        <v>15</v>
      </c>
      <c r="I224">
        <v>0.51600000000000001</v>
      </c>
      <c r="J224">
        <v>0.23300000000000001</v>
      </c>
      <c r="K224">
        <v>2432261</v>
      </c>
    </row>
    <row r="225" spans="1:11">
      <c r="A225" t="s">
        <v>195</v>
      </c>
      <c r="B225" t="s">
        <v>195</v>
      </c>
      <c r="C225">
        <v>209807</v>
      </c>
      <c r="D225">
        <v>38900</v>
      </c>
      <c r="E225">
        <v>2016</v>
      </c>
      <c r="F225" s="7">
        <v>2770</v>
      </c>
      <c r="G225" s="7">
        <v>4082</v>
      </c>
      <c r="H225" s="7">
        <v>11</v>
      </c>
      <c r="I225">
        <v>0.32100000000000001</v>
      </c>
      <c r="J225">
        <v>0.31</v>
      </c>
      <c r="K225">
        <v>2432261</v>
      </c>
    </row>
    <row r="226" spans="1:11">
      <c r="A226" t="s">
        <v>196</v>
      </c>
      <c r="B226" t="s">
        <v>196</v>
      </c>
      <c r="C226">
        <v>227526</v>
      </c>
      <c r="D226">
        <v>26420</v>
      </c>
      <c r="E226">
        <v>2016</v>
      </c>
      <c r="F226" s="7">
        <v>1901</v>
      </c>
      <c r="G226" s="7">
        <v>1668</v>
      </c>
      <c r="H226" s="7">
        <v>8</v>
      </c>
      <c r="I226">
        <v>0.26500000000000001</v>
      </c>
      <c r="J226">
        <v>0.32100000000000001</v>
      </c>
      <c r="K226">
        <v>6797263</v>
      </c>
    </row>
    <row r="227" spans="1:11">
      <c r="A227" t="s">
        <v>197</v>
      </c>
      <c r="B227" t="s">
        <v>197</v>
      </c>
      <c r="C227">
        <v>218539</v>
      </c>
      <c r="D227">
        <v>43900</v>
      </c>
      <c r="E227">
        <v>2016</v>
      </c>
      <c r="F227" s="7">
        <v>1902</v>
      </c>
      <c r="G227" s="7">
        <v>1719</v>
      </c>
      <c r="H227" s="7">
        <v>8</v>
      </c>
      <c r="I227">
        <v>0.14299999999999999</v>
      </c>
      <c r="J227">
        <v>0.42899999999999999</v>
      </c>
      <c r="K227">
        <v>303005</v>
      </c>
    </row>
    <row r="228" spans="1:11">
      <c r="A228" t="s">
        <v>198</v>
      </c>
      <c r="B228" t="s">
        <v>198</v>
      </c>
      <c r="C228">
        <v>186131</v>
      </c>
      <c r="D228">
        <v>45940</v>
      </c>
      <c r="E228">
        <v>2016</v>
      </c>
      <c r="F228" s="7">
        <v>2268</v>
      </c>
      <c r="G228" s="7">
        <v>2257</v>
      </c>
      <c r="H228" s="7">
        <v>7</v>
      </c>
      <c r="I228">
        <v>0.625</v>
      </c>
      <c r="J228">
        <v>0.58299999999999996</v>
      </c>
      <c r="K228">
        <v>380199</v>
      </c>
    </row>
    <row r="229" spans="1:11">
      <c r="A229" t="s">
        <v>199</v>
      </c>
      <c r="B229" t="s">
        <v>199</v>
      </c>
      <c r="C229">
        <v>217402</v>
      </c>
      <c r="D229">
        <v>39300</v>
      </c>
      <c r="E229">
        <v>2016</v>
      </c>
      <c r="F229" s="7">
        <v>2245</v>
      </c>
      <c r="G229" s="7">
        <v>1439</v>
      </c>
      <c r="H229" s="7">
        <v>13</v>
      </c>
      <c r="I229">
        <v>0.313</v>
      </c>
      <c r="J229">
        <v>0.188</v>
      </c>
      <c r="K229">
        <v>1648701</v>
      </c>
    </row>
    <row r="230" spans="1:11">
      <c r="A230" t="s">
        <v>200</v>
      </c>
      <c r="B230" t="s">
        <v>200</v>
      </c>
      <c r="C230">
        <v>243780</v>
      </c>
      <c r="D230">
        <v>29200</v>
      </c>
      <c r="E230">
        <v>2016</v>
      </c>
      <c r="F230" s="7">
        <v>40379</v>
      </c>
      <c r="G230" s="7">
        <v>40230</v>
      </c>
      <c r="H230" s="7">
        <v>16</v>
      </c>
      <c r="I230">
        <v>0.69699999999999995</v>
      </c>
      <c r="J230">
        <v>0.68799999999999994</v>
      </c>
      <c r="K230">
        <v>221393</v>
      </c>
    </row>
    <row r="231" spans="1:11">
      <c r="A231" t="s">
        <v>201</v>
      </c>
      <c r="B231" t="s">
        <v>201</v>
      </c>
      <c r="C231">
        <v>151102</v>
      </c>
      <c r="D231">
        <v>23060</v>
      </c>
      <c r="E231">
        <v>2016</v>
      </c>
      <c r="F231" s="7">
        <v>6144</v>
      </c>
      <c r="G231" s="7">
        <v>6268</v>
      </c>
      <c r="H231" s="7">
        <v>12</v>
      </c>
      <c r="I231">
        <v>0.219</v>
      </c>
      <c r="J231">
        <v>0.39400000000000002</v>
      </c>
      <c r="K231">
        <v>405357</v>
      </c>
    </row>
    <row r="232" spans="1:11">
      <c r="A232" t="s">
        <v>202</v>
      </c>
      <c r="B232" t="s">
        <v>202</v>
      </c>
      <c r="C232">
        <v>130226</v>
      </c>
      <c r="D232">
        <v>35300</v>
      </c>
      <c r="E232">
        <v>2016</v>
      </c>
      <c r="F232" s="7">
        <v>2086</v>
      </c>
      <c r="G232" s="7">
        <v>1939</v>
      </c>
      <c r="H232" s="7">
        <v>11</v>
      </c>
      <c r="I232">
        <v>9.7000000000000003E-2</v>
      </c>
      <c r="J232">
        <v>6.0999999999999999E-2</v>
      </c>
      <c r="K232">
        <v>865595</v>
      </c>
    </row>
    <row r="233" spans="1:11">
      <c r="A233" t="s">
        <v>203</v>
      </c>
      <c r="B233" t="s">
        <v>203</v>
      </c>
      <c r="C233">
        <v>233277</v>
      </c>
      <c r="D233">
        <v>40220</v>
      </c>
      <c r="E233">
        <v>2016</v>
      </c>
      <c r="F233" s="7">
        <v>5858</v>
      </c>
      <c r="G233" s="7">
        <v>4538</v>
      </c>
      <c r="H233" s="7">
        <v>10</v>
      </c>
      <c r="I233">
        <v>0.48299999999999998</v>
      </c>
      <c r="J233">
        <v>0.75</v>
      </c>
      <c r="K233">
        <v>313594</v>
      </c>
    </row>
    <row r="234" spans="1:11">
      <c r="A234" t="s">
        <v>204</v>
      </c>
      <c r="B234" t="s">
        <v>204</v>
      </c>
      <c r="C234">
        <v>217484</v>
      </c>
      <c r="D234">
        <v>39300</v>
      </c>
      <c r="E234">
        <v>2016</v>
      </c>
      <c r="F234" s="7">
        <v>1644</v>
      </c>
      <c r="G234" s="7">
        <v>4161</v>
      </c>
      <c r="H234" s="7">
        <v>10</v>
      </c>
      <c r="I234">
        <v>0.69</v>
      </c>
      <c r="J234">
        <v>0.64300000000000002</v>
      </c>
      <c r="K234">
        <v>1648701</v>
      </c>
    </row>
    <row r="235" spans="1:11">
      <c r="A235" t="s">
        <v>1299</v>
      </c>
      <c r="B235" t="s">
        <v>1299</v>
      </c>
      <c r="C235">
        <v>227757</v>
      </c>
      <c r="D235">
        <v>26420</v>
      </c>
      <c r="E235">
        <v>2016</v>
      </c>
      <c r="F235" s="7">
        <v>4455</v>
      </c>
      <c r="G235" s="7">
        <v>5312</v>
      </c>
      <c r="H235" s="7">
        <v>12</v>
      </c>
      <c r="I235">
        <v>0.67700000000000005</v>
      </c>
      <c r="J235">
        <v>0.69699999999999995</v>
      </c>
      <c r="K235">
        <v>6797263</v>
      </c>
    </row>
    <row r="236" spans="1:11">
      <c r="A236" t="s">
        <v>1300</v>
      </c>
      <c r="B236" t="s">
        <v>1300</v>
      </c>
      <c r="C236">
        <v>233374</v>
      </c>
      <c r="D236">
        <v>40060</v>
      </c>
      <c r="E236">
        <v>2016</v>
      </c>
      <c r="F236" s="7" t="s">
        <v>1328</v>
      </c>
      <c r="G236" s="7" t="s">
        <v>1328</v>
      </c>
      <c r="H236" s="7" t="s">
        <v>1328</v>
      </c>
      <c r="I236" t="s">
        <v>1328</v>
      </c>
      <c r="J236" t="s">
        <v>1328</v>
      </c>
      <c r="K236">
        <v>1267408</v>
      </c>
    </row>
    <row r="237" spans="1:11">
      <c r="A237" t="s">
        <v>205</v>
      </c>
      <c r="B237" t="s">
        <v>205</v>
      </c>
      <c r="C237">
        <v>186283</v>
      </c>
      <c r="D237">
        <v>45940</v>
      </c>
      <c r="E237">
        <v>2016</v>
      </c>
      <c r="F237" s="7">
        <v>2374</v>
      </c>
      <c r="G237" s="7">
        <v>2539</v>
      </c>
      <c r="H237" s="7">
        <v>9</v>
      </c>
      <c r="I237">
        <v>0.48499999999999999</v>
      </c>
      <c r="J237">
        <v>0.5</v>
      </c>
      <c r="K237">
        <v>380199</v>
      </c>
    </row>
    <row r="238" spans="1:11">
      <c r="A238" t="s">
        <v>206</v>
      </c>
      <c r="B238" t="s">
        <v>206</v>
      </c>
      <c r="C238">
        <v>215655</v>
      </c>
      <c r="D238">
        <v>38300</v>
      </c>
      <c r="E238">
        <v>2016</v>
      </c>
      <c r="F238" s="7">
        <v>2316</v>
      </c>
      <c r="G238" s="7">
        <v>2382</v>
      </c>
      <c r="H238" s="7">
        <v>11</v>
      </c>
      <c r="I238">
        <v>0.59399999999999997</v>
      </c>
      <c r="J238">
        <v>0.46899999999999997</v>
      </c>
      <c r="K238">
        <v>2377735</v>
      </c>
    </row>
    <row r="239" spans="1:11">
      <c r="A239" t="s">
        <v>207</v>
      </c>
      <c r="B239" t="s">
        <v>207</v>
      </c>
      <c r="C239">
        <v>186380</v>
      </c>
      <c r="D239">
        <v>35620</v>
      </c>
      <c r="E239">
        <v>2016</v>
      </c>
      <c r="F239" s="7">
        <v>3771</v>
      </c>
      <c r="G239" s="7">
        <v>2526</v>
      </c>
      <c r="H239" s="7">
        <v>13</v>
      </c>
      <c r="I239">
        <v>0.125</v>
      </c>
      <c r="J239">
        <v>0.21199999999999999</v>
      </c>
      <c r="K239">
        <v>19945132</v>
      </c>
    </row>
    <row r="240" spans="1:11">
      <c r="A240" t="s">
        <v>208</v>
      </c>
      <c r="B240" t="s">
        <v>208</v>
      </c>
      <c r="C240">
        <v>110617</v>
      </c>
      <c r="D240">
        <v>40900</v>
      </c>
      <c r="E240">
        <v>2016</v>
      </c>
      <c r="F240" s="7">
        <v>3928</v>
      </c>
      <c r="G240" s="7">
        <v>2995</v>
      </c>
      <c r="H240" s="7">
        <v>12</v>
      </c>
      <c r="I240">
        <v>0.78800000000000003</v>
      </c>
      <c r="J240">
        <v>0.25800000000000001</v>
      </c>
      <c r="K240">
        <v>2306739</v>
      </c>
    </row>
    <row r="241" spans="1:11">
      <c r="A241" t="s">
        <v>209</v>
      </c>
      <c r="B241" t="s">
        <v>209</v>
      </c>
      <c r="C241">
        <v>130253</v>
      </c>
      <c r="D241">
        <v>35300</v>
      </c>
      <c r="E241">
        <v>2016</v>
      </c>
      <c r="F241" s="7">
        <v>1268</v>
      </c>
      <c r="G241" s="7">
        <v>2181</v>
      </c>
      <c r="H241" s="7">
        <v>10</v>
      </c>
      <c r="I241">
        <v>0.51700000000000002</v>
      </c>
      <c r="J241">
        <v>0.32100000000000001</v>
      </c>
      <c r="K241">
        <v>865595</v>
      </c>
    </row>
    <row r="242" spans="1:11">
      <c r="A242" t="s">
        <v>210</v>
      </c>
      <c r="B242" t="s">
        <v>210</v>
      </c>
      <c r="C242">
        <v>215743</v>
      </c>
      <c r="D242">
        <v>11020</v>
      </c>
      <c r="E242">
        <v>2016</v>
      </c>
      <c r="F242" s="7" t="s">
        <v>1328</v>
      </c>
      <c r="G242" s="7" t="s">
        <v>1328</v>
      </c>
      <c r="H242" s="7" t="s">
        <v>1328</v>
      </c>
      <c r="I242" t="s">
        <v>1328</v>
      </c>
      <c r="J242" t="s">
        <v>1328</v>
      </c>
      <c r="K242">
        <v>124724</v>
      </c>
    </row>
    <row r="243" spans="1:11">
      <c r="A243" t="s">
        <v>211</v>
      </c>
      <c r="B243" t="s">
        <v>211</v>
      </c>
      <c r="C243">
        <v>215770</v>
      </c>
      <c r="D243">
        <v>37980</v>
      </c>
      <c r="E243">
        <v>2016</v>
      </c>
      <c r="F243" s="7" t="s">
        <v>1328</v>
      </c>
      <c r="G243" s="7" t="s">
        <v>1328</v>
      </c>
      <c r="H243" s="7" t="s">
        <v>1328</v>
      </c>
      <c r="I243" t="s">
        <v>1328</v>
      </c>
      <c r="J243" t="s">
        <v>1328</v>
      </c>
      <c r="K243">
        <v>6153898</v>
      </c>
    </row>
    <row r="244" spans="1:11">
      <c r="A244" t="s">
        <v>212</v>
      </c>
      <c r="B244" t="s">
        <v>212</v>
      </c>
      <c r="C244">
        <v>179159</v>
      </c>
      <c r="D244">
        <v>41180</v>
      </c>
      <c r="E244">
        <v>2016</v>
      </c>
      <c r="F244" s="7">
        <v>7092</v>
      </c>
      <c r="G244" s="7">
        <v>5718</v>
      </c>
      <c r="H244" s="7">
        <v>17</v>
      </c>
      <c r="I244">
        <v>0.68799999999999994</v>
      </c>
      <c r="J244">
        <v>0.67700000000000005</v>
      </c>
      <c r="K244">
        <v>2815582</v>
      </c>
    </row>
    <row r="245" spans="1:11">
      <c r="A245" t="s">
        <v>213</v>
      </c>
      <c r="B245" t="s">
        <v>213</v>
      </c>
      <c r="C245">
        <v>123554</v>
      </c>
      <c r="D245">
        <v>41860</v>
      </c>
      <c r="E245">
        <v>2016</v>
      </c>
      <c r="F245" s="7">
        <v>3249</v>
      </c>
      <c r="G245" s="7">
        <v>3044</v>
      </c>
      <c r="H245" s="7">
        <v>13</v>
      </c>
      <c r="I245">
        <v>0.214</v>
      </c>
      <c r="J245">
        <v>0.32100000000000001</v>
      </c>
      <c r="K245">
        <v>4713476</v>
      </c>
    </row>
    <row r="246" spans="1:11">
      <c r="A246" t="s">
        <v>214</v>
      </c>
      <c r="B246" t="s">
        <v>214</v>
      </c>
      <c r="C246">
        <v>186432</v>
      </c>
      <c r="D246">
        <v>35620</v>
      </c>
      <c r="E246">
        <v>2016</v>
      </c>
      <c r="F246" s="7">
        <v>1606</v>
      </c>
      <c r="G246" s="7">
        <v>1139</v>
      </c>
      <c r="H246" s="7">
        <v>11</v>
      </c>
      <c r="I246">
        <v>0.14299999999999999</v>
      </c>
      <c r="J246">
        <v>0.20699999999999999</v>
      </c>
      <c r="K246">
        <v>19945132</v>
      </c>
    </row>
    <row r="247" spans="1:11">
      <c r="A247" t="s">
        <v>215</v>
      </c>
      <c r="B247" t="s">
        <v>1249</v>
      </c>
      <c r="C247">
        <v>227881</v>
      </c>
      <c r="D247">
        <v>26660</v>
      </c>
      <c r="E247">
        <v>2016</v>
      </c>
      <c r="F247" s="7">
        <v>6589</v>
      </c>
      <c r="G247" s="7">
        <v>4158</v>
      </c>
      <c r="H247" s="7">
        <v>13</v>
      </c>
      <c r="I247">
        <v>0.438</v>
      </c>
      <c r="J247">
        <v>0.6</v>
      </c>
      <c r="K247">
        <v>74442</v>
      </c>
    </row>
    <row r="248" spans="1:11">
      <c r="A248" t="s">
        <v>216</v>
      </c>
      <c r="B248" t="s">
        <v>216</v>
      </c>
      <c r="C248">
        <v>102049</v>
      </c>
      <c r="D248">
        <v>13820</v>
      </c>
      <c r="E248">
        <v>2016</v>
      </c>
      <c r="F248" s="7">
        <v>2279</v>
      </c>
      <c r="G248" s="7">
        <v>5408</v>
      </c>
      <c r="H248" s="7">
        <v>9</v>
      </c>
      <c r="I248">
        <v>0.55600000000000005</v>
      </c>
      <c r="J248">
        <v>0.60599999999999998</v>
      </c>
      <c r="K248">
        <v>1097733</v>
      </c>
    </row>
    <row r="249" spans="1:11">
      <c r="A249" t="s">
        <v>217</v>
      </c>
      <c r="B249" t="s">
        <v>217</v>
      </c>
      <c r="C249">
        <v>122436</v>
      </c>
      <c r="D249">
        <v>41740</v>
      </c>
      <c r="E249">
        <v>2016</v>
      </c>
      <c r="F249" s="7">
        <v>5893</v>
      </c>
      <c r="G249" s="7">
        <v>6282</v>
      </c>
      <c r="H249" s="7">
        <v>13</v>
      </c>
      <c r="I249">
        <v>0.68799999999999994</v>
      </c>
      <c r="J249">
        <v>0.61299999999999999</v>
      </c>
      <c r="K249">
        <v>3283104</v>
      </c>
    </row>
    <row r="250" spans="1:11">
      <c r="A250" t="s">
        <v>218</v>
      </c>
      <c r="B250" t="s">
        <v>218</v>
      </c>
      <c r="C250">
        <v>122409</v>
      </c>
      <c r="D250">
        <v>41740</v>
      </c>
      <c r="E250">
        <v>2016</v>
      </c>
      <c r="F250" s="7">
        <v>4176</v>
      </c>
      <c r="G250" s="7">
        <v>4794</v>
      </c>
      <c r="H250" s="7">
        <v>12</v>
      </c>
      <c r="I250">
        <v>0.38700000000000001</v>
      </c>
      <c r="J250">
        <v>0.48299999999999998</v>
      </c>
      <c r="K250">
        <v>3283104</v>
      </c>
    </row>
    <row r="251" spans="1:11">
      <c r="A251" t="s">
        <v>1301</v>
      </c>
      <c r="B251" t="s">
        <v>1301</v>
      </c>
      <c r="C251">
        <v>122612</v>
      </c>
      <c r="D251">
        <v>41860</v>
      </c>
      <c r="E251">
        <v>2016</v>
      </c>
      <c r="F251" s="7">
        <v>4462</v>
      </c>
      <c r="G251" s="7">
        <v>3004</v>
      </c>
      <c r="H251" s="7">
        <v>15</v>
      </c>
      <c r="I251">
        <v>0.54800000000000004</v>
      </c>
      <c r="J251">
        <v>0.4</v>
      </c>
      <c r="K251">
        <v>4713476</v>
      </c>
    </row>
    <row r="252" spans="1:11">
      <c r="A252" t="s">
        <v>219</v>
      </c>
      <c r="B252" t="s">
        <v>219</v>
      </c>
      <c r="C252">
        <v>122755</v>
      </c>
      <c r="D252">
        <v>41940</v>
      </c>
      <c r="E252">
        <v>2016</v>
      </c>
      <c r="F252" s="7">
        <v>3867</v>
      </c>
      <c r="G252" s="7">
        <v>2641</v>
      </c>
      <c r="H252" s="7">
        <v>13</v>
      </c>
      <c r="I252">
        <v>0.41899999999999998</v>
      </c>
      <c r="J252">
        <v>0.129</v>
      </c>
      <c r="K252">
        <v>2002076</v>
      </c>
    </row>
    <row r="253" spans="1:11">
      <c r="A253" t="s">
        <v>220</v>
      </c>
      <c r="B253" t="s">
        <v>220</v>
      </c>
      <c r="C253">
        <v>122931</v>
      </c>
      <c r="D253">
        <v>41940</v>
      </c>
      <c r="E253">
        <v>2016</v>
      </c>
      <c r="F253" s="7">
        <v>3484</v>
      </c>
      <c r="G253" s="7">
        <v>2848</v>
      </c>
      <c r="H253" s="7">
        <v>12</v>
      </c>
      <c r="I253">
        <v>0.71</v>
      </c>
      <c r="J253">
        <v>0.68799999999999994</v>
      </c>
      <c r="K253">
        <v>2002076</v>
      </c>
    </row>
    <row r="254" spans="1:11">
      <c r="A254" t="s">
        <v>221</v>
      </c>
      <c r="B254" t="s">
        <v>221</v>
      </c>
      <c r="C254">
        <v>236595</v>
      </c>
      <c r="D254">
        <v>42660</v>
      </c>
      <c r="E254">
        <v>2016</v>
      </c>
      <c r="F254" s="7">
        <v>1343</v>
      </c>
      <c r="G254" s="7">
        <v>2072</v>
      </c>
      <c r="H254" s="7">
        <v>8</v>
      </c>
      <c r="I254">
        <v>0.621</v>
      </c>
      <c r="J254">
        <v>0.45200000000000001</v>
      </c>
      <c r="K254">
        <v>3824567</v>
      </c>
    </row>
    <row r="255" spans="1:11">
      <c r="A255" t="s">
        <v>222</v>
      </c>
      <c r="B255" t="s">
        <v>222</v>
      </c>
      <c r="C255">
        <v>186584</v>
      </c>
      <c r="D255">
        <v>35620</v>
      </c>
      <c r="E255">
        <v>2016</v>
      </c>
      <c r="F255" s="7">
        <v>3792</v>
      </c>
      <c r="G255" s="7">
        <v>4250</v>
      </c>
      <c r="H255" s="7">
        <v>12</v>
      </c>
      <c r="I255">
        <v>0.46700000000000003</v>
      </c>
      <c r="J255">
        <v>0.77800000000000002</v>
      </c>
      <c r="K255">
        <v>19945132</v>
      </c>
    </row>
    <row r="256" spans="1:11">
      <c r="A256" t="s">
        <v>223</v>
      </c>
      <c r="B256" t="s">
        <v>223</v>
      </c>
      <c r="C256">
        <v>228431</v>
      </c>
      <c r="D256">
        <v>34860</v>
      </c>
      <c r="E256">
        <v>2016</v>
      </c>
      <c r="F256" s="7">
        <v>3893</v>
      </c>
      <c r="G256" s="7">
        <v>3728</v>
      </c>
      <c r="H256" s="7">
        <v>14</v>
      </c>
      <c r="I256">
        <v>0.58799999999999997</v>
      </c>
      <c r="J256">
        <v>0.75</v>
      </c>
      <c r="K256">
        <v>65455</v>
      </c>
    </row>
    <row r="257" spans="1:11">
      <c r="A257" t="s">
        <v>224</v>
      </c>
      <c r="B257" t="s">
        <v>224</v>
      </c>
      <c r="C257">
        <v>195474</v>
      </c>
      <c r="D257">
        <v>10580</v>
      </c>
      <c r="E257">
        <v>2016</v>
      </c>
      <c r="F257" s="7">
        <v>1095</v>
      </c>
      <c r="G257" s="7">
        <v>1080</v>
      </c>
      <c r="H257" s="7">
        <v>9</v>
      </c>
      <c r="I257">
        <v>0.55200000000000005</v>
      </c>
      <c r="J257">
        <v>0.55900000000000005</v>
      </c>
      <c r="K257">
        <v>892531</v>
      </c>
    </row>
    <row r="258" spans="1:11">
      <c r="A258" t="s">
        <v>225</v>
      </c>
      <c r="B258" t="s">
        <v>225</v>
      </c>
      <c r="C258">
        <v>149231</v>
      </c>
      <c r="D258">
        <v>41180</v>
      </c>
      <c r="E258">
        <v>2016</v>
      </c>
      <c r="F258" s="7">
        <v>3240</v>
      </c>
      <c r="G258" s="7">
        <v>3487</v>
      </c>
      <c r="H258" s="7">
        <v>11</v>
      </c>
      <c r="I258">
        <v>0.308</v>
      </c>
      <c r="J258">
        <v>0.45200000000000001</v>
      </c>
      <c r="K258">
        <v>2815582</v>
      </c>
    </row>
    <row r="259" spans="1:11">
      <c r="A259" t="s">
        <v>1302</v>
      </c>
      <c r="B259" t="s">
        <v>1302</v>
      </c>
      <c r="C259">
        <v>228246</v>
      </c>
      <c r="D259">
        <v>19100</v>
      </c>
      <c r="E259">
        <v>2016</v>
      </c>
      <c r="F259" s="7">
        <v>6222</v>
      </c>
      <c r="G259" s="7">
        <v>8625</v>
      </c>
      <c r="H259" s="7">
        <v>16</v>
      </c>
      <c r="I259">
        <v>0.81799999999999995</v>
      </c>
      <c r="J259">
        <v>0.81299999999999994</v>
      </c>
      <c r="K259">
        <v>7175708</v>
      </c>
    </row>
    <row r="260" spans="1:11">
      <c r="A260" t="s">
        <v>226</v>
      </c>
      <c r="B260" t="s">
        <v>226</v>
      </c>
      <c r="C260">
        <v>102094</v>
      </c>
      <c r="D260">
        <v>33660</v>
      </c>
      <c r="E260">
        <v>2016</v>
      </c>
      <c r="F260" s="7">
        <v>3480</v>
      </c>
      <c r="G260" s="7">
        <v>2417</v>
      </c>
      <c r="H260" s="7">
        <v>12</v>
      </c>
      <c r="I260">
        <v>0.46400000000000002</v>
      </c>
      <c r="J260">
        <v>0.38700000000000001</v>
      </c>
      <c r="K260">
        <v>432418</v>
      </c>
    </row>
    <row r="261" spans="1:11">
      <c r="A261" t="s">
        <v>227</v>
      </c>
      <c r="B261" t="s">
        <v>227</v>
      </c>
      <c r="C261">
        <v>218663</v>
      </c>
      <c r="D261">
        <v>17900</v>
      </c>
      <c r="E261">
        <v>2016</v>
      </c>
      <c r="F261" s="7">
        <v>17423</v>
      </c>
      <c r="G261" s="7">
        <v>18581</v>
      </c>
      <c r="H261" s="7">
        <v>16</v>
      </c>
      <c r="I261">
        <v>0.41899999999999998</v>
      </c>
      <c r="J261">
        <v>0.54800000000000004</v>
      </c>
      <c r="K261">
        <v>807629</v>
      </c>
    </row>
    <row r="262" spans="1:11">
      <c r="A262" t="s">
        <v>228</v>
      </c>
      <c r="B262" t="s">
        <v>228</v>
      </c>
      <c r="C262">
        <v>218733</v>
      </c>
      <c r="D262">
        <v>36700</v>
      </c>
      <c r="E262">
        <v>2016</v>
      </c>
      <c r="F262" s="7">
        <v>1552</v>
      </c>
      <c r="G262" s="7">
        <v>1541</v>
      </c>
      <c r="H262" s="7">
        <v>8</v>
      </c>
      <c r="I262">
        <v>0.17399999999999999</v>
      </c>
      <c r="J262">
        <v>0.111</v>
      </c>
      <c r="K262">
        <v>87513</v>
      </c>
    </row>
    <row r="263" spans="1:11">
      <c r="A263" t="s">
        <v>229</v>
      </c>
      <c r="B263" t="s">
        <v>229</v>
      </c>
      <c r="C263">
        <v>219471</v>
      </c>
      <c r="D263">
        <v>46820</v>
      </c>
      <c r="E263">
        <v>2016</v>
      </c>
      <c r="F263" s="7">
        <v>1943</v>
      </c>
      <c r="G263" s="7">
        <v>2893</v>
      </c>
      <c r="H263" s="7">
        <v>8</v>
      </c>
      <c r="I263">
        <v>0.48399999999999999</v>
      </c>
      <c r="J263">
        <v>0.61299999999999999</v>
      </c>
      <c r="K263">
        <v>14435</v>
      </c>
    </row>
    <row r="264" spans="1:11">
      <c r="A264" t="s">
        <v>230</v>
      </c>
      <c r="B264" t="s">
        <v>230</v>
      </c>
      <c r="C264">
        <v>219356</v>
      </c>
      <c r="D264">
        <v>15100</v>
      </c>
      <c r="E264">
        <v>2016</v>
      </c>
      <c r="F264" s="7">
        <v>3622</v>
      </c>
      <c r="G264" s="7">
        <v>6660</v>
      </c>
      <c r="H264" s="7">
        <v>9</v>
      </c>
      <c r="I264">
        <v>0.156</v>
      </c>
      <c r="J264">
        <v>0.182</v>
      </c>
      <c r="K264">
        <v>33644</v>
      </c>
    </row>
    <row r="265" spans="1:11">
      <c r="A265" t="s">
        <v>231</v>
      </c>
      <c r="B265" t="s">
        <v>231</v>
      </c>
      <c r="C265">
        <v>137351</v>
      </c>
      <c r="D265">
        <v>45300</v>
      </c>
      <c r="E265">
        <v>2016</v>
      </c>
      <c r="F265" s="7">
        <v>8507</v>
      </c>
      <c r="G265" s="7">
        <v>6281</v>
      </c>
      <c r="H265" s="7">
        <v>16</v>
      </c>
      <c r="I265">
        <v>0.34399999999999997</v>
      </c>
      <c r="J265">
        <v>0.438</v>
      </c>
      <c r="K265">
        <v>3014255</v>
      </c>
    </row>
    <row r="266" spans="1:11">
      <c r="A266" t="s">
        <v>232</v>
      </c>
      <c r="B266" t="s">
        <v>232</v>
      </c>
      <c r="C266">
        <v>179557</v>
      </c>
      <c r="D266">
        <v>16020</v>
      </c>
      <c r="E266">
        <v>2016</v>
      </c>
      <c r="F266" s="7">
        <v>3749</v>
      </c>
      <c r="G266" s="7">
        <v>3277</v>
      </c>
      <c r="H266" s="7">
        <v>11</v>
      </c>
      <c r="I266">
        <v>0.33300000000000002</v>
      </c>
      <c r="J266">
        <v>0.35499999999999998</v>
      </c>
      <c r="K266">
        <v>97413</v>
      </c>
    </row>
    <row r="267" spans="1:11">
      <c r="A267" t="s">
        <v>233</v>
      </c>
      <c r="B267" t="s">
        <v>233</v>
      </c>
      <c r="C267">
        <v>160612</v>
      </c>
      <c r="D267">
        <v>25220</v>
      </c>
      <c r="E267">
        <v>2016</v>
      </c>
      <c r="F267" s="7">
        <v>2100</v>
      </c>
      <c r="G267" s="7">
        <v>2000</v>
      </c>
      <c r="H267" s="7">
        <v>11</v>
      </c>
      <c r="I267">
        <v>0.41899999999999998</v>
      </c>
      <c r="J267">
        <v>0.379</v>
      </c>
      <c r="K267">
        <v>128788</v>
      </c>
    </row>
    <row r="268" spans="1:11">
      <c r="A268" t="s">
        <v>1303</v>
      </c>
      <c r="B268" t="s">
        <v>1303</v>
      </c>
      <c r="C268">
        <v>123961</v>
      </c>
      <c r="D268">
        <v>31080</v>
      </c>
      <c r="E268">
        <v>2016</v>
      </c>
      <c r="F268" s="7">
        <v>32400</v>
      </c>
      <c r="G268" s="7">
        <v>12640</v>
      </c>
      <c r="H268" s="7">
        <v>19</v>
      </c>
      <c r="I268">
        <v>0.91700000000000004</v>
      </c>
      <c r="J268">
        <v>0.5</v>
      </c>
      <c r="K268">
        <v>13297429</v>
      </c>
    </row>
    <row r="269" spans="1:11">
      <c r="A269" t="s">
        <v>234</v>
      </c>
      <c r="B269" t="s">
        <v>234</v>
      </c>
      <c r="C269">
        <v>149222</v>
      </c>
      <c r="D269">
        <v>16060</v>
      </c>
      <c r="E269">
        <v>2016</v>
      </c>
      <c r="F269" s="7">
        <v>5036</v>
      </c>
      <c r="G269" s="7">
        <v>4592</v>
      </c>
      <c r="H269" s="7">
        <v>13</v>
      </c>
      <c r="I269">
        <v>0.69699999999999995</v>
      </c>
      <c r="J269">
        <v>0.51600000000000001</v>
      </c>
      <c r="K269">
        <v>137357</v>
      </c>
    </row>
    <row r="270" spans="1:11">
      <c r="A270" t="s">
        <v>235</v>
      </c>
      <c r="B270" t="s">
        <v>235</v>
      </c>
      <c r="C270">
        <v>176372</v>
      </c>
      <c r="D270">
        <v>25620</v>
      </c>
      <c r="E270">
        <v>2016</v>
      </c>
      <c r="F270" s="7">
        <v>4256</v>
      </c>
      <c r="G270" s="7">
        <v>3686</v>
      </c>
      <c r="H270" s="7">
        <v>14</v>
      </c>
      <c r="I270">
        <v>0.68600000000000005</v>
      </c>
      <c r="J270">
        <v>0.58799999999999997</v>
      </c>
      <c r="K270">
        <v>169965</v>
      </c>
    </row>
    <row r="271" spans="1:11">
      <c r="A271" t="s">
        <v>236</v>
      </c>
      <c r="B271" t="s">
        <v>236</v>
      </c>
      <c r="C271">
        <v>160621</v>
      </c>
      <c r="D271">
        <v>12940</v>
      </c>
      <c r="E271">
        <v>2016</v>
      </c>
      <c r="F271" s="7">
        <v>1373</v>
      </c>
      <c r="G271" s="7">
        <v>2194</v>
      </c>
      <c r="H271" s="7">
        <v>10</v>
      </c>
      <c r="I271">
        <v>0.32300000000000001</v>
      </c>
      <c r="J271">
        <v>0.44400000000000001</v>
      </c>
      <c r="K271">
        <v>864779</v>
      </c>
    </row>
    <row r="272" spans="1:11">
      <c r="A272" t="s">
        <v>237</v>
      </c>
      <c r="B272" t="s">
        <v>237</v>
      </c>
      <c r="C272">
        <v>230603</v>
      </c>
      <c r="D272">
        <v>16260</v>
      </c>
      <c r="E272">
        <v>2016</v>
      </c>
      <c r="F272" s="7">
        <v>6165</v>
      </c>
      <c r="G272" s="7">
        <v>7164</v>
      </c>
      <c r="H272" s="7">
        <v>8</v>
      </c>
      <c r="I272">
        <v>0.5</v>
      </c>
      <c r="J272">
        <v>0.48299999999999998</v>
      </c>
      <c r="K272">
        <v>50204</v>
      </c>
    </row>
    <row r="273" spans="1:11">
      <c r="A273" t="s">
        <v>238</v>
      </c>
      <c r="B273" t="s">
        <v>238</v>
      </c>
      <c r="C273">
        <v>195164</v>
      </c>
      <c r="D273">
        <v>18500</v>
      </c>
      <c r="E273">
        <v>2016</v>
      </c>
      <c r="F273" s="7" t="s">
        <v>1328</v>
      </c>
      <c r="G273" s="7" t="s">
        <v>1328</v>
      </c>
      <c r="H273" s="7" t="s">
        <v>1328</v>
      </c>
      <c r="I273" t="s">
        <v>1328</v>
      </c>
      <c r="J273" t="s">
        <v>1328</v>
      </c>
      <c r="K273">
        <v>96217</v>
      </c>
    </row>
    <row r="274" spans="1:11">
      <c r="A274" t="s">
        <v>1304</v>
      </c>
      <c r="B274" t="s">
        <v>1304</v>
      </c>
      <c r="C274">
        <v>195173</v>
      </c>
      <c r="D274">
        <v>15100</v>
      </c>
      <c r="E274">
        <v>2016</v>
      </c>
      <c r="F274" s="7">
        <v>958</v>
      </c>
      <c r="G274" s="7">
        <v>1220</v>
      </c>
      <c r="H274" s="7">
        <v>12</v>
      </c>
      <c r="I274">
        <v>0.23300000000000001</v>
      </c>
      <c r="J274">
        <v>6.7000000000000004E-2</v>
      </c>
      <c r="K274">
        <v>33644</v>
      </c>
    </row>
    <row r="275" spans="1:11">
      <c r="A275" t="s">
        <v>239</v>
      </c>
      <c r="B275" t="s">
        <v>239</v>
      </c>
      <c r="C275">
        <v>195809</v>
      </c>
      <c r="D275">
        <v>35620</v>
      </c>
      <c r="E275">
        <v>2016</v>
      </c>
      <c r="F275" s="7">
        <v>5054</v>
      </c>
      <c r="G275" s="7">
        <v>3527</v>
      </c>
      <c r="H275" s="7">
        <v>15</v>
      </c>
      <c r="I275">
        <v>0.54500000000000004</v>
      </c>
      <c r="J275">
        <v>0.57599999999999996</v>
      </c>
      <c r="K275">
        <v>19945132</v>
      </c>
    </row>
    <row r="276" spans="1:11">
      <c r="A276" t="s">
        <v>240</v>
      </c>
      <c r="B276" t="s">
        <v>240</v>
      </c>
      <c r="C276">
        <v>243744</v>
      </c>
      <c r="D276">
        <v>41940</v>
      </c>
      <c r="E276">
        <v>2016</v>
      </c>
      <c r="F276" s="7">
        <v>30528</v>
      </c>
      <c r="G276" s="7">
        <v>36136</v>
      </c>
      <c r="H276" s="7">
        <v>16</v>
      </c>
      <c r="I276">
        <v>0.76700000000000002</v>
      </c>
      <c r="J276">
        <v>0.94299999999999995</v>
      </c>
      <c r="K276">
        <v>2002076</v>
      </c>
    </row>
    <row r="277" spans="1:11">
      <c r="A277" t="s">
        <v>241</v>
      </c>
      <c r="B277" t="s">
        <v>241</v>
      </c>
      <c r="C277">
        <v>137546</v>
      </c>
      <c r="D277">
        <v>36740</v>
      </c>
      <c r="E277">
        <v>2016</v>
      </c>
      <c r="F277" s="7">
        <v>2777</v>
      </c>
      <c r="G277" s="7">
        <v>1746</v>
      </c>
      <c r="H277" s="7">
        <v>10</v>
      </c>
      <c r="I277">
        <v>0.379</v>
      </c>
      <c r="J277">
        <v>0.55200000000000005</v>
      </c>
      <c r="K277">
        <v>2482497</v>
      </c>
    </row>
    <row r="278" spans="1:11">
      <c r="A278" t="s">
        <v>242</v>
      </c>
      <c r="B278" t="s">
        <v>242</v>
      </c>
      <c r="C278">
        <v>196097</v>
      </c>
      <c r="D278">
        <v>35620</v>
      </c>
      <c r="E278">
        <v>2016</v>
      </c>
      <c r="F278" s="7">
        <v>3726</v>
      </c>
      <c r="G278" s="7">
        <v>3365</v>
      </c>
      <c r="H278" s="7">
        <v>12</v>
      </c>
      <c r="I278">
        <v>0.38700000000000001</v>
      </c>
      <c r="J278">
        <v>0.53100000000000003</v>
      </c>
      <c r="K278">
        <v>19945132</v>
      </c>
    </row>
    <row r="279" spans="1:11">
      <c r="A279" t="s">
        <v>243</v>
      </c>
      <c r="B279" t="s">
        <v>243</v>
      </c>
      <c r="C279">
        <v>196413</v>
      </c>
      <c r="D279">
        <v>45060</v>
      </c>
      <c r="E279">
        <v>2016</v>
      </c>
      <c r="F279" s="7">
        <v>3107</v>
      </c>
      <c r="G279" s="7">
        <v>2437</v>
      </c>
      <c r="H279" s="7">
        <v>13</v>
      </c>
      <c r="I279">
        <v>0.74199999999999999</v>
      </c>
      <c r="J279">
        <v>0.3</v>
      </c>
      <c r="K279">
        <v>663877</v>
      </c>
    </row>
    <row r="280" spans="1:11">
      <c r="A280" t="s">
        <v>1305</v>
      </c>
      <c r="B280" t="s">
        <v>1305</v>
      </c>
      <c r="C280">
        <v>228875</v>
      </c>
      <c r="D280">
        <v>19100</v>
      </c>
      <c r="E280">
        <v>2016</v>
      </c>
      <c r="F280" s="7">
        <v>19164</v>
      </c>
      <c r="G280" s="7">
        <v>16856</v>
      </c>
      <c r="H280" s="7">
        <v>11</v>
      </c>
      <c r="I280">
        <v>0.65500000000000003</v>
      </c>
      <c r="J280">
        <v>0.53100000000000003</v>
      </c>
      <c r="K280">
        <v>7175708</v>
      </c>
    </row>
    <row r="281" spans="1:11">
      <c r="A281" t="s">
        <v>1306</v>
      </c>
      <c r="B281" t="s">
        <v>1306</v>
      </c>
      <c r="C281">
        <v>216339</v>
      </c>
      <c r="D281">
        <v>37980</v>
      </c>
      <c r="E281">
        <v>2016</v>
      </c>
      <c r="F281" s="7">
        <v>9776</v>
      </c>
      <c r="G281" s="7">
        <v>3145</v>
      </c>
      <c r="H281" s="7">
        <v>18</v>
      </c>
      <c r="I281">
        <v>0.75</v>
      </c>
      <c r="J281">
        <v>0.75</v>
      </c>
      <c r="K281">
        <v>6153898</v>
      </c>
    </row>
    <row r="282" spans="1:11">
      <c r="A282" t="s">
        <v>244</v>
      </c>
      <c r="B282" t="s">
        <v>244</v>
      </c>
      <c r="C282">
        <v>221759</v>
      </c>
      <c r="D282">
        <v>28940</v>
      </c>
      <c r="E282">
        <v>2016</v>
      </c>
      <c r="F282" s="7">
        <v>11754</v>
      </c>
      <c r="G282" s="7">
        <v>10406</v>
      </c>
      <c r="H282" s="7">
        <v>14</v>
      </c>
      <c r="I282">
        <v>0.63600000000000001</v>
      </c>
      <c r="J282">
        <v>0.25</v>
      </c>
      <c r="K282">
        <v>847741</v>
      </c>
    </row>
    <row r="283" spans="1:11">
      <c r="A283" t="s">
        <v>245</v>
      </c>
      <c r="B283" t="s">
        <v>245</v>
      </c>
      <c r="C283">
        <v>221838</v>
      </c>
      <c r="D283">
        <v>34980</v>
      </c>
      <c r="E283">
        <v>2016</v>
      </c>
      <c r="F283" s="7">
        <v>2796</v>
      </c>
      <c r="G283" s="7">
        <v>2772</v>
      </c>
      <c r="H283" s="7">
        <v>10</v>
      </c>
      <c r="I283">
        <v>0.53300000000000003</v>
      </c>
      <c r="J283">
        <v>0.32300000000000001</v>
      </c>
      <c r="K283">
        <v>1864558</v>
      </c>
    </row>
    <row r="284" spans="1:11">
      <c r="A284" t="s">
        <v>246</v>
      </c>
      <c r="B284" t="s">
        <v>246</v>
      </c>
      <c r="C284">
        <v>221847</v>
      </c>
      <c r="D284">
        <v>18260</v>
      </c>
      <c r="E284">
        <v>2016</v>
      </c>
      <c r="F284" s="7">
        <v>3532</v>
      </c>
      <c r="G284" s="7">
        <v>4917</v>
      </c>
      <c r="H284" s="7">
        <v>11</v>
      </c>
      <c r="I284">
        <v>0.32300000000000001</v>
      </c>
      <c r="J284">
        <v>0.441</v>
      </c>
      <c r="K284">
        <v>108913</v>
      </c>
    </row>
    <row r="285" spans="1:11">
      <c r="A285" t="s">
        <v>247</v>
      </c>
      <c r="B285" t="s">
        <v>247</v>
      </c>
      <c r="C285">
        <v>228778</v>
      </c>
      <c r="D285">
        <v>12420</v>
      </c>
      <c r="E285">
        <v>2016</v>
      </c>
      <c r="F285" s="7">
        <v>56257</v>
      </c>
      <c r="G285" s="7">
        <v>40378</v>
      </c>
      <c r="H285" s="7">
        <v>20</v>
      </c>
      <c r="I285">
        <v>0.90900000000000003</v>
      </c>
      <c r="J285">
        <v>0.9</v>
      </c>
      <c r="K285">
        <v>2065007</v>
      </c>
    </row>
    <row r="286" spans="1:11">
      <c r="A286" t="s">
        <v>248</v>
      </c>
      <c r="B286" t="s">
        <v>248</v>
      </c>
      <c r="C286">
        <v>228723</v>
      </c>
      <c r="D286">
        <v>17780</v>
      </c>
      <c r="E286">
        <v>2016</v>
      </c>
      <c r="F286" s="7">
        <v>25053</v>
      </c>
      <c r="G286" s="7">
        <v>19635</v>
      </c>
      <c r="H286" s="7">
        <v>15</v>
      </c>
      <c r="I286">
        <v>0.77400000000000002</v>
      </c>
      <c r="J286">
        <v>0.7</v>
      </c>
      <c r="K286">
        <v>254963</v>
      </c>
    </row>
    <row r="287" spans="1:11">
      <c r="A287" t="s">
        <v>249</v>
      </c>
      <c r="B287" t="s">
        <v>249</v>
      </c>
      <c r="C287">
        <v>229063</v>
      </c>
      <c r="D287">
        <v>26420</v>
      </c>
      <c r="E287">
        <v>2016</v>
      </c>
      <c r="F287" s="7">
        <v>1233</v>
      </c>
      <c r="G287" s="7">
        <v>2574</v>
      </c>
      <c r="H287" s="7">
        <v>6</v>
      </c>
      <c r="I287">
        <v>0.45700000000000002</v>
      </c>
      <c r="J287">
        <v>0.4</v>
      </c>
      <c r="K287">
        <v>6797263</v>
      </c>
    </row>
    <row r="288" spans="1:11">
      <c r="A288" t="s">
        <v>250</v>
      </c>
      <c r="B288" t="s">
        <v>250</v>
      </c>
      <c r="C288">
        <v>228459</v>
      </c>
      <c r="D288">
        <v>12420</v>
      </c>
      <c r="E288">
        <v>2016</v>
      </c>
      <c r="F288" s="7">
        <v>11151</v>
      </c>
      <c r="G288" s="7">
        <v>13750</v>
      </c>
      <c r="H288" s="7">
        <v>13</v>
      </c>
      <c r="I288">
        <v>0.61299999999999999</v>
      </c>
      <c r="J288">
        <v>0.629</v>
      </c>
      <c r="K288">
        <v>2065007</v>
      </c>
    </row>
    <row r="289" spans="1:11">
      <c r="A289" t="s">
        <v>251</v>
      </c>
      <c r="B289" t="s">
        <v>251</v>
      </c>
      <c r="C289">
        <v>229115</v>
      </c>
      <c r="D289">
        <v>31180</v>
      </c>
      <c r="E289">
        <v>2016</v>
      </c>
      <c r="F289" s="7">
        <v>5901</v>
      </c>
      <c r="G289" s="7">
        <v>9202</v>
      </c>
      <c r="H289" s="7">
        <v>14</v>
      </c>
      <c r="I289">
        <v>0.46700000000000003</v>
      </c>
      <c r="J289">
        <v>0.5</v>
      </c>
      <c r="K289">
        <v>311320</v>
      </c>
    </row>
    <row r="290" spans="1:11">
      <c r="A290" t="s">
        <v>1307</v>
      </c>
      <c r="B290" t="s">
        <v>1308</v>
      </c>
      <c r="C290">
        <v>217864</v>
      </c>
      <c r="D290">
        <v>16700</v>
      </c>
      <c r="E290">
        <v>2016</v>
      </c>
      <c r="F290" s="7">
        <v>1303</v>
      </c>
      <c r="G290" s="7">
        <v>1184</v>
      </c>
      <c r="H290" s="7">
        <v>12</v>
      </c>
      <c r="I290">
        <v>0.2</v>
      </c>
      <c r="J290">
        <v>0.23499999999999999</v>
      </c>
      <c r="K290">
        <v>752067</v>
      </c>
    </row>
    <row r="291" spans="1:11">
      <c r="A291" t="s">
        <v>252</v>
      </c>
      <c r="B291" t="s">
        <v>252</v>
      </c>
      <c r="C291">
        <v>206084</v>
      </c>
      <c r="D291">
        <v>45780</v>
      </c>
      <c r="E291">
        <v>2016</v>
      </c>
      <c r="F291" s="7">
        <v>4817</v>
      </c>
      <c r="G291" s="7">
        <v>3656</v>
      </c>
      <c r="H291" s="7">
        <v>14</v>
      </c>
      <c r="I291">
        <v>0.20699999999999999</v>
      </c>
      <c r="J291">
        <v>3.4000000000000002E-2</v>
      </c>
      <c r="K291">
        <v>648677</v>
      </c>
    </row>
    <row r="292" spans="1:11">
      <c r="A292" t="s">
        <v>253</v>
      </c>
      <c r="B292" t="s">
        <v>253</v>
      </c>
      <c r="C292">
        <v>164076</v>
      </c>
      <c r="D292">
        <v>12580</v>
      </c>
      <c r="E292">
        <v>2016</v>
      </c>
      <c r="F292" s="7">
        <v>4274</v>
      </c>
      <c r="G292" s="7">
        <v>3100</v>
      </c>
      <c r="H292" s="7">
        <v>13</v>
      </c>
      <c r="I292">
        <v>0.81299999999999994</v>
      </c>
      <c r="J292">
        <v>0.84399999999999997</v>
      </c>
      <c r="K292">
        <v>2821292</v>
      </c>
    </row>
    <row r="293" spans="1:11">
      <c r="A293" t="s">
        <v>254</v>
      </c>
      <c r="B293" t="s">
        <v>254</v>
      </c>
      <c r="C293">
        <v>102368</v>
      </c>
      <c r="D293">
        <v>45980</v>
      </c>
      <c r="E293">
        <v>2016</v>
      </c>
      <c r="F293" s="7">
        <v>7015</v>
      </c>
      <c r="G293" s="7">
        <v>4989</v>
      </c>
      <c r="H293" s="7">
        <v>15</v>
      </c>
      <c r="I293">
        <v>0.438</v>
      </c>
      <c r="J293">
        <v>0.313</v>
      </c>
      <c r="K293">
        <v>33564</v>
      </c>
    </row>
    <row r="294" spans="1:11">
      <c r="A294" t="s">
        <v>1309</v>
      </c>
      <c r="B294" t="s">
        <v>1309</v>
      </c>
      <c r="C294">
        <v>160755</v>
      </c>
      <c r="D294">
        <v>35380</v>
      </c>
      <c r="E294">
        <v>2016</v>
      </c>
      <c r="F294" s="7">
        <v>3893</v>
      </c>
      <c r="G294" s="7">
        <v>2502</v>
      </c>
      <c r="H294" s="7">
        <v>15</v>
      </c>
      <c r="I294">
        <v>0.313</v>
      </c>
      <c r="J294">
        <v>0.156</v>
      </c>
      <c r="K294">
        <v>1267693</v>
      </c>
    </row>
    <row r="295" spans="1:11">
      <c r="A295" t="s">
        <v>255</v>
      </c>
      <c r="B295" t="s">
        <v>255</v>
      </c>
      <c r="C295">
        <v>207971</v>
      </c>
      <c r="D295">
        <v>46140</v>
      </c>
      <c r="E295">
        <v>2016</v>
      </c>
      <c r="F295" s="7">
        <v>3113</v>
      </c>
      <c r="G295" s="7">
        <v>4947</v>
      </c>
      <c r="H295" s="7">
        <v>15</v>
      </c>
      <c r="I295">
        <v>0.46899999999999997</v>
      </c>
      <c r="J295">
        <v>0.71</v>
      </c>
      <c r="K295">
        <v>995533</v>
      </c>
    </row>
    <row r="296" spans="1:11">
      <c r="A296" t="s">
        <v>256</v>
      </c>
      <c r="B296" t="s">
        <v>256</v>
      </c>
      <c r="C296">
        <v>100663</v>
      </c>
      <c r="D296">
        <v>13820</v>
      </c>
      <c r="E296">
        <v>2016</v>
      </c>
      <c r="F296" s="7">
        <v>4634</v>
      </c>
      <c r="G296" s="7">
        <v>3115</v>
      </c>
      <c r="H296" s="7">
        <v>17</v>
      </c>
      <c r="I296">
        <v>0.28100000000000003</v>
      </c>
      <c r="J296">
        <v>0.25</v>
      </c>
      <c r="K296">
        <v>1097733</v>
      </c>
    </row>
    <row r="297" spans="1:11">
      <c r="A297" t="s">
        <v>10</v>
      </c>
      <c r="B297" t="s">
        <v>1239</v>
      </c>
      <c r="C297">
        <v>196060</v>
      </c>
      <c r="D297">
        <v>10580</v>
      </c>
      <c r="E297">
        <v>2016</v>
      </c>
      <c r="F297" s="7">
        <v>1219</v>
      </c>
      <c r="G297" s="7">
        <v>1216</v>
      </c>
      <c r="H297" s="7">
        <v>6</v>
      </c>
      <c r="I297">
        <v>0.65400000000000003</v>
      </c>
      <c r="J297">
        <v>0.37</v>
      </c>
      <c r="K297">
        <v>892531</v>
      </c>
    </row>
    <row r="298" spans="1:11">
      <c r="A298" t="s">
        <v>257</v>
      </c>
      <c r="B298" t="s">
        <v>257</v>
      </c>
      <c r="C298">
        <v>110644</v>
      </c>
      <c r="D298">
        <v>40900</v>
      </c>
      <c r="E298">
        <v>2016</v>
      </c>
      <c r="F298" s="7">
        <v>5587</v>
      </c>
      <c r="G298" s="7">
        <v>5637</v>
      </c>
      <c r="H298" s="7">
        <v>9</v>
      </c>
      <c r="I298">
        <v>0.5</v>
      </c>
      <c r="J298">
        <v>0.51700000000000002</v>
      </c>
      <c r="K298">
        <v>2306739</v>
      </c>
    </row>
    <row r="299" spans="1:11">
      <c r="A299" t="s">
        <v>1310</v>
      </c>
      <c r="B299" t="s">
        <v>1310</v>
      </c>
      <c r="C299">
        <v>110653</v>
      </c>
      <c r="D299">
        <v>31080</v>
      </c>
      <c r="E299">
        <v>2016</v>
      </c>
      <c r="F299" s="7">
        <v>3556</v>
      </c>
      <c r="G299" s="7">
        <v>4071</v>
      </c>
      <c r="H299" s="7">
        <v>11</v>
      </c>
      <c r="I299">
        <v>0.46400000000000002</v>
      </c>
      <c r="J299">
        <v>0.61299999999999999</v>
      </c>
      <c r="K299">
        <v>13297429</v>
      </c>
    </row>
    <row r="300" spans="1:11">
      <c r="A300" t="s">
        <v>258</v>
      </c>
      <c r="B300" t="s">
        <v>258</v>
      </c>
      <c r="C300">
        <v>110671</v>
      </c>
      <c r="D300">
        <v>40140</v>
      </c>
      <c r="E300">
        <v>2016</v>
      </c>
      <c r="F300" s="7">
        <v>2896</v>
      </c>
      <c r="G300" s="7">
        <v>2730</v>
      </c>
      <c r="H300" s="7">
        <v>8</v>
      </c>
      <c r="I300">
        <v>0.34499999999999997</v>
      </c>
      <c r="J300">
        <v>7.0999999999999994E-2</v>
      </c>
      <c r="K300">
        <v>4463228</v>
      </c>
    </row>
    <row r="301" spans="1:11">
      <c r="A301" t="s">
        <v>259</v>
      </c>
      <c r="B301" t="s">
        <v>259</v>
      </c>
      <c r="C301">
        <v>110705</v>
      </c>
      <c r="D301">
        <v>42200</v>
      </c>
      <c r="E301">
        <v>2016</v>
      </c>
      <c r="F301" s="7">
        <v>2599</v>
      </c>
      <c r="G301" s="7">
        <v>3359</v>
      </c>
      <c r="H301" s="7">
        <v>13</v>
      </c>
      <c r="I301">
        <v>0.25900000000000001</v>
      </c>
      <c r="J301">
        <v>0.48099999999999998</v>
      </c>
      <c r="K301">
        <v>445953</v>
      </c>
    </row>
    <row r="302" spans="1:11">
      <c r="A302" t="s">
        <v>260</v>
      </c>
      <c r="B302" t="s">
        <v>260</v>
      </c>
      <c r="C302">
        <v>132903</v>
      </c>
      <c r="D302">
        <v>36740</v>
      </c>
      <c r="E302">
        <v>2016</v>
      </c>
      <c r="F302" s="7">
        <v>5869</v>
      </c>
      <c r="G302" s="7">
        <v>6227</v>
      </c>
      <c r="H302" s="7">
        <v>13</v>
      </c>
      <c r="I302">
        <v>0.46899999999999997</v>
      </c>
      <c r="J302">
        <v>0.75800000000000001</v>
      </c>
      <c r="K302">
        <v>2482497</v>
      </c>
    </row>
    <row r="303" spans="1:11">
      <c r="A303" t="s">
        <v>261</v>
      </c>
      <c r="B303" t="s">
        <v>261</v>
      </c>
      <c r="C303">
        <v>110662</v>
      </c>
      <c r="D303">
        <v>31080</v>
      </c>
      <c r="E303">
        <v>2016</v>
      </c>
      <c r="F303" s="7">
        <v>17435</v>
      </c>
      <c r="G303" s="7">
        <v>10536</v>
      </c>
      <c r="H303" s="7">
        <v>14</v>
      </c>
      <c r="I303">
        <v>0.75800000000000001</v>
      </c>
      <c r="J303">
        <v>0.64700000000000002</v>
      </c>
      <c r="K303">
        <v>13297429</v>
      </c>
    </row>
    <row r="304" spans="1:11">
      <c r="A304" t="s">
        <v>262</v>
      </c>
      <c r="B304" t="s">
        <v>262</v>
      </c>
      <c r="C304">
        <v>129020</v>
      </c>
      <c r="D304">
        <v>25540</v>
      </c>
      <c r="E304">
        <v>2016</v>
      </c>
      <c r="F304" s="7">
        <v>3923</v>
      </c>
      <c r="G304" s="7">
        <v>3997</v>
      </c>
      <c r="H304" s="7">
        <v>14</v>
      </c>
      <c r="I304">
        <v>0.51600000000000001</v>
      </c>
      <c r="J304">
        <v>0.38700000000000001</v>
      </c>
      <c r="K304">
        <v>1215446</v>
      </c>
    </row>
    <row r="305" spans="1:11">
      <c r="A305" t="s">
        <v>263</v>
      </c>
      <c r="B305" t="s">
        <v>263</v>
      </c>
      <c r="C305">
        <v>145600</v>
      </c>
      <c r="D305">
        <v>16980</v>
      </c>
      <c r="E305">
        <v>2016</v>
      </c>
      <c r="F305" s="7">
        <v>3463</v>
      </c>
      <c r="G305" s="7">
        <v>3159</v>
      </c>
      <c r="H305" s="7">
        <v>13</v>
      </c>
      <c r="I305">
        <v>0.38700000000000001</v>
      </c>
      <c r="J305">
        <v>0.45200000000000001</v>
      </c>
      <c r="K305">
        <v>9654839</v>
      </c>
    </row>
    <row r="306" spans="1:11">
      <c r="A306" t="s">
        <v>107</v>
      </c>
      <c r="B306" t="s">
        <v>1244</v>
      </c>
      <c r="C306">
        <v>225627</v>
      </c>
      <c r="D306">
        <v>41700</v>
      </c>
      <c r="E306">
        <v>2016</v>
      </c>
      <c r="F306" s="7">
        <v>2226</v>
      </c>
      <c r="G306" s="7">
        <v>3063</v>
      </c>
      <c r="H306" s="7">
        <v>8</v>
      </c>
      <c r="I306" t="s">
        <v>1328</v>
      </c>
      <c r="J306" t="s">
        <v>1328</v>
      </c>
      <c r="K306">
        <v>2410897</v>
      </c>
    </row>
    <row r="307" spans="1:11">
      <c r="A307" t="s">
        <v>122</v>
      </c>
      <c r="B307" t="s">
        <v>1245</v>
      </c>
      <c r="C307">
        <v>159993</v>
      </c>
      <c r="D307">
        <v>33740</v>
      </c>
      <c r="E307">
        <v>2016</v>
      </c>
      <c r="F307" s="7">
        <v>2284</v>
      </c>
      <c r="G307" s="7">
        <v>2425</v>
      </c>
      <c r="H307" s="7">
        <v>10</v>
      </c>
      <c r="I307">
        <v>0.438</v>
      </c>
      <c r="J307">
        <v>0.27300000000000002</v>
      </c>
      <c r="K307">
        <v>210259</v>
      </c>
    </row>
    <row r="308" spans="1:11">
      <c r="A308" t="s">
        <v>264</v>
      </c>
      <c r="B308" t="s">
        <v>264</v>
      </c>
      <c r="C308">
        <v>166513</v>
      </c>
      <c r="D308">
        <v>31700</v>
      </c>
      <c r="E308">
        <v>2016</v>
      </c>
      <c r="F308" s="7">
        <v>1752</v>
      </c>
      <c r="G308" s="7">
        <v>1334</v>
      </c>
      <c r="H308" s="7">
        <v>11</v>
      </c>
      <c r="I308" t="s">
        <v>1328</v>
      </c>
      <c r="J308" t="s">
        <v>1328</v>
      </c>
      <c r="K308">
        <v>414216</v>
      </c>
    </row>
    <row r="309" spans="1:11">
      <c r="A309" t="s">
        <v>265</v>
      </c>
      <c r="B309" t="s">
        <v>265</v>
      </c>
      <c r="C309">
        <v>163268</v>
      </c>
      <c r="D309">
        <v>12580</v>
      </c>
      <c r="E309">
        <v>2016</v>
      </c>
      <c r="F309" s="7">
        <v>3035</v>
      </c>
      <c r="G309" s="7">
        <v>2502</v>
      </c>
      <c r="H309" s="7">
        <v>11</v>
      </c>
      <c r="I309">
        <v>0.46200000000000002</v>
      </c>
      <c r="J309">
        <v>0.4</v>
      </c>
      <c r="K309">
        <v>2821292</v>
      </c>
    </row>
    <row r="310" spans="1:11">
      <c r="A310" t="s">
        <v>266</v>
      </c>
      <c r="B310" t="s">
        <v>266</v>
      </c>
      <c r="C310">
        <v>163338</v>
      </c>
      <c r="D310">
        <v>41540</v>
      </c>
      <c r="E310">
        <v>2016</v>
      </c>
      <c r="F310" s="7">
        <v>10059</v>
      </c>
      <c r="G310" s="7">
        <v>10168</v>
      </c>
      <c r="H310" s="7">
        <v>19</v>
      </c>
      <c r="I310">
        <v>0.75900000000000001</v>
      </c>
      <c r="J310">
        <v>0.379</v>
      </c>
      <c r="K310">
        <v>396768</v>
      </c>
    </row>
    <row r="311" spans="1:11">
      <c r="A311" t="s">
        <v>1311</v>
      </c>
      <c r="B311" t="s">
        <v>1311</v>
      </c>
      <c r="C311">
        <v>199111</v>
      </c>
      <c r="D311">
        <v>11700</v>
      </c>
      <c r="E311">
        <v>2016</v>
      </c>
      <c r="F311" s="7">
        <v>4399</v>
      </c>
      <c r="G311" s="7">
        <v>3159</v>
      </c>
      <c r="H311" s="7">
        <v>12</v>
      </c>
      <c r="I311">
        <v>0.55600000000000005</v>
      </c>
      <c r="J311">
        <v>0.26700000000000002</v>
      </c>
      <c r="K311">
        <v>452631</v>
      </c>
    </row>
    <row r="312" spans="1:11">
      <c r="A312" t="s">
        <v>268</v>
      </c>
      <c r="B312" t="s">
        <v>268</v>
      </c>
      <c r="C312">
        <v>199148</v>
      </c>
      <c r="D312">
        <v>24660</v>
      </c>
      <c r="E312">
        <v>2016</v>
      </c>
      <c r="F312" s="7">
        <v>5363</v>
      </c>
      <c r="G312" s="7">
        <v>6956</v>
      </c>
      <c r="H312" s="7">
        <v>11</v>
      </c>
      <c r="I312">
        <v>0.66700000000000004</v>
      </c>
      <c r="J312">
        <v>0.64500000000000002</v>
      </c>
      <c r="K312">
        <v>759364</v>
      </c>
    </row>
    <row r="313" spans="1:11">
      <c r="A313" t="s">
        <v>269</v>
      </c>
      <c r="B313" t="s">
        <v>269</v>
      </c>
      <c r="C313">
        <v>199218</v>
      </c>
      <c r="D313">
        <v>48900</v>
      </c>
      <c r="E313">
        <v>2016</v>
      </c>
      <c r="F313" s="7">
        <v>6239</v>
      </c>
      <c r="G313" s="7">
        <v>6115</v>
      </c>
      <c r="H313" s="7">
        <v>11</v>
      </c>
      <c r="I313">
        <v>0.75</v>
      </c>
      <c r="J313">
        <v>0.65600000000000003</v>
      </c>
      <c r="K313">
        <v>274689</v>
      </c>
    </row>
    <row r="314" spans="1:11">
      <c r="A314" t="s">
        <v>270</v>
      </c>
      <c r="B314" t="s">
        <v>270</v>
      </c>
      <c r="C314">
        <v>154095</v>
      </c>
      <c r="D314">
        <v>47940</v>
      </c>
      <c r="E314">
        <v>2016</v>
      </c>
      <c r="F314" s="7">
        <v>27329</v>
      </c>
      <c r="G314" s="7">
        <v>40537</v>
      </c>
      <c r="H314" s="7">
        <v>12</v>
      </c>
      <c r="I314">
        <v>0.55900000000000005</v>
      </c>
      <c r="J314">
        <v>0.65600000000000003</v>
      </c>
      <c r="K314">
        <v>170217</v>
      </c>
    </row>
    <row r="315" spans="1:11">
      <c r="A315" t="s">
        <v>271</v>
      </c>
      <c r="B315" t="s">
        <v>271</v>
      </c>
      <c r="C315">
        <v>182281</v>
      </c>
      <c r="D315">
        <v>29820</v>
      </c>
      <c r="E315">
        <v>2016</v>
      </c>
      <c r="F315" s="7">
        <v>6870</v>
      </c>
      <c r="G315" s="7">
        <v>7768</v>
      </c>
      <c r="H315" s="7">
        <v>15</v>
      </c>
      <c r="I315">
        <v>0.53300000000000003</v>
      </c>
      <c r="J315">
        <v>0.78800000000000003</v>
      </c>
      <c r="K315">
        <v>2113943</v>
      </c>
    </row>
    <row r="316" spans="1:11">
      <c r="A316" t="s">
        <v>272</v>
      </c>
      <c r="B316" t="s">
        <v>272</v>
      </c>
      <c r="C316">
        <v>218742</v>
      </c>
      <c r="D316">
        <v>43900</v>
      </c>
      <c r="E316">
        <v>2016</v>
      </c>
      <c r="F316" s="7">
        <v>1972</v>
      </c>
      <c r="G316" s="7">
        <v>1410</v>
      </c>
      <c r="H316" s="7">
        <v>9</v>
      </c>
      <c r="I316">
        <v>0.5</v>
      </c>
      <c r="J316">
        <v>0.33300000000000002</v>
      </c>
      <c r="K316">
        <v>303005</v>
      </c>
    </row>
    <row r="317" spans="1:11">
      <c r="A317" t="s">
        <v>273</v>
      </c>
      <c r="B317" t="s">
        <v>273</v>
      </c>
      <c r="C317">
        <v>228769</v>
      </c>
      <c r="D317">
        <v>19100</v>
      </c>
      <c r="E317">
        <v>2016</v>
      </c>
      <c r="F317" s="7">
        <v>10176</v>
      </c>
      <c r="G317" s="7">
        <v>9505</v>
      </c>
      <c r="H317" s="7">
        <v>13</v>
      </c>
      <c r="I317">
        <v>0.65500000000000003</v>
      </c>
      <c r="J317">
        <v>0.73499999999999999</v>
      </c>
      <c r="K317">
        <v>7175708</v>
      </c>
    </row>
    <row r="318" spans="1:11">
      <c r="A318" t="s">
        <v>274</v>
      </c>
      <c r="B318" t="s">
        <v>274</v>
      </c>
      <c r="C318">
        <v>221768</v>
      </c>
      <c r="D318">
        <v>32280</v>
      </c>
      <c r="E318">
        <v>2016</v>
      </c>
      <c r="F318" s="7">
        <v>2641</v>
      </c>
      <c r="G318" s="7">
        <v>4359</v>
      </c>
      <c r="H318" s="7">
        <v>8</v>
      </c>
      <c r="I318">
        <v>0.27300000000000002</v>
      </c>
      <c r="J318">
        <v>0.36699999999999999</v>
      </c>
      <c r="K318">
        <v>33312</v>
      </c>
    </row>
    <row r="319" spans="1:11">
      <c r="A319" t="s">
        <v>275</v>
      </c>
      <c r="B319" t="s">
        <v>275</v>
      </c>
      <c r="C319">
        <v>230764</v>
      </c>
      <c r="D319">
        <v>41620</v>
      </c>
      <c r="E319">
        <v>2016</v>
      </c>
      <c r="F319" s="7">
        <v>13917</v>
      </c>
      <c r="G319" s="7">
        <v>13446</v>
      </c>
      <c r="H319" s="7">
        <v>14</v>
      </c>
      <c r="I319">
        <v>0.32300000000000001</v>
      </c>
      <c r="J319">
        <v>0.60599999999999998</v>
      </c>
      <c r="K319">
        <v>1197715</v>
      </c>
    </row>
    <row r="320" spans="1:11">
      <c r="A320" t="s">
        <v>276</v>
      </c>
      <c r="B320" t="s">
        <v>276</v>
      </c>
      <c r="C320">
        <v>230728</v>
      </c>
      <c r="D320">
        <v>30860</v>
      </c>
      <c r="E320">
        <v>2016</v>
      </c>
      <c r="F320" s="7">
        <v>12569</v>
      </c>
      <c r="G320" s="7">
        <v>13144</v>
      </c>
      <c r="H320" s="7">
        <v>14</v>
      </c>
      <c r="I320">
        <v>0.188</v>
      </c>
      <c r="J320">
        <v>0.44800000000000001</v>
      </c>
      <c r="K320">
        <v>137909</v>
      </c>
    </row>
    <row r="321" spans="1:11">
      <c r="A321" t="s">
        <v>277</v>
      </c>
      <c r="B321" t="s">
        <v>277</v>
      </c>
      <c r="C321">
        <v>230737</v>
      </c>
      <c r="D321">
        <v>39340</v>
      </c>
      <c r="E321">
        <v>2016</v>
      </c>
      <c r="F321" s="7">
        <v>6222</v>
      </c>
      <c r="G321" s="7">
        <v>7208</v>
      </c>
      <c r="H321" s="7">
        <v>8</v>
      </c>
      <c r="I321">
        <v>0.5</v>
      </c>
      <c r="J321">
        <v>0.438</v>
      </c>
      <c r="K321">
        <v>609431</v>
      </c>
    </row>
    <row r="322" spans="1:11">
      <c r="A322" t="s">
        <v>278</v>
      </c>
      <c r="B322" t="s">
        <v>278</v>
      </c>
      <c r="C322">
        <v>228796</v>
      </c>
      <c r="D322">
        <v>21340</v>
      </c>
      <c r="E322">
        <v>2016</v>
      </c>
      <c r="F322" s="7">
        <v>9458</v>
      </c>
      <c r="G322" s="7">
        <v>5361</v>
      </c>
      <c r="H322" s="7">
        <v>14</v>
      </c>
      <c r="I322">
        <v>0.28100000000000003</v>
      </c>
      <c r="J322">
        <v>0.20699999999999999</v>
      </c>
      <c r="K322">
        <v>852702</v>
      </c>
    </row>
    <row r="323" spans="1:11">
      <c r="A323" t="s">
        <v>1312</v>
      </c>
      <c r="B323" t="s">
        <v>1312</v>
      </c>
      <c r="C323">
        <v>227368</v>
      </c>
      <c r="D323">
        <v>32580</v>
      </c>
      <c r="E323">
        <v>2016</v>
      </c>
      <c r="F323" s="7">
        <v>5147</v>
      </c>
      <c r="G323" s="7">
        <v>5389</v>
      </c>
      <c r="H323" s="7">
        <v>11</v>
      </c>
      <c r="I323">
        <v>0.38700000000000001</v>
      </c>
      <c r="J323">
        <v>0.23300000000000001</v>
      </c>
      <c r="K323">
        <v>845787</v>
      </c>
    </row>
    <row r="324" spans="1:11">
      <c r="A324" t="s">
        <v>279</v>
      </c>
      <c r="B324" t="s">
        <v>279</v>
      </c>
      <c r="C324">
        <v>229027</v>
      </c>
      <c r="D324">
        <v>41700</v>
      </c>
      <c r="E324">
        <v>2016</v>
      </c>
      <c r="F324" s="7">
        <v>7197</v>
      </c>
      <c r="G324" s="7">
        <v>6440</v>
      </c>
      <c r="H324" s="7">
        <v>12</v>
      </c>
      <c r="I324">
        <v>0.72699999999999998</v>
      </c>
      <c r="J324">
        <v>0.69</v>
      </c>
      <c r="K324">
        <v>2410897</v>
      </c>
    </row>
    <row r="325" spans="1:11">
      <c r="A325" t="s">
        <v>280</v>
      </c>
      <c r="B325" t="s">
        <v>280</v>
      </c>
      <c r="C325">
        <v>152600</v>
      </c>
      <c r="D325">
        <v>16980</v>
      </c>
      <c r="E325">
        <v>2016</v>
      </c>
      <c r="F325" s="7">
        <v>6328</v>
      </c>
      <c r="G325" s="7">
        <v>6997</v>
      </c>
      <c r="H325" s="7">
        <v>15</v>
      </c>
      <c r="I325">
        <v>0.77100000000000002</v>
      </c>
      <c r="J325">
        <v>0.75800000000000001</v>
      </c>
      <c r="K325">
        <v>9654839</v>
      </c>
    </row>
    <row r="326" spans="1:11">
      <c r="A326" t="s">
        <v>1313</v>
      </c>
      <c r="B326" t="s">
        <v>1313</v>
      </c>
      <c r="C326">
        <v>221999</v>
      </c>
      <c r="D326">
        <v>34980</v>
      </c>
      <c r="E326">
        <v>2016</v>
      </c>
      <c r="F326" s="7" t="s">
        <v>1328</v>
      </c>
      <c r="G326" s="7" t="s">
        <v>1328</v>
      </c>
      <c r="H326" s="7" t="s">
        <v>1328</v>
      </c>
      <c r="I326" t="s">
        <v>1328</v>
      </c>
      <c r="J326" t="s">
        <v>1328</v>
      </c>
      <c r="K326">
        <v>1864558</v>
      </c>
    </row>
    <row r="327" spans="1:11">
      <c r="A327" t="s">
        <v>1314</v>
      </c>
      <c r="B327" t="s">
        <v>1314</v>
      </c>
      <c r="C327">
        <v>234030</v>
      </c>
      <c r="D327">
        <v>40060</v>
      </c>
      <c r="E327">
        <v>2016</v>
      </c>
      <c r="F327" s="7">
        <v>4424</v>
      </c>
      <c r="G327" s="7">
        <v>4024</v>
      </c>
      <c r="H327" s="7">
        <v>10</v>
      </c>
      <c r="I327">
        <v>0.45200000000000001</v>
      </c>
      <c r="J327">
        <v>0.56699999999999995</v>
      </c>
      <c r="K327">
        <v>1267408</v>
      </c>
    </row>
    <row r="328" spans="1:11">
      <c r="A328" t="s">
        <v>1315</v>
      </c>
      <c r="B328" t="s">
        <v>1315</v>
      </c>
      <c r="C328">
        <v>231174</v>
      </c>
      <c r="D328">
        <v>15540</v>
      </c>
      <c r="E328">
        <v>2016</v>
      </c>
      <c r="F328" s="7" t="s">
        <v>1328</v>
      </c>
      <c r="G328" s="7" t="s">
        <v>1328</v>
      </c>
      <c r="H328" s="7" t="s">
        <v>1328</v>
      </c>
      <c r="I328" t="s">
        <v>1328</v>
      </c>
      <c r="J328" t="s">
        <v>1328</v>
      </c>
      <c r="K328">
        <v>220519</v>
      </c>
    </row>
    <row r="329" spans="1:11">
      <c r="A329" t="s">
        <v>281</v>
      </c>
      <c r="B329" t="s">
        <v>281</v>
      </c>
      <c r="C329">
        <v>216597</v>
      </c>
      <c r="D329">
        <v>37980</v>
      </c>
      <c r="E329">
        <v>2016</v>
      </c>
      <c r="F329" s="7">
        <v>3564</v>
      </c>
      <c r="G329" s="7">
        <v>4660</v>
      </c>
      <c r="H329" s="7">
        <v>12</v>
      </c>
      <c r="I329">
        <v>0.73499999999999999</v>
      </c>
      <c r="J329">
        <v>0.39400000000000002</v>
      </c>
      <c r="K329">
        <v>6153898</v>
      </c>
    </row>
    <row r="330" spans="1:11">
      <c r="A330" t="s">
        <v>282</v>
      </c>
      <c r="B330" t="s">
        <v>282</v>
      </c>
      <c r="C330">
        <v>234076</v>
      </c>
      <c r="D330">
        <v>16820</v>
      </c>
      <c r="E330">
        <v>2016</v>
      </c>
      <c r="F330" s="7">
        <v>9110</v>
      </c>
      <c r="G330" s="7">
        <v>6977</v>
      </c>
      <c r="H330" s="7">
        <v>13</v>
      </c>
      <c r="I330">
        <v>0.58099999999999996</v>
      </c>
      <c r="J330">
        <v>0.54800000000000004</v>
      </c>
      <c r="K330">
        <v>214982</v>
      </c>
    </row>
    <row r="331" spans="1:11">
      <c r="A331" t="s">
        <v>283</v>
      </c>
      <c r="B331" t="s">
        <v>283</v>
      </c>
      <c r="C331">
        <v>233921</v>
      </c>
      <c r="D331">
        <v>13980</v>
      </c>
      <c r="E331">
        <v>2016</v>
      </c>
      <c r="F331" s="7">
        <v>9718</v>
      </c>
      <c r="G331" s="7">
        <v>7954</v>
      </c>
      <c r="H331" s="7">
        <v>16</v>
      </c>
      <c r="I331">
        <v>0.59399999999999997</v>
      </c>
      <c r="J331">
        <v>0.54800000000000004</v>
      </c>
      <c r="K331">
        <v>166085</v>
      </c>
    </row>
    <row r="332" spans="1:11">
      <c r="A332" t="s">
        <v>1316</v>
      </c>
      <c r="B332" t="s">
        <v>1316</v>
      </c>
      <c r="C332">
        <v>234085</v>
      </c>
      <c r="D332">
        <v>31340</v>
      </c>
      <c r="E332">
        <v>2016</v>
      </c>
      <c r="F332" s="7" t="s">
        <v>1328</v>
      </c>
      <c r="G332" s="7" t="s">
        <v>1328</v>
      </c>
      <c r="H332" s="7" t="s">
        <v>1328</v>
      </c>
      <c r="I332" t="s">
        <v>1328</v>
      </c>
      <c r="J332" t="s">
        <v>1328</v>
      </c>
      <c r="K332">
        <v>258862</v>
      </c>
    </row>
    <row r="333" spans="1:11">
      <c r="A333" t="s">
        <v>1258</v>
      </c>
      <c r="B333" t="s">
        <v>1258</v>
      </c>
      <c r="C333">
        <v>197197</v>
      </c>
      <c r="D333">
        <v>35620</v>
      </c>
      <c r="E333">
        <v>2016</v>
      </c>
      <c r="F333" s="7" t="s">
        <v>1328</v>
      </c>
      <c r="G333" s="7" t="s">
        <v>1328</v>
      </c>
      <c r="H333" s="7" t="s">
        <v>1328</v>
      </c>
      <c r="I333" t="s">
        <v>1328</v>
      </c>
      <c r="J333" t="s">
        <v>1328</v>
      </c>
      <c r="K333">
        <v>19945132</v>
      </c>
    </row>
    <row r="334" spans="1:11">
      <c r="A334" t="s">
        <v>1317</v>
      </c>
      <c r="B334" t="s">
        <v>1317</v>
      </c>
      <c r="C334">
        <v>199847</v>
      </c>
      <c r="D334">
        <v>49180</v>
      </c>
      <c r="E334">
        <v>2016</v>
      </c>
      <c r="F334" s="7">
        <v>10561</v>
      </c>
      <c r="G334" s="7">
        <v>9069</v>
      </c>
      <c r="H334" s="7">
        <v>13</v>
      </c>
      <c r="I334">
        <v>0.375</v>
      </c>
      <c r="J334">
        <v>0.5</v>
      </c>
      <c r="K334">
        <v>659348</v>
      </c>
    </row>
    <row r="335" spans="1:11">
      <c r="A335" t="s">
        <v>284</v>
      </c>
      <c r="B335" t="s">
        <v>284</v>
      </c>
      <c r="C335">
        <v>236948</v>
      </c>
      <c r="D335">
        <v>42660</v>
      </c>
      <c r="E335">
        <v>2016</v>
      </c>
      <c r="F335" s="7">
        <v>44680</v>
      </c>
      <c r="G335" s="7">
        <v>60829</v>
      </c>
      <c r="H335" s="7">
        <v>17</v>
      </c>
      <c r="I335">
        <v>0.91200000000000003</v>
      </c>
      <c r="J335">
        <v>0.91200000000000003</v>
      </c>
      <c r="K335">
        <v>3824567</v>
      </c>
    </row>
    <row r="336" spans="1:11">
      <c r="A336" t="s">
        <v>1318</v>
      </c>
      <c r="B336" t="s">
        <v>1318</v>
      </c>
      <c r="C336">
        <v>236939</v>
      </c>
      <c r="D336">
        <v>39420</v>
      </c>
      <c r="E336">
        <v>2016</v>
      </c>
      <c r="F336" s="7">
        <v>9639</v>
      </c>
      <c r="G336" s="7">
        <v>8740</v>
      </c>
      <c r="H336" s="7">
        <v>13</v>
      </c>
      <c r="I336">
        <v>0.5</v>
      </c>
      <c r="J336">
        <v>0.313</v>
      </c>
      <c r="K336">
        <v>47881</v>
      </c>
    </row>
    <row r="337" spans="1:11">
      <c r="A337" t="s">
        <v>285</v>
      </c>
      <c r="B337" t="s">
        <v>285</v>
      </c>
      <c r="C337">
        <v>230782</v>
      </c>
      <c r="D337">
        <v>36260</v>
      </c>
      <c r="E337">
        <v>2016</v>
      </c>
      <c r="F337" s="7">
        <v>3838</v>
      </c>
      <c r="G337" s="7">
        <v>3696</v>
      </c>
      <c r="H337" s="7">
        <v>9</v>
      </c>
      <c r="I337">
        <v>0.214</v>
      </c>
      <c r="J337">
        <v>0.22600000000000001</v>
      </c>
      <c r="K337">
        <v>656094</v>
      </c>
    </row>
    <row r="338" spans="1:11">
      <c r="A338" t="s">
        <v>1319</v>
      </c>
      <c r="B338" t="s">
        <v>1319</v>
      </c>
      <c r="C338">
        <v>238032</v>
      </c>
      <c r="D338">
        <v>34060</v>
      </c>
      <c r="E338">
        <v>2016</v>
      </c>
      <c r="F338" s="7">
        <v>4254</v>
      </c>
      <c r="G338" s="7">
        <v>8714</v>
      </c>
      <c r="H338" s="7">
        <v>9</v>
      </c>
      <c r="I338">
        <v>0.17199999999999999</v>
      </c>
      <c r="J338">
        <v>0.53300000000000003</v>
      </c>
      <c r="K338">
        <v>139604</v>
      </c>
    </row>
    <row r="339" spans="1:11">
      <c r="A339" t="s">
        <v>286</v>
      </c>
      <c r="B339" t="s">
        <v>286</v>
      </c>
      <c r="C339">
        <v>200004</v>
      </c>
      <c r="D339">
        <v>19000</v>
      </c>
      <c r="E339">
        <v>2016</v>
      </c>
      <c r="F339" s="7">
        <v>2636</v>
      </c>
      <c r="G339" s="7">
        <v>2323</v>
      </c>
      <c r="H339" s="7">
        <v>14</v>
      </c>
      <c r="I339">
        <v>0.35299999999999998</v>
      </c>
      <c r="J339">
        <v>0.53100000000000003</v>
      </c>
      <c r="K339">
        <v>56250</v>
      </c>
    </row>
    <row r="340" spans="1:11">
      <c r="A340" t="s">
        <v>287</v>
      </c>
      <c r="B340" t="s">
        <v>287</v>
      </c>
      <c r="C340">
        <v>149772</v>
      </c>
      <c r="D340">
        <v>31380</v>
      </c>
      <c r="E340">
        <v>2016</v>
      </c>
      <c r="F340" s="7">
        <v>3034</v>
      </c>
      <c r="G340" s="7">
        <v>3362</v>
      </c>
      <c r="H340" s="7">
        <v>11</v>
      </c>
      <c r="I340">
        <v>9.7000000000000003E-2</v>
      </c>
      <c r="J340">
        <v>0.20699999999999999</v>
      </c>
      <c r="K340">
        <v>29495</v>
      </c>
    </row>
    <row r="341" spans="1:11">
      <c r="A341" t="s">
        <v>288</v>
      </c>
      <c r="B341" t="s">
        <v>288</v>
      </c>
      <c r="C341">
        <v>157951</v>
      </c>
      <c r="D341">
        <v>14540</v>
      </c>
      <c r="E341">
        <v>2016</v>
      </c>
      <c r="F341" s="7">
        <v>8887</v>
      </c>
      <c r="G341" s="7">
        <v>9435</v>
      </c>
      <c r="H341" s="7">
        <v>13</v>
      </c>
      <c r="I341">
        <v>0.88900000000000001</v>
      </c>
      <c r="J341">
        <v>0.83299999999999996</v>
      </c>
      <c r="K341">
        <v>171748</v>
      </c>
    </row>
    <row r="342" spans="1:11">
      <c r="A342" t="s">
        <v>289</v>
      </c>
      <c r="B342" t="s">
        <v>289</v>
      </c>
      <c r="C342">
        <v>172699</v>
      </c>
      <c r="D342">
        <v>28020</v>
      </c>
      <c r="E342">
        <v>2016</v>
      </c>
      <c r="F342" s="7">
        <v>4917</v>
      </c>
      <c r="G342" s="7">
        <v>8342</v>
      </c>
      <c r="H342" s="7">
        <v>8</v>
      </c>
      <c r="I342">
        <v>0.45500000000000002</v>
      </c>
      <c r="J342">
        <v>0.61099999999999999</v>
      </c>
      <c r="K342">
        <v>258871</v>
      </c>
    </row>
    <row r="343" spans="1:11">
      <c r="A343" t="s">
        <v>290</v>
      </c>
      <c r="B343" t="s">
        <v>290</v>
      </c>
      <c r="C343">
        <v>156125</v>
      </c>
      <c r="D343">
        <v>48620</v>
      </c>
      <c r="E343">
        <v>2016</v>
      </c>
      <c r="F343" s="7">
        <v>31650</v>
      </c>
      <c r="G343" s="7">
        <v>27706</v>
      </c>
      <c r="H343" s="7">
        <v>14</v>
      </c>
      <c r="I343">
        <v>0.75</v>
      </c>
      <c r="J343">
        <v>0.66700000000000004</v>
      </c>
      <c r="K343">
        <v>640682</v>
      </c>
    </row>
    <row r="344" spans="1:11">
      <c r="A344" t="s">
        <v>1320</v>
      </c>
      <c r="B344" t="s">
        <v>1320</v>
      </c>
      <c r="C344">
        <v>231624</v>
      </c>
      <c r="D344">
        <v>47260</v>
      </c>
      <c r="E344">
        <v>2016</v>
      </c>
      <c r="F344" s="7">
        <v>3218</v>
      </c>
      <c r="G344" s="7">
        <v>2209</v>
      </c>
      <c r="H344" s="7">
        <v>11</v>
      </c>
      <c r="I344">
        <v>0.33300000000000002</v>
      </c>
      <c r="J344">
        <v>0.22600000000000001</v>
      </c>
      <c r="K344">
        <v>1773787</v>
      </c>
    </row>
    <row r="345" spans="1:11">
      <c r="A345" t="s">
        <v>291</v>
      </c>
      <c r="B345" t="s">
        <v>291</v>
      </c>
      <c r="C345">
        <v>218964</v>
      </c>
      <c r="D345">
        <v>16740</v>
      </c>
      <c r="E345">
        <v>2016</v>
      </c>
      <c r="F345" s="7">
        <v>7404</v>
      </c>
      <c r="G345" s="7">
        <v>3209</v>
      </c>
      <c r="H345" s="7">
        <v>13</v>
      </c>
      <c r="I345">
        <v>0.438</v>
      </c>
      <c r="J345">
        <v>0.625</v>
      </c>
      <c r="K345">
        <v>2492928</v>
      </c>
    </row>
    <row r="346" spans="1:11">
      <c r="A346" t="s">
        <v>292</v>
      </c>
      <c r="B346" t="s">
        <v>292</v>
      </c>
      <c r="C346">
        <v>240444</v>
      </c>
      <c r="D346">
        <v>31540</v>
      </c>
      <c r="E346">
        <v>2016</v>
      </c>
      <c r="F346" s="7">
        <v>85774</v>
      </c>
      <c r="G346" s="7">
        <v>73999</v>
      </c>
      <c r="H346" s="7">
        <v>17</v>
      </c>
      <c r="I346">
        <v>0.78800000000000003</v>
      </c>
      <c r="J346">
        <v>0.91200000000000003</v>
      </c>
      <c r="K346">
        <v>655902</v>
      </c>
    </row>
    <row r="347" spans="1:11">
      <c r="A347" t="s">
        <v>293</v>
      </c>
      <c r="B347" t="s">
        <v>293</v>
      </c>
      <c r="C347">
        <v>218973</v>
      </c>
      <c r="D347">
        <v>43900</v>
      </c>
      <c r="E347">
        <v>2016</v>
      </c>
      <c r="F347" s="7">
        <v>2260</v>
      </c>
      <c r="G347" s="7">
        <v>4531</v>
      </c>
      <c r="H347" s="7">
        <v>9</v>
      </c>
      <c r="I347">
        <v>0.47099999999999997</v>
      </c>
      <c r="J347">
        <v>0.371</v>
      </c>
      <c r="K347">
        <v>303005</v>
      </c>
    </row>
    <row r="348" spans="1:11">
      <c r="A348" t="s">
        <v>1321</v>
      </c>
      <c r="B348" t="s">
        <v>1321</v>
      </c>
      <c r="C348">
        <v>206604</v>
      </c>
      <c r="D348">
        <v>19430</v>
      </c>
      <c r="E348">
        <v>2016</v>
      </c>
      <c r="F348" s="7">
        <v>4426</v>
      </c>
      <c r="G348" s="7">
        <v>3534</v>
      </c>
      <c r="H348" s="7">
        <v>16</v>
      </c>
      <c r="I348">
        <v>0.48399999999999999</v>
      </c>
      <c r="J348">
        <v>0.17899999999999999</v>
      </c>
      <c r="K348">
        <v>805185</v>
      </c>
    </row>
    <row r="349" spans="1:11">
      <c r="A349" t="s">
        <v>1322</v>
      </c>
      <c r="B349" t="s">
        <v>1322</v>
      </c>
      <c r="C349">
        <v>240727</v>
      </c>
      <c r="D349">
        <v>29660</v>
      </c>
      <c r="E349">
        <v>2016</v>
      </c>
      <c r="F349" s="7">
        <v>15500</v>
      </c>
      <c r="G349" s="7">
        <v>9879</v>
      </c>
      <c r="H349" s="7">
        <v>18</v>
      </c>
      <c r="I349">
        <v>0.76700000000000002</v>
      </c>
      <c r="J349">
        <v>0.74199999999999999</v>
      </c>
      <c r="K349">
        <v>36877</v>
      </c>
    </row>
    <row r="350" spans="1:11">
      <c r="A350" t="s">
        <v>1323</v>
      </c>
      <c r="B350" t="s">
        <v>1323</v>
      </c>
      <c r="C350">
        <v>206622</v>
      </c>
      <c r="D350">
        <v>17140</v>
      </c>
      <c r="E350">
        <v>2016</v>
      </c>
      <c r="F350" s="7">
        <v>9232</v>
      </c>
      <c r="G350" s="7">
        <v>8681</v>
      </c>
      <c r="H350" s="7">
        <v>13</v>
      </c>
      <c r="I350">
        <v>0.6</v>
      </c>
      <c r="J350">
        <v>0.61299999999999999</v>
      </c>
      <c r="K350">
        <v>2209105</v>
      </c>
    </row>
    <row r="351" spans="1:11">
      <c r="A351" t="s">
        <v>294</v>
      </c>
      <c r="B351" t="s">
        <v>294</v>
      </c>
      <c r="C351">
        <v>130794</v>
      </c>
      <c r="D351">
        <v>35300</v>
      </c>
      <c r="E351">
        <v>2016</v>
      </c>
      <c r="F351" s="7">
        <v>5282</v>
      </c>
      <c r="G351" s="7">
        <v>4479</v>
      </c>
      <c r="H351" s="7">
        <v>10</v>
      </c>
      <c r="I351">
        <v>0.625</v>
      </c>
      <c r="J351">
        <v>0.69199999999999995</v>
      </c>
      <c r="K351">
        <v>865595</v>
      </c>
    </row>
    <row r="352" spans="1:11">
      <c r="A352" t="s">
        <v>295</v>
      </c>
      <c r="B352" t="s">
        <v>295</v>
      </c>
      <c r="C352">
        <v>206695</v>
      </c>
      <c r="D352">
        <v>49660</v>
      </c>
      <c r="E352">
        <v>2016</v>
      </c>
      <c r="F352" s="7">
        <v>2193</v>
      </c>
      <c r="G352" s="7">
        <v>1100</v>
      </c>
      <c r="H352" s="7">
        <v>10</v>
      </c>
      <c r="I352">
        <v>0.32300000000000001</v>
      </c>
      <c r="J352">
        <v>0.54800000000000004</v>
      </c>
      <c r="K352">
        <v>550227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12A0-04DB-824C-9184-D20EF3903772}">
  <dimension ref="A1:K352"/>
  <sheetViews>
    <sheetView workbookViewId="0"/>
  </sheetViews>
  <sheetFormatPr baseColWidth="10" defaultRowHeight="15"/>
  <sheetData>
    <row r="1" spans="1:11">
      <c r="A1" t="s">
        <v>4</v>
      </c>
      <c r="B1" t="s">
        <v>4</v>
      </c>
      <c r="C1">
        <v>224147</v>
      </c>
      <c r="D1">
        <v>18580</v>
      </c>
      <c r="E1" s="1">
        <v>2015</v>
      </c>
      <c r="F1" s="7">
        <v>6833</v>
      </c>
      <c r="G1" s="7">
        <v>9115</v>
      </c>
      <c r="H1" s="7">
        <v>13</v>
      </c>
      <c r="I1">
        <v>0.54300000000000004</v>
      </c>
      <c r="J1">
        <v>0.625</v>
      </c>
      <c r="K1">
        <v>423386</v>
      </c>
    </row>
    <row r="2" spans="1:11">
      <c r="A2" t="s">
        <v>5</v>
      </c>
      <c r="B2" t="s">
        <v>5</v>
      </c>
      <c r="C2">
        <v>222178</v>
      </c>
      <c r="D2">
        <v>10180</v>
      </c>
      <c r="E2">
        <v>2015</v>
      </c>
      <c r="F2" s="7">
        <v>3859</v>
      </c>
      <c r="G2" s="7">
        <v>3992</v>
      </c>
      <c r="H2" s="7">
        <v>9</v>
      </c>
      <c r="I2" t="s">
        <v>1328</v>
      </c>
      <c r="J2" t="s">
        <v>1328</v>
      </c>
      <c r="K2">
        <v>171666</v>
      </c>
    </row>
    <row r="3" spans="1:11">
      <c r="A3" t="s">
        <v>1265</v>
      </c>
      <c r="B3" t="s">
        <v>1265</v>
      </c>
      <c r="C3">
        <v>500002</v>
      </c>
      <c r="D3">
        <v>17820</v>
      </c>
      <c r="E3">
        <v>2015</v>
      </c>
      <c r="F3" s="7">
        <v>5422</v>
      </c>
      <c r="G3" s="7">
        <v>6002</v>
      </c>
      <c r="H3" s="7">
        <v>17</v>
      </c>
      <c r="I3">
        <v>0.40600000000000003</v>
      </c>
      <c r="J3">
        <v>0.25</v>
      </c>
      <c r="K3">
        <v>698874</v>
      </c>
    </row>
    <row r="4" spans="1:11">
      <c r="A4" t="s">
        <v>6</v>
      </c>
      <c r="B4" t="s">
        <v>6</v>
      </c>
      <c r="C4">
        <v>200800</v>
      </c>
      <c r="D4">
        <v>10420</v>
      </c>
      <c r="E4">
        <v>2015</v>
      </c>
      <c r="F4" s="7">
        <v>2889</v>
      </c>
      <c r="G4" s="7">
        <v>2933</v>
      </c>
      <c r="H4" s="7">
        <v>13</v>
      </c>
      <c r="I4">
        <v>0.25800000000000001</v>
      </c>
      <c r="J4">
        <v>0.29599999999999999</v>
      </c>
      <c r="K4">
        <v>704604</v>
      </c>
    </row>
    <row r="5" spans="1:11">
      <c r="A5" t="s">
        <v>7</v>
      </c>
      <c r="B5" t="s">
        <v>7</v>
      </c>
      <c r="C5">
        <v>100751</v>
      </c>
      <c r="D5">
        <v>46220</v>
      </c>
      <c r="E5">
        <v>2015</v>
      </c>
      <c r="F5" s="7">
        <v>12289</v>
      </c>
      <c r="G5" s="7">
        <v>12376</v>
      </c>
      <c r="H5" s="7">
        <v>13</v>
      </c>
      <c r="I5">
        <v>0.76500000000000001</v>
      </c>
      <c r="J5">
        <v>0.70599999999999996</v>
      </c>
      <c r="K5">
        <v>257358</v>
      </c>
    </row>
    <row r="6" spans="1:11">
      <c r="A6" t="s">
        <v>8</v>
      </c>
      <c r="B6" t="s">
        <v>8</v>
      </c>
      <c r="C6">
        <v>100654</v>
      </c>
      <c r="D6">
        <v>26620</v>
      </c>
      <c r="E6">
        <v>2015</v>
      </c>
      <c r="F6" s="7">
        <v>1335</v>
      </c>
      <c r="G6" s="7">
        <v>1146</v>
      </c>
      <c r="H6" s="7">
        <v>9</v>
      </c>
      <c r="I6">
        <v>0.39400000000000002</v>
      </c>
      <c r="J6">
        <v>0.34399999999999997</v>
      </c>
      <c r="K6">
        <v>451269</v>
      </c>
    </row>
    <row r="7" spans="1:11">
      <c r="A7" t="s">
        <v>9</v>
      </c>
      <c r="B7" t="s">
        <v>9</v>
      </c>
      <c r="C7">
        <v>100724</v>
      </c>
      <c r="D7">
        <v>33860</v>
      </c>
      <c r="E7">
        <v>2015</v>
      </c>
      <c r="F7" s="7">
        <v>3495</v>
      </c>
      <c r="G7" s="7">
        <v>1804</v>
      </c>
      <c r="H7" s="7">
        <v>16</v>
      </c>
      <c r="I7">
        <v>0.51300000000000001</v>
      </c>
      <c r="J7">
        <v>0.61</v>
      </c>
      <c r="K7">
        <v>380447</v>
      </c>
    </row>
    <row r="8" spans="1:11">
      <c r="A8" t="s">
        <v>11</v>
      </c>
      <c r="B8" t="s">
        <v>11</v>
      </c>
      <c r="C8">
        <v>175342</v>
      </c>
      <c r="D8">
        <v>35020</v>
      </c>
      <c r="E8">
        <v>2015</v>
      </c>
      <c r="F8" s="7">
        <v>1053</v>
      </c>
      <c r="G8" s="7">
        <v>612</v>
      </c>
      <c r="H8" s="7">
        <v>9</v>
      </c>
      <c r="I8">
        <v>0.28599999999999998</v>
      </c>
      <c r="J8" t="s">
        <v>1328</v>
      </c>
      <c r="K8">
        <v>51163</v>
      </c>
    </row>
    <row r="9" spans="1:11">
      <c r="A9" t="s">
        <v>1266</v>
      </c>
      <c r="B9" t="s">
        <v>1266</v>
      </c>
      <c r="C9">
        <v>131159</v>
      </c>
      <c r="D9">
        <v>47900</v>
      </c>
      <c r="E9">
        <v>2015</v>
      </c>
      <c r="F9" s="7">
        <v>7923</v>
      </c>
      <c r="G9" s="7">
        <v>5700</v>
      </c>
      <c r="H9" s="7">
        <v>16</v>
      </c>
      <c r="I9">
        <v>0.78800000000000003</v>
      </c>
      <c r="J9">
        <v>0.91900000000000004</v>
      </c>
      <c r="K9">
        <v>6132190</v>
      </c>
    </row>
    <row r="10" spans="1:11">
      <c r="A10" t="s">
        <v>1240</v>
      </c>
      <c r="B10" t="s">
        <v>12</v>
      </c>
      <c r="C10">
        <v>197869</v>
      </c>
      <c r="D10">
        <v>14380</v>
      </c>
      <c r="E10">
        <v>2015</v>
      </c>
      <c r="F10" s="7">
        <v>5174</v>
      </c>
      <c r="G10" s="7">
        <v>4432</v>
      </c>
      <c r="H10" s="7">
        <v>16</v>
      </c>
      <c r="I10">
        <v>0.67700000000000005</v>
      </c>
      <c r="J10">
        <v>0.59399999999999997</v>
      </c>
      <c r="K10">
        <v>51985</v>
      </c>
    </row>
    <row r="11" spans="1:11">
      <c r="A11" t="s">
        <v>13</v>
      </c>
      <c r="B11" t="s">
        <v>13</v>
      </c>
      <c r="C11">
        <v>104179</v>
      </c>
      <c r="D11">
        <v>46060</v>
      </c>
      <c r="E11">
        <v>2015</v>
      </c>
      <c r="F11" s="7">
        <v>27266</v>
      </c>
      <c r="G11" s="7">
        <v>19887</v>
      </c>
      <c r="H11" s="7">
        <v>18</v>
      </c>
      <c r="I11">
        <v>0.70599999999999996</v>
      </c>
      <c r="J11">
        <v>0.61799999999999999</v>
      </c>
      <c r="K11">
        <v>1001320</v>
      </c>
    </row>
    <row r="12" spans="1:11">
      <c r="A12" t="s">
        <v>14</v>
      </c>
      <c r="B12" t="s">
        <v>14</v>
      </c>
      <c r="C12">
        <v>104151</v>
      </c>
      <c r="D12">
        <v>38060</v>
      </c>
      <c r="E12">
        <v>2015</v>
      </c>
      <c r="F12" s="7">
        <v>22373</v>
      </c>
      <c r="G12" s="7">
        <v>17544</v>
      </c>
      <c r="H12" s="7">
        <v>16</v>
      </c>
      <c r="I12">
        <v>0.58799999999999997</v>
      </c>
      <c r="J12">
        <v>0.57599999999999996</v>
      </c>
      <c r="K12">
        <v>4480231</v>
      </c>
    </row>
    <row r="13" spans="1:11">
      <c r="A13" t="s">
        <v>15</v>
      </c>
      <c r="B13" t="s">
        <v>15</v>
      </c>
      <c r="C13">
        <v>106412</v>
      </c>
      <c r="D13">
        <v>38220</v>
      </c>
      <c r="E13">
        <v>2015</v>
      </c>
      <c r="F13" s="7">
        <v>774</v>
      </c>
      <c r="G13" s="7">
        <v>911</v>
      </c>
      <c r="H13" s="7">
        <v>7</v>
      </c>
      <c r="I13">
        <v>0.35499999999999998</v>
      </c>
      <c r="J13">
        <v>0.36099999999999999</v>
      </c>
      <c r="K13">
        <v>94570</v>
      </c>
    </row>
    <row r="14" spans="1:11">
      <c r="A14" t="s">
        <v>16</v>
      </c>
      <c r="B14" t="s">
        <v>16</v>
      </c>
      <c r="C14">
        <v>106397</v>
      </c>
      <c r="D14">
        <v>22220</v>
      </c>
      <c r="E14">
        <v>2015</v>
      </c>
      <c r="F14" s="7">
        <v>15265</v>
      </c>
      <c r="G14" s="7">
        <v>12395</v>
      </c>
      <c r="H14" s="7">
        <v>16</v>
      </c>
      <c r="I14">
        <v>0.48399999999999999</v>
      </c>
      <c r="J14">
        <v>0.53300000000000003</v>
      </c>
      <c r="K14">
        <v>492646</v>
      </c>
    </row>
    <row r="15" spans="1:11">
      <c r="A15" t="s">
        <v>1267</v>
      </c>
      <c r="B15" t="s">
        <v>1267</v>
      </c>
      <c r="C15">
        <v>106458</v>
      </c>
      <c r="D15">
        <v>27860</v>
      </c>
      <c r="E15">
        <v>2015</v>
      </c>
      <c r="F15" s="7">
        <v>3742</v>
      </c>
      <c r="G15" s="7">
        <v>4137</v>
      </c>
      <c r="H15" s="7">
        <v>10</v>
      </c>
      <c r="I15">
        <v>0.67700000000000005</v>
      </c>
      <c r="J15">
        <v>0.42899999999999999</v>
      </c>
      <c r="K15">
        <v>127954</v>
      </c>
    </row>
    <row r="16" spans="1:11">
      <c r="A16" t="s">
        <v>17</v>
      </c>
      <c r="B16" t="s">
        <v>17</v>
      </c>
      <c r="C16">
        <v>500001</v>
      </c>
      <c r="D16">
        <v>35620</v>
      </c>
      <c r="E16">
        <v>2015</v>
      </c>
      <c r="F16" s="7">
        <v>1921</v>
      </c>
      <c r="G16" s="7">
        <v>3909</v>
      </c>
      <c r="H16" s="7">
        <v>12</v>
      </c>
      <c r="I16">
        <v>0.46700000000000003</v>
      </c>
      <c r="J16">
        <v>0.51900000000000002</v>
      </c>
      <c r="K16">
        <v>19833335</v>
      </c>
    </row>
    <row r="17" spans="1:11">
      <c r="A17" t="s">
        <v>18</v>
      </c>
      <c r="B17" t="s">
        <v>18</v>
      </c>
      <c r="C17">
        <v>100858</v>
      </c>
      <c r="D17">
        <v>12220</v>
      </c>
      <c r="E17">
        <v>2015</v>
      </c>
      <c r="F17" s="7">
        <v>11835</v>
      </c>
      <c r="G17" s="7">
        <v>8694</v>
      </c>
      <c r="H17" s="7">
        <v>15</v>
      </c>
      <c r="I17">
        <v>0.41899999999999998</v>
      </c>
      <c r="J17">
        <v>0.63300000000000001</v>
      </c>
      <c r="K17">
        <v>161247</v>
      </c>
    </row>
    <row r="18" spans="1:11">
      <c r="A18" t="s">
        <v>19</v>
      </c>
      <c r="B18" t="s">
        <v>19</v>
      </c>
      <c r="C18">
        <v>219602</v>
      </c>
      <c r="D18">
        <v>17300</v>
      </c>
      <c r="E18">
        <v>2015</v>
      </c>
      <c r="F18" s="7">
        <v>2860</v>
      </c>
      <c r="G18" s="7">
        <v>3066</v>
      </c>
      <c r="H18" s="7">
        <v>9</v>
      </c>
      <c r="I18">
        <v>0.42399999999999999</v>
      </c>
      <c r="J18">
        <v>0.371</v>
      </c>
      <c r="K18">
        <v>297187</v>
      </c>
    </row>
    <row r="19" spans="1:11">
      <c r="A19" t="s">
        <v>20</v>
      </c>
      <c r="B19" t="s">
        <v>20</v>
      </c>
      <c r="C19">
        <v>150136</v>
      </c>
      <c r="D19">
        <v>34620</v>
      </c>
      <c r="E19">
        <v>2015</v>
      </c>
      <c r="F19" s="7">
        <v>6403</v>
      </c>
      <c r="G19" s="7">
        <v>8288</v>
      </c>
      <c r="H19" s="7">
        <v>11</v>
      </c>
      <c r="I19">
        <v>0.56699999999999995</v>
      </c>
      <c r="J19">
        <v>0.75</v>
      </c>
      <c r="K19">
        <v>114923</v>
      </c>
    </row>
    <row r="20" spans="1:11">
      <c r="A20" t="s">
        <v>21</v>
      </c>
      <c r="B20" t="s">
        <v>21</v>
      </c>
      <c r="C20">
        <v>223232</v>
      </c>
      <c r="D20">
        <v>47380</v>
      </c>
      <c r="E20">
        <v>2015</v>
      </c>
      <c r="F20" s="7">
        <v>9660</v>
      </c>
      <c r="G20" s="7">
        <v>11470</v>
      </c>
      <c r="H20" s="7">
        <v>14</v>
      </c>
      <c r="I20">
        <v>0.45200000000000001</v>
      </c>
      <c r="J20">
        <v>0.375</v>
      </c>
      <c r="K20">
        <v>263235</v>
      </c>
    </row>
    <row r="21" spans="1:11">
      <c r="A21" t="s">
        <v>22</v>
      </c>
      <c r="B21" t="s">
        <v>22</v>
      </c>
      <c r="C21">
        <v>219709</v>
      </c>
      <c r="D21">
        <v>34980</v>
      </c>
      <c r="E21">
        <v>2015</v>
      </c>
      <c r="F21" s="7">
        <v>4978</v>
      </c>
      <c r="G21" s="7">
        <v>5356</v>
      </c>
      <c r="H21" s="7">
        <v>14</v>
      </c>
      <c r="I21">
        <v>0.57599999999999996</v>
      </c>
      <c r="J21">
        <v>0.57599999999999996</v>
      </c>
      <c r="K21">
        <v>1824091</v>
      </c>
    </row>
    <row r="22" spans="1:11">
      <c r="A22" t="s">
        <v>23</v>
      </c>
      <c r="B22" t="s">
        <v>23</v>
      </c>
      <c r="C22">
        <v>132602</v>
      </c>
      <c r="D22">
        <v>19660</v>
      </c>
      <c r="E22">
        <v>2015</v>
      </c>
      <c r="F22" s="7">
        <v>2281</v>
      </c>
      <c r="G22" s="7">
        <v>2555</v>
      </c>
      <c r="H22" s="7">
        <v>9</v>
      </c>
      <c r="I22">
        <v>0.33300000000000002</v>
      </c>
      <c r="J22">
        <v>0.182</v>
      </c>
      <c r="K22">
        <v>617026</v>
      </c>
    </row>
    <row r="23" spans="1:11">
      <c r="A23" t="s">
        <v>24</v>
      </c>
      <c r="B23" t="s">
        <v>24</v>
      </c>
      <c r="C23">
        <v>196079</v>
      </c>
      <c r="D23">
        <v>13780</v>
      </c>
      <c r="E23">
        <v>2015</v>
      </c>
      <c r="F23" s="7">
        <v>1382</v>
      </c>
      <c r="G23" s="7">
        <v>1596</v>
      </c>
      <c r="H23" s="7">
        <v>6</v>
      </c>
      <c r="I23">
        <v>0.31</v>
      </c>
      <c r="J23">
        <v>0.32100000000000001</v>
      </c>
      <c r="K23">
        <v>250222</v>
      </c>
    </row>
    <row r="24" spans="1:11">
      <c r="A24" t="s">
        <v>25</v>
      </c>
      <c r="B24" t="s">
        <v>25</v>
      </c>
      <c r="C24">
        <v>142115</v>
      </c>
      <c r="D24">
        <v>14260</v>
      </c>
      <c r="E24">
        <v>2015</v>
      </c>
      <c r="F24" s="7">
        <v>7150</v>
      </c>
      <c r="G24" s="7">
        <v>7557</v>
      </c>
      <c r="H24" s="7">
        <v>12</v>
      </c>
      <c r="I24">
        <v>0.6</v>
      </c>
      <c r="J24">
        <v>0.46700000000000003</v>
      </c>
      <c r="K24">
        <v>674695</v>
      </c>
    </row>
    <row r="25" spans="1:11">
      <c r="A25" t="s">
        <v>26</v>
      </c>
      <c r="B25" t="s">
        <v>26</v>
      </c>
      <c r="C25">
        <v>164924</v>
      </c>
      <c r="D25">
        <v>14460</v>
      </c>
      <c r="E25">
        <v>2015</v>
      </c>
      <c r="F25" s="7">
        <v>3921</v>
      </c>
      <c r="G25" s="7">
        <v>4311</v>
      </c>
      <c r="H25" s="7">
        <v>12</v>
      </c>
      <c r="I25">
        <v>0.379</v>
      </c>
      <c r="J25">
        <v>0.28100000000000003</v>
      </c>
      <c r="K25">
        <v>4812849</v>
      </c>
    </row>
    <row r="26" spans="1:11">
      <c r="A26" t="s">
        <v>27</v>
      </c>
      <c r="B26" t="s">
        <v>27</v>
      </c>
      <c r="C26">
        <v>164988</v>
      </c>
      <c r="D26">
        <v>14380</v>
      </c>
      <c r="E26">
        <v>2015</v>
      </c>
      <c r="F26" s="7" t="s">
        <v>1328</v>
      </c>
      <c r="G26" s="7" t="s">
        <v>1328</v>
      </c>
      <c r="H26" s="7" t="s">
        <v>1328</v>
      </c>
      <c r="I26" t="s">
        <v>1328</v>
      </c>
      <c r="J26" t="s">
        <v>1328</v>
      </c>
      <c r="K26">
        <v>51985</v>
      </c>
    </row>
    <row r="27" spans="1:11">
      <c r="A27" t="s">
        <v>28</v>
      </c>
      <c r="B27" t="s">
        <v>28</v>
      </c>
      <c r="C27">
        <v>201441</v>
      </c>
      <c r="D27">
        <v>45780</v>
      </c>
      <c r="E27">
        <v>2015</v>
      </c>
      <c r="F27" s="7">
        <v>7651</v>
      </c>
      <c r="G27" s="7">
        <v>9115</v>
      </c>
      <c r="H27" s="7">
        <v>11</v>
      </c>
      <c r="I27">
        <v>0.25</v>
      </c>
      <c r="J27">
        <v>0.46700000000000003</v>
      </c>
      <c r="K27">
        <v>648620</v>
      </c>
    </row>
    <row r="28" spans="1:11">
      <c r="A28" t="s">
        <v>29</v>
      </c>
      <c r="B28" t="s">
        <v>29</v>
      </c>
      <c r="C28">
        <v>143358</v>
      </c>
      <c r="D28">
        <v>37900</v>
      </c>
      <c r="E28">
        <v>2015</v>
      </c>
      <c r="F28" s="7">
        <v>4115</v>
      </c>
      <c r="G28" s="7">
        <v>5533</v>
      </c>
      <c r="H28" s="7">
        <v>12</v>
      </c>
      <c r="I28">
        <v>7.0999999999999994E-2</v>
      </c>
      <c r="J28">
        <v>0.46400000000000002</v>
      </c>
      <c r="K28">
        <v>415361</v>
      </c>
    </row>
    <row r="29" spans="1:11">
      <c r="A29" t="s">
        <v>30</v>
      </c>
      <c r="B29" t="s">
        <v>30</v>
      </c>
      <c r="C29">
        <v>217156</v>
      </c>
      <c r="D29">
        <v>39300</v>
      </c>
      <c r="E29">
        <v>2015</v>
      </c>
      <c r="F29" s="7">
        <v>1631</v>
      </c>
      <c r="G29" s="7">
        <v>1343</v>
      </c>
      <c r="H29" s="7">
        <v>12</v>
      </c>
      <c r="I29">
        <v>0.46200000000000002</v>
      </c>
      <c r="J29">
        <v>0.48</v>
      </c>
      <c r="K29">
        <v>1641256</v>
      </c>
    </row>
    <row r="30" spans="1:11">
      <c r="A30" t="s">
        <v>31</v>
      </c>
      <c r="B30" t="s">
        <v>31</v>
      </c>
      <c r="C30">
        <v>217165</v>
      </c>
      <c r="D30">
        <v>39300</v>
      </c>
      <c r="E30">
        <v>2015</v>
      </c>
      <c r="F30" s="7">
        <v>4157</v>
      </c>
      <c r="G30" s="7">
        <v>1522</v>
      </c>
      <c r="H30" s="7">
        <v>14</v>
      </c>
      <c r="I30">
        <v>0.35299999999999998</v>
      </c>
      <c r="J30">
        <v>0.24199999999999999</v>
      </c>
      <c r="K30">
        <v>1641256</v>
      </c>
    </row>
    <row r="31" spans="1:11">
      <c r="A31" t="s">
        <v>32</v>
      </c>
      <c r="B31" t="s">
        <v>32</v>
      </c>
      <c r="C31">
        <v>211291</v>
      </c>
      <c r="D31">
        <v>30260</v>
      </c>
      <c r="E31">
        <v>2015</v>
      </c>
      <c r="F31" s="7">
        <v>1800</v>
      </c>
      <c r="G31" s="7">
        <v>3480</v>
      </c>
      <c r="H31" s="7">
        <v>11</v>
      </c>
      <c r="I31">
        <v>0.28000000000000003</v>
      </c>
      <c r="J31">
        <v>0.38500000000000001</v>
      </c>
      <c r="K31">
        <v>44700</v>
      </c>
    </row>
    <row r="32" spans="1:11">
      <c r="A32" t="s">
        <v>33</v>
      </c>
      <c r="B32" t="s">
        <v>33</v>
      </c>
      <c r="C32">
        <v>196088</v>
      </c>
      <c r="D32">
        <v>15380</v>
      </c>
      <c r="E32">
        <v>2015</v>
      </c>
      <c r="F32" s="7">
        <v>3338</v>
      </c>
      <c r="G32" s="7">
        <v>6145</v>
      </c>
      <c r="H32" s="7">
        <v>14</v>
      </c>
      <c r="I32">
        <v>0.53100000000000003</v>
      </c>
      <c r="J32">
        <v>0.6</v>
      </c>
      <c r="K32">
        <v>1154207</v>
      </c>
    </row>
    <row r="33" spans="1:11">
      <c r="A33" t="s">
        <v>34</v>
      </c>
      <c r="B33" t="s">
        <v>34</v>
      </c>
      <c r="C33">
        <v>150163</v>
      </c>
      <c r="D33">
        <v>26900</v>
      </c>
      <c r="E33">
        <v>2015</v>
      </c>
      <c r="F33" s="7">
        <v>4356</v>
      </c>
      <c r="G33" s="7">
        <v>9951</v>
      </c>
      <c r="H33" s="7">
        <v>9</v>
      </c>
      <c r="I33">
        <v>0.66700000000000004</v>
      </c>
      <c r="J33">
        <v>0.75</v>
      </c>
      <c r="K33">
        <v>1999191</v>
      </c>
    </row>
    <row r="34" spans="1:11">
      <c r="A34" t="s">
        <v>35</v>
      </c>
      <c r="B34" t="s">
        <v>35</v>
      </c>
      <c r="C34">
        <v>230038</v>
      </c>
      <c r="D34">
        <v>39340</v>
      </c>
      <c r="E34">
        <v>2015</v>
      </c>
      <c r="F34" s="7">
        <v>20649</v>
      </c>
      <c r="G34" s="7">
        <v>12157</v>
      </c>
      <c r="H34" s="7">
        <v>13</v>
      </c>
      <c r="I34">
        <v>0.85699999999999998</v>
      </c>
      <c r="J34">
        <v>0.77400000000000002</v>
      </c>
      <c r="K34">
        <v>589961</v>
      </c>
    </row>
    <row r="35" spans="1:11">
      <c r="A35" t="s">
        <v>36</v>
      </c>
      <c r="B35" t="s">
        <v>36</v>
      </c>
      <c r="C35">
        <v>110422</v>
      </c>
      <c r="D35">
        <v>42020</v>
      </c>
      <c r="E35">
        <v>2015</v>
      </c>
      <c r="F35" s="7">
        <v>6217</v>
      </c>
      <c r="G35" s="7">
        <v>7125</v>
      </c>
      <c r="H35" s="7">
        <v>13</v>
      </c>
      <c r="I35">
        <v>0.34599999999999997</v>
      </c>
      <c r="J35">
        <v>0.41399999999999998</v>
      </c>
      <c r="K35">
        <v>280062</v>
      </c>
    </row>
    <row r="36" spans="1:11">
      <c r="A36" t="s">
        <v>37</v>
      </c>
      <c r="B36" t="s">
        <v>37</v>
      </c>
      <c r="C36">
        <v>110565</v>
      </c>
      <c r="D36">
        <v>31080</v>
      </c>
      <c r="E36">
        <v>2015</v>
      </c>
      <c r="F36" s="7">
        <v>5110</v>
      </c>
      <c r="G36" s="7">
        <v>4558</v>
      </c>
      <c r="H36" s="7">
        <v>14</v>
      </c>
      <c r="I36">
        <v>0.27600000000000002</v>
      </c>
      <c r="J36">
        <v>0.39300000000000002</v>
      </c>
      <c r="K36">
        <v>13258364</v>
      </c>
    </row>
    <row r="37" spans="1:11">
      <c r="A37" t="s">
        <v>38</v>
      </c>
      <c r="B37" t="s">
        <v>38</v>
      </c>
      <c r="C37">
        <v>110635</v>
      </c>
      <c r="D37">
        <v>41860</v>
      </c>
      <c r="E37">
        <v>2015</v>
      </c>
      <c r="F37" s="7">
        <v>9197</v>
      </c>
      <c r="G37" s="7">
        <v>11376</v>
      </c>
      <c r="H37" s="7">
        <v>13</v>
      </c>
      <c r="I37">
        <v>0.33300000000000002</v>
      </c>
      <c r="J37">
        <v>0.58099999999999996</v>
      </c>
      <c r="K37">
        <v>4669540</v>
      </c>
    </row>
    <row r="38" spans="1:11">
      <c r="A38" t="s">
        <v>1255</v>
      </c>
      <c r="B38" t="s">
        <v>1255</v>
      </c>
      <c r="C38">
        <v>110361</v>
      </c>
      <c r="D38">
        <v>40140</v>
      </c>
      <c r="E38">
        <v>2015</v>
      </c>
      <c r="F38" s="7" t="s">
        <v>1328</v>
      </c>
      <c r="G38" s="7" t="s">
        <v>1328</v>
      </c>
      <c r="H38" s="7" t="s">
        <v>1328</v>
      </c>
      <c r="I38" t="s">
        <v>1328</v>
      </c>
      <c r="J38" t="s">
        <v>1328</v>
      </c>
      <c r="K38">
        <v>4420560</v>
      </c>
    </row>
    <row r="39" spans="1:11">
      <c r="A39" t="s">
        <v>39</v>
      </c>
      <c r="B39" t="s">
        <v>39</v>
      </c>
      <c r="C39">
        <v>198136</v>
      </c>
      <c r="D39">
        <v>15820</v>
      </c>
      <c r="E39">
        <v>2015</v>
      </c>
      <c r="F39" s="7">
        <v>5375</v>
      </c>
      <c r="G39" s="7">
        <v>2949</v>
      </c>
      <c r="H39" s="7">
        <v>12</v>
      </c>
      <c r="I39">
        <v>0.438</v>
      </c>
      <c r="J39">
        <v>0.45200000000000001</v>
      </c>
      <c r="K39">
        <v>36763</v>
      </c>
    </row>
    <row r="40" spans="1:11">
      <c r="A40" t="s">
        <v>40</v>
      </c>
      <c r="B40" t="s">
        <v>40</v>
      </c>
      <c r="C40">
        <v>189705</v>
      </c>
      <c r="D40">
        <v>15380</v>
      </c>
      <c r="E40">
        <v>2015</v>
      </c>
      <c r="F40" s="7">
        <v>1888</v>
      </c>
      <c r="G40" s="7">
        <v>4345</v>
      </c>
      <c r="H40" s="7">
        <v>9</v>
      </c>
      <c r="I40">
        <v>0.375</v>
      </c>
      <c r="J40">
        <v>0.379</v>
      </c>
      <c r="K40">
        <v>1154207</v>
      </c>
    </row>
    <row r="41" spans="1:11">
      <c r="A41" t="s">
        <v>41</v>
      </c>
      <c r="B41" t="s">
        <v>41</v>
      </c>
      <c r="C41">
        <v>106704</v>
      </c>
      <c r="D41">
        <v>30780</v>
      </c>
      <c r="E41">
        <v>2015</v>
      </c>
      <c r="F41" s="7">
        <v>4821</v>
      </c>
      <c r="G41" s="7">
        <v>4186</v>
      </c>
      <c r="H41" s="7">
        <v>14</v>
      </c>
      <c r="I41">
        <v>0.625</v>
      </c>
      <c r="J41">
        <v>0.879</v>
      </c>
      <c r="K41">
        <v>732412</v>
      </c>
    </row>
    <row r="42" spans="1:11">
      <c r="A42" t="s">
        <v>42</v>
      </c>
      <c r="B42" t="s">
        <v>42</v>
      </c>
      <c r="C42">
        <v>128771</v>
      </c>
      <c r="D42">
        <v>25540</v>
      </c>
      <c r="E42">
        <v>2015</v>
      </c>
      <c r="F42" s="7">
        <v>1580</v>
      </c>
      <c r="G42" s="7">
        <v>1874</v>
      </c>
      <c r="H42" s="7">
        <v>10</v>
      </c>
      <c r="I42">
        <v>0.40699999999999997</v>
      </c>
      <c r="J42">
        <v>0.7</v>
      </c>
      <c r="K42">
        <v>1217677</v>
      </c>
    </row>
    <row r="43" spans="1:11">
      <c r="A43" t="s">
        <v>43</v>
      </c>
      <c r="B43" t="s">
        <v>43</v>
      </c>
      <c r="C43">
        <v>169248</v>
      </c>
      <c r="D43">
        <v>34380</v>
      </c>
      <c r="E43">
        <v>2015</v>
      </c>
      <c r="F43" s="7">
        <v>3540</v>
      </c>
      <c r="G43" s="7">
        <v>4687</v>
      </c>
      <c r="H43" s="7">
        <v>11</v>
      </c>
      <c r="I43">
        <v>0.35699999999999998</v>
      </c>
      <c r="J43">
        <v>0.39300000000000002</v>
      </c>
      <c r="K43">
        <v>68141</v>
      </c>
    </row>
    <row r="44" spans="1:11">
      <c r="A44" t="s">
        <v>44</v>
      </c>
      <c r="B44" t="s">
        <v>44</v>
      </c>
      <c r="C44">
        <v>217688</v>
      </c>
      <c r="D44">
        <v>16700</v>
      </c>
      <c r="E44">
        <v>2015</v>
      </c>
      <c r="F44" s="7">
        <v>3413</v>
      </c>
      <c r="G44" s="7">
        <v>2364</v>
      </c>
      <c r="H44" s="7">
        <v>14</v>
      </c>
      <c r="I44">
        <v>0.33300000000000002</v>
      </c>
      <c r="J44">
        <v>0.2</v>
      </c>
      <c r="K44">
        <v>737259</v>
      </c>
    </row>
    <row r="45" spans="1:11">
      <c r="A45" t="s">
        <v>45</v>
      </c>
      <c r="B45" t="s">
        <v>45</v>
      </c>
      <c r="C45">
        <v>199139</v>
      </c>
      <c r="D45">
        <v>16740</v>
      </c>
      <c r="E45">
        <v>2015</v>
      </c>
      <c r="F45" s="7">
        <v>6439</v>
      </c>
      <c r="G45" s="7">
        <v>6581</v>
      </c>
      <c r="H45" s="7">
        <v>13</v>
      </c>
      <c r="I45">
        <v>0.5</v>
      </c>
      <c r="J45">
        <v>0.41399999999999998</v>
      </c>
      <c r="K45">
        <v>2442023</v>
      </c>
    </row>
    <row r="46" spans="1:11">
      <c r="A46" t="s">
        <v>46</v>
      </c>
      <c r="B46" t="s">
        <v>46</v>
      </c>
      <c r="C46">
        <v>221740</v>
      </c>
      <c r="D46">
        <v>16860</v>
      </c>
      <c r="E46">
        <v>2015</v>
      </c>
      <c r="F46" s="7">
        <v>2625</v>
      </c>
      <c r="G46" s="7">
        <v>3900</v>
      </c>
      <c r="H46" s="7">
        <v>15</v>
      </c>
      <c r="I46">
        <v>0.40600000000000003</v>
      </c>
      <c r="J46">
        <v>0.129</v>
      </c>
      <c r="K46">
        <v>544285</v>
      </c>
    </row>
    <row r="47" spans="1:11">
      <c r="A47" t="s">
        <v>1268</v>
      </c>
      <c r="B47" t="s">
        <v>1268</v>
      </c>
      <c r="C47">
        <v>144005</v>
      </c>
      <c r="D47">
        <v>16980</v>
      </c>
      <c r="E47">
        <v>2015</v>
      </c>
      <c r="F47" s="7">
        <v>1988</v>
      </c>
      <c r="G47" s="7">
        <v>3352</v>
      </c>
      <c r="H47" s="7">
        <v>19</v>
      </c>
      <c r="I47">
        <v>0.2</v>
      </c>
      <c r="J47">
        <v>6.5000000000000002E-2</v>
      </c>
      <c r="K47">
        <v>9654044</v>
      </c>
    </row>
    <row r="48" spans="1:11">
      <c r="A48" t="s">
        <v>1269</v>
      </c>
      <c r="B48" t="s">
        <v>1269</v>
      </c>
      <c r="C48">
        <v>201885</v>
      </c>
      <c r="D48">
        <v>17140</v>
      </c>
      <c r="E48">
        <v>2015</v>
      </c>
      <c r="F48" s="7">
        <v>6470</v>
      </c>
      <c r="G48" s="7">
        <v>5870</v>
      </c>
      <c r="H48" s="7">
        <v>15</v>
      </c>
      <c r="I48">
        <v>0.46899999999999997</v>
      </c>
      <c r="J48">
        <v>9.4E-2</v>
      </c>
      <c r="K48">
        <v>2196029</v>
      </c>
    </row>
    <row r="49" spans="1:11">
      <c r="A49" t="s">
        <v>47</v>
      </c>
      <c r="B49" t="s">
        <v>47</v>
      </c>
      <c r="C49">
        <v>217882</v>
      </c>
      <c r="D49">
        <v>42860</v>
      </c>
      <c r="E49">
        <v>2015</v>
      </c>
      <c r="F49" s="7">
        <v>14559</v>
      </c>
      <c r="G49" s="7">
        <v>14708</v>
      </c>
      <c r="H49" s="7">
        <v>17</v>
      </c>
      <c r="I49">
        <v>0.56299999999999994</v>
      </c>
      <c r="J49">
        <v>0.48399999999999999</v>
      </c>
      <c r="K49">
        <v>75212</v>
      </c>
    </row>
    <row r="50" spans="1:11">
      <c r="A50" t="s">
        <v>48</v>
      </c>
      <c r="B50" t="s">
        <v>48</v>
      </c>
      <c r="C50">
        <v>202134</v>
      </c>
      <c r="D50">
        <v>17460</v>
      </c>
      <c r="E50">
        <v>2015</v>
      </c>
      <c r="F50" s="7">
        <v>3266</v>
      </c>
      <c r="G50" s="7">
        <v>2535</v>
      </c>
      <c r="H50" s="7">
        <v>11</v>
      </c>
      <c r="I50">
        <v>0.5</v>
      </c>
      <c r="J50">
        <v>0.55200000000000005</v>
      </c>
      <c r="K50">
        <v>2086587</v>
      </c>
    </row>
    <row r="51" spans="1:11">
      <c r="A51" t="s">
        <v>1241</v>
      </c>
      <c r="B51" t="s">
        <v>49</v>
      </c>
      <c r="C51">
        <v>218724</v>
      </c>
      <c r="D51">
        <v>34820</v>
      </c>
      <c r="E51">
        <v>2015</v>
      </c>
      <c r="F51" s="7">
        <v>3997</v>
      </c>
      <c r="G51" s="7">
        <v>3937</v>
      </c>
      <c r="H51" s="7">
        <v>15</v>
      </c>
      <c r="I51">
        <v>0.78100000000000003</v>
      </c>
      <c r="J51">
        <v>0.61299999999999999</v>
      </c>
      <c r="K51">
        <v>419684</v>
      </c>
    </row>
    <row r="52" spans="1:11">
      <c r="A52" t="s">
        <v>50</v>
      </c>
      <c r="B52" t="s">
        <v>50</v>
      </c>
      <c r="C52">
        <v>217819</v>
      </c>
      <c r="D52">
        <v>16700</v>
      </c>
      <c r="E52">
        <v>2015</v>
      </c>
      <c r="F52" s="7">
        <v>6929</v>
      </c>
      <c r="G52" s="7">
        <v>8308</v>
      </c>
      <c r="H52" s="7">
        <v>17</v>
      </c>
      <c r="I52">
        <v>0.69699999999999995</v>
      </c>
      <c r="J52">
        <v>0.80600000000000005</v>
      </c>
      <c r="K52">
        <v>737259</v>
      </c>
    </row>
    <row r="53" spans="1:11">
      <c r="A53" t="s">
        <v>51</v>
      </c>
      <c r="B53" t="s">
        <v>51</v>
      </c>
      <c r="C53">
        <v>190099</v>
      </c>
      <c r="D53">
        <v>45060</v>
      </c>
      <c r="E53">
        <v>2015</v>
      </c>
      <c r="F53" s="7">
        <v>1593</v>
      </c>
      <c r="G53" s="7">
        <v>2645</v>
      </c>
      <c r="H53" s="7">
        <v>9</v>
      </c>
      <c r="I53">
        <v>0.57699999999999996</v>
      </c>
      <c r="J53">
        <v>0.71</v>
      </c>
      <c r="K53">
        <v>665759</v>
      </c>
    </row>
    <row r="54" spans="1:11">
      <c r="A54" t="s">
        <v>1270</v>
      </c>
      <c r="B54" t="s">
        <v>1270</v>
      </c>
      <c r="C54">
        <v>126614</v>
      </c>
      <c r="D54">
        <v>14500</v>
      </c>
      <c r="E54">
        <v>2015</v>
      </c>
      <c r="F54" s="7">
        <v>18378</v>
      </c>
      <c r="G54" s="7">
        <v>12525</v>
      </c>
      <c r="H54" s="7">
        <v>16</v>
      </c>
      <c r="I54">
        <v>0.58799999999999997</v>
      </c>
      <c r="J54">
        <v>0.56299999999999994</v>
      </c>
      <c r="K54">
        <v>320348</v>
      </c>
    </row>
    <row r="55" spans="1:11">
      <c r="A55" t="s">
        <v>52</v>
      </c>
      <c r="B55" t="s">
        <v>52</v>
      </c>
      <c r="C55">
        <v>126818</v>
      </c>
      <c r="D55">
        <v>22660</v>
      </c>
      <c r="E55">
        <v>2015</v>
      </c>
      <c r="F55" s="7">
        <v>54926</v>
      </c>
      <c r="G55" s="7">
        <v>49240</v>
      </c>
      <c r="H55" s="7">
        <v>17</v>
      </c>
      <c r="I55">
        <v>0.91200000000000003</v>
      </c>
      <c r="J55">
        <v>0.93300000000000005</v>
      </c>
      <c r="K55">
        <v>333256</v>
      </c>
    </row>
    <row r="56" spans="1:11">
      <c r="A56" t="s">
        <v>53</v>
      </c>
      <c r="B56" t="s">
        <v>53</v>
      </c>
      <c r="C56">
        <v>190150</v>
      </c>
      <c r="D56">
        <v>35620</v>
      </c>
      <c r="E56">
        <v>2015</v>
      </c>
      <c r="F56" s="7">
        <v>2477</v>
      </c>
      <c r="G56" s="7">
        <v>3297</v>
      </c>
      <c r="H56" s="7">
        <v>10</v>
      </c>
      <c r="I56">
        <v>0.34799999999999998</v>
      </c>
      <c r="J56">
        <v>0.26100000000000001</v>
      </c>
      <c r="K56">
        <v>19833335</v>
      </c>
    </row>
    <row r="57" spans="1:11">
      <c r="A57" t="s">
        <v>54</v>
      </c>
      <c r="B57" t="s">
        <v>54</v>
      </c>
      <c r="C57">
        <v>162283</v>
      </c>
      <c r="D57">
        <v>12580</v>
      </c>
      <c r="E57">
        <v>2015</v>
      </c>
      <c r="F57" s="7">
        <v>2375</v>
      </c>
      <c r="G57" s="7">
        <v>1194</v>
      </c>
      <c r="H57" s="7">
        <v>8</v>
      </c>
      <c r="I57">
        <v>0.5</v>
      </c>
      <c r="J57">
        <v>0.48399999999999999</v>
      </c>
      <c r="K57">
        <v>2812930</v>
      </c>
    </row>
    <row r="58" spans="1:11">
      <c r="A58" t="s">
        <v>55</v>
      </c>
      <c r="B58" t="s">
        <v>55</v>
      </c>
      <c r="C58">
        <v>190415</v>
      </c>
      <c r="D58">
        <v>27060</v>
      </c>
      <c r="E58">
        <v>2015</v>
      </c>
      <c r="F58" s="7">
        <v>1814</v>
      </c>
      <c r="G58" s="7">
        <v>2928</v>
      </c>
      <c r="H58" s="7">
        <v>8</v>
      </c>
      <c r="I58">
        <v>0.25</v>
      </c>
      <c r="J58">
        <v>0.33300000000000002</v>
      </c>
      <c r="K58">
        <v>105495</v>
      </c>
    </row>
    <row r="59" spans="1:11">
      <c r="A59" t="s">
        <v>56</v>
      </c>
      <c r="B59" t="s">
        <v>56</v>
      </c>
      <c r="C59">
        <v>181002</v>
      </c>
      <c r="D59">
        <v>36540</v>
      </c>
      <c r="E59">
        <v>2015</v>
      </c>
      <c r="F59" s="7">
        <v>19239</v>
      </c>
      <c r="G59" s="7">
        <v>17506</v>
      </c>
      <c r="H59" s="7">
        <v>15</v>
      </c>
      <c r="I59">
        <v>0.73499999999999999</v>
      </c>
      <c r="J59">
        <v>0.71899999999999997</v>
      </c>
      <c r="K59">
        <v>921119</v>
      </c>
    </row>
    <row r="60" spans="1:11">
      <c r="A60" t="s">
        <v>57</v>
      </c>
      <c r="B60" t="s">
        <v>57</v>
      </c>
      <c r="C60">
        <v>110486</v>
      </c>
      <c r="D60">
        <v>12540</v>
      </c>
      <c r="E60">
        <v>2015</v>
      </c>
      <c r="F60" s="7">
        <v>3766</v>
      </c>
      <c r="G60" s="7">
        <v>2207</v>
      </c>
      <c r="H60" s="7">
        <v>13</v>
      </c>
      <c r="I60">
        <v>0.51600000000000001</v>
      </c>
      <c r="J60">
        <v>0.63600000000000001</v>
      </c>
      <c r="K60">
        <v>880669</v>
      </c>
    </row>
    <row r="61" spans="1:11">
      <c r="A61" t="s">
        <v>58</v>
      </c>
      <c r="B61" t="s">
        <v>58</v>
      </c>
      <c r="C61">
        <v>110608</v>
      </c>
      <c r="D61">
        <v>31080</v>
      </c>
      <c r="E61">
        <v>2015</v>
      </c>
      <c r="F61" s="7">
        <v>5134</v>
      </c>
      <c r="G61" s="7">
        <v>4569</v>
      </c>
      <c r="H61" s="7">
        <v>8</v>
      </c>
      <c r="I61">
        <v>0.67900000000000005</v>
      </c>
      <c r="J61">
        <v>0.77400000000000002</v>
      </c>
      <c r="K61">
        <v>13258364</v>
      </c>
    </row>
    <row r="62" spans="1:11">
      <c r="A62" t="s">
        <v>59</v>
      </c>
      <c r="B62" t="s">
        <v>59</v>
      </c>
      <c r="C62">
        <v>182670</v>
      </c>
      <c r="D62">
        <v>30100</v>
      </c>
      <c r="E62">
        <v>2015</v>
      </c>
      <c r="F62" s="7">
        <v>1298</v>
      </c>
      <c r="G62" s="7">
        <v>2958</v>
      </c>
      <c r="H62" s="7">
        <v>8</v>
      </c>
      <c r="I62">
        <v>0.52</v>
      </c>
      <c r="J62">
        <v>0.42299999999999999</v>
      </c>
      <c r="K62">
        <v>219006</v>
      </c>
    </row>
    <row r="63" spans="1:11">
      <c r="A63" t="s">
        <v>1271</v>
      </c>
      <c r="B63" t="s">
        <v>1271</v>
      </c>
      <c r="C63">
        <v>198385</v>
      </c>
      <c r="D63">
        <v>16740</v>
      </c>
      <c r="E63">
        <v>2015</v>
      </c>
      <c r="F63" s="7">
        <v>4320</v>
      </c>
      <c r="G63" s="7">
        <v>5391</v>
      </c>
      <c r="H63" s="7">
        <v>10</v>
      </c>
      <c r="I63">
        <v>0.16700000000000001</v>
      </c>
      <c r="J63">
        <v>0.53300000000000003</v>
      </c>
      <c r="K63">
        <v>2442023</v>
      </c>
    </row>
    <row r="64" spans="1:11">
      <c r="A64" t="s">
        <v>60</v>
      </c>
      <c r="B64" t="s">
        <v>60</v>
      </c>
      <c r="C64">
        <v>202480</v>
      </c>
      <c r="D64">
        <v>19430</v>
      </c>
      <c r="E64">
        <v>2015</v>
      </c>
      <c r="F64" s="7">
        <v>10567</v>
      </c>
      <c r="G64" s="7">
        <v>9741</v>
      </c>
      <c r="H64" s="7">
        <v>14</v>
      </c>
      <c r="I64">
        <v>0.83299999999999996</v>
      </c>
      <c r="J64">
        <v>0.55200000000000005</v>
      </c>
      <c r="K64">
        <v>802986</v>
      </c>
    </row>
    <row r="65" spans="1:11">
      <c r="A65" t="s">
        <v>61</v>
      </c>
      <c r="B65" t="s">
        <v>61</v>
      </c>
      <c r="C65">
        <v>130943</v>
      </c>
      <c r="D65">
        <v>37980</v>
      </c>
      <c r="E65">
        <v>2015</v>
      </c>
      <c r="F65" s="7">
        <v>6038</v>
      </c>
      <c r="G65" s="7">
        <v>5318</v>
      </c>
      <c r="H65" s="7">
        <v>16</v>
      </c>
      <c r="I65">
        <v>0.46899999999999997</v>
      </c>
      <c r="J65">
        <v>0.39300000000000002</v>
      </c>
      <c r="K65">
        <v>6130446</v>
      </c>
    </row>
    <row r="66" spans="1:11">
      <c r="A66" t="s">
        <v>62</v>
      </c>
      <c r="B66" t="s">
        <v>62</v>
      </c>
      <c r="C66">
        <v>130934</v>
      </c>
      <c r="D66">
        <v>20100</v>
      </c>
      <c r="E66">
        <v>2015</v>
      </c>
      <c r="F66" s="7">
        <v>875</v>
      </c>
      <c r="G66" s="7">
        <v>695</v>
      </c>
      <c r="H66" s="7">
        <v>10</v>
      </c>
      <c r="I66">
        <v>3.6999999999999998E-2</v>
      </c>
      <c r="J66">
        <v>8.3000000000000004E-2</v>
      </c>
      <c r="K66">
        <v>172578</v>
      </c>
    </row>
    <row r="67" spans="1:11">
      <c r="A67" t="s">
        <v>1272</v>
      </c>
      <c r="B67" t="s">
        <v>1272</v>
      </c>
      <c r="C67">
        <v>127060</v>
      </c>
      <c r="D67">
        <v>19740</v>
      </c>
      <c r="E67">
        <v>2015</v>
      </c>
      <c r="F67" s="7">
        <v>3836</v>
      </c>
      <c r="G67" s="7">
        <v>4872</v>
      </c>
      <c r="H67" s="7">
        <v>14</v>
      </c>
      <c r="I67">
        <v>0.79400000000000004</v>
      </c>
      <c r="J67">
        <v>0.56699999999999995</v>
      </c>
      <c r="K67">
        <v>2802640</v>
      </c>
    </row>
    <row r="68" spans="1:11">
      <c r="A68" t="s">
        <v>63</v>
      </c>
      <c r="B68" t="s">
        <v>63</v>
      </c>
      <c r="C68">
        <v>144740</v>
      </c>
      <c r="D68">
        <v>16980</v>
      </c>
      <c r="E68">
        <v>2015</v>
      </c>
      <c r="F68" s="7">
        <v>4520</v>
      </c>
      <c r="G68" s="7">
        <v>6167</v>
      </c>
      <c r="H68" s="7">
        <v>12</v>
      </c>
      <c r="I68">
        <v>0.1</v>
      </c>
      <c r="J68">
        <v>0.53300000000000003</v>
      </c>
      <c r="K68">
        <v>9654044</v>
      </c>
    </row>
    <row r="69" spans="1:11">
      <c r="A69" t="s">
        <v>64</v>
      </c>
      <c r="B69" t="s">
        <v>64</v>
      </c>
      <c r="C69">
        <v>169716</v>
      </c>
      <c r="D69">
        <v>19820</v>
      </c>
      <c r="E69">
        <v>2015</v>
      </c>
      <c r="F69" s="7" t="s">
        <v>1328</v>
      </c>
      <c r="G69" s="7" t="s">
        <v>1328</v>
      </c>
      <c r="H69" s="7" t="s">
        <v>1328</v>
      </c>
      <c r="I69" t="s">
        <v>1328</v>
      </c>
      <c r="J69" t="s">
        <v>1328</v>
      </c>
      <c r="K69">
        <v>4352979</v>
      </c>
    </row>
    <row r="70" spans="1:11">
      <c r="A70" t="s">
        <v>65</v>
      </c>
      <c r="B70" t="s">
        <v>65</v>
      </c>
      <c r="C70">
        <v>153269</v>
      </c>
      <c r="D70">
        <v>19780</v>
      </c>
      <c r="E70">
        <v>2015</v>
      </c>
      <c r="F70" s="7">
        <v>3542</v>
      </c>
      <c r="G70" s="7">
        <v>3713</v>
      </c>
      <c r="H70" s="7">
        <v>10</v>
      </c>
      <c r="I70">
        <v>0.379</v>
      </c>
      <c r="J70">
        <v>6.7000000000000004E-2</v>
      </c>
      <c r="K70">
        <v>661440</v>
      </c>
    </row>
    <row r="71" spans="1:11">
      <c r="A71" t="s">
        <v>66</v>
      </c>
      <c r="B71" t="s">
        <v>66</v>
      </c>
      <c r="C71">
        <v>212054</v>
      </c>
      <c r="D71">
        <v>37980</v>
      </c>
      <c r="E71">
        <v>2015</v>
      </c>
      <c r="F71" s="7" t="s">
        <v>1328</v>
      </c>
      <c r="G71" s="7" t="s">
        <v>1328</v>
      </c>
      <c r="H71" s="7" t="s">
        <v>1328</v>
      </c>
      <c r="I71" t="s">
        <v>1328</v>
      </c>
      <c r="J71" t="s">
        <v>1328</v>
      </c>
      <c r="K71">
        <v>6130446</v>
      </c>
    </row>
    <row r="72" spans="1:11">
      <c r="A72" t="s">
        <v>67</v>
      </c>
      <c r="B72" t="s">
        <v>67</v>
      </c>
      <c r="C72">
        <v>198419</v>
      </c>
      <c r="D72">
        <v>20500</v>
      </c>
      <c r="E72">
        <v>2015</v>
      </c>
      <c r="F72" s="7">
        <v>19943</v>
      </c>
      <c r="G72" s="7">
        <v>29723</v>
      </c>
      <c r="H72" s="7">
        <v>15</v>
      </c>
      <c r="I72">
        <v>0.73299999999999998</v>
      </c>
      <c r="J72">
        <v>0.84799999999999998</v>
      </c>
      <c r="K72">
        <v>607517</v>
      </c>
    </row>
    <row r="73" spans="1:11">
      <c r="A73" t="s">
        <v>1273</v>
      </c>
      <c r="B73" t="s">
        <v>1273</v>
      </c>
      <c r="C73">
        <v>212106</v>
      </c>
      <c r="D73">
        <v>38300</v>
      </c>
      <c r="E73">
        <v>2015</v>
      </c>
      <c r="F73" s="7">
        <v>1762</v>
      </c>
      <c r="G73" s="7">
        <v>1632</v>
      </c>
      <c r="H73" s="7">
        <v>11</v>
      </c>
      <c r="I73">
        <v>0.57099999999999995</v>
      </c>
      <c r="J73">
        <v>0.66700000000000004</v>
      </c>
      <c r="K73">
        <v>2379296</v>
      </c>
    </row>
    <row r="74" spans="1:11">
      <c r="A74" t="s">
        <v>68</v>
      </c>
      <c r="B74" t="s">
        <v>68</v>
      </c>
      <c r="C74">
        <v>198464</v>
      </c>
      <c r="D74">
        <v>24780</v>
      </c>
      <c r="E74">
        <v>2015</v>
      </c>
      <c r="F74" s="7">
        <v>5546</v>
      </c>
      <c r="G74" s="7">
        <v>3281</v>
      </c>
      <c r="H74" s="7">
        <v>16</v>
      </c>
      <c r="I74">
        <v>0.48399999999999999</v>
      </c>
      <c r="J74">
        <v>0.40600000000000003</v>
      </c>
      <c r="K74">
        <v>169708</v>
      </c>
    </row>
    <row r="75" spans="1:11">
      <c r="A75" t="s">
        <v>69</v>
      </c>
      <c r="B75" t="s">
        <v>69</v>
      </c>
      <c r="C75">
        <v>144892</v>
      </c>
      <c r="D75">
        <v>16660</v>
      </c>
      <c r="E75">
        <v>2015</v>
      </c>
      <c r="F75" s="7">
        <v>2471</v>
      </c>
      <c r="G75" s="7">
        <v>3794</v>
      </c>
      <c r="H75" s="7">
        <v>8</v>
      </c>
      <c r="I75">
        <v>0.48399999999999999</v>
      </c>
      <c r="J75">
        <v>0.6</v>
      </c>
      <c r="K75">
        <v>61011</v>
      </c>
    </row>
    <row r="76" spans="1:11">
      <c r="A76" t="s">
        <v>70</v>
      </c>
      <c r="B76" t="s">
        <v>70</v>
      </c>
      <c r="C76">
        <v>156620</v>
      </c>
      <c r="D76">
        <v>40080</v>
      </c>
      <c r="E76">
        <v>2015</v>
      </c>
      <c r="F76" s="7">
        <v>1510</v>
      </c>
      <c r="G76" s="7">
        <v>1820</v>
      </c>
      <c r="H76" s="7">
        <v>11</v>
      </c>
      <c r="I76">
        <v>0.6</v>
      </c>
      <c r="J76">
        <v>0.52900000000000003</v>
      </c>
      <c r="K76">
        <v>102037</v>
      </c>
    </row>
    <row r="77" spans="1:11">
      <c r="A77" t="s">
        <v>1274</v>
      </c>
      <c r="B77" t="s">
        <v>1274</v>
      </c>
      <c r="C77">
        <v>169798</v>
      </c>
      <c r="D77">
        <v>11460</v>
      </c>
      <c r="E77">
        <v>2015</v>
      </c>
      <c r="F77" s="7">
        <v>2072</v>
      </c>
      <c r="G77" s="7">
        <v>2630</v>
      </c>
      <c r="H77" s="7">
        <v>10</v>
      </c>
      <c r="I77">
        <v>0.58099999999999996</v>
      </c>
      <c r="J77">
        <v>0.52900000000000003</v>
      </c>
      <c r="K77">
        <v>366258</v>
      </c>
    </row>
    <row r="78" spans="1:11">
      <c r="A78" t="s">
        <v>1275</v>
      </c>
      <c r="B78" t="s">
        <v>1275</v>
      </c>
      <c r="C78">
        <v>235097</v>
      </c>
      <c r="D78">
        <v>44060</v>
      </c>
      <c r="E78">
        <v>2015</v>
      </c>
      <c r="F78" s="7">
        <v>5568</v>
      </c>
      <c r="G78" s="7">
        <v>5302</v>
      </c>
      <c r="H78" s="7">
        <v>9</v>
      </c>
      <c r="I78">
        <v>0.31</v>
      </c>
      <c r="J78">
        <v>0.32300000000000001</v>
      </c>
      <c r="K78">
        <v>539167</v>
      </c>
    </row>
    <row r="79" spans="1:11">
      <c r="A79" t="s">
        <v>71</v>
      </c>
      <c r="B79" t="s">
        <v>71</v>
      </c>
      <c r="C79">
        <v>198516</v>
      </c>
      <c r="D79">
        <v>24660</v>
      </c>
      <c r="E79">
        <v>2015</v>
      </c>
      <c r="F79" s="7">
        <v>1795</v>
      </c>
      <c r="G79" s="7">
        <v>2402</v>
      </c>
      <c r="H79" s="7">
        <v>13</v>
      </c>
      <c r="I79">
        <v>0.188</v>
      </c>
      <c r="J79">
        <v>0.48499999999999999</v>
      </c>
      <c r="K79">
        <v>751915</v>
      </c>
    </row>
    <row r="80" spans="1:11">
      <c r="A80" t="s">
        <v>72</v>
      </c>
      <c r="B80" t="s">
        <v>72</v>
      </c>
      <c r="C80">
        <v>220075</v>
      </c>
      <c r="D80">
        <v>27740</v>
      </c>
      <c r="E80">
        <v>2015</v>
      </c>
      <c r="F80" s="7">
        <v>3149</v>
      </c>
      <c r="G80" s="7">
        <v>3531</v>
      </c>
      <c r="H80" s="7">
        <v>10</v>
      </c>
      <c r="I80">
        <v>0.51500000000000001</v>
      </c>
      <c r="J80">
        <v>0.71</v>
      </c>
      <c r="K80">
        <v>201923</v>
      </c>
    </row>
    <row r="81" spans="1:11">
      <c r="A81" t="s">
        <v>73</v>
      </c>
      <c r="B81" t="s">
        <v>73</v>
      </c>
      <c r="C81">
        <v>150534</v>
      </c>
      <c r="D81">
        <v>21780</v>
      </c>
      <c r="E81">
        <v>2015</v>
      </c>
      <c r="F81" s="7">
        <v>4666</v>
      </c>
      <c r="G81" s="7">
        <v>3476</v>
      </c>
      <c r="H81" s="7">
        <v>14</v>
      </c>
      <c r="I81">
        <v>0.26700000000000002</v>
      </c>
      <c r="J81">
        <v>0.31</v>
      </c>
      <c r="K81">
        <v>314321</v>
      </c>
    </row>
    <row r="82" spans="1:11">
      <c r="A82" t="s">
        <v>74</v>
      </c>
      <c r="B82" t="s">
        <v>74</v>
      </c>
      <c r="C82">
        <v>129242</v>
      </c>
      <c r="D82">
        <v>35620</v>
      </c>
      <c r="E82">
        <v>2015</v>
      </c>
      <c r="F82" s="7">
        <v>1672</v>
      </c>
      <c r="G82" s="7">
        <v>1348</v>
      </c>
      <c r="H82" s="7">
        <v>9</v>
      </c>
      <c r="I82">
        <v>0.61299999999999999</v>
      </c>
      <c r="J82">
        <v>0.59399999999999997</v>
      </c>
      <c r="K82">
        <v>19833335</v>
      </c>
    </row>
    <row r="83" spans="1:11">
      <c r="A83" t="s">
        <v>1242</v>
      </c>
      <c r="B83" t="s">
        <v>75</v>
      </c>
      <c r="C83">
        <v>184603</v>
      </c>
      <c r="D83">
        <v>35620</v>
      </c>
      <c r="E83">
        <v>2015</v>
      </c>
      <c r="F83" s="7">
        <v>1828</v>
      </c>
      <c r="G83" s="7">
        <v>1155</v>
      </c>
      <c r="H83" s="7">
        <v>9</v>
      </c>
      <c r="I83">
        <v>0.20699999999999999</v>
      </c>
      <c r="J83">
        <v>0.17199999999999999</v>
      </c>
      <c r="K83">
        <v>19833335</v>
      </c>
    </row>
    <row r="84" spans="1:11">
      <c r="A84" t="s">
        <v>76</v>
      </c>
      <c r="B84" t="s">
        <v>76</v>
      </c>
      <c r="C84">
        <v>433660</v>
      </c>
      <c r="D84">
        <v>15980</v>
      </c>
      <c r="E84">
        <v>2015</v>
      </c>
      <c r="F84" s="7">
        <v>6940</v>
      </c>
      <c r="G84" s="7">
        <v>9557</v>
      </c>
      <c r="H84" s="7">
        <v>13</v>
      </c>
      <c r="I84">
        <v>0.63300000000000001</v>
      </c>
      <c r="J84">
        <v>0.42399999999999999</v>
      </c>
      <c r="K84">
        <v>686627</v>
      </c>
    </row>
    <row r="85" spans="1:11">
      <c r="A85" t="s">
        <v>77</v>
      </c>
      <c r="B85" t="s">
        <v>77</v>
      </c>
      <c r="C85">
        <v>133951</v>
      </c>
      <c r="D85">
        <v>33100</v>
      </c>
      <c r="E85">
        <v>2015</v>
      </c>
      <c r="F85" s="7">
        <v>1545</v>
      </c>
      <c r="G85" s="7">
        <v>3402</v>
      </c>
      <c r="H85" s="7">
        <v>8</v>
      </c>
      <c r="I85">
        <v>0.23300000000000001</v>
      </c>
      <c r="J85">
        <v>0.433</v>
      </c>
      <c r="K85">
        <v>5950105</v>
      </c>
    </row>
    <row r="86" spans="1:11">
      <c r="A86" t="s">
        <v>78</v>
      </c>
      <c r="B86" t="s">
        <v>78</v>
      </c>
      <c r="C86">
        <v>133669</v>
      </c>
      <c r="D86">
        <v>33100</v>
      </c>
      <c r="E86">
        <v>2015</v>
      </c>
      <c r="F86" s="7">
        <v>2883</v>
      </c>
      <c r="G86" s="7">
        <v>2230</v>
      </c>
      <c r="H86" s="7">
        <v>11</v>
      </c>
      <c r="I86">
        <v>0.6</v>
      </c>
      <c r="J86">
        <v>0.433</v>
      </c>
      <c r="K86">
        <v>5950105</v>
      </c>
    </row>
    <row r="87" spans="1:11">
      <c r="A87" t="s">
        <v>79</v>
      </c>
      <c r="B87" t="s">
        <v>79</v>
      </c>
      <c r="C87">
        <v>134130</v>
      </c>
      <c r="D87">
        <v>23540</v>
      </c>
      <c r="E87">
        <v>2015</v>
      </c>
      <c r="F87" s="7">
        <v>40833</v>
      </c>
      <c r="G87" s="7">
        <v>45843</v>
      </c>
      <c r="H87" s="7">
        <v>17</v>
      </c>
      <c r="I87">
        <v>0.875</v>
      </c>
      <c r="J87">
        <v>0.875</v>
      </c>
      <c r="K87">
        <v>320092</v>
      </c>
    </row>
    <row r="88" spans="1:11">
      <c r="A88" t="s">
        <v>80</v>
      </c>
      <c r="B88" t="s">
        <v>80</v>
      </c>
      <c r="C88">
        <v>133650</v>
      </c>
      <c r="D88">
        <v>45220</v>
      </c>
      <c r="E88">
        <v>2015</v>
      </c>
      <c r="F88" s="7">
        <v>804</v>
      </c>
      <c r="G88" s="7">
        <v>1061</v>
      </c>
      <c r="H88" s="7">
        <v>7</v>
      </c>
      <c r="I88">
        <v>0.46400000000000002</v>
      </c>
      <c r="J88">
        <v>0.65200000000000002</v>
      </c>
      <c r="K88">
        <v>375181</v>
      </c>
    </row>
    <row r="89" spans="1:11">
      <c r="A89" t="s">
        <v>81</v>
      </c>
      <c r="B89" t="s">
        <v>81</v>
      </c>
      <c r="C89">
        <v>134097</v>
      </c>
      <c r="D89">
        <v>45220</v>
      </c>
      <c r="E89">
        <v>2015</v>
      </c>
      <c r="F89" s="7">
        <v>16268</v>
      </c>
      <c r="G89" s="7">
        <v>13181</v>
      </c>
      <c r="H89" s="7">
        <v>17</v>
      </c>
      <c r="I89">
        <v>0.90900000000000003</v>
      </c>
      <c r="J89">
        <v>0.76500000000000001</v>
      </c>
      <c r="K89">
        <v>375181</v>
      </c>
    </row>
    <row r="90" spans="1:11">
      <c r="A90" t="s">
        <v>82</v>
      </c>
      <c r="B90" t="s">
        <v>82</v>
      </c>
      <c r="C90">
        <v>191241</v>
      </c>
      <c r="D90">
        <v>35620</v>
      </c>
      <c r="E90">
        <v>2015</v>
      </c>
      <c r="F90" s="7">
        <v>1723</v>
      </c>
      <c r="G90" s="7">
        <v>1552</v>
      </c>
      <c r="H90" s="7">
        <v>10</v>
      </c>
      <c r="I90">
        <v>0.107</v>
      </c>
      <c r="J90">
        <v>0.33300000000000002</v>
      </c>
      <c r="K90">
        <v>19833335</v>
      </c>
    </row>
    <row r="91" spans="1:11">
      <c r="A91" t="s">
        <v>83</v>
      </c>
      <c r="B91" t="s">
        <v>83</v>
      </c>
      <c r="C91">
        <v>110556</v>
      </c>
      <c r="D91">
        <v>23420</v>
      </c>
      <c r="E91">
        <v>2015</v>
      </c>
      <c r="F91" s="7">
        <v>7773</v>
      </c>
      <c r="G91" s="7">
        <v>13057</v>
      </c>
      <c r="H91" s="7">
        <v>9</v>
      </c>
      <c r="I91">
        <v>0.25</v>
      </c>
      <c r="J91">
        <v>0.53100000000000003</v>
      </c>
      <c r="K91">
        <v>972906</v>
      </c>
    </row>
    <row r="92" spans="1:11">
      <c r="A92" t="s">
        <v>84</v>
      </c>
      <c r="B92" t="s">
        <v>84</v>
      </c>
      <c r="C92">
        <v>218070</v>
      </c>
      <c r="D92">
        <v>24860</v>
      </c>
      <c r="E92">
        <v>2015</v>
      </c>
      <c r="F92" s="7">
        <v>4004</v>
      </c>
      <c r="G92" s="7">
        <v>5456</v>
      </c>
      <c r="H92" s="7">
        <v>9</v>
      </c>
      <c r="I92">
        <v>0.76700000000000002</v>
      </c>
      <c r="J92">
        <v>0.58599999999999997</v>
      </c>
      <c r="K92">
        <v>871980</v>
      </c>
    </row>
    <row r="93" spans="1:11">
      <c r="A93" t="s">
        <v>85</v>
      </c>
      <c r="B93" t="s">
        <v>85</v>
      </c>
      <c r="C93">
        <v>139931</v>
      </c>
      <c r="D93">
        <v>44340</v>
      </c>
      <c r="E93">
        <v>2015</v>
      </c>
      <c r="F93" s="7">
        <v>1977</v>
      </c>
      <c r="G93" s="7">
        <v>4951</v>
      </c>
      <c r="H93" s="7">
        <v>11</v>
      </c>
      <c r="I93">
        <v>0.23300000000000001</v>
      </c>
      <c r="J93">
        <v>0.82399999999999995</v>
      </c>
      <c r="K93">
        <v>73394</v>
      </c>
    </row>
    <row r="94" spans="1:11">
      <c r="A94" t="s">
        <v>86</v>
      </c>
      <c r="B94" t="s">
        <v>86</v>
      </c>
      <c r="C94">
        <v>198561</v>
      </c>
      <c r="D94">
        <v>23500</v>
      </c>
      <c r="E94">
        <v>2015</v>
      </c>
      <c r="F94" s="7">
        <v>5229</v>
      </c>
      <c r="G94" s="7">
        <v>3640</v>
      </c>
      <c r="H94" s="7">
        <v>11</v>
      </c>
      <c r="I94">
        <v>0.36399999999999999</v>
      </c>
      <c r="J94">
        <v>0.45500000000000002</v>
      </c>
      <c r="K94">
        <v>55939</v>
      </c>
    </row>
    <row r="95" spans="1:11">
      <c r="A95" t="s">
        <v>87</v>
      </c>
      <c r="B95" t="s">
        <v>87</v>
      </c>
      <c r="C95">
        <v>232186</v>
      </c>
      <c r="D95">
        <v>47900</v>
      </c>
      <c r="E95">
        <v>2015</v>
      </c>
      <c r="F95" s="7">
        <v>3200</v>
      </c>
      <c r="G95" s="7">
        <v>2908</v>
      </c>
      <c r="H95" s="7">
        <v>13</v>
      </c>
      <c r="I95">
        <v>0.222</v>
      </c>
      <c r="J95">
        <v>0.25</v>
      </c>
      <c r="K95">
        <v>6132190</v>
      </c>
    </row>
    <row r="96" spans="1:11">
      <c r="A96" t="s">
        <v>88</v>
      </c>
      <c r="B96" t="s">
        <v>88</v>
      </c>
      <c r="C96">
        <v>131469</v>
      </c>
      <c r="D96">
        <v>47900</v>
      </c>
      <c r="E96">
        <v>2015</v>
      </c>
      <c r="F96" s="7">
        <v>3753</v>
      </c>
      <c r="G96" s="7">
        <v>2847</v>
      </c>
      <c r="H96" s="7">
        <v>14</v>
      </c>
      <c r="I96">
        <v>0.73299999999999998</v>
      </c>
      <c r="J96">
        <v>0.53300000000000003</v>
      </c>
      <c r="K96">
        <v>6132190</v>
      </c>
    </row>
    <row r="97" spans="1:11">
      <c r="A97" t="s">
        <v>89</v>
      </c>
      <c r="B97" t="s">
        <v>89</v>
      </c>
      <c r="C97">
        <v>131496</v>
      </c>
      <c r="D97">
        <v>47900</v>
      </c>
      <c r="E97">
        <v>2015</v>
      </c>
      <c r="F97" s="7">
        <v>2400</v>
      </c>
      <c r="G97" s="7">
        <v>1784</v>
      </c>
      <c r="H97" s="7">
        <v>10</v>
      </c>
      <c r="I97">
        <v>0.32300000000000001</v>
      </c>
      <c r="J97">
        <v>0.34499999999999997</v>
      </c>
      <c r="K97">
        <v>6132190</v>
      </c>
    </row>
    <row r="98" spans="1:11">
      <c r="A98" t="s">
        <v>90</v>
      </c>
      <c r="B98" t="s">
        <v>90</v>
      </c>
      <c r="C98">
        <v>139959</v>
      </c>
      <c r="D98">
        <v>12020</v>
      </c>
      <c r="E98">
        <v>2015</v>
      </c>
      <c r="F98" s="7">
        <v>15264</v>
      </c>
      <c r="G98" s="7">
        <v>16544</v>
      </c>
      <c r="H98" s="7">
        <v>16</v>
      </c>
      <c r="I98">
        <v>0.45200000000000001</v>
      </c>
      <c r="J98">
        <v>0.68799999999999994</v>
      </c>
      <c r="K98">
        <v>203075</v>
      </c>
    </row>
    <row r="99" spans="1:11">
      <c r="A99" t="s">
        <v>91</v>
      </c>
      <c r="B99" t="s">
        <v>91</v>
      </c>
      <c r="C99">
        <v>139940</v>
      </c>
      <c r="D99">
        <v>12060</v>
      </c>
      <c r="E99">
        <v>2015</v>
      </c>
      <c r="F99" s="7">
        <v>3350</v>
      </c>
      <c r="G99" s="7">
        <v>2683</v>
      </c>
      <c r="H99" s="7">
        <v>11</v>
      </c>
      <c r="I99">
        <v>0.33300000000000002</v>
      </c>
      <c r="J99">
        <v>0.28100000000000003</v>
      </c>
      <c r="K99">
        <v>5695668</v>
      </c>
    </row>
    <row r="100" spans="1:11">
      <c r="A100" t="s">
        <v>92</v>
      </c>
      <c r="B100" t="s">
        <v>92</v>
      </c>
      <c r="C100">
        <v>139755</v>
      </c>
      <c r="D100">
        <v>12060</v>
      </c>
      <c r="E100">
        <v>2015</v>
      </c>
      <c r="F100" s="7">
        <v>9565</v>
      </c>
      <c r="G100" s="7">
        <v>12150</v>
      </c>
      <c r="H100" s="7">
        <v>13</v>
      </c>
      <c r="I100">
        <v>0.41899999999999998</v>
      </c>
      <c r="J100">
        <v>0.375</v>
      </c>
      <c r="K100">
        <v>5695668</v>
      </c>
    </row>
    <row r="101" spans="1:11">
      <c r="A101" t="s">
        <v>1276</v>
      </c>
      <c r="B101" t="s">
        <v>1276</v>
      </c>
      <c r="C101">
        <v>235316</v>
      </c>
      <c r="D101">
        <v>44060</v>
      </c>
      <c r="E101">
        <v>2015</v>
      </c>
      <c r="F101" s="7">
        <v>6150</v>
      </c>
      <c r="G101" s="7">
        <v>6402</v>
      </c>
      <c r="H101" s="7">
        <v>12</v>
      </c>
      <c r="I101">
        <v>0.58599999999999997</v>
      </c>
      <c r="J101">
        <v>0.40699999999999997</v>
      </c>
      <c r="K101">
        <v>539167</v>
      </c>
    </row>
    <row r="102" spans="1:11">
      <c r="A102" t="s">
        <v>93</v>
      </c>
      <c r="B102" t="s">
        <v>93</v>
      </c>
      <c r="C102">
        <v>159009</v>
      </c>
      <c r="D102">
        <v>33740</v>
      </c>
      <c r="E102">
        <v>2015</v>
      </c>
      <c r="F102" s="7">
        <v>1583</v>
      </c>
      <c r="G102" s="7">
        <v>1781</v>
      </c>
      <c r="H102" s="7">
        <v>10</v>
      </c>
      <c r="I102">
        <v>0.115</v>
      </c>
      <c r="J102">
        <v>0.16700000000000001</v>
      </c>
      <c r="K102">
        <v>209816</v>
      </c>
    </row>
    <row r="103" spans="1:11">
      <c r="A103" t="s">
        <v>94</v>
      </c>
      <c r="B103" t="s">
        <v>94</v>
      </c>
      <c r="C103">
        <v>104717</v>
      </c>
      <c r="D103">
        <v>38060</v>
      </c>
      <c r="E103">
        <v>2015</v>
      </c>
      <c r="F103" s="7">
        <v>3779</v>
      </c>
      <c r="G103" s="7">
        <v>4652</v>
      </c>
      <c r="H103" s="7">
        <v>13</v>
      </c>
      <c r="I103" t="s">
        <v>1328</v>
      </c>
      <c r="J103" t="s">
        <v>1328</v>
      </c>
      <c r="K103">
        <v>4480231</v>
      </c>
    </row>
    <row r="104" spans="1:11">
      <c r="A104" t="s">
        <v>95</v>
      </c>
      <c r="B104" t="s">
        <v>95</v>
      </c>
      <c r="C104">
        <v>240277</v>
      </c>
      <c r="D104">
        <v>24580</v>
      </c>
      <c r="E104">
        <v>2015</v>
      </c>
      <c r="F104" s="7">
        <v>3484</v>
      </c>
      <c r="G104" s="7">
        <v>3825</v>
      </c>
      <c r="H104" s="7">
        <v>10</v>
      </c>
      <c r="I104">
        <v>0.192</v>
      </c>
      <c r="J104">
        <v>0.5</v>
      </c>
      <c r="K104">
        <v>318318</v>
      </c>
    </row>
    <row r="105" spans="1:11">
      <c r="A105" t="s">
        <v>96</v>
      </c>
      <c r="B105" t="s">
        <v>96</v>
      </c>
      <c r="C105">
        <v>232265</v>
      </c>
      <c r="D105">
        <v>47260</v>
      </c>
      <c r="E105">
        <v>2015</v>
      </c>
      <c r="F105" s="7">
        <v>3220</v>
      </c>
      <c r="G105" s="7">
        <v>2140</v>
      </c>
      <c r="H105" s="7">
        <v>10</v>
      </c>
      <c r="I105">
        <v>0.65600000000000003</v>
      </c>
      <c r="J105">
        <v>0.63300000000000001</v>
      </c>
      <c r="K105">
        <v>1768553</v>
      </c>
    </row>
    <row r="106" spans="1:11">
      <c r="A106" t="s">
        <v>1277</v>
      </c>
      <c r="B106" t="s">
        <v>1277</v>
      </c>
      <c r="C106">
        <v>129525</v>
      </c>
      <c r="D106">
        <v>25540</v>
      </c>
      <c r="E106">
        <v>2015</v>
      </c>
      <c r="F106" s="7">
        <v>1935</v>
      </c>
      <c r="G106" s="7">
        <v>1413</v>
      </c>
      <c r="H106" s="7">
        <v>8</v>
      </c>
      <c r="I106">
        <v>0.56699999999999995</v>
      </c>
      <c r="J106">
        <v>0.4</v>
      </c>
      <c r="K106">
        <v>1217677</v>
      </c>
    </row>
    <row r="107" spans="1:11">
      <c r="A107" t="s">
        <v>97</v>
      </c>
      <c r="B107" t="s">
        <v>97</v>
      </c>
      <c r="C107">
        <v>166027</v>
      </c>
      <c r="D107">
        <v>14460</v>
      </c>
      <c r="E107">
        <v>2015</v>
      </c>
      <c r="F107" s="7">
        <v>4101</v>
      </c>
      <c r="G107" s="7">
        <v>3193</v>
      </c>
      <c r="H107" s="7">
        <v>12</v>
      </c>
      <c r="I107">
        <v>0.79200000000000004</v>
      </c>
      <c r="J107">
        <v>0.60899999999999999</v>
      </c>
      <c r="K107">
        <v>4812849</v>
      </c>
    </row>
    <row r="108" spans="1:11">
      <c r="A108" t="s">
        <v>98</v>
      </c>
      <c r="B108" t="s">
        <v>98</v>
      </c>
      <c r="C108">
        <v>141574</v>
      </c>
      <c r="D108">
        <v>46520</v>
      </c>
      <c r="E108">
        <v>2015</v>
      </c>
      <c r="F108" s="7">
        <v>120776</v>
      </c>
      <c r="G108" s="7">
        <v>144235</v>
      </c>
      <c r="H108" s="7">
        <v>19</v>
      </c>
      <c r="I108">
        <v>0.75900000000000001</v>
      </c>
      <c r="J108">
        <v>0.83299999999999996</v>
      </c>
      <c r="K108">
        <v>1017588</v>
      </c>
    </row>
    <row r="109" spans="1:11">
      <c r="A109" t="s">
        <v>1278</v>
      </c>
      <c r="B109" t="s">
        <v>1278</v>
      </c>
      <c r="C109">
        <v>198695</v>
      </c>
      <c r="D109">
        <v>24660</v>
      </c>
      <c r="E109">
        <v>2015</v>
      </c>
      <c r="F109" s="7">
        <v>6450</v>
      </c>
      <c r="G109" s="7">
        <v>5384</v>
      </c>
      <c r="H109" s="7">
        <v>10</v>
      </c>
      <c r="I109">
        <v>0.44800000000000001</v>
      </c>
      <c r="J109">
        <v>0.51600000000000001</v>
      </c>
      <c r="K109">
        <v>751915</v>
      </c>
    </row>
    <row r="110" spans="1:11">
      <c r="A110" t="s">
        <v>99</v>
      </c>
      <c r="B110" t="s">
        <v>99</v>
      </c>
      <c r="C110">
        <v>191649</v>
      </c>
      <c r="D110">
        <v>35620</v>
      </c>
      <c r="E110">
        <v>2015</v>
      </c>
      <c r="F110" s="7">
        <v>3887</v>
      </c>
      <c r="G110" s="7">
        <v>2290</v>
      </c>
      <c r="H110" s="7">
        <v>17</v>
      </c>
      <c r="I110">
        <v>0.82399999999999995</v>
      </c>
      <c r="J110">
        <v>0.53100000000000003</v>
      </c>
      <c r="K110">
        <v>19833335</v>
      </c>
    </row>
    <row r="111" spans="1:11">
      <c r="A111" t="s">
        <v>100</v>
      </c>
      <c r="B111" t="s">
        <v>100</v>
      </c>
      <c r="C111">
        <v>166124</v>
      </c>
      <c r="D111">
        <v>49340</v>
      </c>
      <c r="E111">
        <v>2015</v>
      </c>
      <c r="F111" s="7">
        <v>1800</v>
      </c>
      <c r="G111" s="7">
        <v>1639</v>
      </c>
      <c r="H111" s="7">
        <v>10</v>
      </c>
      <c r="I111">
        <v>0.25900000000000001</v>
      </c>
      <c r="J111">
        <v>0.25</v>
      </c>
      <c r="K111">
        <v>951907</v>
      </c>
    </row>
    <row r="112" spans="1:11">
      <c r="A112" t="s">
        <v>101</v>
      </c>
      <c r="B112" t="s">
        <v>101</v>
      </c>
      <c r="C112">
        <v>225511</v>
      </c>
      <c r="D112">
        <v>26420</v>
      </c>
      <c r="E112">
        <v>2015</v>
      </c>
      <c r="F112" s="7">
        <v>5973</v>
      </c>
      <c r="G112" s="7">
        <v>7922</v>
      </c>
      <c r="H112" s="7">
        <v>16</v>
      </c>
      <c r="I112">
        <v>0.438</v>
      </c>
      <c r="J112">
        <v>0.54500000000000004</v>
      </c>
      <c r="K112">
        <v>6663204</v>
      </c>
    </row>
    <row r="113" spans="1:11">
      <c r="A113" t="s">
        <v>1243</v>
      </c>
      <c r="B113" t="s">
        <v>102</v>
      </c>
      <c r="C113">
        <v>225399</v>
      </c>
      <c r="D113">
        <v>26420</v>
      </c>
      <c r="E113">
        <v>2015</v>
      </c>
      <c r="F113" s="7">
        <v>5678</v>
      </c>
      <c r="G113" s="7">
        <v>4889</v>
      </c>
      <c r="H113" s="7">
        <v>12</v>
      </c>
      <c r="I113">
        <v>0.46899999999999997</v>
      </c>
      <c r="J113">
        <v>0.45500000000000002</v>
      </c>
      <c r="K113">
        <v>6663204</v>
      </c>
    </row>
    <row r="114" spans="1:11">
      <c r="A114" t="s">
        <v>103</v>
      </c>
      <c r="B114" t="s">
        <v>103</v>
      </c>
      <c r="C114">
        <v>131520</v>
      </c>
      <c r="D114">
        <v>47900</v>
      </c>
      <c r="E114">
        <v>2015</v>
      </c>
      <c r="F114" s="7">
        <v>939</v>
      </c>
      <c r="G114" s="7">
        <v>895</v>
      </c>
      <c r="H114" s="7">
        <v>7</v>
      </c>
      <c r="I114">
        <v>0.64500000000000002</v>
      </c>
      <c r="J114">
        <v>0.65600000000000003</v>
      </c>
      <c r="K114">
        <v>6132190</v>
      </c>
    </row>
    <row r="115" spans="1:11">
      <c r="A115" t="s">
        <v>1279</v>
      </c>
      <c r="B115" t="s">
        <v>1279</v>
      </c>
      <c r="C115">
        <v>142285</v>
      </c>
      <c r="D115">
        <v>34140</v>
      </c>
      <c r="E115">
        <v>2015</v>
      </c>
      <c r="F115" s="7">
        <v>7499</v>
      </c>
      <c r="G115" s="7">
        <v>5157</v>
      </c>
      <c r="H115" s="7">
        <v>11</v>
      </c>
      <c r="I115">
        <v>0.51700000000000002</v>
      </c>
      <c r="J115">
        <v>0.63300000000000001</v>
      </c>
      <c r="K115">
        <v>38271</v>
      </c>
    </row>
    <row r="116" spans="1:11">
      <c r="A116" t="s">
        <v>104</v>
      </c>
      <c r="B116" t="s">
        <v>104</v>
      </c>
      <c r="C116">
        <v>142276</v>
      </c>
      <c r="D116">
        <v>38540</v>
      </c>
      <c r="E116">
        <v>2015</v>
      </c>
      <c r="F116" s="7">
        <v>8859</v>
      </c>
      <c r="G116" s="7">
        <v>5652</v>
      </c>
      <c r="H116" s="7">
        <v>12</v>
      </c>
      <c r="I116">
        <v>0.71899999999999997</v>
      </c>
      <c r="J116">
        <v>0.65700000000000003</v>
      </c>
      <c r="K116">
        <v>91228</v>
      </c>
    </row>
    <row r="117" spans="1:11">
      <c r="A117" t="s">
        <v>105</v>
      </c>
      <c r="B117" t="s">
        <v>105</v>
      </c>
      <c r="C117">
        <v>145637</v>
      </c>
      <c r="D117">
        <v>16580</v>
      </c>
      <c r="E117">
        <v>2015</v>
      </c>
      <c r="F117" s="7">
        <v>45410</v>
      </c>
      <c r="G117" s="7">
        <v>49871</v>
      </c>
      <c r="H117" s="7">
        <v>15</v>
      </c>
      <c r="I117">
        <v>0.76500000000000001</v>
      </c>
      <c r="J117">
        <v>0.54500000000000004</v>
      </c>
      <c r="K117">
        <v>224157</v>
      </c>
    </row>
    <row r="118" spans="1:11">
      <c r="A118" t="s">
        <v>106</v>
      </c>
      <c r="B118" t="s">
        <v>106</v>
      </c>
      <c r="C118">
        <v>145813</v>
      </c>
      <c r="D118">
        <v>14010</v>
      </c>
      <c r="E118">
        <v>2015</v>
      </c>
      <c r="F118" s="7">
        <v>10638</v>
      </c>
      <c r="G118" s="7">
        <v>8427</v>
      </c>
      <c r="H118" s="7">
        <v>10</v>
      </c>
      <c r="I118">
        <v>0.81799999999999995</v>
      </c>
      <c r="J118">
        <v>0.59399999999999997</v>
      </c>
      <c r="K118">
        <v>173015</v>
      </c>
    </row>
    <row r="119" spans="1:11">
      <c r="A119" t="s">
        <v>108</v>
      </c>
      <c r="B119" t="s">
        <v>108</v>
      </c>
      <c r="C119">
        <v>151351</v>
      </c>
      <c r="D119">
        <v>14020</v>
      </c>
      <c r="E119">
        <v>2015</v>
      </c>
      <c r="F119" s="7">
        <v>13510</v>
      </c>
      <c r="G119" s="7">
        <v>13130</v>
      </c>
      <c r="H119" s="7">
        <v>16</v>
      </c>
      <c r="I119">
        <v>0.46899999999999997</v>
      </c>
      <c r="J119">
        <v>0.28999999999999998</v>
      </c>
      <c r="K119">
        <v>161009</v>
      </c>
    </row>
    <row r="120" spans="1:11">
      <c r="A120" t="s">
        <v>109</v>
      </c>
      <c r="B120" t="s">
        <v>109</v>
      </c>
      <c r="C120">
        <v>151324</v>
      </c>
      <c r="D120">
        <v>45460</v>
      </c>
      <c r="E120">
        <v>2015</v>
      </c>
      <c r="F120" s="7">
        <v>3555</v>
      </c>
      <c r="G120" s="7">
        <v>2025</v>
      </c>
      <c r="H120" s="7">
        <v>13</v>
      </c>
      <c r="I120">
        <v>0.54800000000000004</v>
      </c>
      <c r="J120">
        <v>0.433</v>
      </c>
      <c r="K120">
        <v>187068</v>
      </c>
    </row>
    <row r="121" spans="1:11">
      <c r="A121" t="s">
        <v>110</v>
      </c>
      <c r="B121" t="s">
        <v>110</v>
      </c>
      <c r="C121">
        <v>191931</v>
      </c>
      <c r="D121">
        <v>35620</v>
      </c>
      <c r="E121">
        <v>2015</v>
      </c>
      <c r="F121" s="7">
        <v>2139</v>
      </c>
      <c r="G121" s="7">
        <v>2042</v>
      </c>
      <c r="H121" s="7">
        <v>13</v>
      </c>
      <c r="I121">
        <v>0.29399999999999998</v>
      </c>
      <c r="J121">
        <v>0.53300000000000003</v>
      </c>
      <c r="K121">
        <v>19833335</v>
      </c>
    </row>
    <row r="122" spans="1:11">
      <c r="A122" t="s">
        <v>111</v>
      </c>
      <c r="B122" t="s">
        <v>111</v>
      </c>
      <c r="C122">
        <v>153658</v>
      </c>
      <c r="D122">
        <v>26980</v>
      </c>
      <c r="E122">
        <v>2015</v>
      </c>
      <c r="F122" s="7">
        <v>13752</v>
      </c>
      <c r="G122" s="7">
        <v>16628</v>
      </c>
      <c r="H122" s="7">
        <v>10</v>
      </c>
      <c r="I122">
        <v>0.45200000000000001</v>
      </c>
      <c r="J122">
        <v>0.34399999999999997</v>
      </c>
      <c r="K122">
        <v>167228</v>
      </c>
    </row>
    <row r="123" spans="1:11">
      <c r="A123" t="s">
        <v>112</v>
      </c>
      <c r="B123" t="s">
        <v>112</v>
      </c>
      <c r="C123">
        <v>153603</v>
      </c>
      <c r="D123">
        <v>11180</v>
      </c>
      <c r="E123">
        <v>2015</v>
      </c>
      <c r="F123" s="7">
        <v>34172</v>
      </c>
      <c r="G123" s="7">
        <v>29703</v>
      </c>
      <c r="H123" s="7">
        <v>14</v>
      </c>
      <c r="I123">
        <v>0.65500000000000003</v>
      </c>
      <c r="J123">
        <v>0.64300000000000002</v>
      </c>
      <c r="K123">
        <v>123658</v>
      </c>
    </row>
    <row r="124" spans="1:11">
      <c r="A124" t="s">
        <v>113</v>
      </c>
      <c r="B124" t="s">
        <v>113</v>
      </c>
      <c r="C124">
        <v>151111</v>
      </c>
      <c r="D124">
        <v>26900</v>
      </c>
      <c r="E124">
        <v>2015</v>
      </c>
      <c r="F124" s="7" t="s">
        <v>1328</v>
      </c>
      <c r="G124" s="7" t="s">
        <v>1328</v>
      </c>
      <c r="H124" s="7" t="s">
        <v>1328</v>
      </c>
      <c r="I124" t="s">
        <v>1328</v>
      </c>
      <c r="J124" t="s">
        <v>1328</v>
      </c>
      <c r="K124">
        <v>1999191</v>
      </c>
    </row>
    <row r="125" spans="1:11">
      <c r="A125" t="s">
        <v>114</v>
      </c>
      <c r="B125" t="s">
        <v>114</v>
      </c>
      <c r="C125">
        <v>175856</v>
      </c>
      <c r="D125">
        <v>27140</v>
      </c>
      <c r="E125">
        <v>2015</v>
      </c>
      <c r="F125" s="7">
        <v>3291</v>
      </c>
      <c r="G125" s="7">
        <v>2650</v>
      </c>
      <c r="H125" s="7">
        <v>7</v>
      </c>
      <c r="I125">
        <v>0.34399999999999997</v>
      </c>
      <c r="J125">
        <v>0.34399999999999997</v>
      </c>
      <c r="K125">
        <v>598752</v>
      </c>
    </row>
    <row r="126" spans="1:11">
      <c r="A126" t="s">
        <v>115</v>
      </c>
      <c r="B126" t="s">
        <v>115</v>
      </c>
      <c r="C126">
        <v>134945</v>
      </c>
      <c r="D126">
        <v>27260</v>
      </c>
      <c r="E126">
        <v>2015</v>
      </c>
      <c r="F126" s="7">
        <v>2075</v>
      </c>
      <c r="G126" s="7">
        <v>2542</v>
      </c>
      <c r="H126" s="7">
        <v>14</v>
      </c>
      <c r="I126">
        <v>0.55900000000000005</v>
      </c>
      <c r="J126">
        <v>0.88200000000000001</v>
      </c>
      <c r="K126">
        <v>1457992</v>
      </c>
    </row>
    <row r="127" spans="1:11">
      <c r="A127" t="s">
        <v>116</v>
      </c>
      <c r="B127" t="s">
        <v>116</v>
      </c>
      <c r="C127">
        <v>101480</v>
      </c>
      <c r="D127">
        <v>11500</v>
      </c>
      <c r="E127">
        <v>2015</v>
      </c>
      <c r="F127" s="7">
        <v>3384</v>
      </c>
      <c r="G127" s="7">
        <v>1617</v>
      </c>
      <c r="H127" s="7">
        <v>10</v>
      </c>
      <c r="I127">
        <v>0.52900000000000003</v>
      </c>
      <c r="J127">
        <v>0.41899999999999998</v>
      </c>
      <c r="K127">
        <v>116986</v>
      </c>
    </row>
    <row r="128" spans="1:11">
      <c r="A128" t="s">
        <v>117</v>
      </c>
      <c r="B128" t="s">
        <v>117</v>
      </c>
      <c r="C128">
        <v>232423</v>
      </c>
      <c r="D128">
        <v>25500</v>
      </c>
      <c r="E128">
        <v>2015</v>
      </c>
      <c r="F128" s="7">
        <v>4338</v>
      </c>
      <c r="G128" s="7">
        <v>4423</v>
      </c>
      <c r="H128" s="7">
        <v>15</v>
      </c>
      <c r="I128">
        <v>0.54800000000000004</v>
      </c>
      <c r="J128">
        <v>0.46400000000000002</v>
      </c>
      <c r="K128">
        <v>131186</v>
      </c>
    </row>
    <row r="129" spans="1:11">
      <c r="A129" t="s">
        <v>118</v>
      </c>
      <c r="B129" t="s">
        <v>118</v>
      </c>
      <c r="C129">
        <v>155317</v>
      </c>
      <c r="D129">
        <v>29940</v>
      </c>
      <c r="E129">
        <v>2015</v>
      </c>
      <c r="F129" s="7">
        <v>19283</v>
      </c>
      <c r="G129" s="7">
        <v>24733</v>
      </c>
      <c r="H129" s="7">
        <v>16</v>
      </c>
      <c r="I129">
        <v>0.71</v>
      </c>
      <c r="J129">
        <v>0.75800000000000001</v>
      </c>
      <c r="K129">
        <v>116291</v>
      </c>
    </row>
    <row r="130" spans="1:11">
      <c r="A130" t="s">
        <v>1250</v>
      </c>
      <c r="B130" t="s">
        <v>267</v>
      </c>
      <c r="C130">
        <v>178402</v>
      </c>
      <c r="D130">
        <v>28140</v>
      </c>
      <c r="E130">
        <v>2015</v>
      </c>
      <c r="F130" s="7">
        <v>3796</v>
      </c>
      <c r="G130" s="7">
        <v>3637</v>
      </c>
      <c r="H130" s="7">
        <v>9</v>
      </c>
      <c r="I130">
        <v>0.8</v>
      </c>
      <c r="J130">
        <v>0.51700000000000002</v>
      </c>
      <c r="K130">
        <v>2098230</v>
      </c>
    </row>
    <row r="131" spans="1:11">
      <c r="A131" t="s">
        <v>1280</v>
      </c>
      <c r="B131" t="s">
        <v>1280</v>
      </c>
      <c r="C131">
        <v>155399</v>
      </c>
      <c r="D131">
        <v>31740</v>
      </c>
      <c r="E131">
        <v>2015</v>
      </c>
      <c r="F131" s="7">
        <v>30759</v>
      </c>
      <c r="G131" s="7">
        <v>26573</v>
      </c>
      <c r="H131" s="7">
        <v>13</v>
      </c>
      <c r="I131">
        <v>0.71</v>
      </c>
      <c r="J131">
        <v>0.621</v>
      </c>
      <c r="K131">
        <v>139373</v>
      </c>
    </row>
    <row r="132" spans="1:11">
      <c r="A132" t="s">
        <v>119</v>
      </c>
      <c r="B132" t="s">
        <v>119</v>
      </c>
      <c r="C132">
        <v>486840</v>
      </c>
      <c r="D132">
        <v>12060</v>
      </c>
      <c r="E132">
        <v>2015</v>
      </c>
      <c r="F132" s="7">
        <v>5176</v>
      </c>
      <c r="G132" s="7">
        <v>5325</v>
      </c>
      <c r="H132" s="7">
        <v>10</v>
      </c>
      <c r="I132">
        <v>0.34499999999999997</v>
      </c>
      <c r="J132">
        <v>0.433</v>
      </c>
      <c r="K132">
        <v>5695668</v>
      </c>
    </row>
    <row r="133" spans="1:11">
      <c r="A133" t="s">
        <v>120</v>
      </c>
      <c r="B133" t="s">
        <v>120</v>
      </c>
      <c r="C133">
        <v>203517</v>
      </c>
      <c r="D133">
        <v>10420</v>
      </c>
      <c r="E133">
        <v>2015</v>
      </c>
      <c r="F133" s="7">
        <v>3968</v>
      </c>
      <c r="G133" s="7">
        <v>3972</v>
      </c>
      <c r="H133" s="7">
        <v>12</v>
      </c>
      <c r="I133">
        <v>0.54800000000000004</v>
      </c>
      <c r="J133">
        <v>0.4</v>
      </c>
      <c r="K133">
        <v>704604</v>
      </c>
    </row>
    <row r="134" spans="1:11">
      <c r="A134" t="s">
        <v>121</v>
      </c>
      <c r="B134" t="s">
        <v>121</v>
      </c>
      <c r="C134">
        <v>157085</v>
      </c>
      <c r="D134">
        <v>30460</v>
      </c>
      <c r="E134">
        <v>2015</v>
      </c>
      <c r="F134" s="7">
        <v>30453</v>
      </c>
      <c r="G134" s="7">
        <v>26806</v>
      </c>
      <c r="H134" s="7">
        <v>20</v>
      </c>
      <c r="I134">
        <v>0.81799999999999995</v>
      </c>
      <c r="J134">
        <v>0.71</v>
      </c>
      <c r="K134">
        <v>500115</v>
      </c>
    </row>
    <row r="135" spans="1:11">
      <c r="A135" t="s">
        <v>1281</v>
      </c>
      <c r="B135" t="s">
        <v>1281</v>
      </c>
      <c r="C135">
        <v>213367</v>
      </c>
      <c r="D135">
        <v>37980</v>
      </c>
      <c r="E135">
        <v>2015</v>
      </c>
      <c r="F135" s="7">
        <v>1184</v>
      </c>
      <c r="G135" s="7">
        <v>1021</v>
      </c>
      <c r="H135" s="7">
        <v>13</v>
      </c>
      <c r="I135">
        <v>0.32300000000000001</v>
      </c>
      <c r="J135">
        <v>3.1E-2</v>
      </c>
      <c r="K135">
        <v>6130446</v>
      </c>
    </row>
    <row r="136" spans="1:11">
      <c r="A136" t="s">
        <v>123</v>
      </c>
      <c r="B136" t="s">
        <v>123</v>
      </c>
      <c r="C136">
        <v>213385</v>
      </c>
      <c r="D136">
        <v>10900</v>
      </c>
      <c r="E136">
        <v>2015</v>
      </c>
      <c r="F136" s="7">
        <v>1710</v>
      </c>
      <c r="G136" s="7">
        <v>1887</v>
      </c>
      <c r="H136" s="7">
        <v>13</v>
      </c>
      <c r="I136">
        <v>0.214</v>
      </c>
      <c r="J136">
        <v>0.40699999999999997</v>
      </c>
      <c r="K136">
        <v>838657</v>
      </c>
    </row>
    <row r="137" spans="1:11">
      <c r="A137" t="s">
        <v>124</v>
      </c>
      <c r="B137" t="s">
        <v>124</v>
      </c>
      <c r="C137">
        <v>226091</v>
      </c>
      <c r="D137">
        <v>13140</v>
      </c>
      <c r="E137">
        <v>2015</v>
      </c>
      <c r="F137" s="7">
        <v>2167</v>
      </c>
      <c r="G137" s="7">
        <v>3963</v>
      </c>
      <c r="H137" s="7">
        <v>8</v>
      </c>
      <c r="I137">
        <v>0.17899999999999999</v>
      </c>
      <c r="J137">
        <v>0.3</v>
      </c>
      <c r="K137">
        <v>397955</v>
      </c>
    </row>
    <row r="138" spans="1:11">
      <c r="A138" t="s">
        <v>125</v>
      </c>
      <c r="B138" t="s">
        <v>125</v>
      </c>
      <c r="C138">
        <v>213543</v>
      </c>
      <c r="D138">
        <v>10900</v>
      </c>
      <c r="E138">
        <v>2015</v>
      </c>
      <c r="F138" s="7">
        <v>2293</v>
      </c>
      <c r="G138" s="7" t="s">
        <v>1328</v>
      </c>
      <c r="H138" s="7">
        <v>12</v>
      </c>
      <c r="I138">
        <v>0.68799999999999994</v>
      </c>
      <c r="J138">
        <v>0.69</v>
      </c>
      <c r="K138">
        <v>838657</v>
      </c>
    </row>
    <row r="139" spans="1:11">
      <c r="A139" t="s">
        <v>126</v>
      </c>
      <c r="B139" t="s">
        <v>126</v>
      </c>
      <c r="C139">
        <v>232557</v>
      </c>
      <c r="D139">
        <v>31340</v>
      </c>
      <c r="E139">
        <v>2015</v>
      </c>
      <c r="F139" s="7">
        <v>4678</v>
      </c>
      <c r="G139" s="7">
        <v>5814</v>
      </c>
      <c r="H139" s="7">
        <v>13</v>
      </c>
      <c r="I139">
        <v>0.69699999999999995</v>
      </c>
      <c r="J139">
        <v>0.379</v>
      </c>
      <c r="K139">
        <v>258067</v>
      </c>
    </row>
    <row r="140" spans="1:11">
      <c r="A140" t="s">
        <v>127</v>
      </c>
      <c r="B140" t="s">
        <v>127</v>
      </c>
      <c r="C140">
        <v>219976</v>
      </c>
      <c r="D140">
        <v>34980</v>
      </c>
      <c r="E140">
        <v>2015</v>
      </c>
      <c r="F140" s="7">
        <v>3410</v>
      </c>
      <c r="G140" s="7">
        <v>3959</v>
      </c>
      <c r="H140" s="7">
        <v>12</v>
      </c>
      <c r="I140">
        <v>0.7</v>
      </c>
      <c r="J140">
        <v>0.74199999999999999</v>
      </c>
      <c r="K140">
        <v>1824091</v>
      </c>
    </row>
    <row r="141" spans="1:11">
      <c r="A141" t="s">
        <v>1282</v>
      </c>
      <c r="B141" t="s">
        <v>1282</v>
      </c>
      <c r="C141">
        <v>106245</v>
      </c>
      <c r="D141">
        <v>30780</v>
      </c>
      <c r="E141">
        <v>2015</v>
      </c>
      <c r="F141" s="7">
        <v>4634</v>
      </c>
      <c r="G141" s="7">
        <v>2864</v>
      </c>
      <c r="H141" s="7">
        <v>11</v>
      </c>
      <c r="I141">
        <v>0.85699999999999998</v>
      </c>
      <c r="J141">
        <v>0.64500000000000002</v>
      </c>
      <c r="K141">
        <v>732412</v>
      </c>
    </row>
    <row r="142" spans="1:11">
      <c r="A142" t="s">
        <v>1246</v>
      </c>
      <c r="B142" t="s">
        <v>128</v>
      </c>
      <c r="C142">
        <v>192448</v>
      </c>
      <c r="D142">
        <v>35620</v>
      </c>
      <c r="E142">
        <v>2015</v>
      </c>
      <c r="F142" s="7">
        <v>2705</v>
      </c>
      <c r="G142" s="7">
        <v>2112</v>
      </c>
      <c r="H142" s="7">
        <v>13</v>
      </c>
      <c r="I142">
        <v>0.78100000000000003</v>
      </c>
      <c r="J142">
        <v>0.74199999999999999</v>
      </c>
      <c r="K142">
        <v>19833335</v>
      </c>
    </row>
    <row r="143" spans="1:11">
      <c r="A143" t="s">
        <v>129</v>
      </c>
      <c r="B143" t="s">
        <v>129</v>
      </c>
      <c r="C143">
        <v>117946</v>
      </c>
      <c r="D143">
        <v>31080</v>
      </c>
      <c r="E143">
        <v>2015</v>
      </c>
      <c r="F143" s="7">
        <v>4708</v>
      </c>
      <c r="G143" s="7">
        <v>4010</v>
      </c>
      <c r="H143" s="7">
        <v>14</v>
      </c>
      <c r="I143">
        <v>0.74199999999999999</v>
      </c>
      <c r="J143">
        <v>0.5</v>
      </c>
      <c r="K143">
        <v>13258364</v>
      </c>
    </row>
    <row r="144" spans="1:11">
      <c r="A144" t="s">
        <v>130</v>
      </c>
      <c r="B144" t="s">
        <v>130</v>
      </c>
      <c r="C144">
        <v>110583</v>
      </c>
      <c r="D144">
        <v>31080</v>
      </c>
      <c r="E144">
        <v>2015</v>
      </c>
      <c r="F144" s="7">
        <v>17708</v>
      </c>
      <c r="G144" s="7">
        <v>18006</v>
      </c>
      <c r="H144" s="7">
        <v>16</v>
      </c>
      <c r="I144">
        <v>0.84399999999999997</v>
      </c>
      <c r="J144">
        <v>0.621</v>
      </c>
      <c r="K144">
        <v>13258364</v>
      </c>
    </row>
    <row r="145" spans="1:11">
      <c r="A145" t="s">
        <v>131</v>
      </c>
      <c r="B145" t="s">
        <v>131</v>
      </c>
      <c r="C145">
        <v>232566</v>
      </c>
      <c r="D145">
        <v>40060</v>
      </c>
      <c r="E145">
        <v>2015</v>
      </c>
      <c r="F145" s="7" t="s">
        <v>1328</v>
      </c>
      <c r="G145" s="7" t="s">
        <v>1328</v>
      </c>
      <c r="H145" s="7" t="s">
        <v>1328</v>
      </c>
      <c r="I145" t="s">
        <v>1328</v>
      </c>
      <c r="J145" t="s">
        <v>1328</v>
      </c>
      <c r="K145">
        <v>1254013</v>
      </c>
    </row>
    <row r="146" spans="1:11">
      <c r="A146" t="s">
        <v>132</v>
      </c>
      <c r="B146" t="s">
        <v>132</v>
      </c>
      <c r="C146">
        <v>160658</v>
      </c>
      <c r="D146">
        <v>29180</v>
      </c>
      <c r="E146">
        <v>2015</v>
      </c>
      <c r="F146" s="7">
        <v>5060</v>
      </c>
      <c r="G146" s="7">
        <v>4834</v>
      </c>
      <c r="H146" s="7">
        <v>15</v>
      </c>
      <c r="I146">
        <v>0.60599999999999998</v>
      </c>
      <c r="J146">
        <v>0.57599999999999996</v>
      </c>
      <c r="K146">
        <v>483623</v>
      </c>
    </row>
    <row r="147" spans="1:11">
      <c r="A147" t="s">
        <v>133</v>
      </c>
      <c r="B147" t="s">
        <v>133</v>
      </c>
      <c r="C147">
        <v>159647</v>
      </c>
      <c r="D147">
        <v>40820</v>
      </c>
      <c r="E147">
        <v>2015</v>
      </c>
      <c r="F147" s="7">
        <v>2314</v>
      </c>
      <c r="G147" s="7">
        <v>2308</v>
      </c>
      <c r="H147" s="7">
        <v>12</v>
      </c>
      <c r="I147">
        <v>0.3</v>
      </c>
      <c r="J147">
        <v>0.24099999999999999</v>
      </c>
      <c r="K147">
        <v>48361</v>
      </c>
    </row>
    <row r="148" spans="1:11">
      <c r="A148" t="s">
        <v>134</v>
      </c>
      <c r="B148" t="s">
        <v>134</v>
      </c>
      <c r="C148">
        <v>157289</v>
      </c>
      <c r="D148">
        <v>31140</v>
      </c>
      <c r="E148">
        <v>2015</v>
      </c>
      <c r="F148" s="7">
        <v>26352</v>
      </c>
      <c r="G148" s="7">
        <v>20193</v>
      </c>
      <c r="H148" s="7">
        <v>13</v>
      </c>
      <c r="I148">
        <v>0.5</v>
      </c>
      <c r="J148">
        <v>0.74199999999999999</v>
      </c>
      <c r="K148">
        <v>1255485</v>
      </c>
    </row>
    <row r="149" spans="1:11">
      <c r="A149" t="s">
        <v>135</v>
      </c>
      <c r="B149" t="s">
        <v>135</v>
      </c>
      <c r="C149">
        <v>146719</v>
      </c>
      <c r="D149">
        <v>16980</v>
      </c>
      <c r="E149">
        <v>2015</v>
      </c>
      <c r="F149" s="7">
        <v>2772</v>
      </c>
      <c r="G149" s="7">
        <v>3247</v>
      </c>
      <c r="H149" s="7">
        <v>9</v>
      </c>
      <c r="I149">
        <v>0.32100000000000001</v>
      </c>
      <c r="J149">
        <v>0.41899999999999998</v>
      </c>
      <c r="K149">
        <v>9654044</v>
      </c>
    </row>
    <row r="150" spans="1:11">
      <c r="A150" t="s">
        <v>1283</v>
      </c>
      <c r="B150" t="s">
        <v>1283</v>
      </c>
      <c r="C150">
        <v>163046</v>
      </c>
      <c r="D150">
        <v>12580</v>
      </c>
      <c r="E150">
        <v>2015</v>
      </c>
      <c r="F150" s="7">
        <v>1558</v>
      </c>
      <c r="G150" s="7">
        <v>1842</v>
      </c>
      <c r="H150" s="7">
        <v>12</v>
      </c>
      <c r="I150">
        <v>6.9000000000000006E-2</v>
      </c>
      <c r="J150">
        <v>0.28599999999999998</v>
      </c>
      <c r="K150">
        <v>2812930</v>
      </c>
    </row>
    <row r="151" spans="1:11">
      <c r="A151" t="s">
        <v>136</v>
      </c>
      <c r="B151" t="s">
        <v>136</v>
      </c>
      <c r="C151">
        <v>159391</v>
      </c>
      <c r="D151">
        <v>12940</v>
      </c>
      <c r="E151">
        <v>2015</v>
      </c>
      <c r="F151" s="7">
        <v>9027</v>
      </c>
      <c r="G151" s="7">
        <v>11541</v>
      </c>
      <c r="H151" s="7">
        <v>9</v>
      </c>
      <c r="I151">
        <v>0.69</v>
      </c>
      <c r="J151">
        <v>0.59399999999999997</v>
      </c>
      <c r="K151">
        <v>857794</v>
      </c>
    </row>
    <row r="152" spans="1:11">
      <c r="A152" t="s">
        <v>137</v>
      </c>
      <c r="B152" t="s">
        <v>137</v>
      </c>
      <c r="C152">
        <v>161253</v>
      </c>
      <c r="D152">
        <v>12620</v>
      </c>
      <c r="E152">
        <v>2015</v>
      </c>
      <c r="F152" s="7" t="s">
        <v>1328</v>
      </c>
      <c r="G152" s="7" t="s">
        <v>1328</v>
      </c>
      <c r="H152" s="7" t="s">
        <v>1328</v>
      </c>
      <c r="I152" t="s">
        <v>1328</v>
      </c>
      <c r="J152" t="s">
        <v>1328</v>
      </c>
      <c r="K152">
        <v>152276</v>
      </c>
    </row>
    <row r="153" spans="1:11">
      <c r="A153" t="s">
        <v>138</v>
      </c>
      <c r="B153" t="s">
        <v>138</v>
      </c>
      <c r="C153">
        <v>192703</v>
      </c>
      <c r="D153">
        <v>35620</v>
      </c>
      <c r="E153">
        <v>2015</v>
      </c>
      <c r="F153" s="7">
        <v>1966</v>
      </c>
      <c r="G153" s="7">
        <v>1826</v>
      </c>
      <c r="H153" s="7">
        <v>12</v>
      </c>
      <c r="I153">
        <v>0.61799999999999999</v>
      </c>
      <c r="J153">
        <v>0.60599999999999998</v>
      </c>
      <c r="K153">
        <v>19833335</v>
      </c>
    </row>
    <row r="154" spans="1:11">
      <c r="A154" t="s">
        <v>139</v>
      </c>
      <c r="B154" t="s">
        <v>139</v>
      </c>
      <c r="C154">
        <v>192819</v>
      </c>
      <c r="D154">
        <v>39100</v>
      </c>
      <c r="E154">
        <v>2015</v>
      </c>
      <c r="F154" s="7">
        <v>2472</v>
      </c>
      <c r="G154" s="7">
        <v>2643</v>
      </c>
      <c r="H154" s="7">
        <v>10</v>
      </c>
      <c r="I154">
        <v>0.80600000000000005</v>
      </c>
      <c r="J154">
        <v>0.7</v>
      </c>
      <c r="K154">
        <v>679582</v>
      </c>
    </row>
    <row r="155" spans="1:11">
      <c r="A155" t="s">
        <v>1284</v>
      </c>
      <c r="B155" t="s">
        <v>1284</v>
      </c>
      <c r="C155">
        <v>239105</v>
      </c>
      <c r="D155">
        <v>33340</v>
      </c>
      <c r="E155">
        <v>2015</v>
      </c>
      <c r="F155" s="7">
        <v>10487</v>
      </c>
      <c r="G155" s="7">
        <v>6964</v>
      </c>
      <c r="H155" s="7">
        <v>14</v>
      </c>
      <c r="I155">
        <v>0.72699999999999998</v>
      </c>
      <c r="J155">
        <v>0.81299999999999994</v>
      </c>
      <c r="K155">
        <v>1574944</v>
      </c>
    </row>
    <row r="156" spans="1:11">
      <c r="A156" t="s">
        <v>140</v>
      </c>
      <c r="B156" t="s">
        <v>140</v>
      </c>
      <c r="C156">
        <v>237525</v>
      </c>
      <c r="D156">
        <v>26580</v>
      </c>
      <c r="E156">
        <v>2015</v>
      </c>
      <c r="F156" s="7">
        <v>6642</v>
      </c>
      <c r="G156" s="7">
        <v>4611</v>
      </c>
      <c r="H156" s="7">
        <v>13</v>
      </c>
      <c r="I156">
        <v>0.5</v>
      </c>
      <c r="J156">
        <v>0.5</v>
      </c>
      <c r="K156">
        <v>370119</v>
      </c>
    </row>
    <row r="157" spans="1:11">
      <c r="A157" t="s">
        <v>141</v>
      </c>
      <c r="B157" t="s">
        <v>141</v>
      </c>
      <c r="C157">
        <v>163286</v>
      </c>
      <c r="D157">
        <v>47900</v>
      </c>
      <c r="E157">
        <v>2015</v>
      </c>
      <c r="F157" s="7">
        <v>15387</v>
      </c>
      <c r="G157" s="7">
        <v>5375</v>
      </c>
      <c r="H157" s="7">
        <v>10</v>
      </c>
      <c r="I157">
        <v>0.32300000000000001</v>
      </c>
      <c r="J157">
        <v>0.40600000000000003</v>
      </c>
      <c r="K157">
        <v>6132190</v>
      </c>
    </row>
    <row r="158" spans="1:11">
      <c r="A158" t="s">
        <v>142</v>
      </c>
      <c r="B158" t="s">
        <v>142</v>
      </c>
      <c r="C158">
        <v>166629</v>
      </c>
      <c r="D158">
        <v>44140</v>
      </c>
      <c r="E158">
        <v>2015</v>
      </c>
      <c r="F158" s="7" t="s">
        <v>1328</v>
      </c>
      <c r="G158" s="7" t="s">
        <v>1328</v>
      </c>
      <c r="H158" s="7" t="s">
        <v>1328</v>
      </c>
      <c r="I158" t="s">
        <v>1328</v>
      </c>
      <c r="J158" t="s">
        <v>1328</v>
      </c>
      <c r="K158">
        <v>702416</v>
      </c>
    </row>
    <row r="159" spans="1:11">
      <c r="A159" t="s">
        <v>143</v>
      </c>
      <c r="B159" t="s">
        <v>143</v>
      </c>
      <c r="C159">
        <v>159717</v>
      </c>
      <c r="D159">
        <v>29340</v>
      </c>
      <c r="E159">
        <v>2015</v>
      </c>
      <c r="F159" s="7">
        <v>2825</v>
      </c>
      <c r="G159" s="7">
        <v>2501</v>
      </c>
      <c r="H159" s="7">
        <v>16</v>
      </c>
      <c r="I159">
        <v>0.46899999999999997</v>
      </c>
      <c r="J159">
        <v>0.51500000000000001</v>
      </c>
      <c r="K159">
        <v>211543</v>
      </c>
    </row>
    <row r="160" spans="1:11">
      <c r="A160" t="s">
        <v>144</v>
      </c>
      <c r="B160" t="s">
        <v>144</v>
      </c>
      <c r="C160">
        <v>220862</v>
      </c>
      <c r="D160">
        <v>32820</v>
      </c>
      <c r="E160">
        <v>2015</v>
      </c>
      <c r="F160" s="7">
        <v>9108</v>
      </c>
      <c r="G160" s="7">
        <v>5529</v>
      </c>
      <c r="H160" s="7">
        <v>13</v>
      </c>
      <c r="I160">
        <v>0.67600000000000005</v>
      </c>
      <c r="J160">
        <v>0.46899999999999997</v>
      </c>
      <c r="K160">
        <v>1329749</v>
      </c>
    </row>
    <row r="161" spans="1:11">
      <c r="A161" t="s">
        <v>145</v>
      </c>
      <c r="B161" t="s">
        <v>145</v>
      </c>
      <c r="C161">
        <v>140447</v>
      </c>
      <c r="D161">
        <v>31420</v>
      </c>
      <c r="E161">
        <v>2015</v>
      </c>
      <c r="F161" s="7">
        <v>1718</v>
      </c>
      <c r="G161" s="7">
        <v>1322</v>
      </c>
      <c r="H161" s="7">
        <v>9</v>
      </c>
      <c r="I161">
        <v>0.35499999999999998</v>
      </c>
      <c r="J161">
        <v>3.5999999999999997E-2</v>
      </c>
      <c r="K161">
        <v>231838</v>
      </c>
    </row>
    <row r="162" spans="1:11">
      <c r="A162" t="s">
        <v>1285</v>
      </c>
      <c r="B162" t="s">
        <v>1285</v>
      </c>
      <c r="C162">
        <v>135726</v>
      </c>
      <c r="D162">
        <v>33100</v>
      </c>
      <c r="E162">
        <v>2015</v>
      </c>
      <c r="F162" s="7">
        <v>5875</v>
      </c>
      <c r="G162" s="7">
        <v>4871</v>
      </c>
      <c r="H162" s="7">
        <v>14</v>
      </c>
      <c r="I162">
        <v>0.71</v>
      </c>
      <c r="J162">
        <v>0.61299999999999999</v>
      </c>
      <c r="K162">
        <v>5950105</v>
      </c>
    </row>
    <row r="163" spans="1:11">
      <c r="A163" t="s">
        <v>146</v>
      </c>
      <c r="B163" t="s">
        <v>146</v>
      </c>
      <c r="C163">
        <v>204024</v>
      </c>
      <c r="D163">
        <v>17140</v>
      </c>
      <c r="E163">
        <v>2015</v>
      </c>
      <c r="F163" s="7">
        <v>2984</v>
      </c>
      <c r="G163" s="7">
        <v>2628</v>
      </c>
      <c r="H163" s="7">
        <v>11</v>
      </c>
      <c r="I163">
        <v>0.67700000000000005</v>
      </c>
      <c r="J163">
        <v>0.42899999999999999</v>
      </c>
      <c r="K163">
        <v>2196029</v>
      </c>
    </row>
    <row r="164" spans="1:11">
      <c r="A164" t="s">
        <v>147</v>
      </c>
      <c r="B164" t="s">
        <v>147</v>
      </c>
      <c r="C164">
        <v>170976</v>
      </c>
      <c r="D164">
        <v>11460</v>
      </c>
      <c r="E164">
        <v>2015</v>
      </c>
      <c r="F164" s="7">
        <v>19040</v>
      </c>
      <c r="G164" s="7">
        <v>21423</v>
      </c>
      <c r="H164" s="7">
        <v>15</v>
      </c>
      <c r="I164">
        <v>0.433</v>
      </c>
      <c r="J164">
        <v>0.56299999999999994</v>
      </c>
      <c r="K164">
        <v>366258</v>
      </c>
    </row>
    <row r="165" spans="1:11">
      <c r="A165" t="s">
        <v>148</v>
      </c>
      <c r="B165" t="s">
        <v>148</v>
      </c>
      <c r="C165">
        <v>171100</v>
      </c>
      <c r="D165">
        <v>29620</v>
      </c>
      <c r="E165">
        <v>2015</v>
      </c>
      <c r="F165" s="7">
        <v>43918</v>
      </c>
      <c r="G165" s="7">
        <v>43368</v>
      </c>
      <c r="H165" s="7">
        <v>15</v>
      </c>
      <c r="I165">
        <v>0.57599999999999996</v>
      </c>
      <c r="J165">
        <v>0.65700000000000003</v>
      </c>
      <c r="K165">
        <v>537609</v>
      </c>
    </row>
    <row r="166" spans="1:11">
      <c r="A166" t="s">
        <v>149</v>
      </c>
      <c r="B166" t="s">
        <v>149</v>
      </c>
      <c r="C166">
        <v>220978</v>
      </c>
      <c r="D166">
        <v>34980</v>
      </c>
      <c r="E166">
        <v>2015</v>
      </c>
      <c r="F166" s="7">
        <v>4800</v>
      </c>
      <c r="G166" s="7">
        <v>7429</v>
      </c>
      <c r="H166" s="7">
        <v>12</v>
      </c>
      <c r="I166">
        <v>0.3</v>
      </c>
      <c r="J166">
        <v>0.56699999999999995</v>
      </c>
      <c r="K166">
        <v>1824091</v>
      </c>
    </row>
    <row r="167" spans="1:11">
      <c r="A167" t="s">
        <v>1287</v>
      </c>
      <c r="B167" t="s">
        <v>1287</v>
      </c>
      <c r="C167">
        <v>240453</v>
      </c>
      <c r="D167">
        <v>33340</v>
      </c>
      <c r="E167">
        <v>2015</v>
      </c>
      <c r="F167" s="7">
        <v>4883</v>
      </c>
      <c r="G167" s="7">
        <v>4656</v>
      </c>
      <c r="H167" s="7">
        <v>12</v>
      </c>
      <c r="I167">
        <v>0.54800000000000004</v>
      </c>
      <c r="J167">
        <v>0.621</v>
      </c>
      <c r="K167">
        <v>1574944</v>
      </c>
    </row>
    <row r="168" spans="1:11">
      <c r="A168" t="s">
        <v>150</v>
      </c>
      <c r="B168" t="s">
        <v>150</v>
      </c>
      <c r="C168">
        <v>174066</v>
      </c>
      <c r="D168">
        <v>33460</v>
      </c>
      <c r="E168">
        <v>2015</v>
      </c>
      <c r="F168" s="7">
        <v>50149</v>
      </c>
      <c r="G168" s="7">
        <v>59130</v>
      </c>
      <c r="H168" s="7">
        <v>15</v>
      </c>
      <c r="I168">
        <v>0.61299999999999999</v>
      </c>
      <c r="J168">
        <v>0.80600000000000005</v>
      </c>
      <c r="K168">
        <v>3523710</v>
      </c>
    </row>
    <row r="169" spans="1:11">
      <c r="A169" t="s">
        <v>151</v>
      </c>
      <c r="B169" t="s">
        <v>151</v>
      </c>
      <c r="C169">
        <v>176080</v>
      </c>
      <c r="D169">
        <v>44260</v>
      </c>
      <c r="E169">
        <v>2015</v>
      </c>
      <c r="F169" s="7">
        <v>8112</v>
      </c>
      <c r="G169" s="7">
        <v>8021</v>
      </c>
      <c r="H169" s="7">
        <v>17</v>
      </c>
      <c r="I169">
        <v>0.21199999999999999</v>
      </c>
      <c r="J169">
        <v>0.375</v>
      </c>
      <c r="K169">
        <v>60567</v>
      </c>
    </row>
    <row r="170" spans="1:11">
      <c r="A170" t="s">
        <v>152</v>
      </c>
      <c r="B170" t="s">
        <v>152</v>
      </c>
      <c r="C170">
        <v>176044</v>
      </c>
      <c r="D170">
        <v>24900</v>
      </c>
      <c r="E170">
        <v>2015</v>
      </c>
      <c r="F170" s="7">
        <v>2152</v>
      </c>
      <c r="G170" s="7">
        <v>1727</v>
      </c>
      <c r="H170" s="7">
        <v>8</v>
      </c>
      <c r="I170">
        <v>0.13300000000000001</v>
      </c>
      <c r="J170">
        <v>0.3</v>
      </c>
      <c r="K170">
        <v>40770</v>
      </c>
    </row>
    <row r="171" spans="1:11">
      <c r="A171" t="s">
        <v>153</v>
      </c>
      <c r="B171" t="s">
        <v>153</v>
      </c>
      <c r="C171">
        <v>178396</v>
      </c>
      <c r="D171">
        <v>17860</v>
      </c>
      <c r="E171">
        <v>2015</v>
      </c>
      <c r="F171" s="7">
        <v>26505</v>
      </c>
      <c r="G171" s="7">
        <v>62717</v>
      </c>
      <c r="H171" s="7">
        <v>14</v>
      </c>
      <c r="I171">
        <v>0.48499999999999999</v>
      </c>
      <c r="J171">
        <v>0.97199999999999998</v>
      </c>
      <c r="K171">
        <v>202820</v>
      </c>
    </row>
    <row r="172" spans="1:11">
      <c r="A172" t="s">
        <v>154</v>
      </c>
      <c r="B172" t="s">
        <v>154</v>
      </c>
      <c r="C172">
        <v>179566</v>
      </c>
      <c r="D172">
        <v>44180</v>
      </c>
      <c r="E172">
        <v>2015</v>
      </c>
      <c r="F172" s="7">
        <v>7804</v>
      </c>
      <c r="G172" s="7">
        <v>9425</v>
      </c>
      <c r="H172" s="7">
        <v>13</v>
      </c>
      <c r="I172">
        <v>0.625</v>
      </c>
      <c r="J172">
        <v>0.65600000000000003</v>
      </c>
      <c r="K172">
        <v>456446</v>
      </c>
    </row>
    <row r="173" spans="1:11">
      <c r="A173" t="s">
        <v>155</v>
      </c>
      <c r="B173" t="s">
        <v>155</v>
      </c>
      <c r="C173">
        <v>185572</v>
      </c>
      <c r="D173">
        <v>35620</v>
      </c>
      <c r="E173">
        <v>2015</v>
      </c>
      <c r="F173" s="7" t="s">
        <v>1328</v>
      </c>
      <c r="G173" s="7" t="s">
        <v>1328</v>
      </c>
      <c r="H173" s="7" t="s">
        <v>1328</v>
      </c>
      <c r="I173" t="s">
        <v>1328</v>
      </c>
      <c r="J173" t="s">
        <v>1328</v>
      </c>
      <c r="K173">
        <v>19833335</v>
      </c>
    </row>
    <row r="174" spans="1:11">
      <c r="A174" t="s">
        <v>156</v>
      </c>
      <c r="B174" t="s">
        <v>156</v>
      </c>
      <c r="C174">
        <v>180489</v>
      </c>
      <c r="D174">
        <v>33540</v>
      </c>
      <c r="E174">
        <v>2015</v>
      </c>
      <c r="F174" s="7">
        <v>6079</v>
      </c>
      <c r="G174" s="7">
        <v>5125</v>
      </c>
      <c r="H174" s="7">
        <v>13</v>
      </c>
      <c r="I174">
        <v>0.20699999999999999</v>
      </c>
      <c r="J174">
        <v>0.51600000000000001</v>
      </c>
      <c r="K174">
        <v>112521</v>
      </c>
    </row>
    <row r="175" spans="1:11">
      <c r="A175" t="s">
        <v>1288</v>
      </c>
      <c r="B175" t="s">
        <v>1288</v>
      </c>
      <c r="C175">
        <v>180461</v>
      </c>
      <c r="D175">
        <v>14580</v>
      </c>
      <c r="E175">
        <v>2015</v>
      </c>
      <c r="F175" s="7">
        <v>6053</v>
      </c>
      <c r="G175" s="7">
        <v>10717</v>
      </c>
      <c r="H175" s="7">
        <v>8</v>
      </c>
      <c r="I175">
        <v>0.25</v>
      </c>
      <c r="J175">
        <v>0.19400000000000001</v>
      </c>
      <c r="K175">
        <v>102238</v>
      </c>
    </row>
    <row r="176" spans="1:11">
      <c r="A176" t="s">
        <v>157</v>
      </c>
      <c r="B176" t="s">
        <v>157</v>
      </c>
      <c r="C176">
        <v>157386</v>
      </c>
      <c r="D176">
        <v>30460</v>
      </c>
      <c r="E176">
        <v>2015</v>
      </c>
      <c r="F176" s="7">
        <v>8974</v>
      </c>
      <c r="G176" s="7">
        <v>11567</v>
      </c>
      <c r="H176" s="7">
        <v>14</v>
      </c>
      <c r="I176">
        <v>9.7000000000000003E-2</v>
      </c>
      <c r="J176">
        <v>0.77100000000000002</v>
      </c>
      <c r="K176">
        <v>500115</v>
      </c>
    </row>
    <row r="177" spans="1:11">
      <c r="A177" t="s">
        <v>158</v>
      </c>
      <c r="B177" t="s">
        <v>158</v>
      </c>
      <c r="C177">
        <v>163453</v>
      </c>
      <c r="D177">
        <v>12580</v>
      </c>
      <c r="E177">
        <v>2015</v>
      </c>
      <c r="F177" s="7">
        <v>1232</v>
      </c>
      <c r="G177" s="7">
        <v>1679</v>
      </c>
      <c r="H177" s="7">
        <v>6</v>
      </c>
      <c r="I177">
        <v>0.5</v>
      </c>
      <c r="J177">
        <v>0.48</v>
      </c>
      <c r="K177">
        <v>2812930</v>
      </c>
    </row>
    <row r="178" spans="1:11">
      <c r="A178" t="s">
        <v>159</v>
      </c>
      <c r="B178" t="s">
        <v>159</v>
      </c>
      <c r="C178">
        <v>163462</v>
      </c>
      <c r="D178">
        <v>23900</v>
      </c>
      <c r="E178">
        <v>2015</v>
      </c>
      <c r="F178" s="7" t="s">
        <v>1328</v>
      </c>
      <c r="G178" s="7" t="s">
        <v>1328</v>
      </c>
      <c r="H178" s="7" t="s">
        <v>1328</v>
      </c>
      <c r="I178" t="s">
        <v>1328</v>
      </c>
      <c r="J178" t="s">
        <v>1328</v>
      </c>
      <c r="K178">
        <v>102379</v>
      </c>
    </row>
    <row r="179" spans="1:11">
      <c r="A179" t="s">
        <v>160</v>
      </c>
      <c r="B179" t="s">
        <v>160</v>
      </c>
      <c r="C179">
        <v>157401</v>
      </c>
      <c r="D179">
        <v>34660</v>
      </c>
      <c r="E179">
        <v>2015</v>
      </c>
      <c r="F179" s="7">
        <v>5566</v>
      </c>
      <c r="G179" s="7">
        <v>1425</v>
      </c>
      <c r="H179" s="7">
        <v>11</v>
      </c>
      <c r="I179">
        <v>0.81299999999999994</v>
      </c>
      <c r="J179">
        <v>0.53300000000000003</v>
      </c>
      <c r="K179">
        <v>37601</v>
      </c>
    </row>
    <row r="180" spans="1:11">
      <c r="A180" t="s">
        <v>161</v>
      </c>
      <c r="B180" t="s">
        <v>161</v>
      </c>
      <c r="C180">
        <v>199102</v>
      </c>
      <c r="D180">
        <v>24660</v>
      </c>
      <c r="E180">
        <v>2015</v>
      </c>
      <c r="F180" s="7">
        <v>1082</v>
      </c>
      <c r="G180" s="7">
        <v>1133</v>
      </c>
      <c r="H180" s="7">
        <v>7</v>
      </c>
      <c r="I180">
        <v>0.214</v>
      </c>
      <c r="J180">
        <v>0.219</v>
      </c>
      <c r="K180">
        <v>751915</v>
      </c>
    </row>
    <row r="181" spans="1:11">
      <c r="A181" t="s">
        <v>162</v>
      </c>
      <c r="B181" t="s">
        <v>162</v>
      </c>
      <c r="C181">
        <v>199157</v>
      </c>
      <c r="D181">
        <v>20500</v>
      </c>
      <c r="E181">
        <v>2015</v>
      </c>
      <c r="F181" s="7">
        <v>2702</v>
      </c>
      <c r="G181" s="7">
        <v>1776</v>
      </c>
      <c r="H181" s="7">
        <v>11</v>
      </c>
      <c r="I181">
        <v>0.13800000000000001</v>
      </c>
      <c r="J181">
        <v>0.107</v>
      </c>
      <c r="K181">
        <v>607517</v>
      </c>
    </row>
    <row r="182" spans="1:11">
      <c r="A182" t="s">
        <v>1289</v>
      </c>
      <c r="B182" t="s">
        <v>1289</v>
      </c>
      <c r="C182">
        <v>500000</v>
      </c>
      <c r="D182">
        <v>47900</v>
      </c>
      <c r="E182">
        <v>2015</v>
      </c>
      <c r="F182" s="7">
        <v>3377</v>
      </c>
      <c r="G182" s="7">
        <v>4112</v>
      </c>
      <c r="H182" s="7">
        <v>11</v>
      </c>
      <c r="I182">
        <v>0.53800000000000003</v>
      </c>
      <c r="J182">
        <v>0.44800000000000001</v>
      </c>
      <c r="K182">
        <v>6132190</v>
      </c>
    </row>
    <row r="183" spans="1:11">
      <c r="A183" t="s">
        <v>163</v>
      </c>
      <c r="B183" t="s">
        <v>163</v>
      </c>
      <c r="C183">
        <v>199193</v>
      </c>
      <c r="D183">
        <v>39580</v>
      </c>
      <c r="E183">
        <v>2015</v>
      </c>
      <c r="F183" s="7">
        <v>9879</v>
      </c>
      <c r="G183" s="7">
        <v>11897</v>
      </c>
      <c r="H183" s="7">
        <v>15</v>
      </c>
      <c r="I183">
        <v>0.53300000000000003</v>
      </c>
      <c r="J183">
        <v>0.625</v>
      </c>
      <c r="K183">
        <v>1271616</v>
      </c>
    </row>
    <row r="184" spans="1:11">
      <c r="A184" t="s">
        <v>164</v>
      </c>
      <c r="B184" t="s">
        <v>164</v>
      </c>
      <c r="C184">
        <v>181464</v>
      </c>
      <c r="D184">
        <v>30700</v>
      </c>
      <c r="E184">
        <v>2015</v>
      </c>
      <c r="F184" s="7">
        <v>145493</v>
      </c>
      <c r="G184" s="7">
        <v>155324</v>
      </c>
      <c r="H184" s="7">
        <v>18</v>
      </c>
      <c r="I184">
        <v>0.69699999999999995</v>
      </c>
      <c r="J184">
        <v>0.78800000000000003</v>
      </c>
      <c r="K184">
        <v>324763</v>
      </c>
    </row>
    <row r="185" spans="1:11">
      <c r="A185" t="s">
        <v>165</v>
      </c>
      <c r="B185" t="s">
        <v>165</v>
      </c>
      <c r="C185">
        <v>182290</v>
      </c>
      <c r="D185">
        <v>39900</v>
      </c>
      <c r="E185">
        <v>2015</v>
      </c>
      <c r="F185" s="7">
        <v>4382</v>
      </c>
      <c r="G185" s="7">
        <v>3260</v>
      </c>
      <c r="H185" s="7">
        <v>10</v>
      </c>
      <c r="I185">
        <v>0.28599999999999998</v>
      </c>
      <c r="J185">
        <v>0.125</v>
      </c>
      <c r="K185">
        <v>451851</v>
      </c>
    </row>
    <row r="186" spans="1:11">
      <c r="A186" t="s">
        <v>1290</v>
      </c>
      <c r="B186" t="s">
        <v>1290</v>
      </c>
      <c r="C186">
        <v>183044</v>
      </c>
      <c r="D186">
        <v>18180</v>
      </c>
      <c r="E186">
        <v>2015</v>
      </c>
      <c r="F186" s="7">
        <v>5357</v>
      </c>
      <c r="G186" s="7">
        <v>4159</v>
      </c>
      <c r="H186" s="7">
        <v>14</v>
      </c>
      <c r="I186">
        <v>0.625</v>
      </c>
      <c r="J186">
        <v>0.60599999999999998</v>
      </c>
      <c r="K186">
        <v>149460</v>
      </c>
    </row>
    <row r="187" spans="1:11">
      <c r="A187" t="s">
        <v>166</v>
      </c>
      <c r="B187" t="s">
        <v>166</v>
      </c>
      <c r="C187">
        <v>187985</v>
      </c>
      <c r="D187">
        <v>10740</v>
      </c>
      <c r="E187">
        <v>2015</v>
      </c>
      <c r="F187" s="7">
        <v>21085</v>
      </c>
      <c r="G187" s="7">
        <v>22693</v>
      </c>
      <c r="H187" s="7">
        <v>16</v>
      </c>
      <c r="I187">
        <v>0.61299999999999999</v>
      </c>
      <c r="J187">
        <v>0.77400000000000002</v>
      </c>
      <c r="K187">
        <v>902869</v>
      </c>
    </row>
    <row r="188" spans="1:11">
      <c r="A188" t="s">
        <v>167</v>
      </c>
      <c r="B188" t="s">
        <v>167</v>
      </c>
      <c r="C188">
        <v>188030</v>
      </c>
      <c r="D188">
        <v>29740</v>
      </c>
      <c r="E188">
        <v>2015</v>
      </c>
      <c r="F188" s="7">
        <v>9299</v>
      </c>
      <c r="G188" s="7">
        <v>18103</v>
      </c>
      <c r="H188" s="7">
        <v>12</v>
      </c>
      <c r="I188">
        <v>0.60699999999999998</v>
      </c>
      <c r="J188">
        <v>0.66700000000000004</v>
      </c>
      <c r="K188">
        <v>213355</v>
      </c>
    </row>
    <row r="189" spans="1:11">
      <c r="A189" t="s">
        <v>1291</v>
      </c>
      <c r="B189" t="s">
        <v>1291</v>
      </c>
      <c r="C189">
        <v>159939</v>
      </c>
      <c r="D189">
        <v>35380</v>
      </c>
      <c r="E189">
        <v>2015</v>
      </c>
      <c r="F189" s="7">
        <v>4106</v>
      </c>
      <c r="G189" s="7">
        <v>3503</v>
      </c>
      <c r="H189" s="7">
        <v>12</v>
      </c>
      <c r="I189">
        <v>0.2</v>
      </c>
      <c r="J189">
        <v>9.7000000000000003E-2</v>
      </c>
      <c r="K189">
        <v>1260274</v>
      </c>
    </row>
    <row r="190" spans="1:11">
      <c r="A190" t="s">
        <v>168</v>
      </c>
      <c r="B190" t="s">
        <v>168</v>
      </c>
      <c r="C190">
        <v>193973</v>
      </c>
      <c r="D190">
        <v>15380</v>
      </c>
      <c r="E190">
        <v>2015</v>
      </c>
      <c r="F190" s="7">
        <v>1552</v>
      </c>
      <c r="G190" s="7">
        <v>580</v>
      </c>
      <c r="H190" s="7">
        <v>12</v>
      </c>
      <c r="I190">
        <v>0.438</v>
      </c>
      <c r="J190">
        <v>0.13800000000000001</v>
      </c>
      <c r="K190">
        <v>1154207</v>
      </c>
    </row>
    <row r="191" spans="1:11">
      <c r="A191" t="s">
        <v>1247</v>
      </c>
      <c r="B191" t="s">
        <v>169</v>
      </c>
      <c r="C191">
        <v>159966</v>
      </c>
      <c r="D191">
        <v>26380</v>
      </c>
      <c r="E191">
        <v>2015</v>
      </c>
      <c r="F191" s="7">
        <v>2349</v>
      </c>
      <c r="G191" s="7">
        <v>1348</v>
      </c>
      <c r="H191" s="7">
        <v>8</v>
      </c>
      <c r="I191">
        <v>0.33300000000000002</v>
      </c>
      <c r="J191">
        <v>0.17899999999999999</v>
      </c>
      <c r="K191">
        <v>211859</v>
      </c>
    </row>
    <row r="192" spans="1:11">
      <c r="A192" t="s">
        <v>1248</v>
      </c>
      <c r="B192" t="s">
        <v>177</v>
      </c>
      <c r="C192">
        <v>147703</v>
      </c>
      <c r="D192">
        <v>16980</v>
      </c>
      <c r="E192">
        <v>2015</v>
      </c>
      <c r="F192" s="7">
        <v>6142</v>
      </c>
      <c r="G192" s="7">
        <v>7511</v>
      </c>
      <c r="H192" s="7">
        <v>12</v>
      </c>
      <c r="I192">
        <v>0.67700000000000005</v>
      </c>
      <c r="J192">
        <v>0.59399999999999997</v>
      </c>
      <c r="K192">
        <v>9654044</v>
      </c>
    </row>
    <row r="193" spans="1:11">
      <c r="A193" t="s">
        <v>1292</v>
      </c>
      <c r="B193" t="s">
        <v>1292</v>
      </c>
      <c r="C193">
        <v>185828</v>
      </c>
      <c r="D193">
        <v>35620</v>
      </c>
      <c r="E193">
        <v>2015</v>
      </c>
      <c r="F193" s="7">
        <v>2514</v>
      </c>
      <c r="G193" s="7">
        <v>1988</v>
      </c>
      <c r="H193" s="7">
        <v>9</v>
      </c>
      <c r="I193">
        <v>0.371</v>
      </c>
      <c r="J193">
        <v>0.318</v>
      </c>
      <c r="K193">
        <v>19833335</v>
      </c>
    </row>
    <row r="194" spans="1:11">
      <c r="A194" t="s">
        <v>170</v>
      </c>
      <c r="B194" t="s">
        <v>170</v>
      </c>
      <c r="C194">
        <v>232937</v>
      </c>
      <c r="D194">
        <v>47260</v>
      </c>
      <c r="E194">
        <v>2015</v>
      </c>
      <c r="F194" s="7">
        <v>913</v>
      </c>
      <c r="G194" s="7">
        <v>1718</v>
      </c>
      <c r="H194" s="7">
        <v>6</v>
      </c>
      <c r="I194">
        <v>8.3000000000000004E-2</v>
      </c>
      <c r="J194">
        <v>0.379</v>
      </c>
      <c r="K194">
        <v>1768553</v>
      </c>
    </row>
    <row r="195" spans="1:11">
      <c r="A195" t="s">
        <v>1256</v>
      </c>
      <c r="B195" t="s">
        <v>1257</v>
      </c>
      <c r="C195">
        <v>101879</v>
      </c>
      <c r="D195">
        <v>26620</v>
      </c>
      <c r="E195">
        <v>2015</v>
      </c>
      <c r="F195" s="7" t="s">
        <v>1328</v>
      </c>
      <c r="G195" s="7" t="s">
        <v>1328</v>
      </c>
      <c r="H195" s="7" t="s">
        <v>1328</v>
      </c>
      <c r="I195" t="s">
        <v>1328</v>
      </c>
      <c r="J195" t="s">
        <v>1328</v>
      </c>
      <c r="K195">
        <v>451269</v>
      </c>
    </row>
    <row r="196" spans="1:11">
      <c r="A196" t="s">
        <v>171</v>
      </c>
      <c r="B196" t="s">
        <v>171</v>
      </c>
      <c r="C196">
        <v>199120</v>
      </c>
      <c r="D196">
        <v>20500</v>
      </c>
      <c r="E196">
        <v>2015</v>
      </c>
      <c r="F196" s="7">
        <v>31939</v>
      </c>
      <c r="G196" s="7">
        <v>34856</v>
      </c>
      <c r="H196" s="7">
        <v>16</v>
      </c>
      <c r="I196">
        <v>0.90600000000000003</v>
      </c>
      <c r="J196">
        <v>0.84399999999999997</v>
      </c>
      <c r="K196">
        <v>607517</v>
      </c>
    </row>
    <row r="197" spans="1:11">
      <c r="A197" t="s">
        <v>172</v>
      </c>
      <c r="B197" t="s">
        <v>172</v>
      </c>
      <c r="C197">
        <v>200280</v>
      </c>
      <c r="D197">
        <v>24220</v>
      </c>
      <c r="E197">
        <v>2015</v>
      </c>
      <c r="F197" s="7">
        <v>12458</v>
      </c>
      <c r="G197" s="7">
        <v>15831</v>
      </c>
      <c r="H197" s="7">
        <v>12</v>
      </c>
      <c r="I197">
        <v>0.74299999999999999</v>
      </c>
      <c r="J197">
        <v>0.66700000000000004</v>
      </c>
      <c r="K197">
        <v>103975</v>
      </c>
    </row>
    <row r="198" spans="1:11">
      <c r="A198" t="s">
        <v>173</v>
      </c>
      <c r="B198" t="s">
        <v>173</v>
      </c>
      <c r="C198">
        <v>200332</v>
      </c>
      <c r="D198">
        <v>22020</v>
      </c>
      <c r="E198">
        <v>2015</v>
      </c>
      <c r="F198" s="7">
        <v>6835</v>
      </c>
      <c r="G198" s="7">
        <v>7500</v>
      </c>
      <c r="H198" s="7">
        <v>9</v>
      </c>
      <c r="I198">
        <v>0.46899999999999997</v>
      </c>
      <c r="J198">
        <v>0.214</v>
      </c>
      <c r="K198">
        <v>234096</v>
      </c>
    </row>
    <row r="199" spans="1:11">
      <c r="A199" t="s">
        <v>174</v>
      </c>
      <c r="B199" t="s">
        <v>174</v>
      </c>
      <c r="C199">
        <v>136172</v>
      </c>
      <c r="D199">
        <v>27260</v>
      </c>
      <c r="E199">
        <v>2015</v>
      </c>
      <c r="F199" s="7">
        <v>4119</v>
      </c>
      <c r="G199" s="7">
        <v>5085</v>
      </c>
      <c r="H199" s="7">
        <v>15</v>
      </c>
      <c r="I199">
        <v>0.41899999999999998</v>
      </c>
      <c r="J199">
        <v>0.33300000000000002</v>
      </c>
      <c r="K199">
        <v>1457992</v>
      </c>
    </row>
    <row r="200" spans="1:11">
      <c r="A200" t="s">
        <v>175</v>
      </c>
      <c r="B200" t="s">
        <v>175</v>
      </c>
      <c r="C200">
        <v>227216</v>
      </c>
      <c r="D200">
        <v>19100</v>
      </c>
      <c r="E200">
        <v>2015</v>
      </c>
      <c r="F200" s="7">
        <v>6986</v>
      </c>
      <c r="G200" s="7">
        <v>7601</v>
      </c>
      <c r="H200" s="7">
        <v>15</v>
      </c>
      <c r="I200">
        <v>0.68799999999999994</v>
      </c>
      <c r="J200">
        <v>0.53100000000000003</v>
      </c>
      <c r="K200">
        <v>7025725</v>
      </c>
    </row>
    <row r="201" spans="1:11">
      <c r="A201" t="s">
        <v>1293</v>
      </c>
      <c r="B201" t="s">
        <v>1293</v>
      </c>
      <c r="C201">
        <v>167358</v>
      </c>
      <c r="D201">
        <v>14460</v>
      </c>
      <c r="E201">
        <v>2015</v>
      </c>
      <c r="F201" s="7">
        <v>3246</v>
      </c>
      <c r="G201" s="7">
        <v>3026</v>
      </c>
      <c r="H201" s="7">
        <v>11</v>
      </c>
      <c r="I201">
        <v>0.33300000000000002</v>
      </c>
      <c r="J201">
        <v>0.63300000000000001</v>
      </c>
      <c r="K201">
        <v>4812849</v>
      </c>
    </row>
    <row r="202" spans="1:11">
      <c r="A202" t="s">
        <v>1294</v>
      </c>
      <c r="B202" t="s">
        <v>1294</v>
      </c>
      <c r="C202">
        <v>105330</v>
      </c>
      <c r="D202">
        <v>22380</v>
      </c>
      <c r="E202">
        <v>2015</v>
      </c>
      <c r="F202" s="7">
        <v>4505</v>
      </c>
      <c r="G202" s="7">
        <v>6037</v>
      </c>
      <c r="H202" s="7">
        <v>11</v>
      </c>
      <c r="I202">
        <v>0.72399999999999998</v>
      </c>
      <c r="J202">
        <v>0.63300000000000001</v>
      </c>
      <c r="K202">
        <v>140239</v>
      </c>
    </row>
    <row r="203" spans="1:11">
      <c r="A203" t="s">
        <v>176</v>
      </c>
      <c r="B203" t="s">
        <v>176</v>
      </c>
      <c r="C203">
        <v>127741</v>
      </c>
      <c r="D203">
        <v>24540</v>
      </c>
      <c r="E203">
        <v>2015</v>
      </c>
      <c r="F203" s="7">
        <v>12548</v>
      </c>
      <c r="G203" s="7">
        <v>10868</v>
      </c>
      <c r="H203" s="7">
        <v>15</v>
      </c>
      <c r="I203">
        <v>0.66700000000000004</v>
      </c>
      <c r="J203">
        <v>0.45200000000000001</v>
      </c>
      <c r="K203">
        <v>285025</v>
      </c>
    </row>
    <row r="204" spans="1:11">
      <c r="A204" t="s">
        <v>178</v>
      </c>
      <c r="B204" t="s">
        <v>178</v>
      </c>
      <c r="C204">
        <v>157447</v>
      </c>
      <c r="D204">
        <v>17140</v>
      </c>
      <c r="E204">
        <v>2015</v>
      </c>
      <c r="F204" s="7">
        <v>2574</v>
      </c>
      <c r="G204" s="7">
        <v>2684</v>
      </c>
      <c r="H204" s="7">
        <v>12</v>
      </c>
      <c r="I204" t="s">
        <v>1328</v>
      </c>
      <c r="J204" t="s">
        <v>1328</v>
      </c>
      <c r="K204">
        <v>2196029</v>
      </c>
    </row>
    <row r="205" spans="1:11">
      <c r="A205" t="s">
        <v>179</v>
      </c>
      <c r="B205" t="s">
        <v>179</v>
      </c>
      <c r="C205">
        <v>147767</v>
      </c>
      <c r="D205">
        <v>16980</v>
      </c>
      <c r="E205">
        <v>2015</v>
      </c>
      <c r="F205" s="7">
        <v>13764</v>
      </c>
      <c r="G205" s="7">
        <v>13851</v>
      </c>
      <c r="H205" s="7">
        <v>15</v>
      </c>
      <c r="I205">
        <v>0.51600000000000001</v>
      </c>
      <c r="J205">
        <v>0.5</v>
      </c>
      <c r="K205">
        <v>9654044</v>
      </c>
    </row>
    <row r="206" spans="1:11">
      <c r="A206" t="s">
        <v>180</v>
      </c>
      <c r="B206" t="s">
        <v>180</v>
      </c>
      <c r="C206">
        <v>160038</v>
      </c>
      <c r="D206">
        <v>35060</v>
      </c>
      <c r="E206">
        <v>2015</v>
      </c>
      <c r="F206" s="7">
        <v>3857</v>
      </c>
      <c r="G206" s="7">
        <v>3621</v>
      </c>
      <c r="H206" s="7">
        <v>11</v>
      </c>
      <c r="I206">
        <v>0.48499999999999999</v>
      </c>
      <c r="J206">
        <v>0.63600000000000001</v>
      </c>
      <c r="K206">
        <v>38862</v>
      </c>
    </row>
    <row r="207" spans="1:11">
      <c r="A207" t="s">
        <v>181</v>
      </c>
      <c r="B207" t="s">
        <v>181</v>
      </c>
      <c r="C207">
        <v>152080</v>
      </c>
      <c r="D207">
        <v>43780</v>
      </c>
      <c r="E207">
        <v>2015</v>
      </c>
      <c r="F207" s="7">
        <v>16483</v>
      </c>
      <c r="G207" s="7">
        <v>19872</v>
      </c>
      <c r="H207" s="7">
        <v>15</v>
      </c>
      <c r="I207">
        <v>0.20699999999999999</v>
      </c>
      <c r="J207">
        <v>0.41899999999999998</v>
      </c>
      <c r="K207">
        <v>320547</v>
      </c>
    </row>
    <row r="208" spans="1:11">
      <c r="A208" t="s">
        <v>182</v>
      </c>
      <c r="B208" t="s">
        <v>182</v>
      </c>
      <c r="C208">
        <v>171571</v>
      </c>
      <c r="D208">
        <v>19820</v>
      </c>
      <c r="E208">
        <v>2015</v>
      </c>
      <c r="F208" s="7">
        <v>6980</v>
      </c>
      <c r="G208" s="7">
        <v>3047</v>
      </c>
      <c r="H208" s="7">
        <v>13</v>
      </c>
      <c r="I208">
        <v>0.68799999999999994</v>
      </c>
      <c r="J208">
        <v>0.5</v>
      </c>
      <c r="K208">
        <v>4352979</v>
      </c>
    </row>
    <row r="209" spans="1:11">
      <c r="A209" t="s">
        <v>183</v>
      </c>
      <c r="B209" t="s">
        <v>183</v>
      </c>
      <c r="C209">
        <v>204857</v>
      </c>
      <c r="D209">
        <v>11900</v>
      </c>
      <c r="E209">
        <v>2015</v>
      </c>
      <c r="F209" s="7">
        <v>23783</v>
      </c>
      <c r="G209" s="7">
        <v>18910</v>
      </c>
      <c r="H209" s="7">
        <v>12</v>
      </c>
      <c r="I209">
        <v>0.79300000000000004</v>
      </c>
      <c r="J209">
        <v>0.81799999999999995</v>
      </c>
      <c r="K209">
        <v>64327</v>
      </c>
    </row>
    <row r="210" spans="1:11">
      <c r="A210" t="s">
        <v>184</v>
      </c>
      <c r="B210" t="s">
        <v>184</v>
      </c>
      <c r="C210">
        <v>204796</v>
      </c>
      <c r="D210">
        <v>18140</v>
      </c>
      <c r="E210">
        <v>2015</v>
      </c>
      <c r="F210" s="7">
        <v>23544</v>
      </c>
      <c r="G210" s="7">
        <v>26816</v>
      </c>
      <c r="H210" s="7">
        <v>13</v>
      </c>
      <c r="I210">
        <v>0.65700000000000003</v>
      </c>
      <c r="J210">
        <v>0.56299999999999994</v>
      </c>
      <c r="K210">
        <v>2029746</v>
      </c>
    </row>
    <row r="211" spans="1:11">
      <c r="A211" t="s">
        <v>185</v>
      </c>
      <c r="B211" t="s">
        <v>185</v>
      </c>
      <c r="C211">
        <v>207500</v>
      </c>
      <c r="D211">
        <v>36420</v>
      </c>
      <c r="E211">
        <v>2015</v>
      </c>
      <c r="F211" s="7">
        <v>12246</v>
      </c>
      <c r="G211" s="7">
        <v>10830</v>
      </c>
      <c r="H211" s="7">
        <v>13</v>
      </c>
      <c r="I211">
        <v>0.64500000000000002</v>
      </c>
      <c r="J211">
        <v>0.75</v>
      </c>
      <c r="K211">
        <v>1359300</v>
      </c>
    </row>
    <row r="212" spans="1:11">
      <c r="A212" t="s">
        <v>186</v>
      </c>
      <c r="B212" t="s">
        <v>186</v>
      </c>
      <c r="C212">
        <v>207388</v>
      </c>
      <c r="D212">
        <v>44660</v>
      </c>
      <c r="E212">
        <v>2015</v>
      </c>
      <c r="F212" s="7" t="s">
        <v>1328</v>
      </c>
      <c r="G212" s="7" t="s">
        <v>1328</v>
      </c>
      <c r="H212" s="7" t="s">
        <v>1328</v>
      </c>
      <c r="I212" t="s">
        <v>1328</v>
      </c>
      <c r="J212" t="s">
        <v>1328</v>
      </c>
      <c r="K212">
        <v>81379</v>
      </c>
    </row>
    <row r="213" spans="1:11">
      <c r="A213" t="s">
        <v>1295</v>
      </c>
      <c r="B213" t="s">
        <v>1295</v>
      </c>
      <c r="C213">
        <v>232982</v>
      </c>
      <c r="D213">
        <v>47260</v>
      </c>
      <c r="E213">
        <v>2015</v>
      </c>
      <c r="F213" s="7" t="s">
        <v>1328</v>
      </c>
      <c r="G213" s="7" t="s">
        <v>1328</v>
      </c>
      <c r="H213" s="7" t="s">
        <v>1328</v>
      </c>
      <c r="I213" t="s">
        <v>1328</v>
      </c>
      <c r="J213" t="s">
        <v>1328</v>
      </c>
      <c r="K213">
        <v>1768553</v>
      </c>
    </row>
    <row r="214" spans="1:11">
      <c r="A214" t="s">
        <v>187</v>
      </c>
      <c r="B214" t="s">
        <v>187</v>
      </c>
      <c r="C214">
        <v>176017</v>
      </c>
      <c r="D214">
        <v>37060</v>
      </c>
      <c r="E214">
        <v>2015</v>
      </c>
      <c r="F214" s="7">
        <v>8289</v>
      </c>
      <c r="G214" s="7">
        <v>5834</v>
      </c>
      <c r="H214" s="7">
        <v>16</v>
      </c>
      <c r="I214">
        <v>0.68799999999999994</v>
      </c>
      <c r="J214">
        <v>0.45200000000000001</v>
      </c>
      <c r="K214">
        <v>53579</v>
      </c>
    </row>
    <row r="215" spans="1:11">
      <c r="A215" t="s">
        <v>188</v>
      </c>
      <c r="B215" t="s">
        <v>188</v>
      </c>
      <c r="C215">
        <v>181394</v>
      </c>
      <c r="D215">
        <v>36540</v>
      </c>
      <c r="E215">
        <v>2015</v>
      </c>
      <c r="F215" s="7">
        <v>3826</v>
      </c>
      <c r="G215" s="7">
        <v>4723</v>
      </c>
      <c r="H215" s="7">
        <v>11</v>
      </c>
      <c r="I215" t="s">
        <v>1328</v>
      </c>
      <c r="J215" t="s">
        <v>1328</v>
      </c>
      <c r="K215">
        <v>921119</v>
      </c>
    </row>
    <row r="216" spans="1:11">
      <c r="A216" t="s">
        <v>1296</v>
      </c>
      <c r="B216" t="s">
        <v>1296</v>
      </c>
      <c r="C216">
        <v>207582</v>
      </c>
      <c r="D216">
        <v>46140</v>
      </c>
      <c r="E216">
        <v>2015</v>
      </c>
      <c r="F216" s="7">
        <v>5283</v>
      </c>
      <c r="G216" s="7">
        <v>2986</v>
      </c>
      <c r="H216" s="7">
        <v>8</v>
      </c>
      <c r="I216">
        <v>0.5</v>
      </c>
      <c r="J216">
        <v>0.75900000000000001</v>
      </c>
      <c r="K216">
        <v>986737</v>
      </c>
    </row>
    <row r="217" spans="1:11">
      <c r="A217" t="s">
        <v>189</v>
      </c>
      <c r="B217" t="s">
        <v>189</v>
      </c>
      <c r="C217">
        <v>209551</v>
      </c>
      <c r="D217">
        <v>21660</v>
      </c>
      <c r="E217">
        <v>2015</v>
      </c>
      <c r="F217" s="7">
        <v>31475</v>
      </c>
      <c r="G217" s="7">
        <v>22468</v>
      </c>
      <c r="H217" s="7">
        <v>18</v>
      </c>
      <c r="I217">
        <v>0.69699999999999995</v>
      </c>
      <c r="J217">
        <v>0.625</v>
      </c>
      <c r="K217">
        <v>362262</v>
      </c>
    </row>
    <row r="218" spans="1:11">
      <c r="A218" t="s">
        <v>190</v>
      </c>
      <c r="B218" t="s">
        <v>190</v>
      </c>
      <c r="C218">
        <v>209542</v>
      </c>
      <c r="D218">
        <v>18700</v>
      </c>
      <c r="E218">
        <v>2015</v>
      </c>
      <c r="F218" s="7">
        <v>13807</v>
      </c>
      <c r="G218" s="7">
        <v>9932</v>
      </c>
      <c r="H218" s="7">
        <v>12</v>
      </c>
      <c r="I218">
        <v>0.61799999999999999</v>
      </c>
      <c r="J218">
        <v>0.28999999999999998</v>
      </c>
      <c r="K218">
        <v>89437</v>
      </c>
    </row>
    <row r="219" spans="1:11">
      <c r="A219" t="s">
        <v>191</v>
      </c>
      <c r="B219" t="s">
        <v>191</v>
      </c>
      <c r="C219">
        <v>120883</v>
      </c>
      <c r="D219">
        <v>44700</v>
      </c>
      <c r="E219">
        <v>2015</v>
      </c>
      <c r="F219" s="7">
        <v>8626</v>
      </c>
      <c r="G219" s="7">
        <v>8388</v>
      </c>
      <c r="H219" s="7">
        <v>12</v>
      </c>
      <c r="I219">
        <v>0.77400000000000002</v>
      </c>
      <c r="J219">
        <v>0.5</v>
      </c>
      <c r="K219">
        <v>728317</v>
      </c>
    </row>
    <row r="220" spans="1:11">
      <c r="A220" t="s">
        <v>192</v>
      </c>
      <c r="B220" t="s">
        <v>192</v>
      </c>
      <c r="C220">
        <v>215062</v>
      </c>
      <c r="D220">
        <v>37980</v>
      </c>
      <c r="E220">
        <v>2015</v>
      </c>
      <c r="F220" s="7">
        <v>2721</v>
      </c>
      <c r="G220" s="7">
        <v>2755</v>
      </c>
      <c r="H220" s="7">
        <v>14</v>
      </c>
      <c r="I220">
        <v>0.32</v>
      </c>
      <c r="J220">
        <v>0.56000000000000005</v>
      </c>
      <c r="K220">
        <v>6130446</v>
      </c>
    </row>
    <row r="221" spans="1:11">
      <c r="A221" t="s">
        <v>193</v>
      </c>
      <c r="B221" t="s">
        <v>193</v>
      </c>
      <c r="C221">
        <v>214777</v>
      </c>
      <c r="D221">
        <v>44300</v>
      </c>
      <c r="E221">
        <v>2015</v>
      </c>
      <c r="F221" s="7">
        <v>56977</v>
      </c>
      <c r="G221" s="7">
        <v>50187</v>
      </c>
      <c r="H221" s="7">
        <v>19</v>
      </c>
      <c r="I221">
        <v>0.92300000000000004</v>
      </c>
      <c r="J221">
        <v>0.94399999999999995</v>
      </c>
      <c r="K221">
        <v>158761</v>
      </c>
    </row>
    <row r="222" spans="1:11">
      <c r="A222" t="s">
        <v>1297</v>
      </c>
      <c r="B222" t="s">
        <v>1297</v>
      </c>
      <c r="C222">
        <v>121150</v>
      </c>
      <c r="D222">
        <v>31080</v>
      </c>
      <c r="E222">
        <v>2015</v>
      </c>
      <c r="F222" s="7">
        <v>3525</v>
      </c>
      <c r="G222" s="7">
        <v>4864</v>
      </c>
      <c r="H222" s="7">
        <v>12</v>
      </c>
      <c r="I222">
        <v>0.4</v>
      </c>
      <c r="J222">
        <v>0.57699999999999996</v>
      </c>
      <c r="K222">
        <v>13258364</v>
      </c>
    </row>
    <row r="223" spans="1:11">
      <c r="A223" t="s">
        <v>194</v>
      </c>
      <c r="B223" t="s">
        <v>194</v>
      </c>
      <c r="C223">
        <v>215293</v>
      </c>
      <c r="D223">
        <v>38300</v>
      </c>
      <c r="E223">
        <v>2015</v>
      </c>
      <c r="F223" s="7">
        <v>8528</v>
      </c>
      <c r="G223" s="7">
        <v>6115</v>
      </c>
      <c r="H223" s="7">
        <v>16</v>
      </c>
      <c r="I223">
        <v>0.80600000000000005</v>
      </c>
      <c r="J223">
        <v>0.57599999999999996</v>
      </c>
      <c r="K223">
        <v>2379296</v>
      </c>
    </row>
    <row r="224" spans="1:11">
      <c r="A224" t="s">
        <v>1298</v>
      </c>
      <c r="B224" t="s">
        <v>1298</v>
      </c>
      <c r="C224">
        <v>209825</v>
      </c>
      <c r="D224">
        <v>38900</v>
      </c>
      <c r="E224">
        <v>2015</v>
      </c>
      <c r="F224" s="7">
        <v>3042</v>
      </c>
      <c r="G224" s="7">
        <v>2984</v>
      </c>
      <c r="H224" s="7">
        <v>10</v>
      </c>
      <c r="I224">
        <v>0.23300000000000001</v>
      </c>
      <c r="J224" t="s">
        <v>1328</v>
      </c>
      <c r="K224">
        <v>2386403</v>
      </c>
    </row>
    <row r="225" spans="1:11">
      <c r="A225" t="s">
        <v>195</v>
      </c>
      <c r="B225" t="s">
        <v>195</v>
      </c>
      <c r="C225">
        <v>209807</v>
      </c>
      <c r="D225">
        <v>38900</v>
      </c>
      <c r="E225">
        <v>2015</v>
      </c>
      <c r="F225" s="7">
        <v>4082</v>
      </c>
      <c r="G225" s="7">
        <v>7871</v>
      </c>
      <c r="H225" s="7">
        <v>9</v>
      </c>
      <c r="I225">
        <v>0.31</v>
      </c>
      <c r="J225">
        <v>0.65600000000000003</v>
      </c>
      <c r="K225">
        <v>2386403</v>
      </c>
    </row>
    <row r="226" spans="1:11">
      <c r="A226" t="s">
        <v>196</v>
      </c>
      <c r="B226" t="s">
        <v>196</v>
      </c>
      <c r="C226">
        <v>227526</v>
      </c>
      <c r="D226">
        <v>26420</v>
      </c>
      <c r="E226">
        <v>2015</v>
      </c>
      <c r="F226" s="7">
        <v>1668</v>
      </c>
      <c r="G226" s="7">
        <v>1585</v>
      </c>
      <c r="H226" s="7">
        <v>9</v>
      </c>
      <c r="I226">
        <v>0.32100000000000001</v>
      </c>
      <c r="J226">
        <v>0.28899999999999998</v>
      </c>
      <c r="K226">
        <v>6663204</v>
      </c>
    </row>
    <row r="227" spans="1:11">
      <c r="A227" t="s">
        <v>197</v>
      </c>
      <c r="B227" t="s">
        <v>197</v>
      </c>
      <c r="C227">
        <v>218539</v>
      </c>
      <c r="D227">
        <v>43900</v>
      </c>
      <c r="E227">
        <v>2015</v>
      </c>
      <c r="F227" s="7">
        <v>1719</v>
      </c>
      <c r="G227" s="7">
        <v>1842</v>
      </c>
      <c r="H227" s="7">
        <v>9</v>
      </c>
      <c r="I227">
        <v>0.42899999999999999</v>
      </c>
      <c r="J227">
        <v>0.28999999999999998</v>
      </c>
      <c r="K227">
        <v>298402</v>
      </c>
    </row>
    <row r="228" spans="1:11">
      <c r="A228" t="s">
        <v>198</v>
      </c>
      <c r="B228" t="s">
        <v>198</v>
      </c>
      <c r="C228">
        <v>186131</v>
      </c>
      <c r="D228">
        <v>45940</v>
      </c>
      <c r="E228">
        <v>2015</v>
      </c>
      <c r="F228" s="7">
        <v>2257</v>
      </c>
      <c r="G228" s="7">
        <v>1394</v>
      </c>
      <c r="H228" s="7">
        <v>7</v>
      </c>
      <c r="I228">
        <v>0.58299999999999996</v>
      </c>
      <c r="J228">
        <v>0.41699999999999998</v>
      </c>
      <c r="K228">
        <v>378569</v>
      </c>
    </row>
    <row r="229" spans="1:11">
      <c r="A229" t="s">
        <v>199</v>
      </c>
      <c r="B229" t="s">
        <v>199</v>
      </c>
      <c r="C229">
        <v>217402</v>
      </c>
      <c r="D229">
        <v>39300</v>
      </c>
      <c r="E229">
        <v>2015</v>
      </c>
      <c r="F229" s="7">
        <v>1439</v>
      </c>
      <c r="G229" s="7">
        <v>1740</v>
      </c>
      <c r="H229" s="7">
        <v>12</v>
      </c>
      <c r="I229">
        <v>0.188</v>
      </c>
      <c r="J229">
        <v>0.375</v>
      </c>
      <c r="K229">
        <v>1641256</v>
      </c>
    </row>
    <row r="230" spans="1:11">
      <c r="A230" t="s">
        <v>200</v>
      </c>
      <c r="B230" t="s">
        <v>200</v>
      </c>
      <c r="C230">
        <v>243780</v>
      </c>
      <c r="D230">
        <v>29200</v>
      </c>
      <c r="E230">
        <v>2015</v>
      </c>
      <c r="F230" s="7">
        <v>40230</v>
      </c>
      <c r="G230" s="7">
        <v>40510</v>
      </c>
      <c r="H230" s="7">
        <v>16</v>
      </c>
      <c r="I230">
        <v>0.68799999999999994</v>
      </c>
      <c r="J230">
        <v>0.65700000000000003</v>
      </c>
      <c r="K230">
        <v>218787</v>
      </c>
    </row>
    <row r="231" spans="1:11">
      <c r="A231" t="s">
        <v>201</v>
      </c>
      <c r="B231" t="s">
        <v>201</v>
      </c>
      <c r="C231">
        <v>151102</v>
      </c>
      <c r="D231">
        <v>23060</v>
      </c>
      <c r="E231">
        <v>2015</v>
      </c>
      <c r="F231" s="7">
        <v>6268</v>
      </c>
      <c r="G231" s="7">
        <v>4969</v>
      </c>
      <c r="H231" s="7">
        <v>11</v>
      </c>
      <c r="I231">
        <v>0.39400000000000002</v>
      </c>
      <c r="J231">
        <v>0.56299999999999994</v>
      </c>
      <c r="K231">
        <v>402935</v>
      </c>
    </row>
    <row r="232" spans="1:11">
      <c r="A232" t="s">
        <v>202</v>
      </c>
      <c r="B232" t="s">
        <v>202</v>
      </c>
      <c r="C232">
        <v>130226</v>
      </c>
      <c r="D232">
        <v>35300</v>
      </c>
      <c r="E232">
        <v>2015</v>
      </c>
      <c r="F232" s="7">
        <v>1939</v>
      </c>
      <c r="G232" s="7">
        <v>1725</v>
      </c>
      <c r="H232" s="7">
        <v>11</v>
      </c>
      <c r="I232">
        <v>6.0999999999999999E-2</v>
      </c>
      <c r="J232">
        <v>0.161</v>
      </c>
      <c r="K232">
        <v>866750</v>
      </c>
    </row>
    <row r="233" spans="1:11">
      <c r="A233" t="s">
        <v>203</v>
      </c>
      <c r="B233" t="s">
        <v>203</v>
      </c>
      <c r="C233">
        <v>233277</v>
      </c>
      <c r="D233">
        <v>40220</v>
      </c>
      <c r="E233">
        <v>2015</v>
      </c>
      <c r="F233" s="7">
        <v>4538</v>
      </c>
      <c r="G233" s="7">
        <v>5560</v>
      </c>
      <c r="H233" s="7">
        <v>9</v>
      </c>
      <c r="I233">
        <v>0.75</v>
      </c>
      <c r="J233">
        <v>0.71399999999999997</v>
      </c>
      <c r="K233">
        <v>314011</v>
      </c>
    </row>
    <row r="234" spans="1:11">
      <c r="A234" t="s">
        <v>204</v>
      </c>
      <c r="B234" t="s">
        <v>204</v>
      </c>
      <c r="C234">
        <v>217484</v>
      </c>
      <c r="D234">
        <v>39300</v>
      </c>
      <c r="E234">
        <v>2015</v>
      </c>
      <c r="F234" s="7">
        <v>4161</v>
      </c>
      <c r="G234" s="7">
        <v>3169</v>
      </c>
      <c r="H234" s="7">
        <v>10</v>
      </c>
      <c r="I234">
        <v>0.64300000000000002</v>
      </c>
      <c r="J234">
        <v>0.48399999999999999</v>
      </c>
      <c r="K234">
        <v>1641256</v>
      </c>
    </row>
    <row r="235" spans="1:11">
      <c r="A235" t="s">
        <v>1299</v>
      </c>
      <c r="B235" t="s">
        <v>1299</v>
      </c>
      <c r="C235">
        <v>227757</v>
      </c>
      <c r="D235">
        <v>26420</v>
      </c>
      <c r="E235">
        <v>2015</v>
      </c>
      <c r="F235" s="7">
        <v>5312</v>
      </c>
      <c r="G235" s="7">
        <v>3867</v>
      </c>
      <c r="H235" s="7">
        <v>15</v>
      </c>
      <c r="I235">
        <v>0.69699999999999995</v>
      </c>
      <c r="J235">
        <v>0.36699999999999999</v>
      </c>
      <c r="K235">
        <v>6663204</v>
      </c>
    </row>
    <row r="236" spans="1:11">
      <c r="A236" t="s">
        <v>1300</v>
      </c>
      <c r="B236" t="s">
        <v>1300</v>
      </c>
      <c r="C236">
        <v>233374</v>
      </c>
      <c r="D236">
        <v>40060</v>
      </c>
      <c r="E236">
        <v>2015</v>
      </c>
      <c r="F236" s="7" t="s">
        <v>1328</v>
      </c>
      <c r="G236" s="7" t="s">
        <v>1328</v>
      </c>
      <c r="H236" s="7" t="s">
        <v>1328</v>
      </c>
      <c r="I236" t="s">
        <v>1328</v>
      </c>
      <c r="J236" t="s">
        <v>1328</v>
      </c>
      <c r="K236">
        <v>1254013</v>
      </c>
    </row>
    <row r="237" spans="1:11">
      <c r="A237" t="s">
        <v>205</v>
      </c>
      <c r="B237" t="s">
        <v>205</v>
      </c>
      <c r="C237">
        <v>186283</v>
      </c>
      <c r="D237">
        <v>45940</v>
      </c>
      <c r="E237">
        <v>2015</v>
      </c>
      <c r="F237" s="7">
        <v>2539</v>
      </c>
      <c r="G237" s="7">
        <v>2090</v>
      </c>
      <c r="H237" s="7">
        <v>12</v>
      </c>
      <c r="I237">
        <v>0.5</v>
      </c>
      <c r="J237">
        <v>0.51700000000000002</v>
      </c>
      <c r="K237">
        <v>378569</v>
      </c>
    </row>
    <row r="238" spans="1:11">
      <c r="A238" t="s">
        <v>206</v>
      </c>
      <c r="B238" t="s">
        <v>206</v>
      </c>
      <c r="C238">
        <v>215655</v>
      </c>
      <c r="D238">
        <v>38300</v>
      </c>
      <c r="E238">
        <v>2015</v>
      </c>
      <c r="F238" s="7">
        <v>2382</v>
      </c>
      <c r="G238" s="7">
        <v>1970</v>
      </c>
      <c r="H238" s="7">
        <v>11</v>
      </c>
      <c r="I238">
        <v>0.46899999999999997</v>
      </c>
      <c r="J238">
        <v>0.28999999999999998</v>
      </c>
      <c r="K238">
        <v>2379296</v>
      </c>
    </row>
    <row r="239" spans="1:11">
      <c r="A239" t="s">
        <v>207</v>
      </c>
      <c r="B239" t="s">
        <v>207</v>
      </c>
      <c r="C239">
        <v>186380</v>
      </c>
      <c r="D239">
        <v>35620</v>
      </c>
      <c r="E239">
        <v>2015</v>
      </c>
      <c r="F239" s="7">
        <v>2526</v>
      </c>
      <c r="G239" s="7">
        <v>1674</v>
      </c>
      <c r="H239" s="7">
        <v>14</v>
      </c>
      <c r="I239">
        <v>0.21199999999999999</v>
      </c>
      <c r="J239">
        <v>0.156</v>
      </c>
      <c r="K239">
        <v>19833335</v>
      </c>
    </row>
    <row r="240" spans="1:11">
      <c r="A240" t="s">
        <v>208</v>
      </c>
      <c r="B240" t="s">
        <v>208</v>
      </c>
      <c r="C240">
        <v>110617</v>
      </c>
      <c r="D240">
        <v>40900</v>
      </c>
      <c r="E240">
        <v>2015</v>
      </c>
      <c r="F240" s="7">
        <v>2995</v>
      </c>
      <c r="G240" s="7">
        <v>3664</v>
      </c>
      <c r="H240" s="7">
        <v>12</v>
      </c>
      <c r="I240">
        <v>0.25800000000000001</v>
      </c>
      <c r="J240">
        <v>0.48399999999999999</v>
      </c>
      <c r="K240">
        <v>2275383</v>
      </c>
    </row>
    <row r="241" spans="1:11">
      <c r="A241" t="s">
        <v>209</v>
      </c>
      <c r="B241" t="s">
        <v>209</v>
      </c>
      <c r="C241">
        <v>130253</v>
      </c>
      <c r="D241">
        <v>35300</v>
      </c>
      <c r="E241">
        <v>2015</v>
      </c>
      <c r="F241" s="7">
        <v>2181</v>
      </c>
      <c r="G241" s="7">
        <v>3190</v>
      </c>
      <c r="H241" s="7">
        <v>11</v>
      </c>
      <c r="I241">
        <v>0.32100000000000001</v>
      </c>
      <c r="J241">
        <v>0.48399999999999999</v>
      </c>
      <c r="K241">
        <v>866750</v>
      </c>
    </row>
    <row r="242" spans="1:11">
      <c r="A242" t="s">
        <v>210</v>
      </c>
      <c r="B242" t="s">
        <v>210</v>
      </c>
      <c r="C242">
        <v>215743</v>
      </c>
      <c r="D242">
        <v>11020</v>
      </c>
      <c r="E242">
        <v>2015</v>
      </c>
      <c r="F242" s="7" t="s">
        <v>1328</v>
      </c>
      <c r="G242" s="7" t="s">
        <v>1328</v>
      </c>
      <c r="H242" s="7" t="s">
        <v>1328</v>
      </c>
      <c r="I242" t="s">
        <v>1328</v>
      </c>
      <c r="J242" t="s">
        <v>1328</v>
      </c>
      <c r="K242">
        <v>125429</v>
      </c>
    </row>
    <row r="243" spans="1:11">
      <c r="A243" t="s">
        <v>211</v>
      </c>
      <c r="B243" t="s">
        <v>211</v>
      </c>
      <c r="C243">
        <v>215770</v>
      </c>
      <c r="D243">
        <v>37980</v>
      </c>
      <c r="E243">
        <v>2015</v>
      </c>
      <c r="F243" s="7" t="s">
        <v>1328</v>
      </c>
      <c r="G243" s="7" t="s">
        <v>1328</v>
      </c>
      <c r="H243" s="7" t="s">
        <v>1328</v>
      </c>
      <c r="I243" t="s">
        <v>1328</v>
      </c>
      <c r="J243" t="s">
        <v>1328</v>
      </c>
      <c r="K243">
        <v>6130446</v>
      </c>
    </row>
    <row r="244" spans="1:11">
      <c r="A244" t="s">
        <v>212</v>
      </c>
      <c r="B244" t="s">
        <v>212</v>
      </c>
      <c r="C244">
        <v>179159</v>
      </c>
      <c r="D244">
        <v>41180</v>
      </c>
      <c r="E244">
        <v>2015</v>
      </c>
      <c r="F244" s="7">
        <v>5718</v>
      </c>
      <c r="G244" s="7">
        <v>7624</v>
      </c>
      <c r="H244" s="7">
        <v>15</v>
      </c>
      <c r="I244">
        <v>0.67700000000000005</v>
      </c>
      <c r="J244">
        <v>0.433</v>
      </c>
      <c r="K244">
        <v>2815810</v>
      </c>
    </row>
    <row r="245" spans="1:11">
      <c r="A245" t="s">
        <v>213</v>
      </c>
      <c r="B245" t="s">
        <v>213</v>
      </c>
      <c r="C245">
        <v>123554</v>
      </c>
      <c r="D245">
        <v>41860</v>
      </c>
      <c r="E245">
        <v>2015</v>
      </c>
      <c r="F245" s="7">
        <v>3044</v>
      </c>
      <c r="G245" s="7">
        <v>3264</v>
      </c>
      <c r="H245" s="7">
        <v>13</v>
      </c>
      <c r="I245">
        <v>0.32100000000000001</v>
      </c>
      <c r="J245">
        <v>0.66700000000000004</v>
      </c>
      <c r="K245">
        <v>4669540</v>
      </c>
    </row>
    <row r="246" spans="1:11">
      <c r="A246" t="s">
        <v>214</v>
      </c>
      <c r="B246" t="s">
        <v>214</v>
      </c>
      <c r="C246">
        <v>186432</v>
      </c>
      <c r="D246">
        <v>35620</v>
      </c>
      <c r="E246">
        <v>2015</v>
      </c>
      <c r="F246" s="7">
        <v>1139</v>
      </c>
      <c r="G246" s="7">
        <v>1669</v>
      </c>
      <c r="H246" s="7">
        <v>10</v>
      </c>
      <c r="I246">
        <v>0.20699999999999999</v>
      </c>
      <c r="J246">
        <v>0.125</v>
      </c>
      <c r="K246">
        <v>19833335</v>
      </c>
    </row>
    <row r="247" spans="1:11">
      <c r="A247" t="s">
        <v>1249</v>
      </c>
      <c r="B247" t="s">
        <v>215</v>
      </c>
      <c r="C247">
        <v>227881</v>
      </c>
      <c r="D247">
        <v>26660</v>
      </c>
      <c r="E247">
        <v>2015</v>
      </c>
      <c r="F247" s="7">
        <v>4158</v>
      </c>
      <c r="G247" s="7">
        <v>5276</v>
      </c>
      <c r="H247" s="7">
        <v>12</v>
      </c>
      <c r="I247">
        <v>0.6</v>
      </c>
      <c r="J247">
        <v>0.60699999999999998</v>
      </c>
      <c r="K247">
        <v>72998</v>
      </c>
    </row>
    <row r="248" spans="1:11">
      <c r="A248" t="s">
        <v>216</v>
      </c>
      <c r="B248" t="s">
        <v>216</v>
      </c>
      <c r="C248">
        <v>102049</v>
      </c>
      <c r="D248">
        <v>13820</v>
      </c>
      <c r="E248">
        <v>2015</v>
      </c>
      <c r="F248" s="7">
        <v>5408</v>
      </c>
      <c r="G248" s="7">
        <v>4885</v>
      </c>
      <c r="H248" s="7">
        <v>13</v>
      </c>
      <c r="I248">
        <v>0.60599999999999998</v>
      </c>
      <c r="J248">
        <v>0.67600000000000005</v>
      </c>
      <c r="K248">
        <v>1092218</v>
      </c>
    </row>
    <row r="249" spans="1:11">
      <c r="A249" t="s">
        <v>217</v>
      </c>
      <c r="B249" t="s">
        <v>217</v>
      </c>
      <c r="C249">
        <v>122436</v>
      </c>
      <c r="D249">
        <v>41740</v>
      </c>
      <c r="E249">
        <v>2015</v>
      </c>
      <c r="F249" s="7">
        <v>6282</v>
      </c>
      <c r="G249" s="7">
        <v>11518</v>
      </c>
      <c r="H249" s="7">
        <v>15</v>
      </c>
      <c r="I249">
        <v>0.61299999999999999</v>
      </c>
      <c r="J249">
        <v>0.86699999999999999</v>
      </c>
      <c r="K249">
        <v>3262051</v>
      </c>
    </row>
    <row r="250" spans="1:11">
      <c r="A250" t="s">
        <v>218</v>
      </c>
      <c r="B250" t="s">
        <v>218</v>
      </c>
      <c r="C250">
        <v>122409</v>
      </c>
      <c r="D250">
        <v>41740</v>
      </c>
      <c r="E250">
        <v>2015</v>
      </c>
      <c r="F250" s="7">
        <v>4794</v>
      </c>
      <c r="G250" s="7">
        <v>5159</v>
      </c>
      <c r="H250" s="7">
        <v>14</v>
      </c>
      <c r="I250">
        <v>0.48299999999999998</v>
      </c>
      <c r="J250">
        <v>0.53300000000000003</v>
      </c>
      <c r="K250">
        <v>3262051</v>
      </c>
    </row>
    <row r="251" spans="1:11">
      <c r="A251" t="s">
        <v>1301</v>
      </c>
      <c r="B251" t="s">
        <v>1301</v>
      </c>
      <c r="C251">
        <v>122612</v>
      </c>
      <c r="D251">
        <v>41860</v>
      </c>
      <c r="E251">
        <v>2015</v>
      </c>
      <c r="F251" s="7">
        <v>3004</v>
      </c>
      <c r="G251" s="7">
        <v>3293</v>
      </c>
      <c r="H251" s="7">
        <v>12</v>
      </c>
      <c r="I251">
        <v>0.4</v>
      </c>
      <c r="J251">
        <v>0.46400000000000002</v>
      </c>
      <c r="K251">
        <v>4669540</v>
      </c>
    </row>
    <row r="252" spans="1:11">
      <c r="A252" t="s">
        <v>219</v>
      </c>
      <c r="B252" t="s">
        <v>219</v>
      </c>
      <c r="C252">
        <v>122755</v>
      </c>
      <c r="D252">
        <v>41940</v>
      </c>
      <c r="E252">
        <v>2015</v>
      </c>
      <c r="F252" s="7">
        <v>2641</v>
      </c>
      <c r="G252" s="7">
        <v>3790</v>
      </c>
      <c r="H252" s="7">
        <v>10</v>
      </c>
      <c r="I252">
        <v>0.129</v>
      </c>
      <c r="J252">
        <v>0.25800000000000001</v>
      </c>
      <c r="K252">
        <v>1986324</v>
      </c>
    </row>
    <row r="253" spans="1:11">
      <c r="A253" t="s">
        <v>220</v>
      </c>
      <c r="B253" t="s">
        <v>220</v>
      </c>
      <c r="C253">
        <v>122931</v>
      </c>
      <c r="D253">
        <v>41940</v>
      </c>
      <c r="E253">
        <v>2015</v>
      </c>
      <c r="F253" s="7">
        <v>2848</v>
      </c>
      <c r="G253" s="7">
        <v>4032</v>
      </c>
      <c r="H253" s="7">
        <v>11</v>
      </c>
      <c r="I253">
        <v>0.68799999999999994</v>
      </c>
      <c r="J253">
        <v>0.40699999999999997</v>
      </c>
      <c r="K253">
        <v>1986324</v>
      </c>
    </row>
    <row r="254" spans="1:11">
      <c r="A254" t="s">
        <v>221</v>
      </c>
      <c r="B254" t="s">
        <v>221</v>
      </c>
      <c r="C254">
        <v>236595</v>
      </c>
      <c r="D254">
        <v>42660</v>
      </c>
      <c r="E254">
        <v>2015</v>
      </c>
      <c r="F254" s="7">
        <v>2072</v>
      </c>
      <c r="G254" s="7">
        <v>1761</v>
      </c>
      <c r="H254" s="7">
        <v>12</v>
      </c>
      <c r="I254">
        <v>0.45200000000000001</v>
      </c>
      <c r="J254">
        <v>0.39400000000000002</v>
      </c>
      <c r="K254">
        <v>3745754</v>
      </c>
    </row>
    <row r="255" spans="1:11">
      <c r="A255" t="s">
        <v>222</v>
      </c>
      <c r="B255" t="s">
        <v>222</v>
      </c>
      <c r="C255">
        <v>186584</v>
      </c>
      <c r="D255">
        <v>35620</v>
      </c>
      <c r="E255">
        <v>2015</v>
      </c>
      <c r="F255" s="7">
        <v>4250</v>
      </c>
      <c r="G255" s="7">
        <v>2274</v>
      </c>
      <c r="H255" s="7">
        <v>17</v>
      </c>
      <c r="I255">
        <v>0.77800000000000002</v>
      </c>
      <c r="J255">
        <v>0.51600000000000001</v>
      </c>
      <c r="K255">
        <v>19833335</v>
      </c>
    </row>
    <row r="256" spans="1:11">
      <c r="A256" t="s">
        <v>223</v>
      </c>
      <c r="B256" t="s">
        <v>223</v>
      </c>
      <c r="C256">
        <v>228431</v>
      </c>
      <c r="D256">
        <v>34860</v>
      </c>
      <c r="E256">
        <v>2015</v>
      </c>
      <c r="F256" s="7">
        <v>3728</v>
      </c>
      <c r="G256" s="7">
        <v>3424</v>
      </c>
      <c r="H256" s="7">
        <v>10</v>
      </c>
      <c r="I256">
        <v>0.75</v>
      </c>
      <c r="J256">
        <v>0.5</v>
      </c>
      <c r="K256">
        <v>65393</v>
      </c>
    </row>
    <row r="257" spans="1:11">
      <c r="A257" t="s">
        <v>224</v>
      </c>
      <c r="B257" t="s">
        <v>224</v>
      </c>
      <c r="C257">
        <v>195474</v>
      </c>
      <c r="D257">
        <v>10580</v>
      </c>
      <c r="E257">
        <v>2015</v>
      </c>
      <c r="F257" s="7">
        <v>1080</v>
      </c>
      <c r="G257" s="7">
        <v>1315</v>
      </c>
      <c r="H257" s="7">
        <v>11</v>
      </c>
      <c r="I257">
        <v>0.55900000000000005</v>
      </c>
      <c r="J257">
        <v>0.5</v>
      </c>
      <c r="K257">
        <v>889735</v>
      </c>
    </row>
    <row r="258" spans="1:11">
      <c r="A258" t="s">
        <v>225</v>
      </c>
      <c r="B258" t="s">
        <v>225</v>
      </c>
      <c r="C258">
        <v>149231</v>
      </c>
      <c r="D258">
        <v>41180</v>
      </c>
      <c r="E258">
        <v>2015</v>
      </c>
      <c r="F258" s="7">
        <v>3487</v>
      </c>
      <c r="G258" s="7">
        <v>3446</v>
      </c>
      <c r="H258" s="7">
        <v>12</v>
      </c>
      <c r="I258">
        <v>0.45200000000000001</v>
      </c>
      <c r="J258">
        <v>0.438</v>
      </c>
      <c r="K258">
        <v>2815810</v>
      </c>
    </row>
    <row r="259" spans="1:11">
      <c r="A259" t="s">
        <v>1302</v>
      </c>
      <c r="B259" t="s">
        <v>1302</v>
      </c>
      <c r="C259">
        <v>228246</v>
      </c>
      <c r="D259">
        <v>19100</v>
      </c>
      <c r="E259">
        <v>2015</v>
      </c>
      <c r="F259" s="7">
        <v>8625</v>
      </c>
      <c r="G259" s="7">
        <v>4130</v>
      </c>
      <c r="H259" s="7">
        <v>16</v>
      </c>
      <c r="I259">
        <v>0.81299999999999994</v>
      </c>
      <c r="J259">
        <v>0.71</v>
      </c>
      <c r="K259">
        <v>7025725</v>
      </c>
    </row>
    <row r="260" spans="1:11">
      <c r="A260" t="s">
        <v>226</v>
      </c>
      <c r="B260" t="s">
        <v>226</v>
      </c>
      <c r="C260">
        <v>102094</v>
      </c>
      <c r="D260">
        <v>33660</v>
      </c>
      <c r="E260">
        <v>2015</v>
      </c>
      <c r="F260" s="7">
        <v>2417</v>
      </c>
      <c r="G260" s="7">
        <v>2424</v>
      </c>
      <c r="H260" s="7">
        <v>10</v>
      </c>
      <c r="I260">
        <v>0.38700000000000001</v>
      </c>
      <c r="J260">
        <v>0.48299999999999998</v>
      </c>
      <c r="K260">
        <v>432023</v>
      </c>
    </row>
    <row r="261" spans="1:11">
      <c r="A261" t="s">
        <v>227</v>
      </c>
      <c r="B261" t="s">
        <v>227</v>
      </c>
      <c r="C261">
        <v>218663</v>
      </c>
      <c r="D261">
        <v>17900</v>
      </c>
      <c r="E261">
        <v>2015</v>
      </c>
      <c r="F261" s="7">
        <v>18581</v>
      </c>
      <c r="G261" s="7">
        <v>15526</v>
      </c>
      <c r="H261" s="7">
        <v>15</v>
      </c>
      <c r="I261">
        <v>0.54800000000000004</v>
      </c>
      <c r="J261">
        <v>0.38700000000000001</v>
      </c>
      <c r="K261">
        <v>801088</v>
      </c>
    </row>
    <row r="262" spans="1:11">
      <c r="A262" t="s">
        <v>228</v>
      </c>
      <c r="B262" t="s">
        <v>228</v>
      </c>
      <c r="C262">
        <v>218733</v>
      </c>
      <c r="D262">
        <v>36700</v>
      </c>
      <c r="E262">
        <v>2015</v>
      </c>
      <c r="F262" s="7">
        <v>1541</v>
      </c>
      <c r="G262" s="7">
        <v>1174</v>
      </c>
      <c r="H262" s="7">
        <v>8</v>
      </c>
      <c r="I262">
        <v>0.111</v>
      </c>
      <c r="J262">
        <v>0.214</v>
      </c>
      <c r="K262">
        <v>88402</v>
      </c>
    </row>
    <row r="263" spans="1:11">
      <c r="A263" t="s">
        <v>229</v>
      </c>
      <c r="B263" t="s">
        <v>229</v>
      </c>
      <c r="C263">
        <v>219471</v>
      </c>
      <c r="D263">
        <v>46820</v>
      </c>
      <c r="E263">
        <v>2015</v>
      </c>
      <c r="F263" s="7">
        <v>2893</v>
      </c>
      <c r="G263" s="7">
        <v>2227</v>
      </c>
      <c r="H263" s="7">
        <v>9</v>
      </c>
      <c r="I263">
        <v>0.61299999999999999</v>
      </c>
      <c r="J263">
        <v>0.59399999999999997</v>
      </c>
      <c r="K263">
        <v>14175</v>
      </c>
    </row>
    <row r="264" spans="1:11">
      <c r="A264" t="s">
        <v>230</v>
      </c>
      <c r="B264" t="s">
        <v>230</v>
      </c>
      <c r="C264">
        <v>219356</v>
      </c>
      <c r="D264">
        <v>15100</v>
      </c>
      <c r="E264">
        <v>2015</v>
      </c>
      <c r="F264" s="7">
        <v>6660</v>
      </c>
      <c r="G264" s="7">
        <v>3418</v>
      </c>
      <c r="H264" s="7">
        <v>16</v>
      </c>
      <c r="I264">
        <v>0.182</v>
      </c>
      <c r="J264">
        <v>0.185</v>
      </c>
      <c r="K264">
        <v>33261</v>
      </c>
    </row>
    <row r="265" spans="1:11">
      <c r="A265" t="s">
        <v>231</v>
      </c>
      <c r="B265" t="s">
        <v>231</v>
      </c>
      <c r="C265">
        <v>137351</v>
      </c>
      <c r="D265">
        <v>45300</v>
      </c>
      <c r="E265">
        <v>2015</v>
      </c>
      <c r="F265" s="7">
        <v>6281</v>
      </c>
      <c r="G265" s="7">
        <v>7398</v>
      </c>
      <c r="H265" s="7">
        <v>13</v>
      </c>
      <c r="I265">
        <v>0.438</v>
      </c>
      <c r="J265">
        <v>0.53100000000000003</v>
      </c>
      <c r="K265">
        <v>2954113</v>
      </c>
    </row>
    <row r="266" spans="1:11">
      <c r="A266" t="s">
        <v>232</v>
      </c>
      <c r="B266" t="s">
        <v>232</v>
      </c>
      <c r="C266">
        <v>179557</v>
      </c>
      <c r="D266">
        <v>16020</v>
      </c>
      <c r="E266">
        <v>2015</v>
      </c>
      <c r="F266" s="7">
        <v>3277</v>
      </c>
      <c r="G266" s="7">
        <v>3908</v>
      </c>
      <c r="H266" s="7">
        <v>10</v>
      </c>
      <c r="I266">
        <v>0.35499999999999998</v>
      </c>
      <c r="J266">
        <v>0.51500000000000001</v>
      </c>
      <c r="K266">
        <v>97567</v>
      </c>
    </row>
    <row r="267" spans="1:11">
      <c r="A267" t="s">
        <v>233</v>
      </c>
      <c r="B267" t="s">
        <v>233</v>
      </c>
      <c r="C267">
        <v>160612</v>
      </c>
      <c r="D267">
        <v>25220</v>
      </c>
      <c r="E267">
        <v>2015</v>
      </c>
      <c r="F267" s="7">
        <v>2000</v>
      </c>
      <c r="G267" s="7">
        <v>2689</v>
      </c>
      <c r="H267" s="7">
        <v>10</v>
      </c>
      <c r="I267">
        <v>0.379</v>
      </c>
      <c r="J267">
        <v>0.35499999999999998</v>
      </c>
      <c r="K267">
        <v>127119</v>
      </c>
    </row>
    <row r="268" spans="1:11">
      <c r="A268" t="s">
        <v>1303</v>
      </c>
      <c r="B268" t="s">
        <v>1303</v>
      </c>
      <c r="C268">
        <v>123961</v>
      </c>
      <c r="D268">
        <v>31080</v>
      </c>
      <c r="E268">
        <v>2015</v>
      </c>
      <c r="F268" s="7">
        <v>12640</v>
      </c>
      <c r="G268" s="7">
        <v>22568</v>
      </c>
      <c r="H268" s="7">
        <v>11</v>
      </c>
      <c r="I268">
        <v>0.5</v>
      </c>
      <c r="J268">
        <v>0.82899999999999996</v>
      </c>
      <c r="K268">
        <v>13258364</v>
      </c>
    </row>
    <row r="269" spans="1:11">
      <c r="A269" t="s">
        <v>234</v>
      </c>
      <c r="B269" t="s">
        <v>234</v>
      </c>
      <c r="C269">
        <v>149222</v>
      </c>
      <c r="D269">
        <v>16060</v>
      </c>
      <c r="E269">
        <v>2015</v>
      </c>
      <c r="F269" s="7">
        <v>4592</v>
      </c>
      <c r="G269" s="7">
        <v>4277</v>
      </c>
      <c r="H269" s="7">
        <v>12</v>
      </c>
      <c r="I269">
        <v>0.51600000000000001</v>
      </c>
      <c r="J269">
        <v>0.60599999999999998</v>
      </c>
      <c r="K269">
        <v>138332</v>
      </c>
    </row>
    <row r="270" spans="1:11">
      <c r="A270" t="s">
        <v>235</v>
      </c>
      <c r="B270" t="s">
        <v>235</v>
      </c>
      <c r="C270">
        <v>176372</v>
      </c>
      <c r="D270">
        <v>25620</v>
      </c>
      <c r="E270">
        <v>2015</v>
      </c>
      <c r="F270" s="7">
        <v>3686</v>
      </c>
      <c r="G270" s="7">
        <v>3791</v>
      </c>
      <c r="H270" s="7">
        <v>12</v>
      </c>
      <c r="I270">
        <v>0.58799999999999997</v>
      </c>
      <c r="J270">
        <v>0.54800000000000004</v>
      </c>
      <c r="K270">
        <v>169406</v>
      </c>
    </row>
    <row r="271" spans="1:11">
      <c r="A271" t="s">
        <v>236</v>
      </c>
      <c r="B271" t="s">
        <v>236</v>
      </c>
      <c r="C271">
        <v>160621</v>
      </c>
      <c r="D271">
        <v>12940</v>
      </c>
      <c r="E271">
        <v>2015</v>
      </c>
      <c r="F271" s="7">
        <v>2194</v>
      </c>
      <c r="G271" s="7">
        <v>1668</v>
      </c>
      <c r="H271" s="7">
        <v>9</v>
      </c>
      <c r="I271">
        <v>0.44400000000000001</v>
      </c>
      <c r="J271">
        <v>0.29599999999999999</v>
      </c>
      <c r="K271">
        <v>857794</v>
      </c>
    </row>
    <row r="272" spans="1:11">
      <c r="A272" t="s">
        <v>237</v>
      </c>
      <c r="B272" t="s">
        <v>237</v>
      </c>
      <c r="C272">
        <v>230603</v>
      </c>
      <c r="D272">
        <v>16260</v>
      </c>
      <c r="E272">
        <v>2015</v>
      </c>
      <c r="F272" s="7">
        <v>7164</v>
      </c>
      <c r="G272" s="7">
        <v>5507</v>
      </c>
      <c r="H272" s="7">
        <v>12</v>
      </c>
      <c r="I272">
        <v>0.48299999999999998</v>
      </c>
      <c r="J272">
        <v>0.129</v>
      </c>
      <c r="K272">
        <v>48531</v>
      </c>
    </row>
    <row r="273" spans="1:11">
      <c r="A273" t="s">
        <v>238</v>
      </c>
      <c r="B273" t="s">
        <v>238</v>
      </c>
      <c r="C273">
        <v>195164</v>
      </c>
      <c r="D273">
        <v>18500</v>
      </c>
      <c r="E273">
        <v>2015</v>
      </c>
      <c r="F273" s="7" t="s">
        <v>1328</v>
      </c>
      <c r="G273" s="7" t="s">
        <v>1328</v>
      </c>
      <c r="H273" s="7" t="s">
        <v>1328</v>
      </c>
      <c r="I273" t="s">
        <v>1328</v>
      </c>
      <c r="J273" t="s">
        <v>1328</v>
      </c>
      <c r="K273">
        <v>96911</v>
      </c>
    </row>
    <row r="274" spans="1:11">
      <c r="A274" t="s">
        <v>1304</v>
      </c>
      <c r="B274" t="s">
        <v>1304</v>
      </c>
      <c r="C274">
        <v>195173</v>
      </c>
      <c r="D274">
        <v>15100</v>
      </c>
      <c r="E274">
        <v>2015</v>
      </c>
      <c r="F274" s="7">
        <v>1220</v>
      </c>
      <c r="G274" s="7">
        <v>1022</v>
      </c>
      <c r="H274" s="7">
        <v>11</v>
      </c>
      <c r="I274">
        <v>6.7000000000000004E-2</v>
      </c>
      <c r="J274">
        <v>0.219</v>
      </c>
      <c r="K274">
        <v>33261</v>
      </c>
    </row>
    <row r="275" spans="1:11">
      <c r="A275" t="s">
        <v>239</v>
      </c>
      <c r="B275" t="s">
        <v>239</v>
      </c>
      <c r="C275">
        <v>195809</v>
      </c>
      <c r="D275">
        <v>35620</v>
      </c>
      <c r="E275">
        <v>2015</v>
      </c>
      <c r="F275" s="7">
        <v>3527</v>
      </c>
      <c r="G275" s="7">
        <v>3547</v>
      </c>
      <c r="H275" s="7">
        <v>15</v>
      </c>
      <c r="I275">
        <v>0.57599999999999996</v>
      </c>
      <c r="J275">
        <v>0.5</v>
      </c>
      <c r="K275">
        <v>19833335</v>
      </c>
    </row>
    <row r="276" spans="1:11">
      <c r="A276" t="s">
        <v>240</v>
      </c>
      <c r="B276" t="s">
        <v>240</v>
      </c>
      <c r="C276">
        <v>243744</v>
      </c>
      <c r="D276">
        <v>41940</v>
      </c>
      <c r="E276">
        <v>2015</v>
      </c>
      <c r="F276" s="7">
        <v>36136</v>
      </c>
      <c r="G276" s="7">
        <v>28925</v>
      </c>
      <c r="H276" s="7">
        <v>17</v>
      </c>
      <c r="I276">
        <v>0.94299999999999995</v>
      </c>
      <c r="J276">
        <v>0.81799999999999995</v>
      </c>
      <c r="K276">
        <v>1986324</v>
      </c>
    </row>
    <row r="277" spans="1:11">
      <c r="A277" t="s">
        <v>241</v>
      </c>
      <c r="B277" t="s">
        <v>241</v>
      </c>
      <c r="C277">
        <v>137546</v>
      </c>
      <c r="D277">
        <v>36740</v>
      </c>
      <c r="E277">
        <v>2015</v>
      </c>
      <c r="F277" s="7">
        <v>1746</v>
      </c>
      <c r="G277" s="7">
        <v>2897</v>
      </c>
      <c r="H277" s="7">
        <v>8</v>
      </c>
      <c r="I277">
        <v>0.55200000000000005</v>
      </c>
      <c r="J277">
        <v>0.52900000000000003</v>
      </c>
      <c r="K277">
        <v>2410624</v>
      </c>
    </row>
    <row r="278" spans="1:11">
      <c r="A278" t="s">
        <v>242</v>
      </c>
      <c r="B278" t="s">
        <v>242</v>
      </c>
      <c r="C278">
        <v>196097</v>
      </c>
      <c r="D278">
        <v>35620</v>
      </c>
      <c r="E278">
        <v>2015</v>
      </c>
      <c r="F278" s="7">
        <v>3365</v>
      </c>
      <c r="G278" s="7">
        <v>2476</v>
      </c>
      <c r="H278" s="7">
        <v>12</v>
      </c>
      <c r="I278">
        <v>0.53100000000000003</v>
      </c>
      <c r="J278">
        <v>0.47099999999999997</v>
      </c>
      <c r="K278">
        <v>19833335</v>
      </c>
    </row>
    <row r="279" spans="1:11">
      <c r="A279" t="s">
        <v>243</v>
      </c>
      <c r="B279" t="s">
        <v>243</v>
      </c>
      <c r="C279">
        <v>196413</v>
      </c>
      <c r="D279">
        <v>45060</v>
      </c>
      <c r="E279">
        <v>2015</v>
      </c>
      <c r="F279" s="7">
        <v>2437</v>
      </c>
      <c r="G279" s="7">
        <v>4988</v>
      </c>
      <c r="H279" s="7">
        <v>15</v>
      </c>
      <c r="I279">
        <v>0.3</v>
      </c>
      <c r="J279">
        <v>0.5</v>
      </c>
      <c r="K279">
        <v>665759</v>
      </c>
    </row>
    <row r="280" spans="1:11">
      <c r="A280" t="s">
        <v>1305</v>
      </c>
      <c r="B280" t="s">
        <v>1305</v>
      </c>
      <c r="C280">
        <v>228875</v>
      </c>
      <c r="D280">
        <v>19100</v>
      </c>
      <c r="E280">
        <v>2015</v>
      </c>
      <c r="F280" s="7">
        <v>16856</v>
      </c>
      <c r="G280" s="7">
        <v>17279</v>
      </c>
      <c r="H280" s="7">
        <v>16</v>
      </c>
      <c r="I280">
        <v>0.53100000000000003</v>
      </c>
      <c r="J280">
        <v>0.51600000000000001</v>
      </c>
      <c r="K280">
        <v>7025725</v>
      </c>
    </row>
    <row r="281" spans="1:11">
      <c r="A281" t="s">
        <v>1306</v>
      </c>
      <c r="B281" t="s">
        <v>1306</v>
      </c>
      <c r="C281">
        <v>216339</v>
      </c>
      <c r="D281">
        <v>37980</v>
      </c>
      <c r="E281">
        <v>2015</v>
      </c>
      <c r="F281" s="7">
        <v>3145</v>
      </c>
      <c r="G281" s="7">
        <v>2784</v>
      </c>
      <c r="H281" s="7">
        <v>13</v>
      </c>
      <c r="I281">
        <v>0.75</v>
      </c>
      <c r="J281">
        <v>0.6</v>
      </c>
      <c r="K281">
        <v>6130446</v>
      </c>
    </row>
    <row r="282" spans="1:11">
      <c r="A282" t="s">
        <v>244</v>
      </c>
      <c r="B282" t="s">
        <v>244</v>
      </c>
      <c r="C282">
        <v>221759</v>
      </c>
      <c r="D282">
        <v>28940</v>
      </c>
      <c r="E282">
        <v>2015</v>
      </c>
      <c r="F282" s="7">
        <v>10406</v>
      </c>
      <c r="G282" s="7">
        <v>11514</v>
      </c>
      <c r="H282" s="7">
        <v>13</v>
      </c>
      <c r="I282">
        <v>0.25</v>
      </c>
      <c r="J282">
        <v>0.28100000000000003</v>
      </c>
      <c r="K282">
        <v>840155</v>
      </c>
    </row>
    <row r="283" spans="1:11">
      <c r="A283" t="s">
        <v>245</v>
      </c>
      <c r="B283" t="s">
        <v>245</v>
      </c>
      <c r="C283">
        <v>221838</v>
      </c>
      <c r="D283">
        <v>34980</v>
      </c>
      <c r="E283">
        <v>2015</v>
      </c>
      <c r="F283" s="7">
        <v>2772</v>
      </c>
      <c r="G283" s="7">
        <v>3208</v>
      </c>
      <c r="H283" s="7">
        <v>10</v>
      </c>
      <c r="I283">
        <v>0.32300000000000001</v>
      </c>
      <c r="J283">
        <v>0.35699999999999998</v>
      </c>
      <c r="K283">
        <v>1824091</v>
      </c>
    </row>
    <row r="284" spans="1:11">
      <c r="A284" t="s">
        <v>246</v>
      </c>
      <c r="B284" t="s">
        <v>246</v>
      </c>
      <c r="C284">
        <v>221847</v>
      </c>
      <c r="D284">
        <v>18260</v>
      </c>
      <c r="E284">
        <v>2015</v>
      </c>
      <c r="F284" s="7">
        <v>4917</v>
      </c>
      <c r="G284" s="7">
        <v>2970</v>
      </c>
      <c r="H284" s="7">
        <v>8</v>
      </c>
      <c r="I284">
        <v>0.441</v>
      </c>
      <c r="J284">
        <v>0.192</v>
      </c>
      <c r="K284">
        <v>108163</v>
      </c>
    </row>
    <row r="285" spans="1:11">
      <c r="A285" t="s">
        <v>247</v>
      </c>
      <c r="B285" t="s">
        <v>247</v>
      </c>
      <c r="C285">
        <v>228778</v>
      </c>
      <c r="D285">
        <v>12420</v>
      </c>
      <c r="E285">
        <v>2015</v>
      </c>
      <c r="F285" s="7">
        <v>40378</v>
      </c>
      <c r="G285" s="7">
        <v>49137</v>
      </c>
      <c r="H285" s="7">
        <v>14</v>
      </c>
      <c r="I285">
        <v>0.9</v>
      </c>
      <c r="J285">
        <v>0.9</v>
      </c>
      <c r="K285">
        <v>2004660</v>
      </c>
    </row>
    <row r="286" spans="1:11">
      <c r="A286" t="s">
        <v>248</v>
      </c>
      <c r="B286" t="s">
        <v>248</v>
      </c>
      <c r="C286">
        <v>228723</v>
      </c>
      <c r="D286">
        <v>17780</v>
      </c>
      <c r="E286">
        <v>2015</v>
      </c>
      <c r="F286" s="7">
        <v>19635</v>
      </c>
      <c r="G286" s="7">
        <v>14808</v>
      </c>
      <c r="H286" s="7">
        <v>15</v>
      </c>
      <c r="I286">
        <v>0.7</v>
      </c>
      <c r="J286">
        <v>0.61299999999999999</v>
      </c>
      <c r="K286">
        <v>250973</v>
      </c>
    </row>
    <row r="287" spans="1:11">
      <c r="A287" t="s">
        <v>249</v>
      </c>
      <c r="B287" t="s">
        <v>249</v>
      </c>
      <c r="C287">
        <v>229063</v>
      </c>
      <c r="D287">
        <v>26420</v>
      </c>
      <c r="E287">
        <v>2015</v>
      </c>
      <c r="F287" s="7">
        <v>2574</v>
      </c>
      <c r="G287" s="7">
        <v>2315</v>
      </c>
      <c r="H287" s="7">
        <v>14</v>
      </c>
      <c r="I287">
        <v>0.4</v>
      </c>
      <c r="J287">
        <v>0.57099999999999995</v>
      </c>
      <c r="K287">
        <v>6663204</v>
      </c>
    </row>
    <row r="288" spans="1:11">
      <c r="A288" t="s">
        <v>250</v>
      </c>
      <c r="B288" t="s">
        <v>250</v>
      </c>
      <c r="C288">
        <v>228459</v>
      </c>
      <c r="D288">
        <v>12420</v>
      </c>
      <c r="E288">
        <v>2015</v>
      </c>
      <c r="F288" s="7">
        <v>13750</v>
      </c>
      <c r="G288" s="7">
        <v>10457</v>
      </c>
      <c r="H288" s="7">
        <v>18</v>
      </c>
      <c r="I288">
        <v>0.629</v>
      </c>
      <c r="J288">
        <v>0.64900000000000002</v>
      </c>
      <c r="K288">
        <v>2004660</v>
      </c>
    </row>
    <row r="289" spans="1:11">
      <c r="A289" t="s">
        <v>251</v>
      </c>
      <c r="B289" t="s">
        <v>251</v>
      </c>
      <c r="C289">
        <v>229115</v>
      </c>
      <c r="D289">
        <v>31180</v>
      </c>
      <c r="E289">
        <v>2015</v>
      </c>
      <c r="F289" s="7">
        <v>9202</v>
      </c>
      <c r="G289" s="7">
        <v>7288</v>
      </c>
      <c r="H289" s="7">
        <v>14</v>
      </c>
      <c r="I289">
        <v>0.5</v>
      </c>
      <c r="J289">
        <v>0.313</v>
      </c>
      <c r="K289">
        <v>307917</v>
      </c>
    </row>
    <row r="290" spans="1:11">
      <c r="A290" t="s">
        <v>1308</v>
      </c>
      <c r="B290" t="s">
        <v>1307</v>
      </c>
      <c r="C290">
        <v>217864</v>
      </c>
      <c r="D290">
        <v>16700</v>
      </c>
      <c r="E290">
        <v>2015</v>
      </c>
      <c r="F290" s="7">
        <v>1184</v>
      </c>
      <c r="G290" s="7">
        <v>1739</v>
      </c>
      <c r="H290" s="7">
        <v>13</v>
      </c>
      <c r="I290">
        <v>0.23499999999999999</v>
      </c>
      <c r="J290">
        <v>0.152</v>
      </c>
      <c r="K290">
        <v>737259</v>
      </c>
    </row>
    <row r="291" spans="1:11">
      <c r="A291" t="s">
        <v>252</v>
      </c>
      <c r="B291" t="s">
        <v>252</v>
      </c>
      <c r="C291">
        <v>206084</v>
      </c>
      <c r="D291">
        <v>45780</v>
      </c>
      <c r="E291">
        <v>2015</v>
      </c>
      <c r="F291" s="7">
        <v>3656</v>
      </c>
      <c r="G291" s="7">
        <v>6489</v>
      </c>
      <c r="H291" s="7">
        <v>12</v>
      </c>
      <c r="I291">
        <v>3.4000000000000002E-2</v>
      </c>
      <c r="J291">
        <v>0.61299999999999999</v>
      </c>
      <c r="K291">
        <v>648620</v>
      </c>
    </row>
    <row r="292" spans="1:11">
      <c r="A292" t="s">
        <v>253</v>
      </c>
      <c r="B292" t="s">
        <v>253</v>
      </c>
      <c r="C292">
        <v>164076</v>
      </c>
      <c r="D292">
        <v>12580</v>
      </c>
      <c r="E292">
        <v>2015</v>
      </c>
      <c r="F292" s="7">
        <v>3100</v>
      </c>
      <c r="G292" s="7">
        <v>2270</v>
      </c>
      <c r="H292" s="7">
        <v>15</v>
      </c>
      <c r="I292">
        <v>0.84399999999999997</v>
      </c>
      <c r="J292">
        <v>0.29399999999999998</v>
      </c>
      <c r="K292">
        <v>2812930</v>
      </c>
    </row>
    <row r="293" spans="1:11">
      <c r="A293" t="s">
        <v>254</v>
      </c>
      <c r="B293" t="s">
        <v>254</v>
      </c>
      <c r="C293">
        <v>102368</v>
      </c>
      <c r="D293">
        <v>45980</v>
      </c>
      <c r="E293">
        <v>2015</v>
      </c>
      <c r="F293" s="7">
        <v>4989</v>
      </c>
      <c r="G293" s="7">
        <v>4155</v>
      </c>
      <c r="H293" s="7">
        <v>14</v>
      </c>
      <c r="I293">
        <v>0.313</v>
      </c>
      <c r="J293">
        <v>0.38200000000000001</v>
      </c>
      <c r="K293">
        <v>33540</v>
      </c>
    </row>
    <row r="294" spans="1:11">
      <c r="A294" t="s">
        <v>1309</v>
      </c>
      <c r="B294" t="s">
        <v>1309</v>
      </c>
      <c r="C294">
        <v>160755</v>
      </c>
      <c r="D294">
        <v>35380</v>
      </c>
      <c r="E294">
        <v>2015</v>
      </c>
      <c r="F294" s="7">
        <v>2502</v>
      </c>
      <c r="G294" s="7">
        <v>3473</v>
      </c>
      <c r="H294" s="7">
        <v>13</v>
      </c>
      <c r="I294">
        <v>0.156</v>
      </c>
      <c r="J294">
        <v>0.875</v>
      </c>
      <c r="K294">
        <v>1260274</v>
      </c>
    </row>
    <row r="295" spans="1:11">
      <c r="A295" t="s">
        <v>255</v>
      </c>
      <c r="B295" t="s">
        <v>255</v>
      </c>
      <c r="C295">
        <v>207971</v>
      </c>
      <c r="D295">
        <v>46140</v>
      </c>
      <c r="E295">
        <v>2015</v>
      </c>
      <c r="F295" s="7">
        <v>4947</v>
      </c>
      <c r="G295" s="7">
        <v>4002</v>
      </c>
      <c r="H295" s="7">
        <v>12</v>
      </c>
      <c r="I295">
        <v>0.71</v>
      </c>
      <c r="J295">
        <v>0.77400000000000002</v>
      </c>
      <c r="K295">
        <v>986737</v>
      </c>
    </row>
    <row r="296" spans="1:11">
      <c r="A296" t="s">
        <v>256</v>
      </c>
      <c r="B296" t="s">
        <v>256</v>
      </c>
      <c r="C296">
        <v>100663</v>
      </c>
      <c r="D296">
        <v>13820</v>
      </c>
      <c r="E296">
        <v>2015</v>
      </c>
      <c r="F296" s="7">
        <v>3115</v>
      </c>
      <c r="G296" s="7">
        <v>2541</v>
      </c>
      <c r="H296" s="7">
        <v>12</v>
      </c>
      <c r="I296">
        <v>0.25</v>
      </c>
      <c r="J296">
        <v>0.6</v>
      </c>
      <c r="K296">
        <v>1092218</v>
      </c>
    </row>
    <row r="297" spans="1:11">
      <c r="A297" t="s">
        <v>1239</v>
      </c>
      <c r="B297" t="s">
        <v>10</v>
      </c>
      <c r="C297">
        <v>196060</v>
      </c>
      <c r="D297">
        <v>10580</v>
      </c>
      <c r="E297">
        <v>2015</v>
      </c>
      <c r="F297" s="7">
        <v>1216</v>
      </c>
      <c r="G297" s="7">
        <v>1391</v>
      </c>
      <c r="H297" s="7">
        <v>6</v>
      </c>
      <c r="I297">
        <v>0.37</v>
      </c>
      <c r="J297">
        <v>0.32100000000000001</v>
      </c>
      <c r="K297">
        <v>889735</v>
      </c>
    </row>
    <row r="298" spans="1:11">
      <c r="A298" t="s">
        <v>257</v>
      </c>
      <c r="B298" t="s">
        <v>257</v>
      </c>
      <c r="C298">
        <v>110644</v>
      </c>
      <c r="D298">
        <v>40900</v>
      </c>
      <c r="E298">
        <v>2015</v>
      </c>
      <c r="F298" s="7">
        <v>5637</v>
      </c>
      <c r="G298" s="7">
        <v>4851</v>
      </c>
      <c r="H298" s="7">
        <v>10</v>
      </c>
      <c r="I298">
        <v>0.51700000000000002</v>
      </c>
      <c r="J298">
        <v>0.48299999999999998</v>
      </c>
      <c r="K298">
        <v>2275383</v>
      </c>
    </row>
    <row r="299" spans="1:11">
      <c r="A299" t="s">
        <v>1310</v>
      </c>
      <c r="B299" t="s">
        <v>1310</v>
      </c>
      <c r="C299">
        <v>110653</v>
      </c>
      <c r="D299">
        <v>31080</v>
      </c>
      <c r="E299">
        <v>2015</v>
      </c>
      <c r="F299" s="7">
        <v>4071</v>
      </c>
      <c r="G299" s="7">
        <v>4027</v>
      </c>
      <c r="H299" s="7">
        <v>12</v>
      </c>
      <c r="I299">
        <v>0.61299999999999999</v>
      </c>
      <c r="J299">
        <v>0.46700000000000003</v>
      </c>
      <c r="K299">
        <v>13258364</v>
      </c>
    </row>
    <row r="300" spans="1:11">
      <c r="A300" t="s">
        <v>258</v>
      </c>
      <c r="B300" t="s">
        <v>258</v>
      </c>
      <c r="C300">
        <v>110671</v>
      </c>
      <c r="D300">
        <v>40140</v>
      </c>
      <c r="E300">
        <v>2015</v>
      </c>
      <c r="F300" s="7">
        <v>2730</v>
      </c>
      <c r="G300" s="7">
        <v>2699</v>
      </c>
      <c r="H300" s="7">
        <v>8</v>
      </c>
      <c r="I300">
        <v>7.0999999999999994E-2</v>
      </c>
      <c r="J300">
        <v>7.0999999999999994E-2</v>
      </c>
      <c r="K300">
        <v>4420560</v>
      </c>
    </row>
    <row r="301" spans="1:11">
      <c r="A301" t="s">
        <v>259</v>
      </c>
      <c r="B301" t="s">
        <v>259</v>
      </c>
      <c r="C301">
        <v>110705</v>
      </c>
      <c r="D301">
        <v>42200</v>
      </c>
      <c r="E301">
        <v>2015</v>
      </c>
      <c r="F301" s="7">
        <v>3359</v>
      </c>
      <c r="G301" s="7">
        <v>3674</v>
      </c>
      <c r="H301" s="7">
        <v>10</v>
      </c>
      <c r="I301">
        <v>0.48099999999999998</v>
      </c>
      <c r="J301">
        <v>0.621</v>
      </c>
      <c r="K301">
        <v>443597</v>
      </c>
    </row>
    <row r="302" spans="1:11">
      <c r="A302" t="s">
        <v>260</v>
      </c>
      <c r="B302" t="s">
        <v>260</v>
      </c>
      <c r="C302">
        <v>132903</v>
      </c>
      <c r="D302">
        <v>36740</v>
      </c>
      <c r="E302">
        <v>2015</v>
      </c>
      <c r="F302" s="7">
        <v>6227</v>
      </c>
      <c r="G302" s="7">
        <v>7108</v>
      </c>
      <c r="H302" s="7">
        <v>15</v>
      </c>
      <c r="I302">
        <v>0.75800000000000001</v>
      </c>
      <c r="J302">
        <v>0.67700000000000005</v>
      </c>
      <c r="K302">
        <v>2410624</v>
      </c>
    </row>
    <row r="303" spans="1:11">
      <c r="A303" t="s">
        <v>261</v>
      </c>
      <c r="B303" t="s">
        <v>261</v>
      </c>
      <c r="C303">
        <v>110662</v>
      </c>
      <c r="D303">
        <v>31080</v>
      </c>
      <c r="E303">
        <v>2015</v>
      </c>
      <c r="F303" s="7">
        <v>10536</v>
      </c>
      <c r="G303" s="7">
        <v>11026</v>
      </c>
      <c r="H303" s="7">
        <v>13</v>
      </c>
      <c r="I303">
        <v>0.64700000000000002</v>
      </c>
      <c r="J303">
        <v>0.5</v>
      </c>
      <c r="K303">
        <v>13258364</v>
      </c>
    </row>
    <row r="304" spans="1:11">
      <c r="A304" t="s">
        <v>262</v>
      </c>
      <c r="B304" t="s">
        <v>262</v>
      </c>
      <c r="C304">
        <v>129020</v>
      </c>
      <c r="D304">
        <v>25540</v>
      </c>
      <c r="E304">
        <v>2015</v>
      </c>
      <c r="F304" s="7">
        <v>3997</v>
      </c>
      <c r="G304" s="7">
        <v>6030</v>
      </c>
      <c r="H304" s="7">
        <v>16</v>
      </c>
      <c r="I304">
        <v>0.38700000000000001</v>
      </c>
      <c r="J304">
        <v>0.42399999999999999</v>
      </c>
      <c r="K304">
        <v>1217677</v>
      </c>
    </row>
    <row r="305" spans="1:11">
      <c r="A305" t="s">
        <v>263</v>
      </c>
      <c r="B305" t="s">
        <v>263</v>
      </c>
      <c r="C305">
        <v>145600</v>
      </c>
      <c r="D305">
        <v>16980</v>
      </c>
      <c r="E305">
        <v>2015</v>
      </c>
      <c r="F305" s="7">
        <v>3159</v>
      </c>
      <c r="G305" s="7">
        <v>2790</v>
      </c>
      <c r="H305" s="7">
        <v>12</v>
      </c>
      <c r="I305">
        <v>0.45200000000000001</v>
      </c>
      <c r="J305">
        <v>0.3</v>
      </c>
      <c r="K305">
        <v>9654044</v>
      </c>
    </row>
    <row r="306" spans="1:11">
      <c r="A306" t="s">
        <v>1244</v>
      </c>
      <c r="B306" t="s">
        <v>107</v>
      </c>
      <c r="C306">
        <v>225627</v>
      </c>
      <c r="D306">
        <v>41700</v>
      </c>
      <c r="E306">
        <v>2015</v>
      </c>
      <c r="F306" s="7">
        <v>3063</v>
      </c>
      <c r="G306" s="7">
        <v>4779</v>
      </c>
      <c r="H306" s="7">
        <v>9</v>
      </c>
      <c r="I306" t="s">
        <v>1328</v>
      </c>
      <c r="J306" t="s">
        <v>1328</v>
      </c>
      <c r="K306">
        <v>2366630</v>
      </c>
    </row>
    <row r="307" spans="1:11">
      <c r="A307" t="s">
        <v>1245</v>
      </c>
      <c r="B307" t="s">
        <v>122</v>
      </c>
      <c r="C307">
        <v>159993</v>
      </c>
      <c r="D307">
        <v>33740</v>
      </c>
      <c r="E307">
        <v>2015</v>
      </c>
      <c r="F307" s="7">
        <v>2425</v>
      </c>
      <c r="G307" s="7">
        <v>2069</v>
      </c>
      <c r="H307" s="7">
        <v>11</v>
      </c>
      <c r="I307">
        <v>0.27300000000000002</v>
      </c>
      <c r="J307">
        <v>0.17599999999999999</v>
      </c>
      <c r="K307">
        <v>209816</v>
      </c>
    </row>
    <row r="308" spans="1:11">
      <c r="A308" t="s">
        <v>264</v>
      </c>
      <c r="B308" t="s">
        <v>264</v>
      </c>
      <c r="C308">
        <v>166513</v>
      </c>
      <c r="D308">
        <v>31700</v>
      </c>
      <c r="E308">
        <v>2015</v>
      </c>
      <c r="F308" s="7">
        <v>1334</v>
      </c>
      <c r="G308" s="7">
        <v>1338</v>
      </c>
      <c r="H308" s="7">
        <v>7</v>
      </c>
      <c r="I308" t="s">
        <v>1328</v>
      </c>
      <c r="J308" t="s">
        <v>1328</v>
      </c>
      <c r="K308">
        <v>411433</v>
      </c>
    </row>
    <row r="309" spans="1:11">
      <c r="A309" t="s">
        <v>265</v>
      </c>
      <c r="B309" t="s">
        <v>265</v>
      </c>
      <c r="C309">
        <v>163268</v>
      </c>
      <c r="D309">
        <v>12580</v>
      </c>
      <c r="E309">
        <v>2015</v>
      </c>
      <c r="F309" s="7">
        <v>2502</v>
      </c>
      <c r="G309" s="7">
        <v>4342</v>
      </c>
      <c r="H309" s="7">
        <v>8</v>
      </c>
      <c r="I309">
        <v>0.4</v>
      </c>
      <c r="J309">
        <v>0.61299999999999999</v>
      </c>
      <c r="K309">
        <v>2812930</v>
      </c>
    </row>
    <row r="310" spans="1:11">
      <c r="A310" t="s">
        <v>266</v>
      </c>
      <c r="B310" t="s">
        <v>266</v>
      </c>
      <c r="C310">
        <v>163338</v>
      </c>
      <c r="D310">
        <v>41540</v>
      </c>
      <c r="E310">
        <v>2015</v>
      </c>
      <c r="F310" s="7">
        <v>10168</v>
      </c>
      <c r="G310" s="7">
        <v>4027</v>
      </c>
      <c r="H310" s="7">
        <v>15</v>
      </c>
      <c r="I310">
        <v>0.379</v>
      </c>
      <c r="J310">
        <v>0.125</v>
      </c>
      <c r="K310">
        <v>391734</v>
      </c>
    </row>
    <row r="311" spans="1:11">
      <c r="A311" t="s">
        <v>1311</v>
      </c>
      <c r="B311" t="s">
        <v>1311</v>
      </c>
      <c r="C311">
        <v>199111</v>
      </c>
      <c r="D311">
        <v>11700</v>
      </c>
      <c r="E311">
        <v>2015</v>
      </c>
      <c r="F311" s="7">
        <v>3159</v>
      </c>
      <c r="G311" s="7">
        <v>3989</v>
      </c>
      <c r="H311" s="7">
        <v>9</v>
      </c>
      <c r="I311">
        <v>0.26700000000000002</v>
      </c>
      <c r="J311">
        <v>0.54800000000000004</v>
      </c>
      <c r="K311">
        <v>446515</v>
      </c>
    </row>
    <row r="312" spans="1:11">
      <c r="A312" t="s">
        <v>268</v>
      </c>
      <c r="B312" t="s">
        <v>268</v>
      </c>
      <c r="C312">
        <v>199148</v>
      </c>
      <c r="D312">
        <v>24660</v>
      </c>
      <c r="E312">
        <v>2015</v>
      </c>
      <c r="F312" s="7">
        <v>6956</v>
      </c>
      <c r="G312" s="7">
        <v>9029</v>
      </c>
      <c r="H312" s="7">
        <v>13</v>
      </c>
      <c r="I312">
        <v>0.64500000000000002</v>
      </c>
      <c r="J312">
        <v>0.56699999999999995</v>
      </c>
      <c r="K312">
        <v>751915</v>
      </c>
    </row>
    <row r="313" spans="1:11">
      <c r="A313" t="s">
        <v>269</v>
      </c>
      <c r="B313" t="s">
        <v>269</v>
      </c>
      <c r="C313">
        <v>199218</v>
      </c>
      <c r="D313">
        <v>48900</v>
      </c>
      <c r="E313">
        <v>2015</v>
      </c>
      <c r="F313" s="7">
        <v>6115</v>
      </c>
      <c r="G313" s="7">
        <v>2598</v>
      </c>
      <c r="H313" s="7">
        <v>14</v>
      </c>
      <c r="I313">
        <v>0.65600000000000003</v>
      </c>
      <c r="J313">
        <v>0.66700000000000004</v>
      </c>
      <c r="K313">
        <v>269473</v>
      </c>
    </row>
    <row r="314" spans="1:11">
      <c r="A314" t="s">
        <v>270</v>
      </c>
      <c r="B314" t="s">
        <v>270</v>
      </c>
      <c r="C314">
        <v>154095</v>
      </c>
      <c r="D314">
        <v>47940</v>
      </c>
      <c r="E314">
        <v>2015</v>
      </c>
      <c r="F314" s="7">
        <v>40537</v>
      </c>
      <c r="G314" s="7">
        <v>42470</v>
      </c>
      <c r="H314" s="7">
        <v>13</v>
      </c>
      <c r="I314">
        <v>0.65600000000000003</v>
      </c>
      <c r="J314">
        <v>0.74199999999999999</v>
      </c>
      <c r="K314">
        <v>170899</v>
      </c>
    </row>
    <row r="315" spans="1:11">
      <c r="A315" t="s">
        <v>271</v>
      </c>
      <c r="B315" t="s">
        <v>271</v>
      </c>
      <c r="C315">
        <v>182281</v>
      </c>
      <c r="D315">
        <v>29820</v>
      </c>
      <c r="E315">
        <v>2015</v>
      </c>
      <c r="F315" s="7">
        <v>7768</v>
      </c>
      <c r="G315" s="7">
        <v>6332</v>
      </c>
      <c r="H315" s="7">
        <v>15</v>
      </c>
      <c r="I315">
        <v>0.78800000000000003</v>
      </c>
      <c r="J315">
        <v>0.53300000000000003</v>
      </c>
      <c r="K315">
        <v>2075751</v>
      </c>
    </row>
    <row r="316" spans="1:11">
      <c r="A316" t="s">
        <v>272</v>
      </c>
      <c r="B316" t="s">
        <v>272</v>
      </c>
      <c r="C316">
        <v>218742</v>
      </c>
      <c r="D316">
        <v>43900</v>
      </c>
      <c r="E316">
        <v>2015</v>
      </c>
      <c r="F316" s="7">
        <v>1410</v>
      </c>
      <c r="G316" s="7">
        <v>3308</v>
      </c>
      <c r="H316" s="7">
        <v>7</v>
      </c>
      <c r="I316">
        <v>0.33300000000000002</v>
      </c>
      <c r="J316">
        <v>0.17899999999999999</v>
      </c>
      <c r="K316">
        <v>298402</v>
      </c>
    </row>
    <row r="317" spans="1:11">
      <c r="A317" t="s">
        <v>273</v>
      </c>
      <c r="B317" t="s">
        <v>273</v>
      </c>
      <c r="C317">
        <v>228769</v>
      </c>
      <c r="D317">
        <v>19100</v>
      </c>
      <c r="E317">
        <v>2015</v>
      </c>
      <c r="F317" s="7">
        <v>9505</v>
      </c>
      <c r="G317" s="7">
        <v>5958</v>
      </c>
      <c r="H317" s="7">
        <v>17</v>
      </c>
      <c r="I317">
        <v>0.73499999999999999</v>
      </c>
      <c r="J317">
        <v>0.55900000000000005</v>
      </c>
      <c r="K317">
        <v>7025725</v>
      </c>
    </row>
    <row r="318" spans="1:11">
      <c r="A318" t="s">
        <v>274</v>
      </c>
      <c r="B318" t="s">
        <v>274</v>
      </c>
      <c r="C318">
        <v>221768</v>
      </c>
      <c r="D318">
        <v>32280</v>
      </c>
      <c r="E318">
        <v>2015</v>
      </c>
      <c r="F318" s="7">
        <v>4359</v>
      </c>
      <c r="G318" s="7">
        <v>2139</v>
      </c>
      <c r="H318" s="7">
        <v>13</v>
      </c>
      <c r="I318">
        <v>0.36699999999999999</v>
      </c>
      <c r="J318">
        <v>0.28100000000000003</v>
      </c>
      <c r="K318">
        <v>33640</v>
      </c>
    </row>
    <row r="319" spans="1:11">
      <c r="A319" t="s">
        <v>275</v>
      </c>
      <c r="B319" t="s">
        <v>275</v>
      </c>
      <c r="C319">
        <v>230764</v>
      </c>
      <c r="D319">
        <v>41620</v>
      </c>
      <c r="E319">
        <v>2015</v>
      </c>
      <c r="F319" s="7">
        <v>13446</v>
      </c>
      <c r="G319" s="7">
        <v>14085</v>
      </c>
      <c r="H319" s="7">
        <v>14</v>
      </c>
      <c r="I319">
        <v>0.60599999999999998</v>
      </c>
      <c r="J319">
        <v>0.61799999999999999</v>
      </c>
      <c r="K319">
        <v>1175713</v>
      </c>
    </row>
    <row r="320" spans="1:11">
      <c r="A320" t="s">
        <v>276</v>
      </c>
      <c r="B320" t="s">
        <v>276</v>
      </c>
      <c r="C320">
        <v>230728</v>
      </c>
      <c r="D320">
        <v>30860</v>
      </c>
      <c r="E320">
        <v>2015</v>
      </c>
      <c r="F320" s="7">
        <v>13144</v>
      </c>
      <c r="G320" s="7">
        <v>12810</v>
      </c>
      <c r="H320" s="7">
        <v>13</v>
      </c>
      <c r="I320">
        <v>0.44800000000000001</v>
      </c>
      <c r="J320">
        <v>0.64500000000000002</v>
      </c>
      <c r="K320">
        <v>134613</v>
      </c>
    </row>
    <row r="321" spans="1:11">
      <c r="A321" t="s">
        <v>277</v>
      </c>
      <c r="B321" t="s">
        <v>277</v>
      </c>
      <c r="C321">
        <v>230737</v>
      </c>
      <c r="D321">
        <v>39340</v>
      </c>
      <c r="E321">
        <v>2015</v>
      </c>
      <c r="F321" s="7">
        <v>7208</v>
      </c>
      <c r="G321" s="7">
        <v>9867</v>
      </c>
      <c r="H321" s="7">
        <v>12</v>
      </c>
      <c r="I321">
        <v>0.438</v>
      </c>
      <c r="J321">
        <v>0.54500000000000004</v>
      </c>
      <c r="K321">
        <v>589961</v>
      </c>
    </row>
    <row r="322" spans="1:11">
      <c r="A322" t="s">
        <v>278</v>
      </c>
      <c r="B322" t="s">
        <v>278</v>
      </c>
      <c r="C322">
        <v>228796</v>
      </c>
      <c r="D322">
        <v>21340</v>
      </c>
      <c r="E322">
        <v>2015</v>
      </c>
      <c r="F322" s="7">
        <v>5361</v>
      </c>
      <c r="G322" s="7">
        <v>6161</v>
      </c>
      <c r="H322" s="7">
        <v>12</v>
      </c>
      <c r="I322">
        <v>0.20699999999999999</v>
      </c>
      <c r="J322">
        <v>0.46700000000000003</v>
      </c>
      <c r="K322">
        <v>846949</v>
      </c>
    </row>
    <row r="323" spans="1:11">
      <c r="A323" t="s">
        <v>1312</v>
      </c>
      <c r="B323" t="s">
        <v>1312</v>
      </c>
      <c r="C323">
        <v>227368</v>
      </c>
      <c r="D323">
        <v>32580</v>
      </c>
      <c r="E323">
        <v>2015</v>
      </c>
      <c r="F323" s="7">
        <v>5389</v>
      </c>
      <c r="G323" s="7">
        <v>7176</v>
      </c>
      <c r="H323" s="7">
        <v>11</v>
      </c>
      <c r="I323">
        <v>0.23300000000000001</v>
      </c>
      <c r="J323">
        <v>0.39400000000000002</v>
      </c>
      <c r="K323">
        <v>837085</v>
      </c>
    </row>
    <row r="324" spans="1:11">
      <c r="A324" t="s">
        <v>279</v>
      </c>
      <c r="B324" t="s">
        <v>279</v>
      </c>
      <c r="C324">
        <v>229027</v>
      </c>
      <c r="D324">
        <v>41700</v>
      </c>
      <c r="E324">
        <v>2015</v>
      </c>
      <c r="F324" s="7">
        <v>6440</v>
      </c>
      <c r="G324" s="7">
        <v>7257</v>
      </c>
      <c r="H324" s="7">
        <v>11</v>
      </c>
      <c r="I324">
        <v>0.69</v>
      </c>
      <c r="J324">
        <v>0.75</v>
      </c>
      <c r="K324">
        <v>2366630</v>
      </c>
    </row>
    <row r="325" spans="1:11">
      <c r="A325" t="s">
        <v>280</v>
      </c>
      <c r="B325" t="s">
        <v>280</v>
      </c>
      <c r="C325">
        <v>152600</v>
      </c>
      <c r="D325">
        <v>16980</v>
      </c>
      <c r="E325">
        <v>2015</v>
      </c>
      <c r="F325" s="7">
        <v>6997</v>
      </c>
      <c r="G325" s="7">
        <v>5590</v>
      </c>
      <c r="H325" s="7">
        <v>12</v>
      </c>
      <c r="I325">
        <v>0.75800000000000001</v>
      </c>
      <c r="J325">
        <v>0.75800000000000001</v>
      </c>
      <c r="K325">
        <v>9654044</v>
      </c>
    </row>
    <row r="326" spans="1:11">
      <c r="A326" t="s">
        <v>1313</v>
      </c>
      <c r="B326" t="s">
        <v>1313</v>
      </c>
      <c r="C326">
        <v>221999</v>
      </c>
      <c r="D326">
        <v>34980</v>
      </c>
      <c r="E326">
        <v>2015</v>
      </c>
      <c r="F326" s="7" t="s">
        <v>1328</v>
      </c>
      <c r="G326" s="7" t="s">
        <v>1328</v>
      </c>
      <c r="H326" s="7" t="s">
        <v>1328</v>
      </c>
      <c r="I326" t="s">
        <v>1328</v>
      </c>
      <c r="J326" t="s">
        <v>1328</v>
      </c>
      <c r="K326">
        <v>1824091</v>
      </c>
    </row>
    <row r="327" spans="1:11">
      <c r="A327" t="s">
        <v>1314</v>
      </c>
      <c r="B327" t="s">
        <v>1314</v>
      </c>
      <c r="C327">
        <v>234030</v>
      </c>
      <c r="D327">
        <v>40060</v>
      </c>
      <c r="E327">
        <v>2015</v>
      </c>
      <c r="F327" s="7">
        <v>4024</v>
      </c>
      <c r="G327" s="7">
        <v>4160</v>
      </c>
      <c r="H327" s="7">
        <v>10</v>
      </c>
      <c r="I327">
        <v>0.56699999999999995</v>
      </c>
      <c r="J327">
        <v>0.76500000000000001</v>
      </c>
      <c r="K327">
        <v>1254013</v>
      </c>
    </row>
    <row r="328" spans="1:11">
      <c r="A328" t="s">
        <v>1315</v>
      </c>
      <c r="B328" t="s">
        <v>1315</v>
      </c>
      <c r="C328">
        <v>231174</v>
      </c>
      <c r="D328">
        <v>15540</v>
      </c>
      <c r="E328">
        <v>2015</v>
      </c>
      <c r="F328" s="7" t="s">
        <v>1328</v>
      </c>
      <c r="G328" s="7" t="s">
        <v>1328</v>
      </c>
      <c r="H328" s="7" t="s">
        <v>1328</v>
      </c>
      <c r="I328" t="s">
        <v>1328</v>
      </c>
      <c r="J328" t="s">
        <v>1328</v>
      </c>
      <c r="K328">
        <v>219728</v>
      </c>
    </row>
    <row r="329" spans="1:11">
      <c r="A329" t="s">
        <v>281</v>
      </c>
      <c r="B329" t="s">
        <v>281</v>
      </c>
      <c r="C329">
        <v>216597</v>
      </c>
      <c r="D329">
        <v>37980</v>
      </c>
      <c r="E329">
        <v>2015</v>
      </c>
      <c r="F329" s="7">
        <v>4660</v>
      </c>
      <c r="G329" s="7">
        <v>3768</v>
      </c>
      <c r="H329" s="7">
        <v>14</v>
      </c>
      <c r="I329">
        <v>0.39400000000000002</v>
      </c>
      <c r="J329">
        <v>0.41399999999999998</v>
      </c>
      <c r="K329">
        <v>6130446</v>
      </c>
    </row>
    <row r="330" spans="1:11">
      <c r="A330" t="s">
        <v>282</v>
      </c>
      <c r="B330" t="s">
        <v>282</v>
      </c>
      <c r="C330">
        <v>234076</v>
      </c>
      <c r="D330">
        <v>16820</v>
      </c>
      <c r="E330">
        <v>2015</v>
      </c>
      <c r="F330" s="7">
        <v>6977</v>
      </c>
      <c r="G330" s="7">
        <v>8551</v>
      </c>
      <c r="H330" s="7">
        <v>12</v>
      </c>
      <c r="I330">
        <v>0.54800000000000004</v>
      </c>
      <c r="J330">
        <v>0.56299999999999994</v>
      </c>
      <c r="K330">
        <v>212531</v>
      </c>
    </row>
    <row r="331" spans="1:11">
      <c r="A331" t="s">
        <v>283</v>
      </c>
      <c r="B331" t="s">
        <v>283</v>
      </c>
      <c r="C331">
        <v>233921</v>
      </c>
      <c r="D331">
        <v>13980</v>
      </c>
      <c r="E331">
        <v>2015</v>
      </c>
      <c r="F331" s="7">
        <v>7954</v>
      </c>
      <c r="G331" s="7">
        <v>8622</v>
      </c>
      <c r="H331" s="7">
        <v>12</v>
      </c>
      <c r="I331">
        <v>0.54800000000000004</v>
      </c>
      <c r="J331">
        <v>0.64700000000000002</v>
      </c>
      <c r="K331">
        <v>165298</v>
      </c>
    </row>
    <row r="332" spans="1:11">
      <c r="A332" t="s">
        <v>1316</v>
      </c>
      <c r="B332" t="s">
        <v>1316</v>
      </c>
      <c r="C332">
        <v>234085</v>
      </c>
      <c r="D332">
        <v>31340</v>
      </c>
      <c r="E332">
        <v>2015</v>
      </c>
      <c r="F332" s="7" t="s">
        <v>1328</v>
      </c>
      <c r="G332" s="7" t="s">
        <v>1328</v>
      </c>
      <c r="H332" s="7" t="s">
        <v>1328</v>
      </c>
      <c r="I332" t="s">
        <v>1328</v>
      </c>
      <c r="J332" t="s">
        <v>1328</v>
      </c>
      <c r="K332">
        <v>258067</v>
      </c>
    </row>
    <row r="333" spans="1:11">
      <c r="A333" t="s">
        <v>1258</v>
      </c>
      <c r="B333" t="s">
        <v>1258</v>
      </c>
      <c r="C333">
        <v>197197</v>
      </c>
      <c r="D333">
        <v>35620</v>
      </c>
      <c r="E333">
        <v>2015</v>
      </c>
      <c r="F333" s="7" t="s">
        <v>1328</v>
      </c>
      <c r="G333" s="7" t="s">
        <v>1328</v>
      </c>
      <c r="H333" s="7" t="s">
        <v>1328</v>
      </c>
      <c r="I333" t="s">
        <v>1328</v>
      </c>
      <c r="J333" t="s">
        <v>1328</v>
      </c>
      <c r="K333">
        <v>19833335</v>
      </c>
    </row>
    <row r="334" spans="1:11">
      <c r="A334" t="s">
        <v>1317</v>
      </c>
      <c r="B334" t="s">
        <v>1317</v>
      </c>
      <c r="C334">
        <v>199847</v>
      </c>
      <c r="D334">
        <v>49180</v>
      </c>
      <c r="E334">
        <v>2015</v>
      </c>
      <c r="F334" s="7">
        <v>9069</v>
      </c>
      <c r="G334" s="7">
        <v>9444</v>
      </c>
      <c r="H334" s="7">
        <v>17</v>
      </c>
      <c r="I334">
        <v>0.5</v>
      </c>
      <c r="J334">
        <v>0.5</v>
      </c>
      <c r="K334">
        <v>654759</v>
      </c>
    </row>
    <row r="335" spans="1:11">
      <c r="A335" t="s">
        <v>284</v>
      </c>
      <c r="B335" t="s">
        <v>284</v>
      </c>
      <c r="C335">
        <v>236948</v>
      </c>
      <c r="D335">
        <v>42660</v>
      </c>
      <c r="E335">
        <v>2015</v>
      </c>
      <c r="F335" s="7">
        <v>60829</v>
      </c>
      <c r="G335" s="7">
        <v>40174</v>
      </c>
      <c r="H335" s="7">
        <v>18</v>
      </c>
      <c r="I335">
        <v>0.91200000000000003</v>
      </c>
      <c r="J335">
        <v>0.90900000000000003</v>
      </c>
      <c r="K335">
        <v>3745754</v>
      </c>
    </row>
    <row r="336" spans="1:11">
      <c r="A336" t="s">
        <v>1318</v>
      </c>
      <c r="B336" t="s">
        <v>1318</v>
      </c>
      <c r="C336">
        <v>236939</v>
      </c>
      <c r="D336">
        <v>39420</v>
      </c>
      <c r="E336">
        <v>2015</v>
      </c>
      <c r="F336" s="7">
        <v>8740</v>
      </c>
      <c r="G336" s="7">
        <v>13326</v>
      </c>
      <c r="H336" s="7">
        <v>13</v>
      </c>
      <c r="I336">
        <v>0.313</v>
      </c>
      <c r="J336">
        <v>0.54500000000000004</v>
      </c>
      <c r="K336">
        <v>47369</v>
      </c>
    </row>
    <row r="337" spans="1:11">
      <c r="A337" t="s">
        <v>285</v>
      </c>
      <c r="B337" t="s">
        <v>285</v>
      </c>
      <c r="C337">
        <v>230782</v>
      </c>
      <c r="D337">
        <v>36260</v>
      </c>
      <c r="E337">
        <v>2015</v>
      </c>
      <c r="F337" s="7">
        <v>3696</v>
      </c>
      <c r="G337" s="7">
        <v>5433</v>
      </c>
      <c r="H337" s="7">
        <v>8</v>
      </c>
      <c r="I337">
        <v>0.22600000000000001</v>
      </c>
      <c r="J337">
        <v>0.20599999999999999</v>
      </c>
      <c r="K337">
        <v>643407</v>
      </c>
    </row>
    <row r="338" spans="1:11">
      <c r="A338" t="s">
        <v>1319</v>
      </c>
      <c r="B338" t="s">
        <v>1319</v>
      </c>
      <c r="C338">
        <v>238032</v>
      </c>
      <c r="D338">
        <v>34060</v>
      </c>
      <c r="E338">
        <v>2015</v>
      </c>
      <c r="F338" s="7">
        <v>8714</v>
      </c>
      <c r="G338" s="7">
        <v>8698</v>
      </c>
      <c r="H338" s="7">
        <v>15</v>
      </c>
      <c r="I338">
        <v>0.53300000000000003</v>
      </c>
      <c r="J338">
        <v>0.60599999999999998</v>
      </c>
      <c r="K338">
        <v>138672</v>
      </c>
    </row>
    <row r="339" spans="1:11">
      <c r="A339" t="s">
        <v>286</v>
      </c>
      <c r="B339" t="s">
        <v>286</v>
      </c>
      <c r="C339">
        <v>200004</v>
      </c>
      <c r="D339">
        <v>19000</v>
      </c>
      <c r="E339">
        <v>2015</v>
      </c>
      <c r="F339" s="7">
        <v>2323</v>
      </c>
      <c r="G339" s="7">
        <v>2443</v>
      </c>
      <c r="H339" s="7">
        <v>10</v>
      </c>
      <c r="I339">
        <v>0.53100000000000003</v>
      </c>
      <c r="J339">
        <v>0.58099999999999996</v>
      </c>
      <c r="K339">
        <v>55204</v>
      </c>
    </row>
    <row r="340" spans="1:11">
      <c r="A340" t="s">
        <v>287</v>
      </c>
      <c r="B340" t="s">
        <v>287</v>
      </c>
      <c r="C340">
        <v>149772</v>
      </c>
      <c r="D340">
        <v>31380</v>
      </c>
      <c r="E340">
        <v>2015</v>
      </c>
      <c r="F340" s="7">
        <v>3362</v>
      </c>
      <c r="G340" s="7">
        <v>2729</v>
      </c>
      <c r="H340" s="7">
        <v>12</v>
      </c>
      <c r="I340">
        <v>0.20699999999999999</v>
      </c>
      <c r="J340">
        <v>0.4</v>
      </c>
      <c r="K340">
        <v>30225</v>
      </c>
    </row>
    <row r="341" spans="1:11">
      <c r="A341" t="s">
        <v>288</v>
      </c>
      <c r="B341" t="s">
        <v>288</v>
      </c>
      <c r="C341">
        <v>157951</v>
      </c>
      <c r="D341">
        <v>14540</v>
      </c>
      <c r="E341">
        <v>2015</v>
      </c>
      <c r="F341" s="7">
        <v>9435</v>
      </c>
      <c r="G341" s="7">
        <v>10728</v>
      </c>
      <c r="H341" s="7">
        <v>13</v>
      </c>
      <c r="I341">
        <v>0.83299999999999996</v>
      </c>
      <c r="J341">
        <v>0.81799999999999995</v>
      </c>
      <c r="K341">
        <v>169211</v>
      </c>
    </row>
    <row r="342" spans="1:11">
      <c r="A342" t="s">
        <v>289</v>
      </c>
      <c r="B342" t="s">
        <v>289</v>
      </c>
      <c r="C342">
        <v>172699</v>
      </c>
      <c r="D342">
        <v>28020</v>
      </c>
      <c r="E342">
        <v>2015</v>
      </c>
      <c r="F342" s="7">
        <v>8342</v>
      </c>
      <c r="G342" s="7">
        <v>11934</v>
      </c>
      <c r="H342" s="7">
        <v>11</v>
      </c>
      <c r="I342">
        <v>0.61099999999999999</v>
      </c>
      <c r="J342">
        <v>0.54800000000000004</v>
      </c>
      <c r="K342">
        <v>257538</v>
      </c>
    </row>
    <row r="343" spans="1:11">
      <c r="A343" t="s">
        <v>290</v>
      </c>
      <c r="B343" t="s">
        <v>290</v>
      </c>
      <c r="C343">
        <v>156125</v>
      </c>
      <c r="D343">
        <v>48620</v>
      </c>
      <c r="E343">
        <v>2015</v>
      </c>
      <c r="F343" s="7">
        <v>27706</v>
      </c>
      <c r="G343" s="7">
        <v>38657</v>
      </c>
      <c r="H343" s="7">
        <v>9</v>
      </c>
      <c r="I343">
        <v>0.66700000000000004</v>
      </c>
      <c r="J343">
        <v>0.8</v>
      </c>
      <c r="K343">
        <v>638028</v>
      </c>
    </row>
    <row r="344" spans="1:11">
      <c r="A344" t="s">
        <v>1320</v>
      </c>
      <c r="B344" t="s">
        <v>1320</v>
      </c>
      <c r="C344">
        <v>231624</v>
      </c>
      <c r="D344">
        <v>47260</v>
      </c>
      <c r="E344">
        <v>2015</v>
      </c>
      <c r="F344" s="7">
        <v>2209</v>
      </c>
      <c r="G344" s="7">
        <v>2526</v>
      </c>
      <c r="H344" s="7">
        <v>10</v>
      </c>
      <c r="I344">
        <v>0.22600000000000001</v>
      </c>
      <c r="J344">
        <v>0.34399999999999997</v>
      </c>
      <c r="K344">
        <v>1768553</v>
      </c>
    </row>
    <row r="345" spans="1:11">
      <c r="A345" t="s">
        <v>291</v>
      </c>
      <c r="B345" t="s">
        <v>291</v>
      </c>
      <c r="C345">
        <v>218964</v>
      </c>
      <c r="D345">
        <v>16740</v>
      </c>
      <c r="E345">
        <v>2015</v>
      </c>
      <c r="F345" s="7">
        <v>3209</v>
      </c>
      <c r="G345" s="7">
        <v>4716</v>
      </c>
      <c r="H345" s="7">
        <v>12</v>
      </c>
      <c r="I345">
        <v>0.625</v>
      </c>
      <c r="J345">
        <v>0.56699999999999995</v>
      </c>
      <c r="K345">
        <v>2442023</v>
      </c>
    </row>
    <row r="346" spans="1:11">
      <c r="A346" t="s">
        <v>292</v>
      </c>
      <c r="B346" t="s">
        <v>292</v>
      </c>
      <c r="C346">
        <v>240444</v>
      </c>
      <c r="D346">
        <v>31540</v>
      </c>
      <c r="E346">
        <v>2015</v>
      </c>
      <c r="F346" s="7">
        <v>73999</v>
      </c>
      <c r="G346" s="7">
        <v>52685</v>
      </c>
      <c r="H346" s="7">
        <v>15</v>
      </c>
      <c r="I346">
        <v>0.91200000000000003</v>
      </c>
      <c r="J346">
        <v>0.73699999999999999</v>
      </c>
      <c r="K346">
        <v>646456</v>
      </c>
    </row>
    <row r="347" spans="1:11">
      <c r="A347" t="s">
        <v>293</v>
      </c>
      <c r="B347" t="s">
        <v>293</v>
      </c>
      <c r="C347">
        <v>218973</v>
      </c>
      <c r="D347">
        <v>43900</v>
      </c>
      <c r="E347">
        <v>2015</v>
      </c>
      <c r="F347" s="7">
        <v>4531</v>
      </c>
      <c r="G347" s="7">
        <v>1968</v>
      </c>
      <c r="H347" s="7">
        <v>12</v>
      </c>
      <c r="I347">
        <v>0.371</v>
      </c>
      <c r="J347">
        <v>0.40600000000000003</v>
      </c>
      <c r="K347">
        <v>298402</v>
      </c>
    </row>
    <row r="348" spans="1:11">
      <c r="A348" t="s">
        <v>1321</v>
      </c>
      <c r="B348" t="s">
        <v>1321</v>
      </c>
      <c r="C348">
        <v>206604</v>
      </c>
      <c r="D348">
        <v>19430</v>
      </c>
      <c r="E348">
        <v>2015</v>
      </c>
      <c r="F348" s="7">
        <v>3534</v>
      </c>
      <c r="G348" s="7">
        <v>3592</v>
      </c>
      <c r="H348" s="7">
        <v>11</v>
      </c>
      <c r="I348">
        <v>0.17899999999999999</v>
      </c>
      <c r="J348">
        <v>0.188</v>
      </c>
      <c r="K348">
        <v>802986</v>
      </c>
    </row>
    <row r="349" spans="1:11">
      <c r="A349" t="s">
        <v>1322</v>
      </c>
      <c r="B349" t="s">
        <v>1322</v>
      </c>
      <c r="C349">
        <v>240727</v>
      </c>
      <c r="D349">
        <v>29660</v>
      </c>
      <c r="E349">
        <v>2015</v>
      </c>
      <c r="F349" s="7">
        <v>9879</v>
      </c>
      <c r="G349" s="7">
        <v>9850</v>
      </c>
      <c r="H349" s="7">
        <v>15</v>
      </c>
      <c r="I349">
        <v>0.74199999999999999</v>
      </c>
      <c r="J349">
        <v>0.61799999999999999</v>
      </c>
      <c r="K349">
        <v>37099</v>
      </c>
    </row>
    <row r="350" spans="1:11">
      <c r="A350" t="s">
        <v>1323</v>
      </c>
      <c r="B350" t="s">
        <v>1323</v>
      </c>
      <c r="C350">
        <v>206622</v>
      </c>
      <c r="D350">
        <v>17140</v>
      </c>
      <c r="E350">
        <v>2015</v>
      </c>
      <c r="F350" s="7">
        <v>8681</v>
      </c>
      <c r="G350" s="7">
        <v>7070</v>
      </c>
      <c r="H350" s="7">
        <v>16</v>
      </c>
      <c r="I350">
        <v>0.61299999999999999</v>
      </c>
      <c r="J350">
        <v>0.65600000000000003</v>
      </c>
      <c r="K350">
        <v>2196029</v>
      </c>
    </row>
    <row r="351" spans="1:11">
      <c r="A351" t="s">
        <v>294</v>
      </c>
      <c r="B351" t="s">
        <v>294</v>
      </c>
      <c r="C351">
        <v>130794</v>
      </c>
      <c r="D351">
        <v>35300</v>
      </c>
      <c r="E351">
        <v>2015</v>
      </c>
      <c r="F351" s="7">
        <v>4479</v>
      </c>
      <c r="G351" s="7">
        <v>4399</v>
      </c>
      <c r="H351" s="7">
        <v>11</v>
      </c>
      <c r="I351">
        <v>0.69199999999999995</v>
      </c>
      <c r="J351">
        <v>0.8</v>
      </c>
      <c r="K351">
        <v>866750</v>
      </c>
    </row>
    <row r="352" spans="1:11">
      <c r="A352" t="s">
        <v>295</v>
      </c>
      <c r="B352" t="s">
        <v>295</v>
      </c>
      <c r="C352">
        <v>206695</v>
      </c>
      <c r="D352">
        <v>49660</v>
      </c>
      <c r="E352">
        <v>2015</v>
      </c>
      <c r="F352" s="7">
        <v>1100</v>
      </c>
      <c r="G352" s="7">
        <v>1802</v>
      </c>
      <c r="H352" s="7">
        <v>7</v>
      </c>
      <c r="I352">
        <v>0.54800000000000004</v>
      </c>
      <c r="J352">
        <v>0.51600000000000001</v>
      </c>
      <c r="K352">
        <v>553699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TotalRev1</vt:lpstr>
      <vt:lpstr>TotalRev2</vt:lpstr>
      <vt:lpstr>TotalRevL</vt:lpstr>
      <vt:lpstr>Attendance1</vt:lpstr>
      <vt:lpstr>Attendance2</vt:lpstr>
      <vt:lpstr>Winpct1</vt:lpstr>
      <vt:lpstr>Winpct2</vt:lpstr>
      <vt:lpstr>Pop-Metro</vt:lpstr>
      <vt:lpstr>Pop-Micro</vt:lpstr>
      <vt:lpstr>PCI-Metro</vt:lpstr>
      <vt:lpstr>PCI-Micro</vt:lpstr>
      <vt:lpstr>Stadium Capacity</vt:lpstr>
      <vt:lpstr>Ra2W</vt:lpstr>
      <vt:lpstr>RA2L</vt:lpstr>
    </vt:vector>
  </TitlesOfParts>
  <Company>University of Central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Brook</dc:creator>
  <cp:lastModifiedBy>Tyler Berry</cp:lastModifiedBy>
  <dcterms:created xsi:type="dcterms:W3CDTF">2023-09-03T16:53:19Z</dcterms:created>
  <dcterms:modified xsi:type="dcterms:W3CDTF">2025-09-24T18:05:13Z</dcterms:modified>
</cp:coreProperties>
</file>